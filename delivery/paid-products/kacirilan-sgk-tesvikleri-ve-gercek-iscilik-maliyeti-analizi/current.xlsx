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CALISAN_KARTI" sheetId="3" state="visible" r:id="rId5"/>
    <sheet name="GERCEK_MALIYET" sheetId="4" state="visible" r:id="rId6"/>
    <sheet name="TESVIK_SIMULATOR" sheetId="5" state="visible" r:id="rId7"/>
    <sheet name="MOTOR" sheetId="6" state="visible" r:id="rId8"/>
    <sheet name="KONTROL" sheetId="7" state="visible" r:id="rId9"/>
    <sheet name="KARAR" sheetId="8" state="visible" r:id="rId10"/>
    <sheet name="PANO" sheetId="9" state="visible" r:id="rId11"/>
    <sheet name="SENARYO_DUYARLILIK" sheetId="10" state="visible" r:id="rId12"/>
    <sheet name="RAPOR" sheetId="11" state="visible" r:id="rId13"/>
    <sheet name="ORNEK_VERI" sheetId="12" state="visible" r:id="rId14"/>
    <sheet name="DEGISIKLIK_KAYDI" sheetId="13" state="visible" r:id="rId15"/>
    <sheet name="LISTELER" sheetId="14" state="visible" r:id="rId16"/>
    <sheet name="AYARLAR" sheetId="15" state="visible" r:id="rId17"/>
    <sheet name="KILAVUZ" sheetId="16" state="visible" r:id="rId18"/>
  </sheets>
  <definedNames>
    <definedName function="false" hidden="false" localSheetId="8" name="_xlnm.Print_Area" vbProcedure="false">PANO!$A$1:$V$120</definedName>
    <definedName function="false" hidden="false" localSheetId="10" name="_xlnm.Print_Area" vbProcedure="false">RAPOR!$A$1:$F$42</definedName>
    <definedName function="false" hidden="false" name="Aksiyon1" vbProcedure="false">KARAR!$A$15</definedName>
    <definedName function="false" hidden="false" name="Aksiyon2" vbProcedure="false">KARAR!$A$16</definedName>
    <definedName function="false" hidden="false" name="Aksiyon3" vbProcedure="false">KARAR!$A$17</definedName>
    <definedName function="false" hidden="false" name="AnomaliEsikKat" vbProcedure="false">AYARLAR!$C$35</definedName>
    <definedName function="false" hidden="false" name="AylikCalismaSaati" vbProcedure="false">AYARLAR!$C$12</definedName>
    <definedName function="false" hidden="false" name="AylikGercekMaliyet" vbProcedure="false">MOTOR!$B$21</definedName>
    <definedName function="false" hidden="false" name="AySayisi" vbProcedure="false">AYARLAR!$C$11</definedName>
    <definedName function="false" hidden="false" name="BesPuanOrani" vbProcedure="false">AYARLAR!$C$13</definedName>
    <definedName function="false" hidden="false" name="BrutStdSapma" vbProcedure="false">MOTOR!$B$13</definedName>
    <definedName function="false" hidden="false" name="CalisanBasiMaliyet" vbProcedure="false">MOTOR!$B$22</definedName>
    <definedName function="false" hidden="false" name="CalisanBasiYillikMaliyet" vbProcedure="false">MOTOR!$B$42</definedName>
    <definedName function="false" hidden="false" name="CalisanSayisi" vbProcedure="false">MOTOR!$B$7</definedName>
    <definedName function="false" hidden="false" name="DurumKontrol" vbProcedure="false">KONTROL!$B$20</definedName>
    <definedName function="false" hidden="false" name="DuyarliDegisim" vbProcedure="false">AYARLAR!$C$30</definedName>
    <definedName function="false" hidden="false" name="EnDusukBrut" vbProcedure="false">MOTOR!$B$12</definedName>
    <definedName function="false" hidden="false" name="EngelliOrani" vbProcedure="false">AYARLAR!$C$16</definedName>
    <definedName function="false" hidden="false" name="EnYuksekBrut" vbProcedure="false">MOTOR!$B$11</definedName>
    <definedName function="false" hidden="false" name="FAIL_Sayisi" vbProcedure="false">KONTROL!$B$17</definedName>
    <definedName function="false" hidden="false" name="FirmaUnvani" vbProcedure="false">CALISAN_KARTI!$B$4</definedName>
    <definedName function="false" hidden="false" name="GencGirisimciOrani" vbProcedure="false">AYARLAR!$C$17</definedName>
    <definedName function="false" hidden="false" name="GercekSaatlikMaliyet" vbProcedure="false">MOTOR!$B$41</definedName>
    <definedName function="false" hidden="false" name="GeriKazanimHedefAy" vbProcedure="false">AYARLAR!$C$36</definedName>
    <definedName function="false" hidden="false" name="IlaveIstihdamOrani" vbProcedure="false">AYARLAR!$C$14</definedName>
    <definedName function="false" hidden="false" name="IssizlikOrani" vbProcedure="false">AYARLAR!$C$8</definedName>
    <definedName function="false" hidden="false" name="IsverenPayiOrani" vbProcedure="false">AYARLAR!$C$7</definedName>
    <definedName function="false" hidden="false" name="IsverenYukOrani" vbProcedure="false">MOTOR!$B$40</definedName>
    <definedName function="false" hidden="false" name="KacirilanTesvik" vbProcedure="false">MOTOR!$B$33</definedName>
    <definedName function="false" hidden="false" name="KacirilanTesvikAylik" vbProcedure="false">MOTOR!$B$32</definedName>
    <definedName function="false" hidden="false" name="KacirilanTesvikEsik" vbProcedure="false">AYARLAR!$C$18</definedName>
    <definedName function="false" hidden="false" name="KacirilanTesvikOrani" vbProcedure="false">MOTOR!$B$36</definedName>
    <definedName function="false" hidden="false" name="KadinGencOrani" vbProcedure="false">AYARLAR!$C$15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ullanilanTesvik" vbProcedure="false">MOTOR!$B$34</definedName>
    <definedName function="false" hidden="false" name="KullanimOranEsik" vbProcedure="false">AYARLAR!$C$20</definedName>
    <definedName function="false" hidden="false" name="KidemKarsilikOrani" vbProcedure="false">AYARLAR!$C$9</definedName>
    <definedName function="false" hidden="false" name="ListeEvetHayir" vbProcedure="false">LISTELER!$A$6:$A$7</definedName>
    <definedName function="false" hidden="false" name="ListeMetin" vbProcedure="false">LISTELER!$E$6:$E$7</definedName>
    <definedName function="false" hidden="false" name="ListeTesvikTuru" vbProcedure="false">LISTELER!$C$6:$C$10</definedName>
    <definedName function="false" hidden="false" name="MaliyetEsik" vbProcedure="false">AYARLAR!$C$19</definedName>
    <definedName function="false" hidden="false" name="MedyanBrut" vbProcedure="false">MOTOR!$B$10</definedName>
    <definedName function="false" hidden="false" name="modulI1TahminAlt" vbProcedure="false">MOTOR!$B$54</definedName>
    <definedName function="false" hidden="false" name="modulI1TahminOrta" vbProcedure="false">MOTOR!$B$53</definedName>
    <definedName function="false" hidden="false" name="modulI1TahminUst" vbProcedure="false">MOTOR!$B$55</definedName>
    <definedName function="false" hidden="false" name="modulI1TahminYorum" vbProcedure="false">MOTOR!$B$56</definedName>
    <definedName function="false" hidden="false" name="modulI2P90" vbProcedure="false">MOTOR!$B$59</definedName>
    <definedName function="false" hidden="false" name="modulI2Yorum" vbProcedure="false">MOTOR!$B$60</definedName>
    <definedName function="false" hidden="false" name="modulI7GeriKazanimAylik" vbProcedure="false">MOTOR!$B$61</definedName>
    <definedName function="false" hidden="false" name="modulI7Yorum" vbProcedure="false">MOTOR!$B$62</definedName>
    <definedName function="false" hidden="false" name="modulO1AnomaliSayisi" vbProcedure="false">MOTOR!$B$45</definedName>
    <definedName function="false" hidden="false" name="modulO1AnomaliYorum" vbProcedure="false">MOTOR!$B$46</definedName>
    <definedName function="false" hidden="false" name="modulO2TornadoYorum" vbProcedure="false">MOTOR!$B$48</definedName>
    <definedName function="false" hidden="false" name="modulO2TornadoZirve" vbProcedure="false">MOTOR!$B$47</definedName>
    <definedName function="false" hidden="false" name="modulO3SenaryoBaz" vbProcedure="false">MOTOR!$B$49</definedName>
    <definedName function="false" hidden="false" name="modulO3SenaryoYorum" vbProcedure="false">MOTOR!$B$50</definedName>
    <definedName function="false" hidden="false" name="modulO8KaliteSkoru" vbProcedure="false">MOTOR!$B$51</definedName>
    <definedName function="false" hidden="false" name="modulO8KaliteYorum" vbProcedure="false">MOTOR!$B$52</definedName>
    <definedName function="false" hidden="false" name="modulT6Kirilim" vbProcedure="false">MOTOR!$B$63</definedName>
    <definedName function="false" hidden="false" name="modulT6KirilimYorum" vbProcedure="false">MOTOR!$B$64</definedName>
    <definedName function="false" hidden="false" name="OrtalamaBrut" vbProcedure="false">MOTOR!$B$9</definedName>
    <definedName function="false" hidden="false" name="OrtalamaCalisan" vbProcedure="false">CALISAN_KARTI!$B$7</definedName>
    <definedName function="false" hidden="false" name="P10Deger" vbProcedure="false">MOTOR!$B$57</definedName>
    <definedName function="false" hidden="false" name="P10Katsayi" vbProcedure="false">AYARLAR!$C$31</definedName>
    <definedName function="false" hidden="false" name="P50Deger" vbProcedure="false">MOTOR!$B$58</definedName>
    <definedName function="false" hidden="false" name="P50Katsayi" vbProcedure="false">AYARLAR!$C$32</definedName>
    <definedName function="false" hidden="false" name="P90Katsayi" vbProcedure="false">AYARLAR!$C$33</definedName>
    <definedName function="false" hidden="false" name="PASS_Sayisi" vbProcedure="false">KONTROL!$B$16</definedName>
    <definedName function="false" hidden="false" name="raporTarihi" vbProcedure="false">AYARLAR!$C$6</definedName>
    <definedName function="false" hidden="false" name="SenaryoIyimserKat" vbProcedure="false">AYARLAR!$C$29</definedName>
    <definedName function="false" hidden="false" name="SenaryoKotumserKat" vbProcedure="false">AYARLAR!$C$28</definedName>
    <definedName function="false" hidden="false" name="SgkSicilNo" vbProcedure="false">CALISAN_KARTI!$B$5</definedName>
    <definedName function="false" hidden="false" name="TahminGuvenKatsayisi" vbProcedure="false">AYARLAR!$C$34</definedName>
    <definedName function="false" hidden="false" name="TesvikKullanimOrani" vbProcedure="false">MOTOR!$B$35</definedName>
    <definedName function="false" hidden="false" name="TesvikliAylikMaliyet" vbProcedure="false">MOTOR!$B$37</definedName>
    <definedName function="false" hidden="false" name="ToplamAylikTesvik" vbProcedure="false">MOTOR!$B$30</definedName>
    <definedName function="false" hidden="false" name="ToplamBrutUcret" vbProcedure="false">MOTOR!$B$6</definedName>
    <definedName function="false" hidden="false" name="ToplamIssizlikPayi" vbProcedure="false">MOTOR!$B$17</definedName>
    <definedName function="false" hidden="false" name="ToplamIsverenYuku" vbProcedure="false">MOTOR!$B$20</definedName>
    <definedName function="false" hidden="false" name="ToplamKidemKarsilik" vbProcedure="false">MOTOR!$B$18</definedName>
    <definedName function="false" hidden="false" name="ToplamPrimGunu" vbProcedure="false">CALISAN_KARTI!$B$6</definedName>
    <definedName function="false" hidden="false" name="ToplamPrimGunuMotor" vbProcedure="false">MOTOR!$B$8</definedName>
    <definedName function="false" hidden="false" name="ToplamSgkIsverenPayi" vbProcedure="false">MOTOR!$B$16</definedName>
    <definedName function="false" hidden="false" name="ToplamYanFayda" vbProcedure="false">MOTOR!$B$19</definedName>
    <definedName function="false" hidden="false" name="ToplamYillikTesvik" vbProcedure="false">MOTOR!$B$31</definedName>
    <definedName function="false" hidden="false" name="VeriKaliteIyiEsik" vbProcedure="false">AYARLAR!$C$25</definedName>
    <definedName function="false" hidden="false" name="VeriKaliteOrtaEsik" vbProcedure="false">AYARLAR!$C$26</definedName>
    <definedName function="false" hidden="false" name="VeriKaliteSeviyesi" vbProcedure="false">KONTROL!$B$19</definedName>
    <definedName function="false" hidden="false" name="VeriKaliteSkoru" vbProcedure="false">KONTROL!$B$18</definedName>
    <definedName function="false" hidden="false" name="VeriKaliteUyariCeza" vbProcedure="false">AYARLAR!$C$27</definedName>
    <definedName function="false" hidden="false" name="YanFayda" vbProcedure="false">AYARLAR!$C$10</definedName>
    <definedName function="false" hidden="false" name="YukOranAltEsik" vbProcedure="false">AYARLAR!$C$21</definedName>
    <definedName function="false" hidden="false" name="YukOranKararEsik" vbProcedure="false">AYARLAR!$C$24</definedName>
    <definedName function="false" hidden="false" name="YukOranUstEsik" vbProcedure="false">AYARLAR!$C$22</definedName>
    <definedName function="false" hidden="false" name="YukTutarlilikTolerans" vbProcedure="false">AYARLAR!$C$23</definedName>
    <definedName function="false" hidden="false" name="YillikBrutUcret" vbProcedure="false">MOTOR!$B$25</definedName>
    <definedName function="false" hidden="false" name="YillikGercekMaliyet" vbProcedure="false">MOTOR!$B$27</definedName>
    <definedName function="false" hidden="false" name="YillikIsverenYuku" vbProcedure="false">MOTOR!$B$26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Tanım: Firma Unvanı | Neden önemli: Analiz ve raporu doğrudan etkiler | Doğru giriş: İşletmenin ticari unvanı | Örnek: Örnek: İnşaat Grubu A.Ş. | Yanlışsa: Rapor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SGK Sicil Numarası | Neden önemli: Analiz ve raporu doğrudan etkiler | Doğru giriş: İşveren SGK sicil numarası | Örnek: Örnek: 1234567890 | Yanlışsa: Rapor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Aylık Prim Gün Sayısı (Toplam) | Neden önemli: Analiz ve raporu doğrudan etkiler | Doğru giriş: Aylık toplam prim günü | Örnek: Örnek: 3000 | Yanlışsa: Rapor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Ortalama Çalışan Sayısı | Neden önemli: Analiz ve raporu doğrudan etkiler | Doğru giriş: Ay ortalaması çalışan sayısı | Örnek: Örnek: 25 | Yanlışsa: Rapor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98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83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raporTarihi | Neden önemli: Tüm hesaplamaları etkiler | Doğru giriş: Rapor tarihi | Kaynak: Sistem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IsverenPayiOrani | Neden önemli: Tüm hesaplamaları etkiler | Doğru giriş: SGK işveren payı oranı | Kaynak: 5510 s.K. md.81 (SGK)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IssizlikOrani | Neden önemli: Tüm hesaplamaları etkiler | Doğru giriş: İşsizlik sigortası işveren payı | Kaynak: 4447 s.K. md.49 (İŞKUR)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KidemKarsilikOrani | Neden önemli: Tüm hesaplamaları etkiler | Doğru giriş: Aylık kıdem tazminatı karşılığı oranı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YanFayda | Neden önemli: Tüm hesaplamaları etkiler | Doğru giriş: Kişi başı aylık yan fayda (yemek/yol)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AySayisi | Neden önemli: Tüm hesaplamaları etkiler | Doğru giriş: Yıllık hesaplama ay sayısı | Kaynak: Sistem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AylikCalismaSaati | Neden önemli: Tüm hesaplamaları etkiler | Doğru giriş: Aylık çalışma saati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BesPuanOrani | Neden önemli: Tüm hesaplamaları etkiler | Doğru giriş: 5 puan prim indirimi teşvik oranı | Kaynak: 5510 s.K. md.81 (SGK)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IlaveIstihdamOrani | Neden önemli: Tüm hesaplamaları etkiler | Doğru giriş: İlave istihdam teşviki destek oranı | Kaynak: 4447 s.K. geç.10 (SGK)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KadinGencOrani | Neden önemli: Tüm hesaplamaları etkiler | Doğru giriş: Kadın/genç/mesleki belgeli teşvik oranı | Kaynak: 4447 s.K. geç.10 (SGK)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EngelliOrani | Neden önemli: Tüm hesaplamaları etkiler | Doğru giriş: Engelli istihdam teşvik oranı | Kaynak: 4857 s.K. md.30 (SGK)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GencGirisimciOrani | Neden önemli: Tüm hesaplamaları etkiler | Doğru giriş: Genç girişimci istisnası oranı | Kaynak: 5510 s.K. geç.28 (SGK)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KacirilanTesvikEsik | Neden önemli: Tüm hesaplamaları etkiler | Doğru giriş: Kaçırılan teşvik uyarı eşiği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MaliyetEsik | Neden önemli: Tüm hesaplamaları etkiler | Doğru giriş: Çalışan başı aylık maliyet eşiği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KullanimOranEsik | Neden önemli: Tüm hesaplamaları etkiler | Doğru giriş: Teşvik kullanım oranı alt eşiği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YukOranAltEsik | Neden önemli: Tüm hesaplamaları etkiler | Doğru giriş: İşveren yükü oranı makul alt sınırı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YukOranUstEsik | Neden önemli: Tüm hesaplamaları etkiler | Doğru giriş: İşveren yükü oranı makul üst sınırı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YukTutarlilikTolerans | Neden önemli: Tüm hesaplamaları etkiler | Doğru giriş: Maliyet/brüt tutarlılık toleransı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YukOranKararEsik | Neden önemli: Tüm hesaplamaları etkiler | Doğru giriş: İşveren yükü karar eşiği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VeriKaliteIyiEsik | Neden önemli: Tüm hesaplamaları etkiler | Doğru giriş: Kalite skoru iyi eşiği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VeriKaliteOrtaEsik | Neden önemli: Tüm hesaplamaları etkiler | Doğru giriş: Kalite skoru orta eşiği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VeriKaliteUyariCeza | Neden önemli: Tüm hesaplamaları etkiler | Doğru giriş: Her WARN için skor cezası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SenaryoKotumserKat | Neden önemli: Tüm hesaplamaları etkiler | Doğru giriş: Kötümser senaryo çarpanı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SenaryoIyimserKat | Neden önemli: Tüm hesaplamaları etkiler | Doğru giriş: İyimser senaryo çarpanı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DuyarliDegisim | Neden önemli: Tüm hesaplamaları etkiler | Doğru giriş: Tornado analizinde değişim oranı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P10Katsayi | Neden önemli: Tüm hesaplamaları etkiler | Doğru giriş: P10 yüzdelik katsayısı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P50Katsayi | Neden önemli: Tüm hesaplamaları etkiler | Doğru giriş: P50 yüzdelik katsayısı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P90Katsayi | Neden önemli: Tüm hesaplamaları etkiler | Doğru giriş: P90 yüzdelik katsayısı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TahminGuvenKatsayisi | Neden önemli: Tüm hesaplamaları etkiler | Doğru giriş: Tahmin güven aralığı katsayısı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AnomaliEsikKat | Neden önemli: Tüm hesaplamaları etkiler | Doğru giriş: Anomali tespiti eşik katı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GeriKazanimHedefAy | Neden önemli: Tüm hesaplamaları etkiler | Doğru giriş: Kaçırılan teşvik geri kazanım hedef ayı | Kaynak: Varsayım | Yanlışsa: Sonuçlar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14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<sst xmlns="http://schemas.openxmlformats.org/spreadsheetml/2006/main" count="693" uniqueCount="414">
  <si>
    <t xml:space="preserve">KAÇIRILAN SGK TEŞVİKLERİ &amp; GERÇEK İŞÇİLİK MALİYETİ ANALİZİ</t>
  </si>
  <si>
    <t xml:space="preserve">Çalışanınızın gerçek maliyetini ve kaçırdığınız SGK teşviklerini bulun.</t>
  </si>
  <si>
    <t xml:space="preserve">Brüt ücret üzerinden işveren SGK yükünü, işsizlik payını, kıdem karşılığını ve yan faydaları ekleyerek gerçek işçilik maliyetini hesaplar; işletmenizin yararlanabileceği ancak kullanmadığı SGK teşviklerini parayla ölçer.</t>
  </si>
  <si>
    <t xml:space="preserve">1. CALISAN_KARTI sayfasına çalışanları ve brüt ücretlerini girin.</t>
  </si>
  <si>
    <t xml:space="preserve">2. TESVIK_SIMULATOR sayfasında uygulanabilir teşvikleri işaretleyin.</t>
  </si>
  <si>
    <t xml:space="preserve">3. PANO ve KARAR sayfalarında kaçırılan teşvik tutarını ve aksiyonları okuyun.</t>
  </si>
  <si>
    <t xml:space="preserve">Bu dosya karar destek aracıdır; SGK mevzuat danışmanlığı yerine geçmez. Teşvik oranları ve eşikler AYARLAR sayfasından güncellenebilir.</t>
  </si>
  <si>
    <t xml:space="preserve">ExcelArşiv</t>
  </si>
  <si>
    <t xml:space="preserve">Rev 1.0 | 2026-08-08 | Lisans: Tek kullanıcı</t>
  </si>
  <si>
    <t xml:space="preserve">Nasıl kullanılır?</t>
  </si>
  <si>
    <t xml:space="preserve">1. AYARLAR sayfasından işveren payı, işsizlik, kıdem karşılığı oranlarını ve teşvik eşiklerini kontrol edin.</t>
  </si>
  <si>
    <t xml:space="preserve">2. CALISAN_KARTI sayfasına firma bilgilerini ve tüm çalışanları brüt ücretleriyle girin.</t>
  </si>
  <si>
    <t xml:space="preserve">3. GERCEK_MALIYET sayfasında işveren yükü ve gerçek işçilik maliyeti otomatik hesaplanır.</t>
  </si>
  <si>
    <t xml:space="preserve">4. TESVIK_SIMULATOR sayfasında her çalışan için uygulanabilir teşviki seçin; kaçırılanları işaretleyin.</t>
  </si>
  <si>
    <t xml:space="preserve">5. MOTOR ve PANO sayfaları toplam maliyeti, kaçırılan teşvik tutarını ve kullanım oranını sunar.</t>
  </si>
  <si>
    <t xml:space="preserve">6. KARAR ve RAPOR sayfaları yönetici özetini ve aksiyon önerilerini verir.</t>
  </si>
  <si>
    <t xml:space="preserve">Sık yapılan hatalar</t>
  </si>
  <si>
    <t xml:space="preserve">Brüt ücret yerine net ücret girmek — işveren yükü ve teşvik hesabı bozulur.</t>
  </si>
  <si>
    <t xml:space="preserve">Teşvike hak kazanılan çalışanı 'Teşvik Aktif' işaretlememek — kaçırılan tutar görünmez.</t>
  </si>
  <si>
    <t xml:space="preserve">Prim gününü 30'dan fazla girmek — aylık maliyet abartılı çıkar.</t>
  </si>
  <si>
    <t xml:space="preserve">Oranları SGK/mevzuat teyidi olmadan değiştirmek — maliyet yanlış hesaplanır.</t>
  </si>
  <si>
    <t xml:space="preserve">Kilitli hücrelere yazmaya çalışmak — yalnızca sarı hücreler giriş içindir.</t>
  </si>
  <si>
    <t xml:space="preserve">Tüm oranlar ve eşikler AYARLAR sayfasından beslenir; formüle gömülü sayı kullanılmaz.</t>
  </si>
  <si>
    <t xml:space="preserve">CALISAN KARTI — KAÇIRILAN SGK TEŞVİKLERİ &amp; GERÇEK İŞÇİLİK MALİYETİ ANALİZİ</t>
  </si>
  <si>
    <t xml:space="preserve">İşletme ve Çalışan Bilgileri</t>
  </si>
  <si>
    <t xml:space="preserve">Firma Unvanı</t>
  </si>
  <si>
    <t xml:space="preserve">İnşaat Grubu A.Ş.</t>
  </si>
  <si>
    <t xml:space="preserve">SGK Sicil Numarası</t>
  </si>
  <si>
    <t xml:space="preserve">1234567890</t>
  </si>
  <si>
    <t xml:space="preserve">Aylık Prim Gün Sayısı (Toplam)</t>
  </si>
  <si>
    <t xml:space="preserve">Ortalama Çalışan Sayısı</t>
  </si>
  <si>
    <t xml:space="preserve">Çalışan Listesi</t>
  </si>
  <si>
    <t xml:space="preserve">Çalışan Adı</t>
  </si>
  <si>
    <t xml:space="preserve">Brüt Ücret (₺)</t>
  </si>
  <si>
    <t xml:space="preserve">Prim Günü</t>
  </si>
  <si>
    <t xml:space="preserve">Yaş</t>
  </si>
  <si>
    <t xml:space="preserve">Cinsiyet</t>
  </si>
  <si>
    <t xml:space="preserve">Engelli mi?</t>
  </si>
  <si>
    <t xml:space="preserve">İlave İstihdam Uygun mu?</t>
  </si>
  <si>
    <t xml:space="preserve">Teşvik Aktif mi?</t>
  </si>
  <si>
    <t xml:space="preserve">Aylık İşveren Yükü (₺)</t>
  </si>
  <si>
    <t xml:space="preserve">Ali Yılmaz</t>
  </si>
  <si>
    <t xml:space="preserve">Erkek</t>
  </si>
  <si>
    <t xml:space="preserve">Hayır</t>
  </si>
  <si>
    <t xml:space="preserve">Evet</t>
  </si>
  <si>
    <t xml:space="preserve">Ayşe Demir</t>
  </si>
  <si>
    <t xml:space="preserve">Kadın</t>
  </si>
  <si>
    <t xml:space="preserve">Mehmet Kaya</t>
  </si>
  <si>
    <t xml:space="preserve">Zeynep Şahin</t>
  </si>
  <si>
    <t xml:space="preserve">Hasan Çelik</t>
  </si>
  <si>
    <t xml:space="preserve">Fatma Aydın</t>
  </si>
  <si>
    <t xml:space="preserve">Mustafa Koç</t>
  </si>
  <si>
    <t xml:space="preserve">Elif Yıldız</t>
  </si>
  <si>
    <t xml:space="preserve">Burak Arslan</t>
  </si>
  <si>
    <t xml:space="preserve">Merve Çetin</t>
  </si>
  <si>
    <t xml:space="preserve">Kemal Demir</t>
  </si>
  <si>
    <t xml:space="preserve">Selin Korkmaz</t>
  </si>
  <si>
    <t xml:space="preserve">Emre Şahin</t>
  </si>
  <si>
    <t xml:space="preserve">Gülay Öztürk</t>
  </si>
  <si>
    <t xml:space="preserve">Sarı hücreler manuel giriştir; her hücrenin açıklama notu vardır.</t>
  </si>
  <si>
    <t xml:space="preserve">GERCEK MALIYET — KAÇIRILAN SGK TEŞVİKLERİ &amp; GERÇEK İŞÇİLİK MALİYETİ ANALİZİ</t>
  </si>
  <si>
    <t xml:space="preserve">Gerçek İşçilik Maliyeti Hesapları</t>
  </si>
  <si>
    <t xml:space="preserve">İşveren yükü (SGK + işsizlik), kıdem karşılığı ve yan fayda brüt ücrete eklenir; sonuç çalışanın işletmeye gerçek aylık/yıllık maliyetidir.</t>
  </si>
  <si>
    <t xml:space="preserve">SGK İşveren Payı (₺)</t>
  </si>
  <si>
    <t xml:space="preserve">İşsizlik Payı (₺)</t>
  </si>
  <si>
    <t xml:space="preserve">Kıdem Karşılığı (₺)</t>
  </si>
  <si>
    <t xml:space="preserve">Yan Fayda (₺)</t>
  </si>
  <si>
    <t xml:space="preserve">Aylık Gerçek Maliyet (₺)</t>
  </si>
  <si>
    <t xml:space="preserve">Yıllık Gerçek Maliyet (₺)</t>
  </si>
  <si>
    <t xml:space="preserve">Yan fayda (yemek/yol) kişi başı aylık sabittir; AYARLAR sayfasından değişir.</t>
  </si>
  <si>
    <t xml:space="preserve">TESVIK SIMULATOR — KAÇIRILAN SGK TEŞVİKLERİ &amp; GERÇEK İŞÇİLİK MALİYETİ ANALİZİ</t>
  </si>
  <si>
    <t xml:space="preserve">SGK Teşvik Simülatörü</t>
  </si>
  <si>
    <t xml:space="preserve">Her satırda bir çalışan-teşvik çifti seçilir; aylık ve yıllık teşvik tutarı otomatik hesaplanır. Teşvike rağmen 'Kaçırılan: Evet' işaretlenenler analize girer.</t>
  </si>
  <si>
    <t xml:space="preserve">Teşvik Türü</t>
  </si>
  <si>
    <t xml:space="preserve">Aylık Teşvik (₺)</t>
  </si>
  <si>
    <t xml:space="preserve">Yıllık Teşvik (₺)</t>
  </si>
  <si>
    <t xml:space="preserve">Kaçırılan?</t>
  </si>
  <si>
    <t xml:space="preserve">5 Puan İndirimi</t>
  </si>
  <si>
    <t xml:space="preserve">İlave İstihdam</t>
  </si>
  <si>
    <t xml:space="preserve">Kadın/Genç</t>
  </si>
  <si>
    <t xml:space="preserve">Genç Girişimci</t>
  </si>
  <si>
    <t xml:space="preserve">Engelli</t>
  </si>
  <si>
    <t xml:space="preserve">İşveren Teşviki</t>
  </si>
  <si>
    <t xml:space="preserve">Teşvik oranları AYARLAR sayfasından beslenir; tür adları LISTELER'den gelir.</t>
  </si>
  <si>
    <t xml:space="preserve">MOTOR — KAÇIRILAN SGK TEŞVİKLERİ &amp; GERÇEK İŞÇİLİK MALİYETİ ANALİZİ</t>
  </si>
  <si>
    <t xml:space="preserve">Hesaplama Motoru</t>
  </si>
  <si>
    <t xml:space="preserve">A. Girdi Özeti</t>
  </si>
  <si>
    <t xml:space="preserve">Toplam Brüt Ücret (₺/ay)</t>
  </si>
  <si>
    <t xml:space="preserve">Çalışan Sayısı (adet)</t>
  </si>
  <si>
    <t xml:space="preserve">Toplam Prim Günü (gün/ay)</t>
  </si>
  <si>
    <t xml:space="preserve">Ortalama Brüt Ücret (₺/ay)</t>
  </si>
  <si>
    <t xml:space="preserve">Medyan Brüt Ücret (₺/ay)</t>
  </si>
  <si>
    <t xml:space="preserve">En Yüksek Brüt Ücret (₺/ay)</t>
  </si>
  <si>
    <t xml:space="preserve">En Düşük Brüt Ücret (₺/ay)</t>
  </si>
  <si>
    <t xml:space="preserve">Brüt Ücret Standart Sapması (₺)</t>
  </si>
  <si>
    <t xml:space="preserve">B. Aylık İşveren Yükü</t>
  </si>
  <si>
    <t xml:space="preserve">Toplam SGK İşveren Payı (₺/ay)</t>
  </si>
  <si>
    <t xml:space="preserve">Toplam İşsizlik Payı (₺/ay)</t>
  </si>
  <si>
    <t xml:space="preserve">Toplam Kıdem Karşılığı (₺/ay)</t>
  </si>
  <si>
    <t xml:space="preserve">Toplam Yan Fayda (₺/ay)</t>
  </si>
  <si>
    <t xml:space="preserve">Toplam İşveren Yükü (₺/ay)</t>
  </si>
  <si>
    <t xml:space="preserve">Aylık Gerçek İşçilik Maliyeti (₺)</t>
  </si>
  <si>
    <t xml:space="preserve">Çalışan Başı Aylık Maliyet (₺/çalışan)</t>
  </si>
  <si>
    <t xml:space="preserve">C. Yıllık Toplamlar</t>
  </si>
  <si>
    <t xml:space="preserve">Yıllık Brüt Ücret (₺)</t>
  </si>
  <si>
    <t xml:space="preserve">Yıllık İşveren Yükü (₺)</t>
  </si>
  <si>
    <t xml:space="preserve">Yıllık Gerçek İşçilik Maliyeti (₺)</t>
  </si>
  <si>
    <t xml:space="preserve">D. Teşvik Analizi</t>
  </si>
  <si>
    <t xml:space="preserve">Toplam Aylık Teşvik (₺)</t>
  </si>
  <si>
    <t xml:space="preserve">Toplam Yıllık Teşvik (₺)</t>
  </si>
  <si>
    <t xml:space="preserve">Kaçırılan Teşvik Aylık (₺)</t>
  </si>
  <si>
    <t xml:space="preserve">Kaçırılan Teşvik Yıllık (₺)</t>
  </si>
  <si>
    <t xml:space="preserve">Kullanılan Teşvik Yıllık (₺)</t>
  </si>
  <si>
    <t xml:space="preserve">Teşvik Kullanım Oranı</t>
  </si>
  <si>
    <t xml:space="preserve">Kaçırılan Teşvik Oranı</t>
  </si>
  <si>
    <t xml:space="preserve">Teşvikli Aylık Maliyet (₺)</t>
  </si>
  <si>
    <t xml:space="preserve">E. Oranlar</t>
  </si>
  <si>
    <t xml:space="preserve">İşveren Yükü Oranı</t>
  </si>
  <si>
    <t xml:space="preserve">Gerçek Saatlik Maliyet (₺)</t>
  </si>
  <si>
    <t xml:space="preserve">Çalışan Başı Yıllık Maliyet (₺)</t>
  </si>
  <si>
    <t xml:space="preserve">F. Modül Çıktıları ve Yorumlar</t>
  </si>
  <si>
    <t xml:space="preserve">Anomali Sayısı (adet) [O1]</t>
  </si>
  <si>
    <t xml:space="preserve">O1 Yorum</t>
  </si>
  <si>
    <t xml:space="preserve">Tornado Zirve Etkisi [O2]</t>
  </si>
  <si>
    <t xml:space="preserve">O2 Yorum</t>
  </si>
  <si>
    <t xml:space="preserve">Senaryo Baz Yıllık Maliyet (₺) [O3]</t>
  </si>
  <si>
    <t xml:space="preserve">O3 Yorum</t>
  </si>
  <si>
    <t xml:space="preserve">Veri Kalite Skoru (puan) [O8]</t>
  </si>
  <si>
    <t xml:space="preserve">O8 Yorum</t>
  </si>
  <si>
    <t xml:space="preserve">Sonraki Ay Tahmini (₺/ay) [I1]</t>
  </si>
  <si>
    <t xml:space="preserve">Tahmin Alt Sınırı (₺/ay)</t>
  </si>
  <si>
    <t xml:space="preserve">Tahmin Üst Sınırı (₺/ay)</t>
  </si>
  <si>
    <t xml:space="preserve">I1 Yorum</t>
  </si>
  <si>
    <t xml:space="preserve">P10 Brüt Ücret (₺/ay)</t>
  </si>
  <si>
    <t xml:space="preserve">P50 Brüt Ücret (₺/ay)</t>
  </si>
  <si>
    <t xml:space="preserve">P90 Brüt Ücret (₺/ay) [I2]</t>
  </si>
  <si>
    <t xml:space="preserve">I2 Yorum</t>
  </si>
  <si>
    <t xml:space="preserve">Aylık Geri Kazanım Hedefi (₺/ay) [I7]</t>
  </si>
  <si>
    <t xml:space="preserve">I7 Yorum</t>
  </si>
  <si>
    <t xml:space="preserve">İşveren Yükü Eşik Farkı [T6]</t>
  </si>
  <si>
    <t xml:space="preserve">T6 Yorum</t>
  </si>
  <si>
    <t xml:space="preserve">Motor değerlerinin tamamı formülle üretilir; sarı giriş hücrelerinden beslenir.</t>
  </si>
  <si>
    <t xml:space="preserve">KONTROL — KAÇIRILAN SGK TEŞVİKLERİ &amp; GERÇEK İŞÇİLİK MALİYETİ ANALİZİ</t>
  </si>
  <si>
    <t xml:space="preserve">Veri Kalitesi ve Sağlık Kontrolleri</t>
  </si>
  <si>
    <t xml:space="preserve">Firma unvanı dolu mu?</t>
  </si>
  <si>
    <t xml:space="preserve">Brüt ücretler 0'dan büyük mü?</t>
  </si>
  <si>
    <t xml:space="preserve">Prim günleri 1-30 arasında mı?</t>
  </si>
  <si>
    <t xml:space="preserve">En az bir çalışan var mı?</t>
  </si>
  <si>
    <t xml:space="preserve">En az bir teşvik satırı var mı?</t>
  </si>
  <si>
    <t xml:space="preserve">İşveren yükü oranı makul aralıkta mı?</t>
  </si>
  <si>
    <t xml:space="preserve">Kaçırılan teşvik eşiğin üzerinde mi?</t>
  </si>
  <si>
    <t xml:space="preserve">Aylık teşvik toplam brütü aşıyor mu?</t>
  </si>
  <si>
    <t xml:space="preserve">PASS sayısı</t>
  </si>
  <si>
    <t xml:space="preserve">FAIL sayısı</t>
  </si>
  <si>
    <t xml:space="preserve">Veri Kalite Skoru (0-100)</t>
  </si>
  <si>
    <t xml:space="preserve">Kalite Seviyesi</t>
  </si>
  <si>
    <t xml:space="preserve">Durum</t>
  </si>
  <si>
    <t xml:space="preserve">Tüm kontroller canlı formülle çalışır; sarı girişler değiştikçe güncellenir.</t>
  </si>
  <si>
    <t xml:space="preserve">KARAR — KAÇIRILAN SGK TEŞVİKLERİ &amp; GERÇEK İŞÇİLİK MALİYETİ ANALİZİ</t>
  </si>
  <si>
    <t xml:space="preserve">Karar Motoru</t>
  </si>
  <si>
    <t xml:space="preserve">Kaçırılan Teşvik (₺/yıl)</t>
  </si>
  <si>
    <t xml:space="preserve">Çalışan Başına Maliyet (₺/ay)</t>
  </si>
  <si>
    <t xml:space="preserve">Karar</t>
  </si>
  <si>
    <t xml:space="preserve">Gerekçe</t>
  </si>
  <si>
    <t xml:space="preserve">Karar; kaçırılan teşvik tutarı, çalışan başı maliyet ve teşvik kullanım oranı eşiklerine dayanır.</t>
  </si>
  <si>
    <t xml:space="preserve">PANO — KAÇIRILAN SGK TEŞVİKLERİ &amp; GERÇEK İŞÇİLİK MALİYETİ ANALİZİ</t>
  </si>
  <si>
    <t xml:space="preserve">Yönetici Özeti</t>
  </si>
  <si>
    <t xml:space="preserve">Teşviksiz Aylık Maliyet (₺)</t>
  </si>
  <si>
    <t xml:space="preserve">Çalışan Sayısı</t>
  </si>
  <si>
    <t xml:space="preserve">Çalışan Başı Aylık Maliyet (₺)</t>
  </si>
  <si>
    <t xml:space="preserve">Karar Gerekçesi</t>
  </si>
  <si>
    <t xml:space="preserve">Kritik İçgörüler</t>
  </si>
  <si>
    <t xml:space="preserve">Tahmin Aralığı</t>
  </si>
  <si>
    <t xml:space="preserve">Sonraki Ay Tahmini (₺)</t>
  </si>
  <si>
    <t xml:space="preserve">Tahmin Alt Sınırı (₺)</t>
  </si>
  <si>
    <t xml:space="preserve">Tahmin Üst Sınırı (₺)</t>
  </si>
  <si>
    <t xml:space="preserve">Teşvik ve Maliyet Dağılımı</t>
  </si>
  <si>
    <t xml:space="preserve">Maliyet ve Teşvik Karşılaştırması</t>
  </si>
  <si>
    <t xml:space="preserve">Tahmin Aralığı Grafiği</t>
  </si>
  <si>
    <t xml:space="preserve">Çalışan Ücret Yapısı</t>
  </si>
  <si>
    <t xml:space="preserve">Prim Günü Dağılımı</t>
  </si>
  <si>
    <t xml:space="preserve">Aylık Teşvik Karşılaştırması</t>
  </si>
  <si>
    <t xml:space="preserve">Pano değerlerinin tamamı formülle üretilir; sarı hücreler dışında değişiklik yapılmaz.</t>
  </si>
  <si>
    <t xml:space="preserve">SENARYO DUYARLILIK — KAÇIRILAN SGK TEŞVİKLERİ &amp; GERÇEK İŞÇİLİK MALİYETİ ANALİZİ</t>
  </si>
  <si>
    <t xml:space="preserve">Senaryo ve Duyarlılık Analizi</t>
  </si>
  <si>
    <t xml:space="preserve">A. SENARYO MOTORU</t>
  </si>
  <si>
    <t xml:space="preserve">Senaryo</t>
  </si>
  <si>
    <t xml:space="preserve">Toplam Brüt (₺)</t>
  </si>
  <si>
    <t xml:space="preserve">İşveren Yükü (₺)</t>
  </si>
  <si>
    <t xml:space="preserve">Yıllık Maliyet (₺)</t>
  </si>
  <si>
    <t xml:space="preserve">Kaçırılan Teşvik (₺)</t>
  </si>
  <si>
    <t xml:space="preserve">Çalışan Başı Maliyet (₺)</t>
  </si>
  <si>
    <t xml:space="preserve">Kötümser</t>
  </si>
  <si>
    <t xml:space="preserve">Baz</t>
  </si>
  <si>
    <t xml:space="preserve">İyimser</t>
  </si>
  <si>
    <t xml:space="preserve">B. TORNADO / DUYARLILIK</t>
  </si>
  <si>
    <t xml:space="preserve">Değişken</t>
  </si>
  <si>
    <t xml:space="preserve">Değişim (%)</t>
  </si>
  <si>
    <t xml:space="preserve">Değişim (₺)</t>
  </si>
  <si>
    <t xml:space="preserve">Etki (%)</t>
  </si>
  <si>
    <t xml:space="preserve">İşveren Payı Oranı</t>
  </si>
  <si>
    <t xml:space="preserve">Brüt Ücretler</t>
  </si>
  <si>
    <t xml:space="preserve">Teşvik Oranları</t>
  </si>
  <si>
    <t xml:space="preserve">C. EŞİK / KIRILIM ANALİZİ</t>
  </si>
  <si>
    <t xml:space="preserve">Senaryo ve duyarlılık hesapları AYARLAR'daki çarpanlara bağlıdır.</t>
  </si>
  <si>
    <t xml:space="preserve">RAPOR — KAÇIRILAN SGK TEŞVİKLERİ &amp; GERÇEK İŞÇİLİK MALİYETİ ANALİZİ</t>
  </si>
  <si>
    <t xml:space="preserve">İŞÇİLİK MALİYETİ VE SGK TEŞVİK RAPORU</t>
  </si>
  <si>
    <t xml:space="preserve">Sonuç Tablosu</t>
  </si>
  <si>
    <t xml:space="preserve">İşveren Yükü (SGK+İşsizlik+Kıdem) (₺/ay)</t>
  </si>
  <si>
    <t xml:space="preserve">Varsayımlar</t>
  </si>
  <si>
    <t xml:space="preserve">İşveren payı, işsizlik, kıdem karşılığı ve yan fayda tutarları AYARLAR sayfasındadır.</t>
  </si>
  <si>
    <t xml:space="preserve">Teşvik tutarları brüt ücret ile teşvik oranlarının çarpımıdır; yasal hak ediş koşulları doğrulanmalıdır.</t>
  </si>
  <si>
    <t xml:space="preserve">Önerilen Aksiyonlar</t>
  </si>
  <si>
    <t xml:space="preserve">Uyarılar</t>
  </si>
  <si>
    <t xml:space="preserve">Teşviklerden yararlanmak için SGK mevzuatındaki başvuru ve bildirim sürelerine uyulmalıdır.</t>
  </si>
  <si>
    <t xml:space="preserve">Bu rapor karar destek amaçlıdır; resmi SGK başvuruları için mali müşavir görüşü alınmalıdır.</t>
  </si>
  <si>
    <t xml:space="preserve">ExcelArşiv | Rev 1.0 | 2026-08-08</t>
  </si>
  <si>
    <t xml:space="preserve">ORNEK VERI — KAÇIRILAN SGK TEŞVİKLERİ &amp; GERÇEK İŞÇİLİK MALİYETİ ANALİZİ</t>
  </si>
  <si>
    <t xml:space="preserve">Örnek Veri ve İçe Aktarma Yapısı</t>
  </si>
  <si>
    <t xml:space="preserve">Bu sayfa otomasyon ve içe aktarma için yapıdır; çalışan ve teşvik satırlarını CSV/Excel'den kopyalayabilirsiniz.</t>
  </si>
  <si>
    <t xml:space="preserve">Örnek veri giriş sayfalarını beslemez; yapıyı gösterir.</t>
  </si>
  <si>
    <t xml:space="preserve">DEGISIKLIK KAYDI — KAÇIRILAN SGK TEŞVİKLERİ &amp; GERÇEK İŞÇİLİK MALİYETİ ANALİZİ</t>
  </si>
  <si>
    <t xml:space="preserve">Değişiklik Kaydı</t>
  </si>
  <si>
    <t xml:space="preserve">1.0</t>
  </si>
  <si>
    <t xml:space="preserve">08.08.2026</t>
  </si>
  <si>
    <t xml:space="preserve">İlk sürüm; SGK teşvik simülatörü ve gerçek işçilik maliyeti analizi eklendi.</t>
  </si>
  <si>
    <t xml:space="preserve">LISTELER — KAÇIRILAN SGK TEŞVİKLERİ &amp; GERÇEK İŞÇİLİK MALİYETİ ANALİZİ</t>
  </si>
  <si>
    <t xml:space="preserve">Doğrulama Listeleri</t>
  </si>
  <si>
    <t xml:space="preserve">Evet / Hayır</t>
  </si>
  <si>
    <t xml:space="preserve">Metin</t>
  </si>
  <si>
    <t xml:space="preserve">Teşvik oranları AYARLAR sayfasında; tür adları buradan beslenir.</t>
  </si>
  <si>
    <t xml:space="preserve">AYARLAR — KAÇIRILAN SGK TEŞVİKLERİ &amp; GERÇEK İŞÇİLİK MALİYETİ ANALİZİ</t>
  </si>
  <si>
    <t xml:space="preserve">Ayarlar ve Eşikler (Formüle Sabit Sayı Girilmez)</t>
  </si>
  <si>
    <t xml:space="preserve">Grup</t>
  </si>
  <si>
    <t xml:space="preserve">Anahtar</t>
  </si>
  <si>
    <t xml:space="preserve">Değer</t>
  </si>
  <si>
    <t xml:space="preserve">Birim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</si>
  <si>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</si>
  <si>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</si>
  <si>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</si>
  <si>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</si>
  <si>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</si>
  <si>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raporTarihi</t>
  </si>
  <si>
    <t xml:space="preserve">Tarih</t>
  </si>
  <si>
    <t xml:space="preserve">Rapor tarihi</t>
  </si>
  <si>
    <t xml:space="preserve">Sistem</t>
  </si>
  <si>
    <t xml:space="preserve">01.01.2026</t>
  </si>
  <si>
    <t xml:space="preserve">Maliyet</t>
  </si>
  <si>
    <t xml:space="preserve">IsverenPayiOrani</t>
  </si>
  <si>
    <t xml:space="preserve">Oran</t>
  </si>
  <si>
    <t xml:space="preserve">SGK işveren payı oranı</t>
  </si>
  <si>
    <t xml:space="preserve">5510 s.K. md.81 (SGK)</t>
  </si>
  <si>
    <t xml:space="preserve">IssizlikOrani</t>
  </si>
  <si>
    <t xml:space="preserve">İşsizlik sigortası işveren payı</t>
  </si>
  <si>
    <t xml:space="preserve">4447 s.K. md.49 (İŞKUR)</t>
  </si>
  <si>
    <t xml:space="preserve">KidemKarsilikOrani</t>
  </si>
  <si>
    <t xml:space="preserve">Aylık kıdem tazminatı karşılığı oranı</t>
  </si>
  <si>
    <t xml:space="preserve">Varsayım</t>
  </si>
  <si>
    <t xml:space="preserve">YanFayda</t>
  </si>
  <si>
    <t xml:space="preserve">₺/ay</t>
  </si>
  <si>
    <t xml:space="preserve">Kişi başı aylık yan fayda (yemek/yol)</t>
  </si>
  <si>
    <t xml:space="preserve">AySayisi</t>
  </si>
  <si>
    <t xml:space="preserve">Adet</t>
  </si>
  <si>
    <t xml:space="preserve">Yıllık hesaplama ay sayısı</t>
  </si>
  <si>
    <t xml:space="preserve">AylikCalismaSaati</t>
  </si>
  <si>
    <t xml:space="preserve">Saat/ay</t>
  </si>
  <si>
    <t xml:space="preserve">Aylık çalışma saati</t>
  </si>
  <si>
    <t xml:space="preserve">Teşvik</t>
  </si>
  <si>
    <t xml:space="preserve">BesPuanOrani</t>
  </si>
  <si>
    <t xml:space="preserve">5 puan prim indirimi teşvik oranı</t>
  </si>
  <si>
    <t xml:space="preserve">IlaveIstihdamOrani</t>
  </si>
  <si>
    <t xml:space="preserve">İlave istihdam teşviki destek oranı</t>
  </si>
  <si>
    <t xml:space="preserve">4447 s.K. geç.10 (SGK)</t>
  </si>
  <si>
    <t xml:space="preserve">KadinGencOrani</t>
  </si>
  <si>
    <t xml:space="preserve">Kadın/genç/mesleki belgeli teşvik oranı</t>
  </si>
  <si>
    <t xml:space="preserve">EngelliOrani</t>
  </si>
  <si>
    <t xml:space="preserve">Engelli istihdam teşvik oranı</t>
  </si>
  <si>
    <t xml:space="preserve">4857 s.K. md.30 (SGK)</t>
  </si>
  <si>
    <t xml:space="preserve">GencGirisimciOrani</t>
  </si>
  <si>
    <t xml:space="preserve">Genç girişimci istisnası oranı</t>
  </si>
  <si>
    <t xml:space="preserve">5510 s.K. geç.28 (SGK)</t>
  </si>
  <si>
    <t xml:space="preserve">Eşik</t>
  </si>
  <si>
    <t xml:space="preserve">KacirilanTesvikEsik</t>
  </si>
  <si>
    <t xml:space="preserve">₺/yıl</t>
  </si>
  <si>
    <t xml:space="preserve">Kaçırılan teşvik uyarı eşiği</t>
  </si>
  <si>
    <t xml:space="preserve">MaliyetEsik</t>
  </si>
  <si>
    <t xml:space="preserve">Çalışan başı aylık maliyet eşiği</t>
  </si>
  <si>
    <t xml:space="preserve">KullanimOranEsik</t>
  </si>
  <si>
    <t xml:space="preserve">Teşvik kullanım oranı alt eşiği</t>
  </si>
  <si>
    <t xml:space="preserve">YukOranAltEsik</t>
  </si>
  <si>
    <t xml:space="preserve">İşveren yükü oranı makul alt sınırı</t>
  </si>
  <si>
    <t xml:space="preserve">YukOranUstEsik</t>
  </si>
  <si>
    <t xml:space="preserve">İşveren yükü oranı makul üst sınırı</t>
  </si>
  <si>
    <t xml:space="preserve">YukTutarlilikTolerans</t>
  </si>
  <si>
    <t xml:space="preserve">Maliyet/brüt tutarlılık toleransı</t>
  </si>
  <si>
    <t xml:space="preserve">YukOranKararEsik</t>
  </si>
  <si>
    <t xml:space="preserve">İşveren yükü karar eşiği</t>
  </si>
  <si>
    <t xml:space="preserve">VeriKaliteIyiEsik</t>
  </si>
  <si>
    <t xml:space="preserve">Puan</t>
  </si>
  <si>
    <t xml:space="preserve">Kalite skoru iyi eşiği</t>
  </si>
  <si>
    <t xml:space="preserve">VeriKaliteOrtaEsik</t>
  </si>
  <si>
    <t xml:space="preserve">Kalite skoru orta eşiği</t>
  </si>
  <si>
    <t xml:space="preserve">VeriKaliteUyariCeza</t>
  </si>
  <si>
    <t xml:space="preserve">Her WARN için skor cezası</t>
  </si>
  <si>
    <t xml:space="preserve">SenaryoKotumserKat</t>
  </si>
  <si>
    <t xml:space="preserve">Kötümser senaryo çarpanı</t>
  </si>
  <si>
    <t xml:space="preserve">SenaryoIyimserKat</t>
  </si>
  <si>
    <t xml:space="preserve">İyimser senaryo çarpanı</t>
  </si>
  <si>
    <t xml:space="preserve">Duyarlılık</t>
  </si>
  <si>
    <t xml:space="preserve">DuyarliDegisim</t>
  </si>
  <si>
    <t xml:space="preserve">Tornado analizinde değişim oranı</t>
  </si>
  <si>
    <t xml:space="preserve">Dağılım</t>
  </si>
  <si>
    <t xml:space="preserve">P10Katsayi</t>
  </si>
  <si>
    <t xml:space="preserve">Katsayı</t>
  </si>
  <si>
    <t xml:space="preserve">P10 yüzdelik katsayısı</t>
  </si>
  <si>
    <t xml:space="preserve">P50Katsayi</t>
  </si>
  <si>
    <t xml:space="preserve">P50 yüzdelik katsayısı</t>
  </si>
  <si>
    <t xml:space="preserve">P90Katsayi</t>
  </si>
  <si>
    <t xml:space="preserve">P90 yüzdelik katsayısı</t>
  </si>
  <si>
    <t xml:space="preserve">Tahmin</t>
  </si>
  <si>
    <t xml:space="preserve">TahminGuvenKatsayisi</t>
  </si>
  <si>
    <t xml:space="preserve">Tahmin güven aralığı katsayısı</t>
  </si>
  <si>
    <t xml:space="preserve">Anomali</t>
  </si>
  <si>
    <t xml:space="preserve">AnomaliEsikKat</t>
  </si>
  <si>
    <t xml:space="preserve">Kat</t>
  </si>
  <si>
    <t xml:space="preserve">Anomali tespiti eşik katı</t>
  </si>
  <si>
    <t xml:space="preserve">Nakit</t>
  </si>
  <si>
    <t xml:space="preserve">GeriKazanimHedefAy</t>
  </si>
  <si>
    <t xml:space="preserve">Ay</t>
  </si>
  <si>
    <t xml:space="preserve">Kaçırılan teşvik geri kazanım hedef ayı</t>
  </si>
  <si>
    <t xml:space="preserve">Not: raporTarihi dışında volatil fonksiyon kullanılmaz.</t>
  </si>
  <si>
    <t xml:space="preserve">Gelişmiş ayarlar; ana kullanıcı değiştirmez.</t>
  </si>
  <si>
    <t xml:space="preserve">KILAVUZ — KAÇIRILAN SGK TEŞVİKLERİ &amp; GERÇEK İŞÇİLİK MALİYETİ ANALİZİ</t>
  </si>
  <si>
    <t xml:space="preserve">Kullanım Kılavuzu</t>
  </si>
  <si>
    <t xml:space="preserve">Adım 1 — AYARLAR</t>
  </si>
  <si>
    <t xml:space="preserve">İşveren payı, işsizlik, kıdem karşılığı oranları ve teşvik oranlarını kontrol edin. Oranlar güncel SGK mevzuatına göre mali müşavirinizle teyit edilmelidir.</t>
  </si>
  <si>
    <t xml:space="preserve">Adım 2 — CALISAN_KARTI</t>
  </si>
  <si>
    <t xml:space="preserve">Firma bilgilerini ve tüm çalışanları brüt ücret, prim günü ve teşvik uygunluğuyla girin. Teşvik aktifse 'Teşvik Aktif' Evet işaretlenir.</t>
  </si>
  <si>
    <t xml:space="preserve">Adım 3 — GERCEK_MALIYET</t>
  </si>
  <si>
    <t xml:space="preserve">Çalışan adını girdiğinizde işveren payı, işsizlik, kıdem karşılığı ve yan fayda otomatik hesaplanır; aylık/yıllık gerçek maliyet çıkar.</t>
  </si>
  <si>
    <t xml:space="preserve">Adım 4 — TESVIK_SIMULATOR</t>
  </si>
  <si>
    <t xml:space="preserve">Her çalışan için uygulanabilir teşvik türünü seçin. Teşvikten yararlanılmıyorsa 'Kaçırılan' Evet işaretlenir; tutar analize girer.</t>
  </si>
  <si>
    <t xml:space="preserve">Adım 5 — PANO ve KARAR</t>
  </si>
  <si>
    <t xml:space="preserve">Yönetici özetinde maliyet, kaçırılan teşvik ve kullanım oranı görülür; karar motoru UYGUN/İNCELE/DURDUR üretir.</t>
  </si>
  <si>
    <t xml:space="preserve">Adım 6 — RAPOR</t>
  </si>
  <si>
    <t xml:space="preserve">Yazdırılabilir rapor yönetici sunumuna hazırdır; varsayımlar ve uyarılar içerir.</t>
  </si>
  <si>
    <t xml:space="preserve">Teşvik türleri özeti</t>
  </si>
  <si>
    <t xml:space="preserve">5 Puan İndirimi: 5510 sayılı Kanun 81. madde gereği işveren payında 5 puanlık indirim.</t>
  </si>
  <si>
    <t xml:space="preserve">İlave İstihdam: 2024-2026 döneminde yeni işe alınanlar için işveren payı desteği.</t>
  </si>
  <si>
    <t xml:space="preserve">Kadın/Genç: 4447 sayılı Kanun geçici 10. madde kapsamında kadın, genç ve mesleki belgeli istihdam teşviki.</t>
  </si>
  <si>
    <t xml:space="preserve">Engelli: Engelli çalışan istihdamında işveren payı desteği.</t>
  </si>
  <si>
    <t xml:space="preserve">Genç Girişimci: Genç girişimcilerde belirli süre sigorta primi işveren payı istisnası.</t>
  </si>
  <si>
    <t xml:space="preserve">Varsayım parametreleri</t>
  </si>
  <si>
    <t xml:space="preserve">KidemKarsilikOrani (%8,33/ay) — yasal kıdem tazminatı katsayısı üzerinden aylık karşılık varsayımı.</t>
  </si>
  <si>
    <t xml:space="preserve">YanFayda (₺3.000/ay/kişi) — yemek/yol/yan hak ortalaması; fiili tutara göre güncellenmelidir.</t>
  </si>
  <si>
    <t xml:space="preserve">AylikCalismaSaati (180 saat/ay) — sektör ortalaması varsayımı.</t>
  </si>
  <si>
    <t xml:space="preserve">Teşvik oranları ile eşik değerleri mevzuata dayanır; kaynakları AYARLAR sayfasında yazılıdır.</t>
  </si>
  <si>
    <t xml:space="preserve">Tahmin aralığı; çalışan ücret dağılımının standart sapmasına dayanır, maliyet garantisi değildir.</t>
  </si>
  <si>
    <t xml:space="preserve">Karar kuralları</t>
  </si>
  <si>
    <t xml:space="preserve">UYGUN: Kaçırılan teşvik eşiğin altında, çalışan başı maliyet eşiğin altında ve teşvik kullanım oranı eşiğin üzerinde.</t>
  </si>
  <si>
    <t xml:space="preserve">İNCELE: Çalışan başı maliyet veya teşvik kullanım oranı eşik sınırında; KARAR gerekçesini okuyun.</t>
  </si>
  <si>
    <t xml:space="preserve">DURDUR: Yıllık kaçırılan teşvik tutarı eşiğin üzerinde; SGK başvuru süreçlerini başlatın.</t>
  </si>
  <si>
    <t xml:space="preserve">VERİ YOK: Girdi eksik; sarı hücreleri doldurun. Dosya eksik veride asla 'UYGUN' demez.</t>
  </si>
  <si>
    <t xml:space="preserve">Sayfa haritası</t>
  </si>
  <si>
    <t xml:space="preserve">KAPAK</t>
  </si>
  <si>
    <t xml:space="preserve">Ürün tanıtımı ve başlangıç yönlendirmesi</t>
  </si>
  <si>
    <t xml:space="preserve">HIZLI_BASLANGIC</t>
  </si>
  <si>
    <t xml:space="preserve">3 adımda kullanım ve sık yapılan hatalar</t>
  </si>
  <si>
    <t xml:space="preserve">CALISAN_KARTI</t>
  </si>
  <si>
    <t xml:space="preserve">Çalışan bilgileri ve brüt ücret girişi</t>
  </si>
  <si>
    <t xml:space="preserve">GERCEK_MALIYET</t>
  </si>
  <si>
    <t xml:space="preserve">Gerçek işçilik maliyeti tablosu</t>
  </si>
  <si>
    <t xml:space="preserve">TESVIK_SIMULATOR</t>
  </si>
  <si>
    <t xml:space="preserve">Teşvik seçimi ve kaçırılan işareti</t>
  </si>
  <si>
    <t xml:space="preserve">MOTOR</t>
  </si>
  <si>
    <t xml:space="preserve">Hesaplama motoru ve analitik modüller</t>
  </si>
  <si>
    <t xml:space="preserve">KONTROL</t>
  </si>
  <si>
    <t xml:space="preserve">Veri kalitesi ve sağlık kontrolleri</t>
  </si>
  <si>
    <t xml:space="preserve">KARAR</t>
  </si>
  <si>
    <t xml:space="preserve">Karar, gerekçe ve aksiyon önerileri</t>
  </si>
  <si>
    <t xml:space="preserve">PANO</t>
  </si>
  <si>
    <t xml:space="preserve">Yönetici özeti, KPI ve grafikler</t>
  </si>
  <si>
    <t xml:space="preserve">SENARYO_DUYARLILIK</t>
  </si>
  <si>
    <t xml:space="preserve">Senaryo ve tornado duyarlılık</t>
  </si>
  <si>
    <t xml:space="preserve">RAPOR</t>
  </si>
  <si>
    <t xml:space="preserve">Yazdırılabilir yönetici raporu</t>
  </si>
  <si>
    <t xml:space="preserve">ORNEK_VERI</t>
  </si>
  <si>
    <t xml:space="preserve">Örnek veri ve içe aktarma yapısı</t>
  </si>
  <si>
    <t xml:space="preserve">DEGISIKLIK_KAYDI</t>
  </si>
  <si>
    <t xml:space="preserve">Değişiklik geçmişi</t>
  </si>
  <si>
    <t xml:space="preserve">LISTELER</t>
  </si>
  <si>
    <t xml:space="preserve">Açılır liste kaynakları</t>
  </si>
  <si>
    <t xml:space="preserve">AYARLAR</t>
  </si>
  <si>
    <t xml:space="preserve">Oranlar, eşikler ve kaynakları</t>
  </si>
  <si>
    <t xml:space="preserve">KILAVUZ</t>
  </si>
  <si>
    <t xml:space="preserve">Bu kullanım kılavuzu</t>
  </si>
  <si>
    <t xml:space="preserve">Sık sorulan sorular</t>
  </si>
  <si>
    <t xml:space="preserve">Dosya şifresi nedir? — Tüm sayfalar 1234 şifresiyle korumalıdır; sarı hücreler (giriş) açıktır.</t>
  </si>
  <si>
    <t xml:space="preserve">Verilerim dışarı çıkar mı? — Hayır. Dosya tamamen çevrimdışıdır; makro, dış bağlantı ve telemetri yoktur. Verileriniz cihazınızdan çıkmaz.</t>
  </si>
  <si>
    <t xml:space="preserve">Teşvik oranları güncel mi? — Oranlar üretim tarihi itibarıyla günceldir; kaynağı AYARLAR'da yazılıdır ve güncellenebilir.</t>
  </si>
  <si>
    <t xml:space="preserve">Örnek veriyi nasıl kullanırım? — ORNEK_VERI sayfasındaki satırları ilgili giriş sayfalarına kopyalayabilirsiniz.</t>
  </si>
  <si>
    <t xml:space="preserve">Güvenlik ve koruma</t>
  </si>
  <si>
    <t xml:space="preserve">Formül ve başlık hücreleri kilitlidir; yalnızca açık sarı giriş hücrelerine veri girilir.</t>
  </si>
  <si>
    <t xml:space="preserve">Kritik yapı hücreleri 1234 şifresiyle korunur; kaldırılırsa hesaplama bütünlüğü bozulur.</t>
  </si>
  <si>
    <t xml:space="preserve">Ortam ve uyumluluk</t>
  </si>
  <si>
    <t xml:space="preserve">Excel 2016 / 2019 / 2021 / 365 (Windows): Tam destek — dosya bu ortamda üretilmiş ve doğrulanmıştır.</t>
  </si>
  <si>
    <t xml:space="preserve">Excel for Mac: Tam destek — formül seti iki platformda da standarttır.</t>
  </si>
  <si>
    <t xml:space="preserve">LibreOffice Calc: Desteklenir — denetim sürecinde LibreOffice motoruyla yeniden hesaplanmıştır.</t>
  </si>
  <si>
    <t xml:space="preserve">Google Sheets: Desteklenmez — koşullu biçimlendirme ve koruma tam taşınmaz; Excel'de kullanınız.</t>
  </si>
  <si>
    <t xml:space="preserve">Gizlilik ve KVKK</t>
  </si>
  <si>
    <t xml:space="preserve">Dosya tamamen çevrimdışı çalışır: dış bağlantı, web eklentisi, telemetri ve makro yoktur.</t>
  </si>
  <si>
    <t xml:space="preserve">Çalışan ve maaş bilgileri bu dosyadan asla dışarı çıkmaz; veriler yalnızca cihazınızda işlenir.</t>
  </si>
  <si>
    <t xml:space="preserve">Bulut tabanlı rakiplerin aksine verileriniz kimseyle paylaşılmaz; bu dosya KVKK uyumlu çalışır.</t>
  </si>
  <si>
    <t xml:space="preserve">Bu araç karar destek amaçlıdır; SGK danışmanlığı yerine geçmez.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</si>
</sst>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₺ &quot;#,##0;[RED]&quot;(₺ &quot;#,##0\);\-"/>
    <numFmt numFmtId="166" formatCode="#,##0"/>
    <numFmt numFmtId="167" formatCode="0.0%;[RED]\(0.0%\);\-"/>
    <numFmt numFmtId="168" formatCode="dd/mm/yy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Arial"/>
      <family val="2"/>
    </font>
    <font>
      <b val="true"/>
      <sz val="11"/>
      <color rgb="FF1F4E79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sz val="12"/>
      <color rgb="FF006100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595959"/>
      <name val="Segoe UI"/>
      <family val="0"/>
      <charset val="1"/>
    </font>
    <font>
      <b val="true"/>
      <sz val="12"/>
      <color rgb="FF1F4E79"/>
      <name val="Segoe UI"/>
      <family val="0"/>
      <charset val="1"/>
    </font>
    <font>
      <b val="true"/>
      <sz val="10"/>
      <color rgb="FFB3261E"/>
      <name val="Segoe UI"/>
      <family val="0"/>
      <charset val="1"/>
    </font>
    <font>
      <b val="true"/>
      <sz val="11"/>
      <color rgb="FFB3261E"/>
      <name val="Segoe UI"/>
      <family val="0"/>
      <charset val="1"/>
    </font>
    <font>
      <sz val="10"/>
      <color rgb="FF555555"/>
      <name val="Segoe UI"/>
      <family val="0"/>
      <charset val="1"/>
    </font>
    <font>
      <b val="true"/>
      <sz val="10"/>
      <color rgb="FF333333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D9EAD3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3" borderId="0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F99"/>
      <rgbColor rgb="FF99CCFF"/>
      <rgbColor rgb="FFFF99CC"/>
      <rgbColor rgb="FFCC99FF"/>
      <rgbColor rgb="FFF4CCCC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F2742"/>
      <rgbColor rgb="FF4F81BD"/>
      <rgbColor rgb="FF003300"/>
      <rgbColor rgb="FF555555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Teşvik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TESVIK_SIMULATOR!D5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TESVIK_SIMULATOR!$B$6:$B$11</c:f>
              <c:strCache>
                <c:ptCount val="6"/>
                <c:pt idx="0">
                  <c:v>Teşvik Türü</c:v>
                </c:pt>
                <c:pt idx="1">
                  <c:v>5 Puan İndirimi</c:v>
                </c:pt>
                <c:pt idx="2">
                  <c:v>İlave İstihdam</c:v>
                </c:pt>
                <c:pt idx="3">
                  <c:v>Kadın/Genç</c:v>
                </c:pt>
                <c:pt idx="4">
                  <c:v>Genç Girişimci</c:v>
                </c:pt>
                <c:pt idx="5">
                  <c:v>Engelli</c:v>
                </c:pt>
              </c:strCache>
            </c:strRef>
          </c:cat>
          <c:val>
            <c:numRef>
              <c:f>TESVIK_SIMULATOR!$D$6:$D$11</c:f>
              <c:numCache>
                <c:formatCode>"₺ "#,##0;[RED]"(₺ "#,##0\);\-</c:formatCode>
                <c:ptCount val="6"/>
                <c:pt idx="1">
                  <c:v>21000</c:v>
                </c:pt>
                <c:pt idx="2">
                  <c:v>73080</c:v>
                </c:pt>
                <c:pt idx="3">
                  <c:v>20160</c:v>
                </c:pt>
                <c:pt idx="4">
                  <c:v>102600</c:v>
                </c:pt>
                <c:pt idx="5">
                  <c:v>74400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Teşvikli vs Teşviksiz Aylık Maliyet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PANO!$A$7:$A$8</c:f>
              <c:strCache>
                <c:ptCount val="2"/>
                <c:pt idx="0">
                  <c:v>Teşvikli Aylık Maliyet (₺)</c:v>
                </c:pt>
                <c:pt idx="1">
                  <c:v>Teşviksiz Aylık Maliyet (₺)</c:v>
                </c:pt>
              </c:strCache>
            </c:strRef>
          </c:cat>
          <c:val>
            <c:numRef>
              <c:f>PANO!$B$7:$B$8</c:f>
              <c:numCache>
                <c:formatCode>"₺ "#,##0;[RED]"(₺ "#,##0\);\-</c:formatCode>
                <c:ptCount val="2"/>
                <c:pt idx="0">
                  <c:v>603992</c:v>
                </c:pt>
                <c:pt idx="1">
                  <c:v>671292</c:v>
                </c:pt>
              </c:numCache>
            </c:numRef>
          </c:val>
        </c:ser>
        <c:gapWidth val="150"/>
        <c:overlap val="0"/>
        <c:axId val="23041091"/>
        <c:axId val="86639667"/>
      </c:barChart>
      <c:catAx>
        <c:axId val="230410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639667"/>
        <c:crosses val="autoZero"/>
        <c:auto val="1"/>
        <c:lblAlgn val="ctr"/>
        <c:lblOffset val="100"/>
        <c:noMultiLvlLbl val="0"/>
      </c:catAx>
      <c:valAx>
        <c:axId val="86639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0410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Sonraki Ay Tahmin Aralığı (₺/ay)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PANO!$A$24:$A$26</c:f>
              <c:strCache>
                <c:ptCount val="3"/>
                <c:pt idx="0">
                  <c:v>Sonraki Ay Tahmini (₺)</c:v>
                </c:pt>
                <c:pt idx="1">
                  <c:v>Tahmin Alt Sınırı (₺)</c:v>
                </c:pt>
                <c:pt idx="2">
                  <c:v>Tahmin Üst Sınırı (₺)</c:v>
                </c:pt>
              </c:strCache>
            </c:strRef>
          </c:cat>
          <c:val>
            <c:numRef>
              <c:f>PANO!$B$24:$B$26</c:f>
              <c:numCache>
                <c:formatCode>"₺ "#,##0;[RED]"(₺ "#,##0\);\-</c:formatCode>
                <c:ptCount val="3"/>
                <c:pt idx="0">
                  <c:v>671292</c:v>
                </c:pt>
                <c:pt idx="1">
                  <c:v>671292</c:v>
                </c:pt>
                <c:pt idx="2">
                  <c:v>671292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990253"/>
        <c:axId val="28227667"/>
      </c:lineChart>
      <c:catAx>
        <c:axId val="209902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227667"/>
        <c:crosses val="autoZero"/>
        <c:auto val="1"/>
        <c:lblAlgn val="ctr"/>
        <c:lblOffset val="100"/>
        <c:noMultiLvlLbl val="0"/>
      </c:catAx>
      <c:valAx>
        <c:axId val="28227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9902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Brüt Ücretler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CALISAN_KARTI!B10</c:f>
              <c:strCache>
                <c:ptCount val="1"/>
                <c:pt idx="0">
                  <c:v>Brüt Ücret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CALISAN_KARTI!$A$11:$A$15</c:f>
              <c:strCache>
                <c:ptCount val="5"/>
                <c:pt idx="0">
                  <c:v>Ali Yılmaz</c:v>
                </c:pt>
                <c:pt idx="1">
                  <c:v>Ayşe Demir</c:v>
                </c:pt>
                <c:pt idx="2">
                  <c:v>Mehmet Kaya</c:v>
                </c:pt>
                <c:pt idx="3">
                  <c:v>Zeynep Şahin</c:v>
                </c:pt>
                <c:pt idx="4">
                  <c:v>Hasan Çelik</c:v>
                </c:pt>
              </c:strCache>
            </c:strRef>
          </c:cat>
          <c:val>
            <c:numRef>
              <c:f>CALISAN_KARTI!$B$11:$B$15</c:f>
              <c:numCache>
                <c:formatCode>"₺ "#,##0;[RED]"(₺ "#,##0\);\-</c:formatCode>
                <c:ptCount val="5"/>
                <c:pt idx="0">
                  <c:v>35000</c:v>
                </c:pt>
                <c:pt idx="1">
                  <c:v>42000</c:v>
                </c:pt>
                <c:pt idx="2">
                  <c:v>28000</c:v>
                </c:pt>
                <c:pt idx="3">
                  <c:v>38000</c:v>
                </c:pt>
                <c:pt idx="4">
                  <c:v>31000</c:v>
                </c:pt>
              </c:numCache>
            </c:numRef>
          </c:val>
        </c:ser>
        <c:gapWidth val="150"/>
        <c:overlap val="0"/>
        <c:axId val="84500842"/>
        <c:axId val="7929448"/>
      </c:barChart>
      <c:catAx>
        <c:axId val="84500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29448"/>
        <c:crosses val="autoZero"/>
        <c:auto val="1"/>
        <c:lblAlgn val="ctr"/>
        <c:lblOffset val="100"/>
        <c:noMultiLvlLbl val="0"/>
      </c:catAx>
      <c:valAx>
        <c:axId val="7929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50084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Prim Günleri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CALISAN_KARTI!C10</c:f>
              <c:strCache>
                <c:ptCount val="1"/>
                <c:pt idx="0">
                  <c:v>Prim Günü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CALISAN_KARTI!$A$11:$A$15</c:f>
              <c:strCache>
                <c:ptCount val="5"/>
                <c:pt idx="0">
                  <c:v>Ali Yılmaz</c:v>
                </c:pt>
                <c:pt idx="1">
                  <c:v>Ayşe Demir</c:v>
                </c:pt>
                <c:pt idx="2">
                  <c:v>Mehmet Kaya</c:v>
                </c:pt>
                <c:pt idx="3">
                  <c:v>Zeynep Şahin</c:v>
                </c:pt>
                <c:pt idx="4">
                  <c:v>Hasan Çelik</c:v>
                </c:pt>
              </c:strCache>
            </c:strRef>
          </c:cat>
          <c:val>
            <c:numRef>
              <c:f>CALISAN_KARTI!$C$11:$C$15</c:f>
              <c:numCache>
                <c:formatCode>#,##0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Teşvik Tutarları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TESVIK_SIMULATOR!D6</c:f>
              <c:strCache>
                <c:ptCount val="1"/>
                <c:pt idx="0">
                  <c:v>Yıllık Teşvik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TESVIK_SIMULATOR!$A$7:$A$11</c:f>
              <c:strCache>
                <c:ptCount val="5"/>
                <c:pt idx="0">
                  <c:v>Ali Yılmaz</c:v>
                </c:pt>
                <c:pt idx="1">
                  <c:v>Ayşe Demir</c:v>
                </c:pt>
                <c:pt idx="2">
                  <c:v>Mehmet Kaya</c:v>
                </c:pt>
                <c:pt idx="3">
                  <c:v>Zeynep Şahin</c:v>
                </c:pt>
                <c:pt idx="4">
                  <c:v>Hasan Çelik</c:v>
                </c:pt>
              </c:strCache>
            </c:strRef>
          </c:cat>
          <c:val>
            <c:numRef>
              <c:f>TESVIK_SIMULATOR!$D$7:$D$11</c:f>
              <c:numCache>
                <c:formatCode>"₺ "#,##0;[RED]"(₺ "#,##0\);\-</c:formatCode>
                <c:ptCount val="5"/>
                <c:pt idx="0">
                  <c:v>21000</c:v>
                </c:pt>
                <c:pt idx="1">
                  <c:v>73080</c:v>
                </c:pt>
                <c:pt idx="2">
                  <c:v>20160</c:v>
                </c:pt>
                <c:pt idx="3">
                  <c:v>102600</c:v>
                </c:pt>
                <c:pt idx="4">
                  <c:v>74400</c:v>
                </c:pt>
              </c:numCache>
            </c:numRef>
          </c:val>
        </c:ser>
        <c:gapWidth val="150"/>
        <c:overlap val="0"/>
        <c:axId val="97150575"/>
        <c:axId val="1668656"/>
      </c:barChart>
      <c:catAx>
        <c:axId val="9715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8656"/>
        <c:crosses val="autoZero"/>
        <c:auto val="1"/>
        <c:lblAlgn val="ctr"/>
        <c:lblOffset val="100"/>
        <c:noMultiLvlLbl val="0"/>
      </c:catAx>
      <c:valAx>
        <c:axId val="1668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15057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Teşvik Oranları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MOTOR!$A$35:$A$36</c:f>
              <c:strCache>
                <c:ptCount val="2"/>
                <c:pt idx="0">
                  <c:v>Teşvik Kullanım Oranı</c:v>
                </c:pt>
                <c:pt idx="1">
                  <c:v>Kaçırılan Teşvik Oranı</c:v>
                </c:pt>
              </c:strCache>
            </c:strRef>
          </c:cat>
          <c:val>
            <c:numRef>
              <c:f>MOTOR!$B$35:$B$36</c:f>
              <c:numCache>
                <c:formatCode>0.0%;[RED]\(0.0%\);\-</c:formatCode>
                <c:ptCount val="2"/>
                <c:pt idx="0">
                  <c:v>0.100254434731831</c:v>
                </c:pt>
                <c:pt idx="1">
                  <c:v>0.0429470334817039</c:v>
                </c:pt>
              </c:numCache>
            </c:numRef>
          </c:val>
        </c:ser>
        <c:gapWidth val="150"/>
        <c:overlap val="0"/>
        <c:axId val="85186517"/>
        <c:axId val="78869455"/>
      </c:barChart>
      <c:catAx>
        <c:axId val="85186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869455"/>
        <c:crosses val="autoZero"/>
        <c:auto val="1"/>
        <c:lblAlgn val="ctr"/>
        <c:lblOffset val="100"/>
        <c:noMultiLvlLbl val="0"/>
      </c:catAx>
      <c:valAx>
        <c:axId val="78869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186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İşveren Yükü Bileşenleri (₺/ay)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MOTOR!$A$16:$A$19</c:f>
              <c:strCache>
                <c:ptCount val="4"/>
                <c:pt idx="0">
                  <c:v>Toplam SGK İşveren Payı (₺/ay)</c:v>
                </c:pt>
                <c:pt idx="1">
                  <c:v>Toplam İşsizlik Payı (₺/ay)</c:v>
                </c:pt>
                <c:pt idx="2">
                  <c:v>Toplam Kıdem Karşılığı (₺/ay)</c:v>
                </c:pt>
                <c:pt idx="3">
                  <c:v>Toplam Yan Fayda (₺/ay)</c:v>
                </c:pt>
              </c:strCache>
            </c:strRef>
          </c:cat>
          <c:val>
            <c:numRef>
              <c:f>MOTOR!$B$16:$B$19</c:f>
              <c:numCache>
                <c:formatCode>"₺ "#,##0;[RED]"(₺ "#,##0\);\-</c:formatCode>
                <c:ptCount val="4"/>
                <c:pt idx="0">
                  <c:v>98605</c:v>
                </c:pt>
                <c:pt idx="1">
                  <c:v>9620</c:v>
                </c:pt>
                <c:pt idx="2">
                  <c:v>40067</c:v>
                </c:pt>
                <c:pt idx="3">
                  <c:v>42000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28</xdr:row>
      <xdr:rowOff>0</xdr:rowOff>
    </xdr:from>
    <xdr:to>
      <xdr:col>1</xdr:col>
      <xdr:colOff>858240</xdr:colOff>
      <xdr:row>43</xdr:row>
      <xdr:rowOff>22320</xdr:rowOff>
    </xdr:to>
    <xdr:graphicFrame>
      <xdr:nvGraphicFramePr>
        <xdr:cNvPr id="1" name="Chart 1"/>
        <xdr:cNvGraphicFramePr/>
      </xdr:nvGraphicFramePr>
      <xdr:xfrm>
        <a:off x="0" y="5863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858240</xdr:colOff>
      <xdr:row>59</xdr:row>
      <xdr:rowOff>21960</xdr:rowOff>
    </xdr:to>
    <xdr:graphicFrame>
      <xdr:nvGraphicFramePr>
        <xdr:cNvPr id="2" name="Chart 2"/>
        <xdr:cNvGraphicFramePr/>
      </xdr:nvGraphicFramePr>
      <xdr:xfrm>
        <a:off x="0" y="891144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858240</xdr:colOff>
      <xdr:row>75</xdr:row>
      <xdr:rowOff>21960</xdr:rowOff>
    </xdr:to>
    <xdr:graphicFrame>
      <xdr:nvGraphicFramePr>
        <xdr:cNvPr id="3" name="Chart 3"/>
        <xdr:cNvGraphicFramePr/>
      </xdr:nvGraphicFramePr>
      <xdr:xfrm>
        <a:off x="0" y="1195956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858240</xdr:colOff>
      <xdr:row>91</xdr:row>
      <xdr:rowOff>22320</xdr:rowOff>
    </xdr:to>
    <xdr:graphicFrame>
      <xdr:nvGraphicFramePr>
        <xdr:cNvPr id="4" name="Chart 4"/>
        <xdr:cNvGraphicFramePr/>
      </xdr:nvGraphicFramePr>
      <xdr:xfrm>
        <a:off x="0" y="15007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858240</xdr:colOff>
      <xdr:row>107</xdr:row>
      <xdr:rowOff>21960</xdr:rowOff>
    </xdr:to>
    <xdr:graphicFrame>
      <xdr:nvGraphicFramePr>
        <xdr:cNvPr id="5" name="Chart 5"/>
        <xdr:cNvGraphicFramePr/>
      </xdr:nvGraphicFramePr>
      <xdr:xfrm>
        <a:off x="0" y="1805544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858240</xdr:colOff>
      <xdr:row>123</xdr:row>
      <xdr:rowOff>21960</xdr:rowOff>
    </xdr:to>
    <xdr:graphicFrame>
      <xdr:nvGraphicFramePr>
        <xdr:cNvPr id="6" name="Chart 6"/>
        <xdr:cNvGraphicFramePr/>
      </xdr:nvGraphicFramePr>
      <xdr:xfrm>
        <a:off x="0" y="2110356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858240</xdr:colOff>
      <xdr:row>139</xdr:row>
      <xdr:rowOff>22320</xdr:rowOff>
    </xdr:to>
    <xdr:graphicFrame>
      <xdr:nvGraphicFramePr>
        <xdr:cNvPr id="7" name="Chart 7"/>
        <xdr:cNvGraphicFramePr/>
      </xdr:nvGraphicFramePr>
      <xdr:xfrm>
        <a:off x="0" y="24151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858240</xdr:colOff>
      <xdr:row>155</xdr:row>
      <xdr:rowOff>21960</xdr:rowOff>
    </xdr:to>
    <xdr:graphicFrame>
      <xdr:nvGraphicFramePr>
        <xdr:cNvPr id="8" name="Chart 8"/>
        <xdr:cNvGraphicFramePr/>
      </xdr:nvGraphicFramePr>
      <xdr:xfrm>
        <a:off x="0" y="2719944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alisan" displayName="tblCalisan" ref="A10:I1010" headerRowCount="1" totalsRowCount="0" totalsRowShown="0">
  <tableColumns count="9">
    <tableColumn id="1" name="Çalışan Adı"/>
    <tableColumn id="2" name="Brüt Ücret (₺)"/>
    <tableColumn id="3" name="Prim Günü"/>
    <tableColumn id="4" name="Yaş"/>
    <tableColumn id="5" name="Cinsiyet"/>
    <tableColumn id="6" name="Engelli mi?"/>
    <tableColumn id="7" name="İlave İstihdam Uygun mu?"/>
    <tableColumn id="8" name="Teşvik Aktif mi?"/>
    <tableColumn id="9" name="Aylık İşveren Yükü (₺)">
      <calculatedColumnFormula>=IF($B11="","",$B11*(IsverenPayiOrani+IssizlikOrani))</calculatedColumnFormula>
    </tableColumn>
  </tableColumns>
</table>
</file>

<file path=xl/tables/table2.xml><?xml version="1.0" encoding="utf-8"?>
<table xmlns="http://schemas.openxmlformats.org/spreadsheetml/2006/main" id="2" name="tblMaliyet" displayName="tblMaliyet" ref="A6:H1006" headerRowCount="1" totalsRowCount="0" totalsRowShown="0">
  <tableColumns count="8">
    <tableColumn id="1" name="Çalışan Adı"/>
    <tableColumn id="2" name="Brüt Ücret (₺)">
      <calculatedColumnFormula>=IF($A7="","",IFERROR(INDEX(tblCalisan[Brüt Ücret (₺)],MATCH($A7,tblCalisan[Çalışan Adı],0)),""))</calculatedColumnFormula>
    </tableColumn>
    <tableColumn id="3" name="SGK İşveren Payı (₺)">
      <calculatedColumnFormula>=IF($A7="","",$B7*IsverenPayiOrani)</calculatedColumnFormula>
    </tableColumn>
    <tableColumn id="4" name="İşsizlik Payı (₺)">
      <calculatedColumnFormula>=IF($A7="","",$B7*IssizlikOrani)</calculatedColumnFormula>
    </tableColumn>
    <tableColumn id="5" name="Kıdem Karşılığı (₺)">
      <calculatedColumnFormula>=IF($A7="","",$B7*KidemKarsilikOrani)</calculatedColumnFormula>
    </tableColumn>
    <tableColumn id="6" name="Yan Fayda (₺)"/>
    <tableColumn id="7" name="Aylık Gerçek Maliyet (₺)">
      <calculatedColumnFormula>=IF($A7="","",$B7+$C7+$D7+$E7+$F7)</calculatedColumnFormula>
    </tableColumn>
    <tableColumn id="8" name="Yıllık Gerçek Maliyet (₺)">
      <calculatedColumnFormula>=IF($A7="","",$G7*AySayisi)</calculatedColumnFormula>
    </tableColumn>
  </tableColumns>
</table>
</file>

<file path=xl/tables/table3.xml><?xml version="1.0" encoding="utf-8"?>
<table xmlns="http://schemas.openxmlformats.org/spreadsheetml/2006/main" id="3" name="tblTesvik" displayName="tblTesvik" ref="A6:E1006" headerRowCount="1" totalsRowCount="0" totalsRowShown="0">
  <tableColumns count="5">
    <tableColumn id="1" name="Çalışan Adı"/>
    <tableColumn id="2" name="Teşvik Türü"/>
    <tableColumn id="3" name="Aylık Teşvik (₺)">
      <calculatedColumnFormula>=IF(OR($A7="",$B7=""),"",INDEX(tblCalisan[Brüt Ücret (₺)],MATCH($A7,tblCalisan[Çalışan Adı],0))*IF($B7="5 Puan İndirimi",BesPuanOrani,IF($B7="İlave İstihdam",IlaveIstihdamOrani,IF($B7="Kadın/Genç",KadinGencOrani,IF($B7="Engelli",EngelliOrani,GencGirisimciOrani)))))</calculatedColumnFormula>
    </tableColumn>
    <tableColumn id="4" name="Yıllık Teşvik (₺)">
      <calculatedColumnFormula>=IF($C7="","",$C7*AySayisi)</calculatedColumnFormula>
    </tableColumn>
    <tableColumn id="5" name="Kaçırılan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2" customFormat="false" ht="15" hidden="false" customHeight="false" outlineLevel="0" collapsed="false">
      <c r="A12" s="10" t="s">
        <v>16</v>
      </c>
    </row>
    <row r="13" customFormat="false" ht="15" hidden="false" customHeight="true" outlineLevel="0" collapsed="false">
      <c r="A13" s="5" t="s">
        <v>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2">
    <mergeCell ref="A4:AN4"/>
    <mergeCell ref="A5:AN5"/>
    <mergeCell ref="A6:AN6"/>
    <mergeCell ref="A7:AN7"/>
    <mergeCell ref="A8:AN8"/>
    <mergeCell ref="A9:AN9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12" t="s">
        <v>23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24</v>
      </c>
    </row>
    <row r="4" customFormat="false" ht="15" hidden="false" customHeight="false" outlineLevel="0" collapsed="false">
      <c r="A4" s="14" t="s">
        <v>25</v>
      </c>
      <c r="B4" s="15" t="s">
        <v>26</v>
      </c>
    </row>
    <row r="5" customFormat="false" ht="15" hidden="false" customHeight="false" outlineLevel="0" collapsed="false">
      <c r="A5" s="14" t="s">
        <v>27</v>
      </c>
      <c r="B5" s="15" t="s">
        <v>28</v>
      </c>
    </row>
    <row r="6" customFormat="false" ht="15" hidden="false" customHeight="false" outlineLevel="0" collapsed="false">
      <c r="A6" s="14" t="s">
        <v>29</v>
      </c>
      <c r="B6" s="16" t="n">
        <v>3000</v>
      </c>
    </row>
    <row r="7" customFormat="false" ht="15" hidden="false" customHeight="false" outlineLevel="0" collapsed="false">
      <c r="A7" s="14" t="s">
        <v>30</v>
      </c>
      <c r="B7" s="16" t="n">
        <v>25</v>
      </c>
    </row>
    <row r="9" customFormat="false" ht="15" hidden="false" customHeight="false" outlineLevel="0" collapsed="false">
      <c r="A9" s="17" t="s">
        <v>31</v>
      </c>
    </row>
    <row r="10" customFormat="false" ht="30" hidden="false" customHeight="true" outlineLevel="0" collapsed="false">
      <c r="A10" s="18" t="s">
        <v>32</v>
      </c>
      <c r="B10" s="18" t="s">
        <v>33</v>
      </c>
      <c r="C10" s="18" t="s">
        <v>34</v>
      </c>
      <c r="D10" s="18" t="s">
        <v>35</v>
      </c>
      <c r="E10" s="18" t="s">
        <v>36</v>
      </c>
      <c r="F10" s="18" t="s">
        <v>37</v>
      </c>
      <c r="G10" s="18" t="s">
        <v>38</v>
      </c>
      <c r="H10" s="18" t="s">
        <v>39</v>
      </c>
      <c r="I10" s="18" t="s">
        <v>40</v>
      </c>
    </row>
    <row r="11" customFormat="false" ht="15" hidden="false" customHeight="false" outlineLevel="0" collapsed="false">
      <c r="A11" s="19" t="s">
        <v>41</v>
      </c>
      <c r="B11" s="20" t="n">
        <v>35000</v>
      </c>
      <c r="C11" s="21" t="n">
        <v>30</v>
      </c>
      <c r="D11" s="21" t="n">
        <v>32</v>
      </c>
      <c r="E11" s="19" t="s">
        <v>42</v>
      </c>
      <c r="F11" s="19" t="s">
        <v>43</v>
      </c>
      <c r="G11" s="19" t="s">
        <v>44</v>
      </c>
      <c r="H11" s="19" t="s">
        <v>43</v>
      </c>
      <c r="I11" s="22" t="n">
        <f aca="false">IF($B11="","",$B11*(IsverenPayiOrani+IssizlikOrani))</f>
        <v>7875</v>
      </c>
    </row>
    <row r="12" customFormat="false" ht="15" hidden="false" customHeight="false" outlineLevel="0" collapsed="false">
      <c r="A12" s="19" t="s">
        <v>45</v>
      </c>
      <c r="B12" s="20" t="n">
        <v>42000</v>
      </c>
      <c r="C12" s="21" t="n">
        <v>30</v>
      </c>
      <c r="D12" s="21" t="n">
        <v>29</v>
      </c>
      <c r="E12" s="19" t="s">
        <v>46</v>
      </c>
      <c r="F12" s="19" t="s">
        <v>43</v>
      </c>
      <c r="G12" s="19" t="s">
        <v>44</v>
      </c>
      <c r="H12" s="19" t="s">
        <v>43</v>
      </c>
      <c r="I12" s="22" t="n">
        <f aca="false">IF($B12="","",$B12*(IsverenPayiOrani+IssizlikOrani))</f>
        <v>9450</v>
      </c>
    </row>
    <row r="13" customFormat="false" ht="15" hidden="false" customHeight="false" outlineLevel="0" collapsed="false">
      <c r="A13" s="19" t="s">
        <v>47</v>
      </c>
      <c r="B13" s="20" t="n">
        <v>28000</v>
      </c>
      <c r="C13" s="21" t="n">
        <v>30</v>
      </c>
      <c r="D13" s="21" t="n">
        <v>40</v>
      </c>
      <c r="E13" s="19" t="s">
        <v>42</v>
      </c>
      <c r="F13" s="19" t="s">
        <v>43</v>
      </c>
      <c r="G13" s="19" t="s">
        <v>43</v>
      </c>
      <c r="H13" s="19" t="s">
        <v>43</v>
      </c>
      <c r="I13" s="22" t="n">
        <f aca="false">IF($B13="","",$B13*(IsverenPayiOrani+IssizlikOrani))</f>
        <v>6300</v>
      </c>
    </row>
    <row r="14" customFormat="false" ht="15" hidden="false" customHeight="false" outlineLevel="0" collapsed="false">
      <c r="A14" s="19" t="s">
        <v>48</v>
      </c>
      <c r="B14" s="20" t="n">
        <v>38000</v>
      </c>
      <c r="C14" s="21" t="n">
        <v>30</v>
      </c>
      <c r="D14" s="21" t="n">
        <v>34</v>
      </c>
      <c r="E14" s="19" t="s">
        <v>46</v>
      </c>
      <c r="F14" s="19" t="s">
        <v>43</v>
      </c>
      <c r="G14" s="19" t="s">
        <v>44</v>
      </c>
      <c r="H14" s="19" t="s">
        <v>43</v>
      </c>
      <c r="I14" s="22" t="n">
        <f aca="false">IF($B14="","",$B14*(IsverenPayiOrani+IssizlikOrani))</f>
        <v>8550</v>
      </c>
    </row>
    <row r="15" customFormat="false" ht="15" hidden="false" customHeight="false" outlineLevel="0" collapsed="false">
      <c r="A15" s="19" t="s">
        <v>49</v>
      </c>
      <c r="B15" s="20" t="n">
        <v>31000</v>
      </c>
      <c r="C15" s="21" t="n">
        <v>30</v>
      </c>
      <c r="D15" s="21" t="n">
        <v>45</v>
      </c>
      <c r="E15" s="19" t="s">
        <v>42</v>
      </c>
      <c r="F15" s="19" t="s">
        <v>44</v>
      </c>
      <c r="G15" s="19" t="s">
        <v>43</v>
      </c>
      <c r="H15" s="19" t="s">
        <v>43</v>
      </c>
      <c r="I15" s="22" t="n">
        <f aca="false">IF($B15="","",$B15*(IsverenPayiOrani+IssizlikOrani))</f>
        <v>6975</v>
      </c>
    </row>
    <row r="16" customFormat="false" ht="15" hidden="false" customHeight="false" outlineLevel="0" collapsed="false">
      <c r="A16" s="19" t="s">
        <v>50</v>
      </c>
      <c r="B16" s="20" t="n">
        <v>45000</v>
      </c>
      <c r="C16" s="21" t="n">
        <v>30</v>
      </c>
      <c r="D16" s="21" t="n">
        <v>28</v>
      </c>
      <c r="E16" s="19" t="s">
        <v>46</v>
      </c>
      <c r="F16" s="19" t="s">
        <v>43</v>
      </c>
      <c r="G16" s="19" t="s">
        <v>44</v>
      </c>
      <c r="H16" s="19" t="s">
        <v>43</v>
      </c>
      <c r="I16" s="22" t="n">
        <f aca="false">IF($B16="","",$B16*(IsverenPayiOrani+IssizlikOrani))</f>
        <v>10125</v>
      </c>
    </row>
    <row r="17" customFormat="false" ht="15" hidden="false" customHeight="false" outlineLevel="0" collapsed="false">
      <c r="A17" s="19" t="s">
        <v>51</v>
      </c>
      <c r="B17" s="20" t="n">
        <v>27000</v>
      </c>
      <c r="C17" s="21" t="n">
        <v>30</v>
      </c>
      <c r="D17" s="21" t="n">
        <v>52</v>
      </c>
      <c r="E17" s="19" t="s">
        <v>42</v>
      </c>
      <c r="F17" s="19" t="s">
        <v>44</v>
      </c>
      <c r="G17" s="19" t="s">
        <v>43</v>
      </c>
      <c r="H17" s="19" t="s">
        <v>43</v>
      </c>
      <c r="I17" s="22" t="n">
        <f aca="false">IF($B17="","",$B17*(IsverenPayiOrani+IssizlikOrani))</f>
        <v>6075</v>
      </c>
    </row>
    <row r="18" customFormat="false" ht="15" hidden="false" customHeight="false" outlineLevel="0" collapsed="false">
      <c r="A18" s="19" t="s">
        <v>52</v>
      </c>
      <c r="B18" s="20" t="n">
        <v>33000</v>
      </c>
      <c r="C18" s="21" t="n">
        <v>30</v>
      </c>
      <c r="D18" s="21" t="n">
        <v>26</v>
      </c>
      <c r="E18" s="19" t="s">
        <v>46</v>
      </c>
      <c r="F18" s="19" t="s">
        <v>43</v>
      </c>
      <c r="G18" s="19" t="s">
        <v>44</v>
      </c>
      <c r="H18" s="19" t="s">
        <v>43</v>
      </c>
      <c r="I18" s="22" t="n">
        <f aca="false">IF($B18="","",$B18*(IsverenPayiOrani+IssizlikOrani))</f>
        <v>7425</v>
      </c>
    </row>
    <row r="19" customFormat="false" ht="15" hidden="false" customHeight="false" outlineLevel="0" collapsed="false">
      <c r="A19" s="19" t="s">
        <v>53</v>
      </c>
      <c r="B19" s="20" t="n">
        <v>26000</v>
      </c>
      <c r="C19" s="21" t="n">
        <v>30</v>
      </c>
      <c r="D19" s="21" t="n">
        <v>35</v>
      </c>
      <c r="E19" s="19" t="s">
        <v>42</v>
      </c>
      <c r="F19" s="19" t="s">
        <v>43</v>
      </c>
      <c r="G19" s="19" t="s">
        <v>43</v>
      </c>
      <c r="H19" s="19" t="s">
        <v>43</v>
      </c>
      <c r="I19" s="22" t="n">
        <f aca="false">IF($B19="","",$B19*(IsverenPayiOrani+IssizlikOrani))</f>
        <v>5850</v>
      </c>
    </row>
    <row r="20" customFormat="false" ht="15" hidden="false" customHeight="false" outlineLevel="0" collapsed="false">
      <c r="A20" s="19" t="s">
        <v>54</v>
      </c>
      <c r="B20" s="20" t="n">
        <v>40000</v>
      </c>
      <c r="C20" s="21" t="n">
        <v>30</v>
      </c>
      <c r="D20" s="21" t="n">
        <v>31</v>
      </c>
      <c r="E20" s="19" t="s">
        <v>46</v>
      </c>
      <c r="F20" s="19" t="s">
        <v>43</v>
      </c>
      <c r="G20" s="19" t="s">
        <v>44</v>
      </c>
      <c r="H20" s="19" t="s">
        <v>43</v>
      </c>
      <c r="I20" s="22" t="n">
        <f aca="false">IF($B20="","",$B20*(IsverenPayiOrani+IssizlikOrani))</f>
        <v>9000</v>
      </c>
    </row>
    <row r="21" customFormat="false" ht="15" hidden="false" customHeight="false" outlineLevel="0" collapsed="false">
      <c r="A21" s="19" t="s">
        <v>55</v>
      </c>
      <c r="B21" s="20" t="n">
        <v>36000</v>
      </c>
      <c r="C21" s="21" t="n">
        <v>30</v>
      </c>
      <c r="D21" s="21" t="n">
        <v>48</v>
      </c>
      <c r="E21" s="19" t="s">
        <v>42</v>
      </c>
      <c r="F21" s="19" t="s">
        <v>44</v>
      </c>
      <c r="G21" s="19" t="s">
        <v>43</v>
      </c>
      <c r="H21" s="19" t="s">
        <v>44</v>
      </c>
      <c r="I21" s="22" t="n">
        <f aca="false">IF($B21="","",$B21*(IsverenPayiOrani+IssizlikOrani))</f>
        <v>8100</v>
      </c>
    </row>
    <row r="22" customFormat="false" ht="15" hidden="false" customHeight="false" outlineLevel="0" collapsed="false">
      <c r="A22" s="19" t="s">
        <v>56</v>
      </c>
      <c r="B22" s="20" t="n">
        <v>29000</v>
      </c>
      <c r="C22" s="21" t="n">
        <v>30</v>
      </c>
      <c r="D22" s="21" t="n">
        <v>24</v>
      </c>
      <c r="E22" s="19" t="s">
        <v>46</v>
      </c>
      <c r="F22" s="19" t="s">
        <v>43</v>
      </c>
      <c r="G22" s="19" t="s">
        <v>44</v>
      </c>
      <c r="H22" s="19" t="s">
        <v>43</v>
      </c>
      <c r="I22" s="22" t="n">
        <f aca="false">IF($B22="","",$B22*(IsverenPayiOrani+IssizlikOrani))</f>
        <v>6525</v>
      </c>
    </row>
    <row r="23" customFormat="false" ht="15" hidden="false" customHeight="false" outlineLevel="0" collapsed="false">
      <c r="A23" s="19" t="s">
        <v>57</v>
      </c>
      <c r="B23" s="20" t="n">
        <v>24000</v>
      </c>
      <c r="C23" s="21" t="n">
        <v>30</v>
      </c>
      <c r="D23" s="21" t="n">
        <v>22</v>
      </c>
      <c r="E23" s="19" t="s">
        <v>42</v>
      </c>
      <c r="F23" s="19" t="s">
        <v>43</v>
      </c>
      <c r="G23" s="19" t="s">
        <v>43</v>
      </c>
      <c r="H23" s="19" t="s">
        <v>43</v>
      </c>
      <c r="I23" s="22" t="n">
        <f aca="false">IF($B23="","",$B23*(IsverenPayiOrani+IssizlikOrani))</f>
        <v>5400</v>
      </c>
    </row>
    <row r="24" customFormat="false" ht="15" hidden="false" customHeight="false" outlineLevel="0" collapsed="false">
      <c r="A24" s="19" t="s">
        <v>58</v>
      </c>
      <c r="B24" s="20" t="n">
        <v>47000</v>
      </c>
      <c r="C24" s="21" t="n">
        <v>30</v>
      </c>
      <c r="D24" s="21" t="n">
        <v>38</v>
      </c>
      <c r="E24" s="19" t="s">
        <v>46</v>
      </c>
      <c r="F24" s="19" t="s">
        <v>43</v>
      </c>
      <c r="G24" s="19" t="s">
        <v>44</v>
      </c>
      <c r="H24" s="19" t="s">
        <v>43</v>
      </c>
      <c r="I24" s="22" t="n">
        <f aca="false">IF($B24="","",$B24*(IsverenPayiOrani+IssizlikOrani))</f>
        <v>10575</v>
      </c>
    </row>
    <row r="25" customFormat="false" ht="15" hidden="false" customHeight="false" outlineLevel="0" collapsed="false">
      <c r="A25" s="19"/>
      <c r="B25" s="20"/>
      <c r="C25" s="19"/>
      <c r="D25" s="23"/>
      <c r="E25" s="19"/>
      <c r="F25" s="23"/>
      <c r="G25" s="23"/>
      <c r="H25" s="23"/>
      <c r="I25" s="22" t="str">
        <f aca="false">IF($B25="","",$B25*(IsverenPayiOrani+IssizlikOrani))</f>
        <v/>
      </c>
    </row>
    <row r="26" customFormat="false" ht="15" hidden="false" customHeight="false" outlineLevel="0" collapsed="false">
      <c r="A26" s="19"/>
      <c r="B26" s="20"/>
      <c r="C26" s="19"/>
      <c r="D26" s="23"/>
      <c r="E26" s="19"/>
      <c r="F26" s="23"/>
      <c r="G26" s="23"/>
      <c r="H26" s="23"/>
      <c r="I26" s="22" t="str">
        <f aca="false">IF($B26="","",$B26*(IsverenPayiOrani+IssizlikOrani))</f>
        <v/>
      </c>
    </row>
    <row r="27" customFormat="false" ht="15" hidden="false" customHeight="false" outlineLevel="0" collapsed="false">
      <c r="A27" s="19"/>
      <c r="B27" s="20"/>
      <c r="C27" s="19"/>
      <c r="D27" s="23"/>
      <c r="E27" s="19"/>
      <c r="F27" s="23"/>
      <c r="G27" s="23"/>
      <c r="H27" s="23"/>
      <c r="I27" s="22" t="str">
        <f aca="false">IF($B27="","",$B27*(IsverenPayiOrani+IssizlikOrani))</f>
        <v/>
      </c>
    </row>
    <row r="28" customFormat="false" ht="15" hidden="false" customHeight="false" outlineLevel="0" collapsed="false">
      <c r="A28" s="19"/>
      <c r="B28" s="20"/>
      <c r="C28" s="19"/>
      <c r="D28" s="23"/>
      <c r="E28" s="19"/>
      <c r="F28" s="23"/>
      <c r="G28" s="23"/>
      <c r="H28" s="23"/>
      <c r="I28" s="22" t="str">
        <f aca="false">IF($B28="","",$B28*(IsverenPayiOrani+IssizlikOrani))</f>
        <v/>
      </c>
    </row>
    <row r="29" customFormat="false" ht="15" hidden="false" customHeight="false" outlineLevel="0" collapsed="false">
      <c r="A29" s="19"/>
      <c r="B29" s="20"/>
      <c r="C29" s="19"/>
      <c r="D29" s="23"/>
      <c r="E29" s="19"/>
      <c r="F29" s="23"/>
      <c r="G29" s="23"/>
      <c r="H29" s="23"/>
      <c r="I29" s="22" t="str">
        <f aca="false">IF($B29="","",$B29*(IsverenPayiOrani+IssizlikOrani))</f>
        <v/>
      </c>
    </row>
    <row r="30" customFormat="false" ht="15" hidden="false" customHeight="false" outlineLevel="0" collapsed="false">
      <c r="A30" s="19"/>
      <c r="B30" s="20"/>
      <c r="C30" s="19"/>
      <c r="D30" s="23"/>
      <c r="E30" s="19"/>
      <c r="F30" s="23"/>
      <c r="G30" s="23"/>
      <c r="H30" s="23"/>
      <c r="I30" s="22" t="str">
        <f aca="false">IF($B30="","",$B30*(IsverenPayiOrani+IssizlikOrani))</f>
        <v/>
      </c>
    </row>
    <row r="31" customFormat="false" ht="15" hidden="false" customHeight="false" outlineLevel="0" collapsed="false">
      <c r="A31" s="19"/>
      <c r="B31" s="20"/>
      <c r="C31" s="19"/>
      <c r="D31" s="23"/>
      <c r="E31" s="19"/>
      <c r="F31" s="23"/>
      <c r="G31" s="23"/>
      <c r="H31" s="23"/>
      <c r="I31" s="22" t="str">
        <f aca="false">IF($B31="","",$B31*(IsverenPayiOrani+IssizlikOrani))</f>
        <v/>
      </c>
    </row>
    <row r="32" customFormat="false" ht="15" hidden="false" customHeight="false" outlineLevel="0" collapsed="false">
      <c r="A32" s="19"/>
      <c r="B32" s="20"/>
      <c r="C32" s="19"/>
      <c r="D32" s="23"/>
      <c r="E32" s="19"/>
      <c r="F32" s="23"/>
      <c r="G32" s="23"/>
      <c r="H32" s="23"/>
      <c r="I32" s="22" t="str">
        <f aca="false">IF($B32="","",$B32*(IsverenPayiOrani+IssizlikOrani))</f>
        <v/>
      </c>
    </row>
    <row r="33" customFormat="false" ht="15" hidden="false" customHeight="false" outlineLevel="0" collapsed="false">
      <c r="A33" s="19"/>
      <c r="B33" s="20"/>
      <c r="C33" s="19"/>
      <c r="D33" s="23"/>
      <c r="E33" s="19"/>
      <c r="F33" s="23"/>
      <c r="G33" s="23"/>
      <c r="H33" s="23"/>
      <c r="I33" s="22" t="str">
        <f aca="false">IF($B33="","",$B33*(IsverenPayiOrani+IssizlikOrani))</f>
        <v/>
      </c>
    </row>
    <row r="34" customFormat="false" ht="15" hidden="false" customHeight="false" outlineLevel="0" collapsed="false">
      <c r="A34" s="19"/>
      <c r="B34" s="20"/>
      <c r="C34" s="19"/>
      <c r="D34" s="23"/>
      <c r="E34" s="19"/>
      <c r="F34" s="23"/>
      <c r="G34" s="23"/>
      <c r="H34" s="23"/>
      <c r="I34" s="22" t="str">
        <f aca="false">IF($B34="","",$B34*(IsverenPayiOrani+IssizlikOrani))</f>
        <v/>
      </c>
    </row>
    <row r="35" customFormat="false" ht="15" hidden="false" customHeight="false" outlineLevel="0" collapsed="false">
      <c r="A35" s="19"/>
      <c r="B35" s="20"/>
      <c r="C35" s="19"/>
      <c r="D35" s="23"/>
      <c r="E35" s="19"/>
      <c r="F35" s="23"/>
      <c r="G35" s="23"/>
      <c r="H35" s="23"/>
      <c r="I35" s="22" t="str">
        <f aca="false">IF($B35="","",$B35*(IsverenPayiOrani+IssizlikOrani))</f>
        <v/>
      </c>
    </row>
    <row r="36" customFormat="false" ht="15" hidden="false" customHeight="false" outlineLevel="0" collapsed="false">
      <c r="A36" s="19"/>
      <c r="B36" s="20"/>
      <c r="C36" s="19"/>
      <c r="D36" s="23"/>
      <c r="E36" s="19"/>
      <c r="F36" s="23"/>
      <c r="G36" s="23"/>
      <c r="H36" s="23"/>
      <c r="I36" s="22" t="str">
        <f aca="false">IF($B36="","",$B36*(IsverenPayiOrani+IssizlikOrani))</f>
        <v/>
      </c>
    </row>
    <row r="37" customFormat="false" ht="15" hidden="false" customHeight="false" outlineLevel="0" collapsed="false">
      <c r="A37" s="19"/>
      <c r="B37" s="20"/>
      <c r="C37" s="19"/>
      <c r="D37" s="23"/>
      <c r="E37" s="19"/>
      <c r="F37" s="23"/>
      <c r="G37" s="23"/>
      <c r="H37" s="23"/>
      <c r="I37" s="22" t="str">
        <f aca="false">IF($B37="","",$B37*(IsverenPayiOrani+IssizlikOrani))</f>
        <v/>
      </c>
    </row>
    <row r="38" customFormat="false" ht="15" hidden="false" customHeight="false" outlineLevel="0" collapsed="false">
      <c r="A38" s="19"/>
      <c r="B38" s="20"/>
      <c r="C38" s="19"/>
      <c r="D38" s="23"/>
      <c r="E38" s="19"/>
      <c r="F38" s="23"/>
      <c r="G38" s="23"/>
      <c r="H38" s="23"/>
      <c r="I38" s="22" t="str">
        <f aca="false">IF($B38="","",$B38*(IsverenPayiOrani+IssizlikOrani))</f>
        <v/>
      </c>
    </row>
    <row r="39" customFormat="false" ht="15" hidden="false" customHeight="false" outlineLevel="0" collapsed="false">
      <c r="A39" s="19"/>
      <c r="B39" s="20"/>
      <c r="C39" s="19"/>
      <c r="D39" s="23"/>
      <c r="E39" s="19"/>
      <c r="F39" s="23"/>
      <c r="G39" s="23"/>
      <c r="H39" s="23"/>
      <c r="I39" s="22" t="str">
        <f aca="false">IF($B39="","",$B39*(IsverenPayiOrani+IssizlikOrani))</f>
        <v/>
      </c>
    </row>
    <row r="40" customFormat="false" ht="15" hidden="false" customHeight="false" outlineLevel="0" collapsed="false">
      <c r="A40" s="19"/>
      <c r="B40" s="20"/>
      <c r="C40" s="19"/>
      <c r="D40" s="23"/>
      <c r="E40" s="19"/>
      <c r="F40" s="23"/>
      <c r="G40" s="23"/>
      <c r="H40" s="23"/>
      <c r="I40" s="22" t="str">
        <f aca="false">IF($B40="","",$B40*(IsverenPayiOrani+IssizlikOrani))</f>
        <v/>
      </c>
    </row>
    <row r="41" customFormat="false" ht="15" hidden="false" customHeight="false" outlineLevel="0" collapsed="false">
      <c r="A41" s="19"/>
      <c r="B41" s="20"/>
      <c r="C41" s="19"/>
      <c r="D41" s="23"/>
      <c r="E41" s="19"/>
      <c r="F41" s="23"/>
      <c r="G41" s="23"/>
      <c r="H41" s="23"/>
      <c r="I41" s="22" t="str">
        <f aca="false">IF($B41="","",$B41*(IsverenPayiOrani+IssizlikOrani))</f>
        <v/>
      </c>
    </row>
    <row r="42" customFormat="false" ht="15" hidden="false" customHeight="false" outlineLevel="0" collapsed="false">
      <c r="A42" s="19"/>
      <c r="B42" s="20"/>
      <c r="C42" s="19"/>
      <c r="D42" s="23"/>
      <c r="E42" s="19"/>
      <c r="F42" s="23"/>
      <c r="G42" s="23"/>
      <c r="H42" s="23"/>
      <c r="I42" s="22" t="str">
        <f aca="false">IF($B42="","",$B42*(IsverenPayiOrani+IssizlikOrani))</f>
        <v/>
      </c>
    </row>
    <row r="43" customFormat="false" ht="15" hidden="false" customHeight="false" outlineLevel="0" collapsed="false">
      <c r="A43" s="19"/>
      <c r="B43" s="20"/>
      <c r="C43" s="19"/>
      <c r="D43" s="23"/>
      <c r="E43" s="19"/>
      <c r="F43" s="23"/>
      <c r="G43" s="23"/>
      <c r="H43" s="23"/>
      <c r="I43" s="22" t="str">
        <f aca="false">IF($B43="","",$B43*(IsverenPayiOrani+IssizlikOrani))</f>
        <v/>
      </c>
    </row>
    <row r="44" customFormat="false" ht="15" hidden="false" customHeight="false" outlineLevel="0" collapsed="false">
      <c r="A44" s="19"/>
      <c r="B44" s="20"/>
      <c r="C44" s="19"/>
      <c r="D44" s="23"/>
      <c r="E44" s="19"/>
      <c r="F44" s="23"/>
      <c r="G44" s="23"/>
      <c r="H44" s="23"/>
      <c r="I44" s="22" t="str">
        <f aca="false">IF($B44="","",$B44*(IsverenPayiOrani+IssizlikOrani))</f>
        <v/>
      </c>
    </row>
    <row r="45" customFormat="false" ht="15" hidden="false" customHeight="false" outlineLevel="0" collapsed="false">
      <c r="A45" s="19"/>
      <c r="B45" s="20"/>
      <c r="C45" s="19"/>
      <c r="D45" s="23"/>
      <c r="E45" s="19"/>
      <c r="F45" s="23"/>
      <c r="G45" s="23"/>
      <c r="H45" s="23"/>
      <c r="I45" s="22" t="str">
        <f aca="false">IF($B45="","",$B45*(IsverenPayiOrani+IssizlikOrani))</f>
        <v/>
      </c>
    </row>
    <row r="46" customFormat="false" ht="15" hidden="false" customHeight="false" outlineLevel="0" collapsed="false">
      <c r="A46" s="19"/>
      <c r="B46" s="20"/>
      <c r="C46" s="19"/>
      <c r="D46" s="23"/>
      <c r="E46" s="19"/>
      <c r="F46" s="23"/>
      <c r="G46" s="23"/>
      <c r="H46" s="23"/>
      <c r="I46" s="22" t="str">
        <f aca="false">IF($B46="","",$B46*(IsverenPayiOrani+IssizlikOrani))</f>
        <v/>
      </c>
    </row>
    <row r="47" customFormat="false" ht="15" hidden="false" customHeight="false" outlineLevel="0" collapsed="false">
      <c r="A47" s="19"/>
      <c r="B47" s="20"/>
      <c r="C47" s="19"/>
      <c r="D47" s="23"/>
      <c r="E47" s="19"/>
      <c r="F47" s="23"/>
      <c r="G47" s="23"/>
      <c r="H47" s="23"/>
      <c r="I47" s="22" t="str">
        <f aca="false">IF($B47="","",$B47*(IsverenPayiOrani+IssizlikOrani))</f>
        <v/>
      </c>
    </row>
    <row r="48" customFormat="false" ht="15" hidden="false" customHeight="false" outlineLevel="0" collapsed="false">
      <c r="A48" s="19"/>
      <c r="B48" s="20"/>
      <c r="C48" s="19"/>
      <c r="D48" s="23"/>
      <c r="E48" s="19"/>
      <c r="F48" s="23"/>
      <c r="G48" s="23"/>
      <c r="H48" s="23"/>
      <c r="I48" s="22" t="str">
        <f aca="false">IF($B48="","",$B48*(IsverenPayiOrani+IssizlikOrani))</f>
        <v/>
      </c>
    </row>
    <row r="49" customFormat="false" ht="15" hidden="false" customHeight="false" outlineLevel="0" collapsed="false">
      <c r="A49" s="19"/>
      <c r="B49" s="20"/>
      <c r="C49" s="19"/>
      <c r="D49" s="23"/>
      <c r="E49" s="19"/>
      <c r="F49" s="23"/>
      <c r="G49" s="23"/>
      <c r="H49" s="23"/>
      <c r="I49" s="22" t="str">
        <f aca="false">IF($B49="","",$B49*(IsverenPayiOrani+IssizlikOrani))</f>
        <v/>
      </c>
    </row>
    <row r="50" customFormat="false" ht="15" hidden="false" customHeight="false" outlineLevel="0" collapsed="false">
      <c r="A50" s="19"/>
      <c r="B50" s="20"/>
      <c r="C50" s="19"/>
      <c r="D50" s="23"/>
      <c r="E50" s="19"/>
      <c r="F50" s="23"/>
      <c r="G50" s="23"/>
      <c r="H50" s="23"/>
      <c r="I50" s="22" t="str">
        <f aca="false">IF($B50="","",$B50*(IsverenPayiOrani+IssizlikOrani))</f>
        <v/>
      </c>
    </row>
    <row r="51" customFormat="false" ht="15" hidden="false" customHeight="false" outlineLevel="0" collapsed="false">
      <c r="A51" s="19"/>
      <c r="B51" s="20"/>
      <c r="C51" s="19"/>
      <c r="D51" s="23"/>
      <c r="E51" s="19"/>
      <c r="F51" s="23"/>
      <c r="G51" s="23"/>
      <c r="H51" s="23"/>
      <c r="I51" s="22" t="str">
        <f aca="false">IF($B51="","",$B51*(IsverenPayiOrani+IssizlikOrani))</f>
        <v/>
      </c>
    </row>
    <row r="52" customFormat="false" ht="15" hidden="false" customHeight="false" outlineLevel="0" collapsed="false">
      <c r="A52" s="19"/>
      <c r="B52" s="20"/>
      <c r="C52" s="19"/>
      <c r="D52" s="23"/>
      <c r="E52" s="19"/>
      <c r="F52" s="23"/>
      <c r="G52" s="23"/>
      <c r="H52" s="23"/>
      <c r="I52" s="22" t="str">
        <f aca="false">IF($B52="","",$B52*(IsverenPayiOrani+IssizlikOrani))</f>
        <v/>
      </c>
    </row>
    <row r="53" customFormat="false" ht="15" hidden="false" customHeight="false" outlineLevel="0" collapsed="false">
      <c r="A53" s="19"/>
      <c r="B53" s="20"/>
      <c r="C53" s="19"/>
      <c r="D53" s="23"/>
      <c r="E53" s="19"/>
      <c r="F53" s="23"/>
      <c r="G53" s="23"/>
      <c r="H53" s="23"/>
      <c r="I53" s="22" t="str">
        <f aca="false">IF($B53="","",$B53*(IsverenPayiOrani+IssizlikOrani))</f>
        <v/>
      </c>
    </row>
    <row r="54" customFormat="false" ht="15" hidden="false" customHeight="false" outlineLevel="0" collapsed="false">
      <c r="A54" s="19"/>
      <c r="B54" s="20"/>
      <c r="C54" s="19"/>
      <c r="D54" s="23"/>
      <c r="E54" s="19"/>
      <c r="F54" s="23"/>
      <c r="G54" s="23"/>
      <c r="H54" s="23"/>
      <c r="I54" s="22" t="str">
        <f aca="false">IF($B54="","",$B54*(IsverenPayiOrani+IssizlikOrani))</f>
        <v/>
      </c>
    </row>
    <row r="55" customFormat="false" ht="15" hidden="false" customHeight="false" outlineLevel="0" collapsed="false">
      <c r="A55" s="19"/>
      <c r="B55" s="20"/>
      <c r="C55" s="19"/>
      <c r="D55" s="23"/>
      <c r="E55" s="19"/>
      <c r="F55" s="23"/>
      <c r="G55" s="23"/>
      <c r="H55" s="23"/>
      <c r="I55" s="22" t="str">
        <f aca="false">IF($B55="","",$B55*(IsverenPayiOrani+IssizlikOrani))</f>
        <v/>
      </c>
    </row>
    <row r="56" customFormat="false" ht="15" hidden="false" customHeight="false" outlineLevel="0" collapsed="false">
      <c r="A56" s="19"/>
      <c r="B56" s="20"/>
      <c r="C56" s="19"/>
      <c r="D56" s="23"/>
      <c r="E56" s="19"/>
      <c r="F56" s="23"/>
      <c r="G56" s="23"/>
      <c r="H56" s="23"/>
      <c r="I56" s="22" t="str">
        <f aca="false">IF($B56="","",$B56*(IsverenPayiOrani+IssizlikOrani))</f>
        <v/>
      </c>
    </row>
    <row r="57" customFormat="false" ht="15" hidden="false" customHeight="false" outlineLevel="0" collapsed="false">
      <c r="A57" s="19"/>
      <c r="B57" s="20"/>
      <c r="C57" s="19"/>
      <c r="D57" s="23"/>
      <c r="E57" s="19"/>
      <c r="F57" s="23"/>
      <c r="G57" s="23"/>
      <c r="H57" s="23"/>
      <c r="I57" s="22" t="str">
        <f aca="false">IF($B57="","",$B57*(IsverenPayiOrani+IssizlikOrani))</f>
        <v/>
      </c>
    </row>
    <row r="58" customFormat="false" ht="15" hidden="false" customHeight="false" outlineLevel="0" collapsed="false">
      <c r="A58" s="19"/>
      <c r="B58" s="20"/>
      <c r="C58" s="19"/>
      <c r="D58" s="23"/>
      <c r="E58" s="19"/>
      <c r="F58" s="23"/>
      <c r="G58" s="23"/>
      <c r="H58" s="23"/>
      <c r="I58" s="22" t="str">
        <f aca="false">IF($B58="","",$B58*(IsverenPayiOrani+IssizlikOrani))</f>
        <v/>
      </c>
    </row>
    <row r="59" customFormat="false" ht="15" hidden="false" customHeight="false" outlineLevel="0" collapsed="false">
      <c r="A59" s="19"/>
      <c r="B59" s="20"/>
      <c r="C59" s="19"/>
      <c r="D59" s="23"/>
      <c r="E59" s="19"/>
      <c r="F59" s="23"/>
      <c r="G59" s="23"/>
      <c r="H59" s="23"/>
      <c r="I59" s="22" t="str">
        <f aca="false">IF($B59="","",$B59*(IsverenPayiOrani+IssizlikOrani))</f>
        <v/>
      </c>
    </row>
    <row r="60" customFormat="false" ht="15" hidden="false" customHeight="false" outlineLevel="0" collapsed="false">
      <c r="A60" s="19"/>
      <c r="B60" s="20"/>
      <c r="C60" s="19"/>
      <c r="D60" s="23"/>
      <c r="E60" s="19"/>
      <c r="F60" s="23"/>
      <c r="G60" s="23"/>
      <c r="H60" s="23"/>
      <c r="I60" s="22" t="str">
        <f aca="false">IF($B60="","",$B60*(IsverenPayiOrani+IssizlikOrani))</f>
        <v/>
      </c>
    </row>
    <row r="61" customFormat="false" ht="15" hidden="false" customHeight="false" outlineLevel="0" collapsed="false">
      <c r="A61" s="19"/>
      <c r="B61" s="20"/>
      <c r="C61" s="19"/>
      <c r="D61" s="23"/>
      <c r="E61" s="19"/>
      <c r="F61" s="23"/>
      <c r="G61" s="23"/>
      <c r="H61" s="23"/>
      <c r="I61" s="22" t="str">
        <f aca="false">IF($B61="","",$B61*(IsverenPayiOrani+IssizlikOrani))</f>
        <v/>
      </c>
    </row>
    <row r="62" customFormat="false" ht="15" hidden="false" customHeight="false" outlineLevel="0" collapsed="false">
      <c r="A62" s="19"/>
      <c r="B62" s="20"/>
      <c r="C62" s="19"/>
      <c r="D62" s="23"/>
      <c r="E62" s="19"/>
      <c r="F62" s="23"/>
      <c r="G62" s="23"/>
      <c r="H62" s="23"/>
      <c r="I62" s="22" t="str">
        <f aca="false">IF($B62="","",$B62*(IsverenPayiOrani+IssizlikOrani))</f>
        <v/>
      </c>
    </row>
    <row r="63" customFormat="false" ht="15" hidden="false" customHeight="false" outlineLevel="0" collapsed="false">
      <c r="A63" s="19"/>
      <c r="B63" s="20"/>
      <c r="C63" s="19"/>
      <c r="D63" s="23"/>
      <c r="E63" s="19"/>
      <c r="F63" s="23"/>
      <c r="G63" s="23"/>
      <c r="H63" s="23"/>
      <c r="I63" s="22" t="str">
        <f aca="false">IF($B63="","",$B63*(IsverenPayiOrani+IssizlikOrani))</f>
        <v/>
      </c>
    </row>
    <row r="64" customFormat="false" ht="15" hidden="false" customHeight="false" outlineLevel="0" collapsed="false">
      <c r="A64" s="19"/>
      <c r="B64" s="20"/>
      <c r="C64" s="19"/>
      <c r="D64" s="23"/>
      <c r="E64" s="19"/>
      <c r="F64" s="23"/>
      <c r="G64" s="23"/>
      <c r="H64" s="23"/>
      <c r="I64" s="22" t="str">
        <f aca="false">IF($B64="","",$B64*(IsverenPayiOrani+IssizlikOrani))</f>
        <v/>
      </c>
    </row>
    <row r="65" customFormat="false" ht="15" hidden="false" customHeight="false" outlineLevel="0" collapsed="false">
      <c r="A65" s="19"/>
      <c r="B65" s="20"/>
      <c r="C65" s="19"/>
      <c r="D65" s="23"/>
      <c r="E65" s="19"/>
      <c r="F65" s="23"/>
      <c r="G65" s="23"/>
      <c r="H65" s="23"/>
      <c r="I65" s="22" t="str">
        <f aca="false">IF($B65="","",$B65*(IsverenPayiOrani+IssizlikOrani))</f>
        <v/>
      </c>
    </row>
    <row r="66" customFormat="false" ht="15" hidden="false" customHeight="false" outlineLevel="0" collapsed="false">
      <c r="A66" s="19"/>
      <c r="B66" s="20"/>
      <c r="C66" s="19"/>
      <c r="D66" s="23"/>
      <c r="E66" s="19"/>
      <c r="F66" s="23"/>
      <c r="G66" s="23"/>
      <c r="H66" s="23"/>
      <c r="I66" s="22" t="str">
        <f aca="false">IF($B66="","",$B66*(IsverenPayiOrani+IssizlikOrani))</f>
        <v/>
      </c>
    </row>
    <row r="67" customFormat="false" ht="15" hidden="false" customHeight="false" outlineLevel="0" collapsed="false">
      <c r="A67" s="19"/>
      <c r="B67" s="20"/>
      <c r="C67" s="19"/>
      <c r="D67" s="23"/>
      <c r="E67" s="19"/>
      <c r="F67" s="23"/>
      <c r="G67" s="23"/>
      <c r="H67" s="23"/>
      <c r="I67" s="22" t="str">
        <f aca="false">IF($B67="","",$B67*(IsverenPayiOrani+IssizlikOrani))</f>
        <v/>
      </c>
    </row>
    <row r="68" customFormat="false" ht="15" hidden="false" customHeight="false" outlineLevel="0" collapsed="false">
      <c r="A68" s="19"/>
      <c r="B68" s="20"/>
      <c r="C68" s="19"/>
      <c r="D68" s="23"/>
      <c r="E68" s="19"/>
      <c r="F68" s="23"/>
      <c r="G68" s="23"/>
      <c r="H68" s="23"/>
      <c r="I68" s="22" t="str">
        <f aca="false">IF($B68="","",$B68*(IsverenPayiOrani+IssizlikOrani))</f>
        <v/>
      </c>
    </row>
    <row r="69" customFormat="false" ht="15" hidden="false" customHeight="false" outlineLevel="0" collapsed="false">
      <c r="A69" s="19"/>
      <c r="B69" s="20"/>
      <c r="C69" s="19"/>
      <c r="D69" s="23"/>
      <c r="E69" s="19"/>
      <c r="F69" s="23"/>
      <c r="G69" s="23"/>
      <c r="H69" s="23"/>
      <c r="I69" s="22" t="str">
        <f aca="false">IF($B69="","",$B69*(IsverenPayiOrani+IssizlikOrani))</f>
        <v/>
      </c>
    </row>
    <row r="70" customFormat="false" ht="15" hidden="false" customHeight="false" outlineLevel="0" collapsed="false">
      <c r="A70" s="19"/>
      <c r="B70" s="20"/>
      <c r="C70" s="19"/>
      <c r="D70" s="23"/>
      <c r="E70" s="19"/>
      <c r="F70" s="23"/>
      <c r="G70" s="23"/>
      <c r="H70" s="23"/>
      <c r="I70" s="22" t="str">
        <f aca="false">IF($B70="","",$B70*(IsverenPayiOrani+IssizlikOrani))</f>
        <v/>
      </c>
    </row>
    <row r="71" customFormat="false" ht="15" hidden="false" customHeight="false" outlineLevel="0" collapsed="false">
      <c r="A71" s="19"/>
      <c r="B71" s="20"/>
      <c r="C71" s="19"/>
      <c r="D71" s="23"/>
      <c r="E71" s="19"/>
      <c r="F71" s="23"/>
      <c r="G71" s="23"/>
      <c r="H71" s="23"/>
      <c r="I71" s="22" t="str">
        <f aca="false">IF($B71="","",$B71*(IsverenPayiOrani+IssizlikOrani))</f>
        <v/>
      </c>
    </row>
    <row r="72" customFormat="false" ht="15" hidden="false" customHeight="false" outlineLevel="0" collapsed="false">
      <c r="A72" s="19"/>
      <c r="B72" s="20"/>
      <c r="C72" s="19"/>
      <c r="D72" s="23"/>
      <c r="E72" s="19"/>
      <c r="F72" s="23"/>
      <c r="G72" s="23"/>
      <c r="H72" s="23"/>
      <c r="I72" s="22" t="str">
        <f aca="false">IF($B72="","",$B72*(IsverenPayiOrani+IssizlikOrani))</f>
        <v/>
      </c>
    </row>
    <row r="73" customFormat="false" ht="15" hidden="false" customHeight="false" outlineLevel="0" collapsed="false">
      <c r="A73" s="19"/>
      <c r="B73" s="20"/>
      <c r="C73" s="19"/>
      <c r="D73" s="23"/>
      <c r="E73" s="19"/>
      <c r="F73" s="23"/>
      <c r="G73" s="23"/>
      <c r="H73" s="23"/>
      <c r="I73" s="22" t="str">
        <f aca="false">IF($B73="","",$B73*(IsverenPayiOrani+IssizlikOrani))</f>
        <v/>
      </c>
    </row>
    <row r="74" customFormat="false" ht="15" hidden="false" customHeight="false" outlineLevel="0" collapsed="false">
      <c r="A74" s="19"/>
      <c r="B74" s="20"/>
      <c r="C74" s="19"/>
      <c r="D74" s="23"/>
      <c r="E74" s="19"/>
      <c r="F74" s="23"/>
      <c r="G74" s="23"/>
      <c r="H74" s="23"/>
      <c r="I74" s="22" t="str">
        <f aca="false">IF($B74="","",$B74*(IsverenPayiOrani+IssizlikOrani))</f>
        <v/>
      </c>
    </row>
    <row r="75" customFormat="false" ht="15" hidden="false" customHeight="false" outlineLevel="0" collapsed="false">
      <c r="A75" s="19"/>
      <c r="B75" s="20"/>
      <c r="C75" s="19"/>
      <c r="D75" s="23"/>
      <c r="E75" s="19"/>
      <c r="F75" s="23"/>
      <c r="G75" s="23"/>
      <c r="H75" s="23"/>
      <c r="I75" s="22" t="str">
        <f aca="false">IF($B75="","",$B75*(IsverenPayiOrani+IssizlikOrani))</f>
        <v/>
      </c>
    </row>
    <row r="76" customFormat="false" ht="15" hidden="false" customHeight="false" outlineLevel="0" collapsed="false">
      <c r="A76" s="19"/>
      <c r="B76" s="20"/>
      <c r="C76" s="19"/>
      <c r="D76" s="23"/>
      <c r="E76" s="19"/>
      <c r="F76" s="23"/>
      <c r="G76" s="23"/>
      <c r="H76" s="23"/>
      <c r="I76" s="22" t="str">
        <f aca="false">IF($B76="","",$B76*(IsverenPayiOrani+IssizlikOrani))</f>
        <v/>
      </c>
    </row>
    <row r="77" customFormat="false" ht="15" hidden="false" customHeight="false" outlineLevel="0" collapsed="false">
      <c r="A77" s="19"/>
      <c r="B77" s="20"/>
      <c r="C77" s="19"/>
      <c r="D77" s="23"/>
      <c r="E77" s="19"/>
      <c r="F77" s="23"/>
      <c r="G77" s="23"/>
      <c r="H77" s="23"/>
      <c r="I77" s="22" t="str">
        <f aca="false">IF($B77="","",$B77*(IsverenPayiOrani+IssizlikOrani))</f>
        <v/>
      </c>
    </row>
    <row r="78" customFormat="false" ht="15" hidden="false" customHeight="false" outlineLevel="0" collapsed="false">
      <c r="A78" s="19"/>
      <c r="B78" s="20"/>
      <c r="C78" s="19"/>
      <c r="D78" s="23"/>
      <c r="E78" s="19"/>
      <c r="F78" s="23"/>
      <c r="G78" s="23"/>
      <c r="H78" s="23"/>
      <c r="I78" s="22" t="str">
        <f aca="false">IF($B78="","",$B78*(IsverenPayiOrani+IssizlikOrani))</f>
        <v/>
      </c>
    </row>
    <row r="79" customFormat="false" ht="15" hidden="false" customHeight="false" outlineLevel="0" collapsed="false">
      <c r="A79" s="19"/>
      <c r="B79" s="20"/>
      <c r="C79" s="19"/>
      <c r="D79" s="23"/>
      <c r="E79" s="19"/>
      <c r="F79" s="23"/>
      <c r="G79" s="23"/>
      <c r="H79" s="23"/>
      <c r="I79" s="22" t="str">
        <f aca="false">IF($B79="","",$B79*(IsverenPayiOrani+IssizlikOrani))</f>
        <v/>
      </c>
    </row>
    <row r="80" customFormat="false" ht="15" hidden="false" customHeight="false" outlineLevel="0" collapsed="false">
      <c r="A80" s="19"/>
      <c r="B80" s="20"/>
      <c r="C80" s="19"/>
      <c r="D80" s="23"/>
      <c r="E80" s="19"/>
      <c r="F80" s="23"/>
      <c r="G80" s="23"/>
      <c r="H80" s="23"/>
      <c r="I80" s="22" t="str">
        <f aca="false">IF($B80="","",$B80*(IsverenPayiOrani+IssizlikOrani))</f>
        <v/>
      </c>
    </row>
    <row r="81" customFormat="false" ht="15" hidden="false" customHeight="false" outlineLevel="0" collapsed="false">
      <c r="A81" s="19"/>
      <c r="B81" s="20"/>
      <c r="C81" s="19"/>
      <c r="D81" s="23"/>
      <c r="E81" s="19"/>
      <c r="F81" s="23"/>
      <c r="G81" s="23"/>
      <c r="H81" s="23"/>
      <c r="I81" s="22" t="str">
        <f aca="false">IF($B81="","",$B81*(IsverenPayiOrani+IssizlikOrani))</f>
        <v/>
      </c>
    </row>
    <row r="82" customFormat="false" ht="15" hidden="false" customHeight="false" outlineLevel="0" collapsed="false">
      <c r="A82" s="19"/>
      <c r="B82" s="20"/>
      <c r="C82" s="19"/>
      <c r="D82" s="23"/>
      <c r="E82" s="19"/>
      <c r="F82" s="23"/>
      <c r="G82" s="23"/>
      <c r="H82" s="23"/>
      <c r="I82" s="22" t="str">
        <f aca="false">IF($B82="","",$B82*(IsverenPayiOrani+IssizlikOrani))</f>
        <v/>
      </c>
    </row>
    <row r="83" customFormat="false" ht="15" hidden="false" customHeight="false" outlineLevel="0" collapsed="false">
      <c r="A83" s="19"/>
      <c r="B83" s="20"/>
      <c r="C83" s="19"/>
      <c r="D83" s="23"/>
      <c r="E83" s="19"/>
      <c r="F83" s="23"/>
      <c r="G83" s="23"/>
      <c r="H83" s="23"/>
      <c r="I83" s="22" t="str">
        <f aca="false">IF($B83="","",$B83*(IsverenPayiOrani+IssizlikOrani))</f>
        <v/>
      </c>
    </row>
    <row r="84" customFormat="false" ht="15" hidden="false" customHeight="false" outlineLevel="0" collapsed="false">
      <c r="A84" s="19"/>
      <c r="B84" s="20"/>
      <c r="C84" s="19"/>
      <c r="D84" s="23"/>
      <c r="E84" s="19"/>
      <c r="F84" s="23"/>
      <c r="G84" s="23"/>
      <c r="H84" s="23"/>
      <c r="I84" s="22" t="str">
        <f aca="false">IF($B84="","",$B84*(IsverenPayiOrani+IssizlikOrani))</f>
        <v/>
      </c>
    </row>
    <row r="85" customFormat="false" ht="15" hidden="false" customHeight="false" outlineLevel="0" collapsed="false">
      <c r="A85" s="19"/>
      <c r="B85" s="20"/>
      <c r="C85" s="19"/>
      <c r="D85" s="23"/>
      <c r="E85" s="19"/>
      <c r="F85" s="23"/>
      <c r="G85" s="23"/>
      <c r="H85" s="23"/>
      <c r="I85" s="22" t="str">
        <f aca="false">IF($B85="","",$B85*(IsverenPayiOrani+IssizlikOrani))</f>
        <v/>
      </c>
    </row>
    <row r="86" customFormat="false" ht="15" hidden="false" customHeight="false" outlineLevel="0" collapsed="false">
      <c r="A86" s="19"/>
      <c r="B86" s="20"/>
      <c r="C86" s="19"/>
      <c r="D86" s="23"/>
      <c r="E86" s="19"/>
      <c r="F86" s="23"/>
      <c r="G86" s="23"/>
      <c r="H86" s="23"/>
      <c r="I86" s="22" t="str">
        <f aca="false">IF($B86="","",$B86*(IsverenPayiOrani+IssizlikOrani))</f>
        <v/>
      </c>
    </row>
    <row r="87" customFormat="false" ht="15" hidden="false" customHeight="false" outlineLevel="0" collapsed="false">
      <c r="A87" s="19"/>
      <c r="B87" s="20"/>
      <c r="C87" s="19"/>
      <c r="D87" s="23"/>
      <c r="E87" s="19"/>
      <c r="F87" s="23"/>
      <c r="G87" s="23"/>
      <c r="H87" s="23"/>
      <c r="I87" s="22" t="str">
        <f aca="false">IF($B87="","",$B87*(IsverenPayiOrani+IssizlikOrani))</f>
        <v/>
      </c>
    </row>
    <row r="88" customFormat="false" ht="15" hidden="false" customHeight="false" outlineLevel="0" collapsed="false">
      <c r="A88" s="19"/>
      <c r="B88" s="20"/>
      <c r="C88" s="19"/>
      <c r="D88" s="23"/>
      <c r="E88" s="19"/>
      <c r="F88" s="23"/>
      <c r="G88" s="23"/>
      <c r="H88" s="23"/>
      <c r="I88" s="22" t="str">
        <f aca="false">IF($B88="","",$B88*(IsverenPayiOrani+IssizlikOrani))</f>
        <v/>
      </c>
    </row>
    <row r="89" customFormat="false" ht="15" hidden="false" customHeight="false" outlineLevel="0" collapsed="false">
      <c r="A89" s="19"/>
      <c r="B89" s="20"/>
      <c r="C89" s="19"/>
      <c r="D89" s="23"/>
      <c r="E89" s="19"/>
      <c r="F89" s="23"/>
      <c r="G89" s="23"/>
      <c r="H89" s="23"/>
      <c r="I89" s="22" t="str">
        <f aca="false">IF($B89="","",$B89*(IsverenPayiOrani+IssizlikOrani))</f>
        <v/>
      </c>
    </row>
    <row r="90" customFormat="false" ht="15" hidden="false" customHeight="false" outlineLevel="0" collapsed="false">
      <c r="A90" s="19"/>
      <c r="B90" s="20"/>
      <c r="C90" s="19"/>
      <c r="D90" s="23"/>
      <c r="E90" s="19"/>
      <c r="F90" s="23"/>
      <c r="G90" s="23"/>
      <c r="H90" s="23"/>
      <c r="I90" s="22" t="str">
        <f aca="false">IF($B90="","",$B90*(IsverenPayiOrani+IssizlikOrani))</f>
        <v/>
      </c>
    </row>
    <row r="91" customFormat="false" ht="15" hidden="false" customHeight="false" outlineLevel="0" collapsed="false">
      <c r="A91" s="19"/>
      <c r="B91" s="20"/>
      <c r="C91" s="19"/>
      <c r="D91" s="23"/>
      <c r="E91" s="19"/>
      <c r="F91" s="23"/>
      <c r="G91" s="23"/>
      <c r="H91" s="23"/>
      <c r="I91" s="22" t="str">
        <f aca="false">IF($B91="","",$B91*(IsverenPayiOrani+IssizlikOrani))</f>
        <v/>
      </c>
    </row>
    <row r="92" customFormat="false" ht="15" hidden="false" customHeight="false" outlineLevel="0" collapsed="false">
      <c r="A92" s="19"/>
      <c r="B92" s="20"/>
      <c r="C92" s="19"/>
      <c r="D92" s="23"/>
      <c r="E92" s="19"/>
      <c r="F92" s="23"/>
      <c r="G92" s="23"/>
      <c r="H92" s="23"/>
      <c r="I92" s="22" t="str">
        <f aca="false">IF($B92="","",$B92*(IsverenPayiOrani+IssizlikOrani))</f>
        <v/>
      </c>
    </row>
    <row r="93" customFormat="false" ht="15" hidden="false" customHeight="false" outlineLevel="0" collapsed="false">
      <c r="A93" s="19"/>
      <c r="B93" s="20"/>
      <c r="C93" s="19"/>
      <c r="D93" s="23"/>
      <c r="E93" s="19"/>
      <c r="F93" s="23"/>
      <c r="G93" s="23"/>
      <c r="H93" s="23"/>
      <c r="I93" s="22" t="str">
        <f aca="false">IF($B93="","",$B93*(IsverenPayiOrani+IssizlikOrani))</f>
        <v/>
      </c>
    </row>
    <row r="94" customFormat="false" ht="15" hidden="false" customHeight="false" outlineLevel="0" collapsed="false">
      <c r="A94" s="19"/>
      <c r="B94" s="20"/>
      <c r="C94" s="19"/>
      <c r="D94" s="23"/>
      <c r="E94" s="19"/>
      <c r="F94" s="23"/>
      <c r="G94" s="23"/>
      <c r="H94" s="23"/>
      <c r="I94" s="22" t="str">
        <f aca="false">IF($B94="","",$B94*(IsverenPayiOrani+IssizlikOrani))</f>
        <v/>
      </c>
    </row>
    <row r="95" customFormat="false" ht="15" hidden="false" customHeight="false" outlineLevel="0" collapsed="false">
      <c r="A95" s="19"/>
      <c r="B95" s="20"/>
      <c r="C95" s="19"/>
      <c r="D95" s="23"/>
      <c r="E95" s="19"/>
      <c r="F95" s="23"/>
      <c r="G95" s="23"/>
      <c r="H95" s="23"/>
      <c r="I95" s="22" t="str">
        <f aca="false">IF($B95="","",$B95*(IsverenPayiOrani+IssizlikOrani))</f>
        <v/>
      </c>
    </row>
    <row r="96" customFormat="false" ht="15" hidden="false" customHeight="false" outlineLevel="0" collapsed="false">
      <c r="A96" s="19"/>
      <c r="B96" s="20"/>
      <c r="C96" s="19"/>
      <c r="D96" s="23"/>
      <c r="E96" s="19"/>
      <c r="F96" s="23"/>
      <c r="G96" s="23"/>
      <c r="H96" s="23"/>
      <c r="I96" s="22" t="str">
        <f aca="false">IF($B96="","",$B96*(IsverenPayiOrani+IssizlikOrani))</f>
        <v/>
      </c>
    </row>
    <row r="97" customFormat="false" ht="15" hidden="false" customHeight="false" outlineLevel="0" collapsed="false">
      <c r="A97" s="19"/>
      <c r="B97" s="20"/>
      <c r="C97" s="19"/>
      <c r="D97" s="23"/>
      <c r="E97" s="19"/>
      <c r="F97" s="23"/>
      <c r="G97" s="23"/>
      <c r="H97" s="23"/>
      <c r="I97" s="22" t="str">
        <f aca="false">IF($B97="","",$B97*(IsverenPayiOrani+IssizlikOrani))</f>
        <v/>
      </c>
    </row>
    <row r="98" customFormat="false" ht="15" hidden="false" customHeight="false" outlineLevel="0" collapsed="false">
      <c r="A98" s="19"/>
      <c r="B98" s="20"/>
      <c r="C98" s="19"/>
      <c r="D98" s="23"/>
      <c r="E98" s="19"/>
      <c r="F98" s="23"/>
      <c r="G98" s="23"/>
      <c r="H98" s="23"/>
      <c r="I98" s="22" t="str">
        <f aca="false">IF($B98="","",$B98*(IsverenPayiOrani+IssizlikOrani))</f>
        <v/>
      </c>
    </row>
    <row r="99" customFormat="false" ht="15" hidden="false" customHeight="false" outlineLevel="0" collapsed="false">
      <c r="A99" s="19"/>
      <c r="B99" s="20"/>
      <c r="C99" s="19"/>
      <c r="D99" s="23"/>
      <c r="E99" s="19"/>
      <c r="F99" s="23"/>
      <c r="G99" s="23"/>
      <c r="H99" s="23"/>
      <c r="I99" s="22" t="str">
        <f aca="false">IF($B99="","",$B99*(IsverenPayiOrani+IssizlikOrani))</f>
        <v/>
      </c>
    </row>
    <row r="100" customFormat="false" ht="15" hidden="false" customHeight="false" outlineLevel="0" collapsed="false">
      <c r="A100" s="19"/>
      <c r="B100" s="20"/>
      <c r="C100" s="19"/>
      <c r="D100" s="23"/>
      <c r="E100" s="19"/>
      <c r="F100" s="23"/>
      <c r="G100" s="23"/>
      <c r="H100" s="23"/>
      <c r="I100" s="22" t="str">
        <f aca="false">IF($B100="","",$B100*(IsverenPayiOrani+IssizlikOrani))</f>
        <v/>
      </c>
    </row>
    <row r="101" customFormat="false" ht="15" hidden="false" customHeight="false" outlineLevel="0" collapsed="false">
      <c r="A101" s="19"/>
      <c r="B101" s="20"/>
      <c r="C101" s="19"/>
      <c r="D101" s="23"/>
      <c r="E101" s="19"/>
      <c r="F101" s="23"/>
      <c r="G101" s="23"/>
      <c r="H101" s="23"/>
      <c r="I101" s="22" t="str">
        <f aca="false">IF($B101="","",$B101*(IsverenPayiOrani+IssizlikOrani))</f>
        <v/>
      </c>
    </row>
    <row r="102" customFormat="false" ht="15" hidden="false" customHeight="false" outlineLevel="0" collapsed="false">
      <c r="A102" s="19"/>
      <c r="B102" s="20"/>
      <c r="C102" s="19"/>
      <c r="D102" s="23"/>
      <c r="E102" s="19"/>
      <c r="F102" s="23"/>
      <c r="G102" s="23"/>
      <c r="H102" s="23"/>
      <c r="I102" s="22" t="str">
        <f aca="false">IF($B102="","",$B102*(IsverenPayiOrani+IssizlikOrani))</f>
        <v/>
      </c>
    </row>
    <row r="103" customFormat="false" ht="15" hidden="false" customHeight="false" outlineLevel="0" collapsed="false">
      <c r="A103" s="19"/>
      <c r="B103" s="20"/>
      <c r="C103" s="19"/>
      <c r="D103" s="23"/>
      <c r="E103" s="19"/>
      <c r="F103" s="23"/>
      <c r="G103" s="23"/>
      <c r="H103" s="23"/>
      <c r="I103" s="22" t="str">
        <f aca="false">IF($B103="","",$B103*(IsverenPayiOrani+IssizlikOrani))</f>
        <v/>
      </c>
    </row>
    <row r="104" customFormat="false" ht="15" hidden="false" customHeight="false" outlineLevel="0" collapsed="false">
      <c r="A104" s="19"/>
      <c r="B104" s="20"/>
      <c r="C104" s="19"/>
      <c r="D104" s="23"/>
      <c r="E104" s="19"/>
      <c r="F104" s="23"/>
      <c r="G104" s="23"/>
      <c r="H104" s="23"/>
      <c r="I104" s="22" t="str">
        <f aca="false">IF($B104="","",$B104*(IsverenPayiOrani+IssizlikOrani))</f>
        <v/>
      </c>
    </row>
    <row r="105" customFormat="false" ht="15" hidden="false" customHeight="false" outlineLevel="0" collapsed="false">
      <c r="A105" s="19"/>
      <c r="B105" s="20"/>
      <c r="C105" s="19"/>
      <c r="D105" s="23"/>
      <c r="E105" s="19"/>
      <c r="F105" s="23"/>
      <c r="G105" s="23"/>
      <c r="H105" s="23"/>
      <c r="I105" s="22" t="str">
        <f aca="false">IF($B105="","",$B105*(IsverenPayiOrani+IssizlikOrani))</f>
        <v/>
      </c>
    </row>
    <row r="106" customFormat="false" ht="15" hidden="false" customHeight="false" outlineLevel="0" collapsed="false">
      <c r="A106" s="19"/>
      <c r="B106" s="20"/>
      <c r="C106" s="19"/>
      <c r="D106" s="23"/>
      <c r="E106" s="19"/>
      <c r="F106" s="23"/>
      <c r="G106" s="23"/>
      <c r="H106" s="23"/>
      <c r="I106" s="22" t="str">
        <f aca="false">IF($B106="","",$B106*(IsverenPayiOrani+IssizlikOrani))</f>
        <v/>
      </c>
    </row>
    <row r="107" customFormat="false" ht="15" hidden="false" customHeight="false" outlineLevel="0" collapsed="false">
      <c r="A107" s="19"/>
      <c r="B107" s="20"/>
      <c r="C107" s="19"/>
      <c r="D107" s="23"/>
      <c r="E107" s="19"/>
      <c r="F107" s="23"/>
      <c r="G107" s="23"/>
      <c r="H107" s="23"/>
      <c r="I107" s="22" t="str">
        <f aca="false">IF($B107="","",$B107*(IsverenPayiOrani+IssizlikOrani))</f>
        <v/>
      </c>
    </row>
    <row r="108" customFormat="false" ht="15" hidden="false" customHeight="false" outlineLevel="0" collapsed="false">
      <c r="A108" s="19"/>
      <c r="B108" s="20"/>
      <c r="C108" s="19"/>
      <c r="D108" s="23"/>
      <c r="E108" s="19"/>
      <c r="F108" s="23"/>
      <c r="G108" s="23"/>
      <c r="H108" s="23"/>
      <c r="I108" s="22" t="str">
        <f aca="false">IF($B108="","",$B108*(IsverenPayiOrani+IssizlikOrani))</f>
        <v/>
      </c>
    </row>
    <row r="109" customFormat="false" ht="15" hidden="false" customHeight="false" outlineLevel="0" collapsed="false">
      <c r="A109" s="19"/>
      <c r="B109" s="20"/>
      <c r="C109" s="19"/>
      <c r="D109" s="23"/>
      <c r="E109" s="19"/>
      <c r="F109" s="23"/>
      <c r="G109" s="23"/>
      <c r="H109" s="23"/>
      <c r="I109" s="22" t="str">
        <f aca="false">IF($B109="","",$B109*(IsverenPayiOrani+IssizlikOrani))</f>
        <v/>
      </c>
    </row>
    <row r="110" customFormat="false" ht="15" hidden="false" customHeight="false" outlineLevel="0" collapsed="false">
      <c r="A110" s="19"/>
      <c r="B110" s="20"/>
      <c r="C110" s="19"/>
      <c r="D110" s="23"/>
      <c r="E110" s="19"/>
      <c r="F110" s="23"/>
      <c r="G110" s="23"/>
      <c r="H110" s="23"/>
      <c r="I110" s="22" t="str">
        <f aca="false">IF($B110="","",$B110*(IsverenPayiOrani+IssizlikOrani))</f>
        <v/>
      </c>
    </row>
    <row r="111" customFormat="false" ht="15" hidden="false" customHeight="false" outlineLevel="0" collapsed="false">
      <c r="A111" s="19"/>
      <c r="B111" s="20"/>
      <c r="C111" s="19"/>
      <c r="D111" s="23"/>
      <c r="E111" s="19"/>
      <c r="F111" s="23"/>
      <c r="G111" s="23"/>
      <c r="H111" s="23"/>
      <c r="I111" s="22" t="str">
        <f aca="false">IF($B111="","",$B111*(IsverenPayiOrani+IssizlikOrani))</f>
        <v/>
      </c>
    </row>
    <row r="112" customFormat="false" ht="15" hidden="false" customHeight="false" outlineLevel="0" collapsed="false">
      <c r="A112" s="19"/>
      <c r="B112" s="20"/>
      <c r="C112" s="19"/>
      <c r="D112" s="23"/>
      <c r="E112" s="19"/>
      <c r="F112" s="23"/>
      <c r="G112" s="23"/>
      <c r="H112" s="23"/>
      <c r="I112" s="22" t="str">
        <f aca="false">IF($B112="","",$B112*(IsverenPayiOrani+IssizlikOrani))</f>
        <v/>
      </c>
    </row>
    <row r="113" customFormat="false" ht="15" hidden="false" customHeight="false" outlineLevel="0" collapsed="false">
      <c r="A113" s="19"/>
      <c r="B113" s="20"/>
      <c r="C113" s="19"/>
      <c r="D113" s="23"/>
      <c r="E113" s="19"/>
      <c r="F113" s="23"/>
      <c r="G113" s="23"/>
      <c r="H113" s="23"/>
      <c r="I113" s="22" t="str">
        <f aca="false">IF($B113="","",$B113*(IsverenPayiOrani+IssizlikOrani))</f>
        <v/>
      </c>
    </row>
    <row r="114" customFormat="false" ht="15" hidden="false" customHeight="false" outlineLevel="0" collapsed="false">
      <c r="A114" s="19"/>
      <c r="B114" s="20"/>
      <c r="C114" s="19"/>
      <c r="D114" s="23"/>
      <c r="E114" s="19"/>
      <c r="F114" s="23"/>
      <c r="G114" s="23"/>
      <c r="H114" s="23"/>
      <c r="I114" s="22" t="str">
        <f aca="false">IF($B114="","",$B114*(IsverenPayiOrani+IssizlikOrani))</f>
        <v/>
      </c>
    </row>
    <row r="115" customFormat="false" ht="15" hidden="false" customHeight="false" outlineLevel="0" collapsed="false">
      <c r="A115" s="19"/>
      <c r="B115" s="20"/>
      <c r="C115" s="19"/>
      <c r="D115" s="23"/>
      <c r="E115" s="19"/>
      <c r="F115" s="23"/>
      <c r="G115" s="23"/>
      <c r="H115" s="23"/>
      <c r="I115" s="22" t="str">
        <f aca="false">IF($B115="","",$B115*(IsverenPayiOrani+IssizlikOrani))</f>
        <v/>
      </c>
    </row>
    <row r="116" customFormat="false" ht="15" hidden="false" customHeight="false" outlineLevel="0" collapsed="false">
      <c r="A116" s="19"/>
      <c r="B116" s="20"/>
      <c r="C116" s="19"/>
      <c r="D116" s="23"/>
      <c r="E116" s="19"/>
      <c r="F116" s="23"/>
      <c r="G116" s="23"/>
      <c r="H116" s="23"/>
      <c r="I116" s="22" t="str">
        <f aca="false">IF($B116="","",$B116*(IsverenPayiOrani+IssizlikOrani))</f>
        <v/>
      </c>
    </row>
    <row r="117" customFormat="false" ht="15" hidden="false" customHeight="false" outlineLevel="0" collapsed="false">
      <c r="A117" s="19"/>
      <c r="B117" s="20"/>
      <c r="C117" s="19"/>
      <c r="D117" s="23"/>
      <c r="E117" s="19"/>
      <c r="F117" s="23"/>
      <c r="G117" s="23"/>
      <c r="H117" s="23"/>
      <c r="I117" s="22" t="str">
        <f aca="false">IF($B117="","",$B117*(IsverenPayiOrani+IssizlikOrani))</f>
        <v/>
      </c>
    </row>
    <row r="118" customFormat="false" ht="15" hidden="false" customHeight="false" outlineLevel="0" collapsed="false">
      <c r="A118" s="19"/>
      <c r="B118" s="20"/>
      <c r="C118" s="19"/>
      <c r="D118" s="23"/>
      <c r="E118" s="19"/>
      <c r="F118" s="23"/>
      <c r="G118" s="23"/>
      <c r="H118" s="23"/>
      <c r="I118" s="22" t="str">
        <f aca="false">IF($B118="","",$B118*(IsverenPayiOrani+IssizlikOrani))</f>
        <v/>
      </c>
    </row>
    <row r="119" customFormat="false" ht="15" hidden="false" customHeight="false" outlineLevel="0" collapsed="false">
      <c r="A119" s="19"/>
      <c r="B119" s="20"/>
      <c r="C119" s="19"/>
      <c r="D119" s="23"/>
      <c r="E119" s="19"/>
      <c r="F119" s="23"/>
      <c r="G119" s="23"/>
      <c r="H119" s="23"/>
      <c r="I119" s="22" t="str">
        <f aca="false">IF($B119="","",$B119*(IsverenPayiOrani+IssizlikOrani))</f>
        <v/>
      </c>
    </row>
    <row r="120" customFormat="false" ht="15" hidden="false" customHeight="false" outlineLevel="0" collapsed="false">
      <c r="A120" s="19"/>
      <c r="B120" s="20"/>
      <c r="C120" s="19"/>
      <c r="D120" s="23"/>
      <c r="E120" s="19"/>
      <c r="F120" s="23"/>
      <c r="G120" s="23"/>
      <c r="H120" s="23"/>
      <c r="I120" s="22" t="str">
        <f aca="false">IF($B120="","",$B120*(IsverenPayiOrani+IssizlikOrani))</f>
        <v/>
      </c>
    </row>
    <row r="121" customFormat="false" ht="15" hidden="false" customHeight="false" outlineLevel="0" collapsed="false">
      <c r="A121" s="19"/>
      <c r="B121" s="20"/>
      <c r="C121" s="19"/>
      <c r="D121" s="23"/>
      <c r="E121" s="19"/>
      <c r="F121" s="23"/>
      <c r="G121" s="23"/>
      <c r="H121" s="23"/>
      <c r="I121" s="22" t="str">
        <f aca="false">IF($B121="","",$B121*(IsverenPayiOrani+IssizlikOrani))</f>
        <v/>
      </c>
    </row>
    <row r="122" customFormat="false" ht="15" hidden="false" customHeight="false" outlineLevel="0" collapsed="false">
      <c r="A122" s="19"/>
      <c r="B122" s="20"/>
      <c r="C122" s="19"/>
      <c r="D122" s="23"/>
      <c r="E122" s="19"/>
      <c r="F122" s="23"/>
      <c r="G122" s="23"/>
      <c r="H122" s="23"/>
      <c r="I122" s="22" t="str">
        <f aca="false">IF($B122="","",$B122*(IsverenPayiOrani+IssizlikOrani))</f>
        <v/>
      </c>
    </row>
    <row r="123" customFormat="false" ht="15" hidden="false" customHeight="false" outlineLevel="0" collapsed="false">
      <c r="A123" s="19"/>
      <c r="B123" s="20"/>
      <c r="C123" s="19"/>
      <c r="D123" s="23"/>
      <c r="E123" s="19"/>
      <c r="F123" s="23"/>
      <c r="G123" s="23"/>
      <c r="H123" s="23"/>
      <c r="I123" s="22" t="str">
        <f aca="false">IF($B123="","",$B123*(IsverenPayiOrani+IssizlikOrani))</f>
        <v/>
      </c>
    </row>
    <row r="124" customFormat="false" ht="15" hidden="false" customHeight="false" outlineLevel="0" collapsed="false">
      <c r="A124" s="19"/>
      <c r="B124" s="20"/>
      <c r="C124" s="19"/>
      <c r="D124" s="23"/>
      <c r="E124" s="19"/>
      <c r="F124" s="23"/>
      <c r="G124" s="23"/>
      <c r="H124" s="23"/>
      <c r="I124" s="22" t="str">
        <f aca="false">IF($B124="","",$B124*(IsverenPayiOrani+IssizlikOrani))</f>
        <v/>
      </c>
    </row>
    <row r="125" customFormat="false" ht="15" hidden="false" customHeight="false" outlineLevel="0" collapsed="false">
      <c r="A125" s="19"/>
      <c r="B125" s="20"/>
      <c r="C125" s="19"/>
      <c r="D125" s="23"/>
      <c r="E125" s="19"/>
      <c r="F125" s="23"/>
      <c r="G125" s="23"/>
      <c r="H125" s="23"/>
      <c r="I125" s="22" t="str">
        <f aca="false">IF($B125="","",$B125*(IsverenPayiOrani+IssizlikOrani))</f>
        <v/>
      </c>
    </row>
    <row r="126" customFormat="false" ht="15" hidden="false" customHeight="false" outlineLevel="0" collapsed="false">
      <c r="A126" s="19"/>
      <c r="B126" s="20"/>
      <c r="C126" s="19"/>
      <c r="D126" s="23"/>
      <c r="E126" s="19"/>
      <c r="F126" s="23"/>
      <c r="G126" s="23"/>
      <c r="H126" s="23"/>
      <c r="I126" s="22" t="str">
        <f aca="false">IF($B126="","",$B126*(IsverenPayiOrani+IssizlikOrani))</f>
        <v/>
      </c>
    </row>
    <row r="127" customFormat="false" ht="15" hidden="false" customHeight="false" outlineLevel="0" collapsed="false">
      <c r="A127" s="19"/>
      <c r="B127" s="20"/>
      <c r="C127" s="19"/>
      <c r="D127" s="23"/>
      <c r="E127" s="19"/>
      <c r="F127" s="23"/>
      <c r="G127" s="23"/>
      <c r="H127" s="23"/>
      <c r="I127" s="22" t="str">
        <f aca="false">IF($B127="","",$B127*(IsverenPayiOrani+IssizlikOrani))</f>
        <v/>
      </c>
    </row>
    <row r="128" customFormat="false" ht="15" hidden="false" customHeight="false" outlineLevel="0" collapsed="false">
      <c r="A128" s="19"/>
      <c r="B128" s="20"/>
      <c r="C128" s="19"/>
      <c r="D128" s="23"/>
      <c r="E128" s="19"/>
      <c r="F128" s="23"/>
      <c r="G128" s="23"/>
      <c r="H128" s="23"/>
      <c r="I128" s="22" t="str">
        <f aca="false">IF($B128="","",$B128*(IsverenPayiOrani+IssizlikOrani))</f>
        <v/>
      </c>
    </row>
    <row r="129" customFormat="false" ht="15" hidden="false" customHeight="false" outlineLevel="0" collapsed="false">
      <c r="A129" s="19"/>
      <c r="B129" s="20"/>
      <c r="C129" s="19"/>
      <c r="D129" s="23"/>
      <c r="E129" s="19"/>
      <c r="F129" s="23"/>
      <c r="G129" s="23"/>
      <c r="H129" s="23"/>
      <c r="I129" s="22" t="str">
        <f aca="false">IF($B129="","",$B129*(IsverenPayiOrani+IssizlikOrani))</f>
        <v/>
      </c>
    </row>
    <row r="130" customFormat="false" ht="15" hidden="false" customHeight="false" outlineLevel="0" collapsed="false">
      <c r="A130" s="19"/>
      <c r="B130" s="20"/>
      <c r="C130" s="19"/>
      <c r="D130" s="23"/>
      <c r="E130" s="19"/>
      <c r="F130" s="23"/>
      <c r="G130" s="23"/>
      <c r="H130" s="23"/>
      <c r="I130" s="22" t="str">
        <f aca="false">IF($B130="","",$B130*(IsverenPayiOrani+IssizlikOrani))</f>
        <v/>
      </c>
    </row>
    <row r="131" customFormat="false" ht="15" hidden="false" customHeight="false" outlineLevel="0" collapsed="false">
      <c r="A131" s="19"/>
      <c r="B131" s="20"/>
      <c r="C131" s="19"/>
      <c r="D131" s="23"/>
      <c r="E131" s="19"/>
      <c r="F131" s="23"/>
      <c r="G131" s="23"/>
      <c r="H131" s="23"/>
      <c r="I131" s="22" t="str">
        <f aca="false">IF($B131="","",$B131*(IsverenPayiOrani+IssizlikOrani))</f>
        <v/>
      </c>
    </row>
    <row r="132" customFormat="false" ht="15" hidden="false" customHeight="false" outlineLevel="0" collapsed="false">
      <c r="A132" s="19"/>
      <c r="B132" s="20"/>
      <c r="C132" s="19"/>
      <c r="D132" s="23"/>
      <c r="E132" s="19"/>
      <c r="F132" s="23"/>
      <c r="G132" s="23"/>
      <c r="H132" s="23"/>
      <c r="I132" s="22" t="str">
        <f aca="false">IF($B132="","",$B132*(IsverenPayiOrani+IssizlikOrani))</f>
        <v/>
      </c>
    </row>
    <row r="133" customFormat="false" ht="15" hidden="false" customHeight="false" outlineLevel="0" collapsed="false">
      <c r="A133" s="19"/>
      <c r="B133" s="20"/>
      <c r="C133" s="19"/>
      <c r="D133" s="23"/>
      <c r="E133" s="19"/>
      <c r="F133" s="23"/>
      <c r="G133" s="23"/>
      <c r="H133" s="23"/>
      <c r="I133" s="22" t="str">
        <f aca="false">IF($B133="","",$B133*(IsverenPayiOrani+IssizlikOrani))</f>
        <v/>
      </c>
    </row>
    <row r="134" customFormat="false" ht="15" hidden="false" customHeight="false" outlineLevel="0" collapsed="false">
      <c r="A134" s="19"/>
      <c r="B134" s="20"/>
      <c r="C134" s="19"/>
      <c r="D134" s="23"/>
      <c r="E134" s="19"/>
      <c r="F134" s="23"/>
      <c r="G134" s="23"/>
      <c r="H134" s="23"/>
      <c r="I134" s="22" t="str">
        <f aca="false">IF($B134="","",$B134*(IsverenPayiOrani+IssizlikOrani))</f>
        <v/>
      </c>
    </row>
    <row r="135" customFormat="false" ht="15" hidden="false" customHeight="false" outlineLevel="0" collapsed="false">
      <c r="A135" s="19"/>
      <c r="B135" s="20"/>
      <c r="C135" s="19"/>
      <c r="D135" s="23"/>
      <c r="E135" s="19"/>
      <c r="F135" s="23"/>
      <c r="G135" s="23"/>
      <c r="H135" s="23"/>
      <c r="I135" s="22" t="str">
        <f aca="false">IF($B135="","",$B135*(IsverenPayiOrani+IssizlikOrani))</f>
        <v/>
      </c>
    </row>
    <row r="136" customFormat="false" ht="15" hidden="false" customHeight="false" outlineLevel="0" collapsed="false">
      <c r="A136" s="19"/>
      <c r="B136" s="20"/>
      <c r="C136" s="19"/>
      <c r="D136" s="23"/>
      <c r="E136" s="19"/>
      <c r="F136" s="23"/>
      <c r="G136" s="23"/>
      <c r="H136" s="23"/>
      <c r="I136" s="22" t="str">
        <f aca="false">IF($B136="","",$B136*(IsverenPayiOrani+IssizlikOrani))</f>
        <v/>
      </c>
    </row>
    <row r="137" customFormat="false" ht="15" hidden="false" customHeight="false" outlineLevel="0" collapsed="false">
      <c r="A137" s="19"/>
      <c r="B137" s="20"/>
      <c r="C137" s="19"/>
      <c r="D137" s="23"/>
      <c r="E137" s="19"/>
      <c r="F137" s="23"/>
      <c r="G137" s="23"/>
      <c r="H137" s="23"/>
      <c r="I137" s="22" t="str">
        <f aca="false">IF($B137="","",$B137*(IsverenPayiOrani+IssizlikOrani))</f>
        <v/>
      </c>
    </row>
    <row r="138" customFormat="false" ht="15" hidden="false" customHeight="false" outlineLevel="0" collapsed="false">
      <c r="A138" s="19"/>
      <c r="B138" s="20"/>
      <c r="C138" s="19"/>
      <c r="D138" s="23"/>
      <c r="E138" s="19"/>
      <c r="F138" s="23"/>
      <c r="G138" s="23"/>
      <c r="H138" s="23"/>
      <c r="I138" s="22" t="str">
        <f aca="false">IF($B138="","",$B138*(IsverenPayiOrani+IssizlikOrani))</f>
        <v/>
      </c>
    </row>
    <row r="139" customFormat="false" ht="15" hidden="false" customHeight="false" outlineLevel="0" collapsed="false">
      <c r="A139" s="19"/>
      <c r="B139" s="20"/>
      <c r="C139" s="19"/>
      <c r="D139" s="23"/>
      <c r="E139" s="19"/>
      <c r="F139" s="23"/>
      <c r="G139" s="23"/>
      <c r="H139" s="23"/>
      <c r="I139" s="22" t="str">
        <f aca="false">IF($B139="","",$B139*(IsverenPayiOrani+IssizlikOrani))</f>
        <v/>
      </c>
    </row>
    <row r="140" customFormat="false" ht="15" hidden="false" customHeight="false" outlineLevel="0" collapsed="false">
      <c r="A140" s="19"/>
      <c r="B140" s="20"/>
      <c r="C140" s="19"/>
      <c r="D140" s="23"/>
      <c r="E140" s="19"/>
      <c r="F140" s="23"/>
      <c r="G140" s="23"/>
      <c r="H140" s="23"/>
      <c r="I140" s="22" t="str">
        <f aca="false">IF($B140="","",$B140*(IsverenPayiOrani+IssizlikOrani))</f>
        <v/>
      </c>
    </row>
    <row r="141" customFormat="false" ht="15" hidden="false" customHeight="false" outlineLevel="0" collapsed="false">
      <c r="A141" s="19"/>
      <c r="B141" s="20"/>
      <c r="C141" s="19"/>
      <c r="D141" s="23"/>
      <c r="E141" s="19"/>
      <c r="F141" s="23"/>
      <c r="G141" s="23"/>
      <c r="H141" s="23"/>
      <c r="I141" s="22" t="str">
        <f aca="false">IF($B141="","",$B141*(IsverenPayiOrani+IssizlikOrani))</f>
        <v/>
      </c>
    </row>
    <row r="142" customFormat="false" ht="15" hidden="false" customHeight="false" outlineLevel="0" collapsed="false">
      <c r="A142" s="19"/>
      <c r="B142" s="20"/>
      <c r="C142" s="19"/>
      <c r="D142" s="23"/>
      <c r="E142" s="19"/>
      <c r="F142" s="23"/>
      <c r="G142" s="23"/>
      <c r="H142" s="23"/>
      <c r="I142" s="22" t="str">
        <f aca="false">IF($B142="","",$B142*(IsverenPayiOrani+IssizlikOrani))</f>
        <v/>
      </c>
    </row>
    <row r="143" customFormat="false" ht="15" hidden="false" customHeight="false" outlineLevel="0" collapsed="false">
      <c r="A143" s="19"/>
      <c r="B143" s="20"/>
      <c r="C143" s="19"/>
      <c r="D143" s="23"/>
      <c r="E143" s="19"/>
      <c r="F143" s="23"/>
      <c r="G143" s="23"/>
      <c r="H143" s="23"/>
      <c r="I143" s="22" t="str">
        <f aca="false">IF($B143="","",$B143*(IsverenPayiOrani+IssizlikOrani))</f>
        <v/>
      </c>
    </row>
    <row r="144" customFormat="false" ht="15" hidden="false" customHeight="false" outlineLevel="0" collapsed="false">
      <c r="A144" s="19"/>
      <c r="B144" s="20"/>
      <c r="C144" s="19"/>
      <c r="D144" s="23"/>
      <c r="E144" s="19"/>
      <c r="F144" s="23"/>
      <c r="G144" s="23"/>
      <c r="H144" s="23"/>
      <c r="I144" s="22" t="str">
        <f aca="false">IF($B144="","",$B144*(IsverenPayiOrani+IssizlikOrani))</f>
        <v/>
      </c>
    </row>
    <row r="145" customFormat="false" ht="15" hidden="false" customHeight="false" outlineLevel="0" collapsed="false">
      <c r="A145" s="19"/>
      <c r="B145" s="20"/>
      <c r="C145" s="19"/>
      <c r="D145" s="23"/>
      <c r="E145" s="19"/>
      <c r="F145" s="23"/>
      <c r="G145" s="23"/>
      <c r="H145" s="23"/>
      <c r="I145" s="22" t="str">
        <f aca="false">IF($B145="","",$B145*(IsverenPayiOrani+IssizlikOrani))</f>
        <v/>
      </c>
    </row>
    <row r="146" customFormat="false" ht="15" hidden="false" customHeight="false" outlineLevel="0" collapsed="false">
      <c r="A146" s="19"/>
      <c r="B146" s="20"/>
      <c r="C146" s="19"/>
      <c r="D146" s="23"/>
      <c r="E146" s="19"/>
      <c r="F146" s="23"/>
      <c r="G146" s="23"/>
      <c r="H146" s="23"/>
      <c r="I146" s="22" t="str">
        <f aca="false">IF($B146="","",$B146*(IsverenPayiOrani+IssizlikOrani))</f>
        <v/>
      </c>
    </row>
    <row r="147" customFormat="false" ht="15" hidden="false" customHeight="false" outlineLevel="0" collapsed="false">
      <c r="A147" s="19"/>
      <c r="B147" s="20"/>
      <c r="C147" s="19"/>
      <c r="D147" s="23"/>
      <c r="E147" s="19"/>
      <c r="F147" s="23"/>
      <c r="G147" s="23"/>
      <c r="H147" s="23"/>
      <c r="I147" s="22" t="str">
        <f aca="false">IF($B147="","",$B147*(IsverenPayiOrani+IssizlikOrani))</f>
        <v/>
      </c>
    </row>
    <row r="148" customFormat="false" ht="15" hidden="false" customHeight="false" outlineLevel="0" collapsed="false">
      <c r="A148" s="19"/>
      <c r="B148" s="20"/>
      <c r="C148" s="19"/>
      <c r="D148" s="23"/>
      <c r="E148" s="19"/>
      <c r="F148" s="23"/>
      <c r="G148" s="23"/>
      <c r="H148" s="23"/>
      <c r="I148" s="22" t="str">
        <f aca="false">IF($B148="","",$B148*(IsverenPayiOrani+IssizlikOrani))</f>
        <v/>
      </c>
    </row>
    <row r="149" customFormat="false" ht="15" hidden="false" customHeight="false" outlineLevel="0" collapsed="false">
      <c r="A149" s="19"/>
      <c r="B149" s="20"/>
      <c r="C149" s="19"/>
      <c r="D149" s="23"/>
      <c r="E149" s="19"/>
      <c r="F149" s="23"/>
      <c r="G149" s="23"/>
      <c r="H149" s="23"/>
      <c r="I149" s="22" t="str">
        <f aca="false">IF($B149="","",$B149*(IsverenPayiOrani+IssizlikOrani))</f>
        <v/>
      </c>
    </row>
    <row r="150" customFormat="false" ht="15" hidden="false" customHeight="false" outlineLevel="0" collapsed="false">
      <c r="A150" s="19"/>
      <c r="B150" s="20"/>
      <c r="C150" s="19"/>
      <c r="D150" s="23"/>
      <c r="E150" s="19"/>
      <c r="F150" s="23"/>
      <c r="G150" s="23"/>
      <c r="H150" s="23"/>
      <c r="I150" s="22" t="str">
        <f aca="false">IF($B150="","",$B150*(IsverenPayiOrani+IssizlikOrani))</f>
        <v/>
      </c>
    </row>
    <row r="151" customFormat="false" ht="15" hidden="false" customHeight="false" outlineLevel="0" collapsed="false">
      <c r="A151" s="19"/>
      <c r="B151" s="20"/>
      <c r="C151" s="19"/>
      <c r="D151" s="23"/>
      <c r="E151" s="19"/>
      <c r="F151" s="23"/>
      <c r="G151" s="23"/>
      <c r="H151" s="23"/>
      <c r="I151" s="22" t="str">
        <f aca="false">IF($B151="","",$B151*(IsverenPayiOrani+IssizlikOrani))</f>
        <v/>
      </c>
    </row>
    <row r="152" customFormat="false" ht="15" hidden="false" customHeight="false" outlineLevel="0" collapsed="false">
      <c r="A152" s="19"/>
      <c r="B152" s="20"/>
      <c r="C152" s="19"/>
      <c r="D152" s="23"/>
      <c r="E152" s="19"/>
      <c r="F152" s="23"/>
      <c r="G152" s="23"/>
      <c r="H152" s="23"/>
      <c r="I152" s="22" t="str">
        <f aca="false">IF($B152="","",$B152*(IsverenPayiOrani+IssizlikOrani))</f>
        <v/>
      </c>
    </row>
    <row r="153" customFormat="false" ht="15" hidden="false" customHeight="false" outlineLevel="0" collapsed="false">
      <c r="A153" s="19"/>
      <c r="B153" s="20"/>
      <c r="C153" s="19"/>
      <c r="D153" s="23"/>
      <c r="E153" s="19"/>
      <c r="F153" s="23"/>
      <c r="G153" s="23"/>
      <c r="H153" s="23"/>
      <c r="I153" s="22" t="str">
        <f aca="false">IF($B153="","",$B153*(IsverenPayiOrani+IssizlikOrani))</f>
        <v/>
      </c>
    </row>
    <row r="154" customFormat="false" ht="15" hidden="false" customHeight="false" outlineLevel="0" collapsed="false">
      <c r="A154" s="19"/>
      <c r="B154" s="20"/>
      <c r="C154" s="19"/>
      <c r="D154" s="23"/>
      <c r="E154" s="19"/>
      <c r="F154" s="23"/>
      <c r="G154" s="23"/>
      <c r="H154" s="23"/>
      <c r="I154" s="22" t="str">
        <f aca="false">IF($B154="","",$B154*(IsverenPayiOrani+IssizlikOrani))</f>
        <v/>
      </c>
    </row>
    <row r="155" customFormat="false" ht="15" hidden="false" customHeight="false" outlineLevel="0" collapsed="false">
      <c r="A155" s="19"/>
      <c r="B155" s="20"/>
      <c r="C155" s="19"/>
      <c r="D155" s="23"/>
      <c r="E155" s="19"/>
      <c r="F155" s="23"/>
      <c r="G155" s="23"/>
      <c r="H155" s="23"/>
      <c r="I155" s="22" t="str">
        <f aca="false">IF($B155="","",$B155*(IsverenPayiOrani+IssizlikOrani))</f>
        <v/>
      </c>
    </row>
    <row r="156" customFormat="false" ht="15" hidden="false" customHeight="false" outlineLevel="0" collapsed="false">
      <c r="A156" s="19"/>
      <c r="B156" s="20"/>
      <c r="C156" s="19"/>
      <c r="D156" s="23"/>
      <c r="E156" s="19"/>
      <c r="F156" s="23"/>
      <c r="G156" s="23"/>
      <c r="H156" s="23"/>
      <c r="I156" s="22" t="str">
        <f aca="false">IF($B156="","",$B156*(IsverenPayiOrani+IssizlikOrani))</f>
        <v/>
      </c>
    </row>
    <row r="157" customFormat="false" ht="15" hidden="false" customHeight="false" outlineLevel="0" collapsed="false">
      <c r="A157" s="19"/>
      <c r="B157" s="20"/>
      <c r="C157" s="19"/>
      <c r="D157" s="23"/>
      <c r="E157" s="19"/>
      <c r="F157" s="23"/>
      <c r="G157" s="23"/>
      <c r="H157" s="23"/>
      <c r="I157" s="22" t="str">
        <f aca="false">IF($B157="","",$B157*(IsverenPayiOrani+IssizlikOrani))</f>
        <v/>
      </c>
    </row>
    <row r="158" customFormat="false" ht="15" hidden="false" customHeight="false" outlineLevel="0" collapsed="false">
      <c r="A158" s="19"/>
      <c r="B158" s="20"/>
      <c r="C158" s="19"/>
      <c r="D158" s="23"/>
      <c r="E158" s="19"/>
      <c r="F158" s="23"/>
      <c r="G158" s="23"/>
      <c r="H158" s="23"/>
      <c r="I158" s="22" t="str">
        <f aca="false">IF($B158="","",$B158*(IsverenPayiOrani+IssizlikOrani))</f>
        <v/>
      </c>
    </row>
    <row r="159" customFormat="false" ht="15" hidden="false" customHeight="false" outlineLevel="0" collapsed="false">
      <c r="A159" s="19"/>
      <c r="B159" s="20"/>
      <c r="C159" s="19"/>
      <c r="D159" s="23"/>
      <c r="E159" s="19"/>
      <c r="F159" s="23"/>
      <c r="G159" s="23"/>
      <c r="H159" s="23"/>
      <c r="I159" s="22" t="str">
        <f aca="false">IF($B159="","",$B159*(IsverenPayiOrani+IssizlikOrani))</f>
        <v/>
      </c>
    </row>
    <row r="160" customFormat="false" ht="15" hidden="false" customHeight="false" outlineLevel="0" collapsed="false">
      <c r="A160" s="19"/>
      <c r="B160" s="20"/>
      <c r="C160" s="19"/>
      <c r="D160" s="23"/>
      <c r="E160" s="19"/>
      <c r="F160" s="23"/>
      <c r="G160" s="23"/>
      <c r="H160" s="23"/>
      <c r="I160" s="22" t="str">
        <f aca="false">IF($B160="","",$B160*(IsverenPayiOrani+IssizlikOrani))</f>
        <v/>
      </c>
    </row>
    <row r="161" customFormat="false" ht="15" hidden="false" customHeight="false" outlineLevel="0" collapsed="false">
      <c r="A161" s="19"/>
      <c r="B161" s="20"/>
      <c r="C161" s="19"/>
      <c r="D161" s="23"/>
      <c r="E161" s="19"/>
      <c r="F161" s="23"/>
      <c r="G161" s="23"/>
      <c r="H161" s="23"/>
      <c r="I161" s="22" t="str">
        <f aca="false">IF($B161="","",$B161*(IsverenPayiOrani+IssizlikOrani))</f>
        <v/>
      </c>
    </row>
    <row r="162" customFormat="false" ht="15" hidden="false" customHeight="false" outlineLevel="0" collapsed="false">
      <c r="A162" s="19"/>
      <c r="B162" s="20"/>
      <c r="C162" s="19"/>
      <c r="D162" s="23"/>
      <c r="E162" s="19"/>
      <c r="F162" s="23"/>
      <c r="G162" s="23"/>
      <c r="H162" s="23"/>
      <c r="I162" s="22" t="str">
        <f aca="false">IF($B162="","",$B162*(IsverenPayiOrani+IssizlikOrani))</f>
        <v/>
      </c>
    </row>
    <row r="163" customFormat="false" ht="15" hidden="false" customHeight="false" outlineLevel="0" collapsed="false">
      <c r="A163" s="19"/>
      <c r="B163" s="20"/>
      <c r="C163" s="19"/>
      <c r="D163" s="23"/>
      <c r="E163" s="19"/>
      <c r="F163" s="23"/>
      <c r="G163" s="23"/>
      <c r="H163" s="23"/>
      <c r="I163" s="22" t="str">
        <f aca="false">IF($B163="","",$B163*(IsverenPayiOrani+IssizlikOrani))</f>
        <v/>
      </c>
    </row>
    <row r="164" customFormat="false" ht="15" hidden="false" customHeight="false" outlineLevel="0" collapsed="false">
      <c r="A164" s="19"/>
      <c r="B164" s="20"/>
      <c r="C164" s="19"/>
      <c r="D164" s="23"/>
      <c r="E164" s="19"/>
      <c r="F164" s="23"/>
      <c r="G164" s="23"/>
      <c r="H164" s="23"/>
      <c r="I164" s="22" t="str">
        <f aca="false">IF($B164="","",$B164*(IsverenPayiOrani+IssizlikOrani))</f>
        <v/>
      </c>
    </row>
    <row r="165" customFormat="false" ht="15" hidden="false" customHeight="false" outlineLevel="0" collapsed="false">
      <c r="A165" s="19"/>
      <c r="B165" s="20"/>
      <c r="C165" s="19"/>
      <c r="D165" s="23"/>
      <c r="E165" s="19"/>
      <c r="F165" s="23"/>
      <c r="G165" s="23"/>
      <c r="H165" s="23"/>
      <c r="I165" s="22" t="str">
        <f aca="false">IF($B165="","",$B165*(IsverenPayiOrani+IssizlikOrani))</f>
        <v/>
      </c>
    </row>
    <row r="166" customFormat="false" ht="15" hidden="false" customHeight="false" outlineLevel="0" collapsed="false">
      <c r="A166" s="19"/>
      <c r="B166" s="20"/>
      <c r="C166" s="19"/>
      <c r="D166" s="23"/>
      <c r="E166" s="19"/>
      <c r="F166" s="23"/>
      <c r="G166" s="23"/>
      <c r="H166" s="23"/>
      <c r="I166" s="22" t="str">
        <f aca="false">IF($B166="","",$B166*(IsverenPayiOrani+IssizlikOrani))</f>
        <v/>
      </c>
    </row>
    <row r="167" customFormat="false" ht="15" hidden="false" customHeight="false" outlineLevel="0" collapsed="false">
      <c r="A167" s="19"/>
      <c r="B167" s="20"/>
      <c r="C167" s="19"/>
      <c r="D167" s="23"/>
      <c r="E167" s="19"/>
      <c r="F167" s="23"/>
      <c r="G167" s="23"/>
      <c r="H167" s="23"/>
      <c r="I167" s="22" t="str">
        <f aca="false">IF($B167="","",$B167*(IsverenPayiOrani+IssizlikOrani))</f>
        <v/>
      </c>
    </row>
    <row r="168" customFormat="false" ht="15" hidden="false" customHeight="false" outlineLevel="0" collapsed="false">
      <c r="A168" s="19"/>
      <c r="B168" s="20"/>
      <c r="C168" s="19"/>
      <c r="D168" s="23"/>
      <c r="E168" s="19"/>
      <c r="F168" s="23"/>
      <c r="G168" s="23"/>
      <c r="H168" s="23"/>
      <c r="I168" s="22" t="str">
        <f aca="false">IF($B168="","",$B168*(IsverenPayiOrani+IssizlikOrani))</f>
        <v/>
      </c>
    </row>
    <row r="169" customFormat="false" ht="15" hidden="false" customHeight="false" outlineLevel="0" collapsed="false">
      <c r="A169" s="19"/>
      <c r="B169" s="20"/>
      <c r="C169" s="19"/>
      <c r="D169" s="23"/>
      <c r="E169" s="19"/>
      <c r="F169" s="23"/>
      <c r="G169" s="23"/>
      <c r="H169" s="23"/>
      <c r="I169" s="22" t="str">
        <f aca="false">IF($B169="","",$B169*(IsverenPayiOrani+IssizlikOrani))</f>
        <v/>
      </c>
    </row>
    <row r="170" customFormat="false" ht="15" hidden="false" customHeight="false" outlineLevel="0" collapsed="false">
      <c r="A170" s="19"/>
      <c r="B170" s="20"/>
      <c r="C170" s="19"/>
      <c r="D170" s="23"/>
      <c r="E170" s="19"/>
      <c r="F170" s="23"/>
      <c r="G170" s="23"/>
      <c r="H170" s="23"/>
      <c r="I170" s="22" t="str">
        <f aca="false">IF($B170="","",$B170*(IsverenPayiOrani+IssizlikOrani))</f>
        <v/>
      </c>
    </row>
    <row r="171" customFormat="false" ht="15" hidden="false" customHeight="false" outlineLevel="0" collapsed="false">
      <c r="A171" s="19"/>
      <c r="B171" s="20"/>
      <c r="C171" s="19"/>
      <c r="D171" s="23"/>
      <c r="E171" s="19"/>
      <c r="F171" s="23"/>
      <c r="G171" s="23"/>
      <c r="H171" s="23"/>
      <c r="I171" s="22" t="str">
        <f aca="false">IF($B171="","",$B171*(IsverenPayiOrani+IssizlikOrani))</f>
        <v/>
      </c>
    </row>
    <row r="172" customFormat="false" ht="15" hidden="false" customHeight="false" outlineLevel="0" collapsed="false">
      <c r="A172" s="19"/>
      <c r="B172" s="20"/>
      <c r="C172" s="19"/>
      <c r="D172" s="23"/>
      <c r="E172" s="19"/>
      <c r="F172" s="23"/>
      <c r="G172" s="23"/>
      <c r="H172" s="23"/>
      <c r="I172" s="22" t="str">
        <f aca="false">IF($B172="","",$B172*(IsverenPayiOrani+IssizlikOrani))</f>
        <v/>
      </c>
    </row>
    <row r="173" customFormat="false" ht="15" hidden="false" customHeight="false" outlineLevel="0" collapsed="false">
      <c r="A173" s="19"/>
      <c r="B173" s="20"/>
      <c r="C173" s="19"/>
      <c r="D173" s="23"/>
      <c r="E173" s="19"/>
      <c r="F173" s="23"/>
      <c r="G173" s="23"/>
      <c r="H173" s="23"/>
      <c r="I173" s="22" t="str">
        <f aca="false">IF($B173="","",$B173*(IsverenPayiOrani+IssizlikOrani))</f>
        <v/>
      </c>
    </row>
    <row r="174" customFormat="false" ht="15" hidden="false" customHeight="false" outlineLevel="0" collapsed="false">
      <c r="A174" s="19"/>
      <c r="B174" s="20"/>
      <c r="C174" s="19"/>
      <c r="D174" s="23"/>
      <c r="E174" s="19"/>
      <c r="F174" s="23"/>
      <c r="G174" s="23"/>
      <c r="H174" s="23"/>
      <c r="I174" s="22" t="str">
        <f aca="false">IF($B174="","",$B174*(IsverenPayiOrani+IssizlikOrani))</f>
        <v/>
      </c>
    </row>
    <row r="175" customFormat="false" ht="15" hidden="false" customHeight="false" outlineLevel="0" collapsed="false">
      <c r="A175" s="19"/>
      <c r="B175" s="20"/>
      <c r="C175" s="19"/>
      <c r="D175" s="23"/>
      <c r="E175" s="19"/>
      <c r="F175" s="23"/>
      <c r="G175" s="23"/>
      <c r="H175" s="23"/>
      <c r="I175" s="22" t="str">
        <f aca="false">IF($B175="","",$B175*(IsverenPayiOrani+IssizlikOrani))</f>
        <v/>
      </c>
    </row>
    <row r="176" customFormat="false" ht="15" hidden="false" customHeight="false" outlineLevel="0" collapsed="false">
      <c r="A176" s="19"/>
      <c r="B176" s="20"/>
      <c r="C176" s="19"/>
      <c r="D176" s="23"/>
      <c r="E176" s="19"/>
      <c r="F176" s="23"/>
      <c r="G176" s="23"/>
      <c r="H176" s="23"/>
      <c r="I176" s="22" t="str">
        <f aca="false">IF($B176="","",$B176*(IsverenPayiOrani+IssizlikOrani))</f>
        <v/>
      </c>
    </row>
    <row r="177" customFormat="false" ht="15" hidden="false" customHeight="false" outlineLevel="0" collapsed="false">
      <c r="A177" s="19"/>
      <c r="B177" s="20"/>
      <c r="C177" s="19"/>
      <c r="D177" s="23"/>
      <c r="E177" s="19"/>
      <c r="F177" s="23"/>
      <c r="G177" s="23"/>
      <c r="H177" s="23"/>
      <c r="I177" s="22" t="str">
        <f aca="false">IF($B177="","",$B177*(IsverenPayiOrani+IssizlikOrani))</f>
        <v/>
      </c>
    </row>
    <row r="178" customFormat="false" ht="15" hidden="false" customHeight="false" outlineLevel="0" collapsed="false">
      <c r="A178" s="19"/>
      <c r="B178" s="20"/>
      <c r="C178" s="19"/>
      <c r="D178" s="23"/>
      <c r="E178" s="19"/>
      <c r="F178" s="23"/>
      <c r="G178" s="23"/>
      <c r="H178" s="23"/>
      <c r="I178" s="22" t="str">
        <f aca="false">IF($B178="","",$B178*(IsverenPayiOrani+IssizlikOrani))</f>
        <v/>
      </c>
    </row>
    <row r="179" customFormat="false" ht="15" hidden="false" customHeight="false" outlineLevel="0" collapsed="false">
      <c r="A179" s="19"/>
      <c r="B179" s="20"/>
      <c r="C179" s="19"/>
      <c r="D179" s="23"/>
      <c r="E179" s="19"/>
      <c r="F179" s="23"/>
      <c r="G179" s="23"/>
      <c r="H179" s="23"/>
      <c r="I179" s="22" t="str">
        <f aca="false">IF($B179="","",$B179*(IsverenPayiOrani+IssizlikOrani))</f>
        <v/>
      </c>
    </row>
    <row r="180" customFormat="false" ht="15" hidden="false" customHeight="false" outlineLevel="0" collapsed="false">
      <c r="A180" s="19"/>
      <c r="B180" s="20"/>
      <c r="C180" s="19"/>
      <c r="D180" s="23"/>
      <c r="E180" s="19"/>
      <c r="F180" s="23"/>
      <c r="G180" s="23"/>
      <c r="H180" s="23"/>
      <c r="I180" s="22" t="str">
        <f aca="false">IF($B180="","",$B180*(IsverenPayiOrani+IssizlikOrani))</f>
        <v/>
      </c>
    </row>
    <row r="181" customFormat="false" ht="15" hidden="false" customHeight="false" outlineLevel="0" collapsed="false">
      <c r="A181" s="19"/>
      <c r="B181" s="20"/>
      <c r="C181" s="19"/>
      <c r="D181" s="23"/>
      <c r="E181" s="19"/>
      <c r="F181" s="23"/>
      <c r="G181" s="23"/>
      <c r="H181" s="23"/>
      <c r="I181" s="22" t="str">
        <f aca="false">IF($B181="","",$B181*(IsverenPayiOrani+IssizlikOrani))</f>
        <v/>
      </c>
    </row>
    <row r="182" customFormat="false" ht="15" hidden="false" customHeight="false" outlineLevel="0" collapsed="false">
      <c r="A182" s="19"/>
      <c r="B182" s="20"/>
      <c r="C182" s="19"/>
      <c r="D182" s="23"/>
      <c r="E182" s="19"/>
      <c r="F182" s="23"/>
      <c r="G182" s="23"/>
      <c r="H182" s="23"/>
      <c r="I182" s="22" t="str">
        <f aca="false">IF($B182="","",$B182*(IsverenPayiOrani+IssizlikOrani))</f>
        <v/>
      </c>
    </row>
    <row r="183" customFormat="false" ht="15" hidden="false" customHeight="false" outlineLevel="0" collapsed="false">
      <c r="A183" s="19"/>
      <c r="B183" s="20"/>
      <c r="C183" s="19"/>
      <c r="D183" s="23"/>
      <c r="E183" s="19"/>
      <c r="F183" s="23"/>
      <c r="G183" s="23"/>
      <c r="H183" s="23"/>
      <c r="I183" s="22" t="str">
        <f aca="false">IF($B183="","",$B183*(IsverenPayiOrani+IssizlikOrani))</f>
        <v/>
      </c>
    </row>
    <row r="184" customFormat="false" ht="15" hidden="false" customHeight="false" outlineLevel="0" collapsed="false">
      <c r="A184" s="19"/>
      <c r="B184" s="20"/>
      <c r="C184" s="19"/>
      <c r="D184" s="23"/>
      <c r="E184" s="19"/>
      <c r="F184" s="23"/>
      <c r="G184" s="23"/>
      <c r="H184" s="23"/>
      <c r="I184" s="22" t="str">
        <f aca="false">IF($B184="","",$B184*(IsverenPayiOrani+IssizlikOrani))</f>
        <v/>
      </c>
    </row>
    <row r="185" customFormat="false" ht="15" hidden="false" customHeight="false" outlineLevel="0" collapsed="false">
      <c r="A185" s="19"/>
      <c r="B185" s="20"/>
      <c r="C185" s="19"/>
      <c r="D185" s="23"/>
      <c r="E185" s="19"/>
      <c r="F185" s="23"/>
      <c r="G185" s="23"/>
      <c r="H185" s="23"/>
      <c r="I185" s="22" t="str">
        <f aca="false">IF($B185="","",$B185*(IsverenPayiOrani+IssizlikOrani))</f>
        <v/>
      </c>
    </row>
    <row r="186" customFormat="false" ht="15" hidden="false" customHeight="false" outlineLevel="0" collapsed="false">
      <c r="A186" s="19"/>
      <c r="B186" s="20"/>
      <c r="C186" s="19"/>
      <c r="D186" s="23"/>
      <c r="E186" s="19"/>
      <c r="F186" s="23"/>
      <c r="G186" s="23"/>
      <c r="H186" s="23"/>
      <c r="I186" s="22" t="str">
        <f aca="false">IF($B186="","",$B186*(IsverenPayiOrani+IssizlikOrani))</f>
        <v/>
      </c>
    </row>
    <row r="187" customFormat="false" ht="15" hidden="false" customHeight="false" outlineLevel="0" collapsed="false">
      <c r="A187" s="19"/>
      <c r="B187" s="20"/>
      <c r="C187" s="19"/>
      <c r="D187" s="23"/>
      <c r="E187" s="19"/>
      <c r="F187" s="23"/>
      <c r="G187" s="23"/>
      <c r="H187" s="23"/>
      <c r="I187" s="22" t="str">
        <f aca="false">IF($B187="","",$B187*(IsverenPayiOrani+IssizlikOrani))</f>
        <v/>
      </c>
    </row>
    <row r="188" customFormat="false" ht="15" hidden="false" customHeight="false" outlineLevel="0" collapsed="false">
      <c r="A188" s="19"/>
      <c r="B188" s="20"/>
      <c r="C188" s="19"/>
      <c r="D188" s="23"/>
      <c r="E188" s="19"/>
      <c r="F188" s="23"/>
      <c r="G188" s="23"/>
      <c r="H188" s="23"/>
      <c r="I188" s="22" t="str">
        <f aca="false">IF($B188="","",$B188*(IsverenPayiOrani+IssizlikOrani))</f>
        <v/>
      </c>
    </row>
    <row r="189" customFormat="false" ht="15" hidden="false" customHeight="false" outlineLevel="0" collapsed="false">
      <c r="A189" s="19"/>
      <c r="B189" s="20"/>
      <c r="C189" s="19"/>
      <c r="D189" s="23"/>
      <c r="E189" s="19"/>
      <c r="F189" s="23"/>
      <c r="G189" s="23"/>
      <c r="H189" s="23"/>
      <c r="I189" s="22" t="str">
        <f aca="false">IF($B189="","",$B189*(IsverenPayiOrani+IssizlikOrani))</f>
        <v/>
      </c>
    </row>
    <row r="190" customFormat="false" ht="15" hidden="false" customHeight="false" outlineLevel="0" collapsed="false">
      <c r="A190" s="19"/>
      <c r="B190" s="20"/>
      <c r="C190" s="19"/>
      <c r="D190" s="23"/>
      <c r="E190" s="19"/>
      <c r="F190" s="23"/>
      <c r="G190" s="23"/>
      <c r="H190" s="23"/>
      <c r="I190" s="22" t="str">
        <f aca="false">IF($B190="","",$B190*(IsverenPayiOrani+IssizlikOrani))</f>
        <v/>
      </c>
    </row>
    <row r="191" customFormat="false" ht="15" hidden="false" customHeight="false" outlineLevel="0" collapsed="false">
      <c r="A191" s="19"/>
      <c r="B191" s="20"/>
      <c r="C191" s="19"/>
      <c r="D191" s="23"/>
      <c r="E191" s="19"/>
      <c r="F191" s="23"/>
      <c r="G191" s="23"/>
      <c r="H191" s="23"/>
      <c r="I191" s="22" t="str">
        <f aca="false">IF($B191="","",$B191*(IsverenPayiOrani+IssizlikOrani))</f>
        <v/>
      </c>
    </row>
    <row r="192" customFormat="false" ht="15" hidden="false" customHeight="false" outlineLevel="0" collapsed="false">
      <c r="A192" s="19"/>
      <c r="B192" s="20"/>
      <c r="C192" s="19"/>
      <c r="D192" s="23"/>
      <c r="E192" s="19"/>
      <c r="F192" s="23"/>
      <c r="G192" s="23"/>
      <c r="H192" s="23"/>
      <c r="I192" s="22" t="str">
        <f aca="false">IF($B192="","",$B192*(IsverenPayiOrani+IssizlikOrani))</f>
        <v/>
      </c>
    </row>
    <row r="193" customFormat="false" ht="15" hidden="false" customHeight="false" outlineLevel="0" collapsed="false">
      <c r="A193" s="19"/>
      <c r="B193" s="20"/>
      <c r="C193" s="19"/>
      <c r="D193" s="23"/>
      <c r="E193" s="19"/>
      <c r="F193" s="23"/>
      <c r="G193" s="23"/>
      <c r="H193" s="23"/>
      <c r="I193" s="22" t="str">
        <f aca="false">IF($B193="","",$B193*(IsverenPayiOrani+IssizlikOrani))</f>
        <v/>
      </c>
    </row>
    <row r="194" customFormat="false" ht="15" hidden="false" customHeight="false" outlineLevel="0" collapsed="false">
      <c r="A194" s="19"/>
      <c r="B194" s="20"/>
      <c r="C194" s="19"/>
      <c r="D194" s="23"/>
      <c r="E194" s="19"/>
      <c r="F194" s="23"/>
      <c r="G194" s="23"/>
      <c r="H194" s="23"/>
      <c r="I194" s="22" t="str">
        <f aca="false">IF($B194="","",$B194*(IsverenPayiOrani+IssizlikOrani))</f>
        <v/>
      </c>
    </row>
    <row r="195" customFormat="false" ht="15" hidden="false" customHeight="false" outlineLevel="0" collapsed="false">
      <c r="A195" s="19"/>
      <c r="B195" s="20"/>
      <c r="C195" s="19"/>
      <c r="D195" s="23"/>
      <c r="E195" s="19"/>
      <c r="F195" s="23"/>
      <c r="G195" s="23"/>
      <c r="H195" s="23"/>
      <c r="I195" s="22" t="str">
        <f aca="false">IF($B195="","",$B195*(IsverenPayiOrani+IssizlikOrani))</f>
        <v/>
      </c>
    </row>
    <row r="196" customFormat="false" ht="15" hidden="false" customHeight="false" outlineLevel="0" collapsed="false">
      <c r="A196" s="19"/>
      <c r="B196" s="20"/>
      <c r="C196" s="19"/>
      <c r="D196" s="23"/>
      <c r="E196" s="19"/>
      <c r="F196" s="23"/>
      <c r="G196" s="23"/>
      <c r="H196" s="23"/>
      <c r="I196" s="22" t="str">
        <f aca="false">IF($B196="","",$B196*(IsverenPayiOrani+IssizlikOrani))</f>
        <v/>
      </c>
    </row>
    <row r="197" customFormat="false" ht="15" hidden="false" customHeight="false" outlineLevel="0" collapsed="false">
      <c r="A197" s="19"/>
      <c r="B197" s="20"/>
      <c r="C197" s="19"/>
      <c r="D197" s="23"/>
      <c r="E197" s="19"/>
      <c r="F197" s="23"/>
      <c r="G197" s="23"/>
      <c r="H197" s="23"/>
      <c r="I197" s="22" t="str">
        <f aca="false">IF($B197="","",$B197*(IsverenPayiOrani+IssizlikOrani))</f>
        <v/>
      </c>
    </row>
    <row r="198" customFormat="false" ht="15" hidden="false" customHeight="false" outlineLevel="0" collapsed="false">
      <c r="A198" s="19"/>
      <c r="B198" s="20"/>
      <c r="C198" s="19"/>
      <c r="D198" s="23"/>
      <c r="E198" s="19"/>
      <c r="F198" s="23"/>
      <c r="G198" s="23"/>
      <c r="H198" s="23"/>
      <c r="I198" s="22" t="str">
        <f aca="false">IF($B198="","",$B198*(IsverenPayiOrani+IssizlikOrani))</f>
        <v/>
      </c>
    </row>
    <row r="199" customFormat="false" ht="15" hidden="false" customHeight="false" outlineLevel="0" collapsed="false">
      <c r="A199" s="19"/>
      <c r="B199" s="20"/>
      <c r="C199" s="19"/>
      <c r="D199" s="23"/>
      <c r="E199" s="19"/>
      <c r="F199" s="23"/>
      <c r="G199" s="23"/>
      <c r="H199" s="23"/>
      <c r="I199" s="22" t="str">
        <f aca="false">IF($B199="","",$B199*(IsverenPayiOrani+IssizlikOrani))</f>
        <v/>
      </c>
    </row>
    <row r="200" customFormat="false" ht="15" hidden="false" customHeight="false" outlineLevel="0" collapsed="false">
      <c r="A200" s="19"/>
      <c r="B200" s="20"/>
      <c r="C200" s="19"/>
      <c r="D200" s="23"/>
      <c r="E200" s="19"/>
      <c r="F200" s="23"/>
      <c r="G200" s="23"/>
      <c r="H200" s="23"/>
      <c r="I200" s="22" t="str">
        <f aca="false">IF($B200="","",$B200*(IsverenPayiOrani+IssizlikOrani))</f>
        <v/>
      </c>
    </row>
    <row r="201" customFormat="false" ht="15" hidden="false" customHeight="false" outlineLevel="0" collapsed="false">
      <c r="A201" s="19"/>
      <c r="B201" s="20"/>
      <c r="C201" s="19"/>
      <c r="D201" s="23"/>
      <c r="E201" s="19"/>
      <c r="F201" s="23"/>
      <c r="G201" s="23"/>
      <c r="H201" s="23"/>
      <c r="I201" s="22" t="str">
        <f aca="false">IF($B201="","",$B201*(IsverenPayiOrani+IssizlikOrani))</f>
        <v/>
      </c>
    </row>
    <row r="202" customFormat="false" ht="15" hidden="false" customHeight="false" outlineLevel="0" collapsed="false">
      <c r="A202" s="19"/>
      <c r="B202" s="20"/>
      <c r="C202" s="19"/>
      <c r="D202" s="23"/>
      <c r="E202" s="19"/>
      <c r="F202" s="23"/>
      <c r="G202" s="23"/>
      <c r="H202" s="23"/>
      <c r="I202" s="22" t="str">
        <f aca="false">IF($B202="","",$B202*(IsverenPayiOrani+IssizlikOrani))</f>
        <v/>
      </c>
    </row>
    <row r="203" customFormat="false" ht="15" hidden="false" customHeight="false" outlineLevel="0" collapsed="false">
      <c r="A203" s="19"/>
      <c r="B203" s="20"/>
      <c r="C203" s="19"/>
      <c r="D203" s="23"/>
      <c r="E203" s="19"/>
      <c r="F203" s="23"/>
      <c r="G203" s="23"/>
      <c r="H203" s="23"/>
      <c r="I203" s="22" t="str">
        <f aca="false">IF($B203="","",$B203*(IsverenPayiOrani+IssizlikOrani))</f>
        <v/>
      </c>
    </row>
    <row r="204" customFormat="false" ht="15" hidden="false" customHeight="false" outlineLevel="0" collapsed="false">
      <c r="A204" s="19"/>
      <c r="B204" s="20"/>
      <c r="C204" s="19"/>
      <c r="D204" s="23"/>
      <c r="E204" s="19"/>
      <c r="F204" s="23"/>
      <c r="G204" s="23"/>
      <c r="H204" s="23"/>
      <c r="I204" s="22" t="str">
        <f aca="false">IF($B204="","",$B204*(IsverenPayiOrani+IssizlikOrani))</f>
        <v/>
      </c>
    </row>
    <row r="205" customFormat="false" ht="15" hidden="false" customHeight="false" outlineLevel="0" collapsed="false">
      <c r="A205" s="19"/>
      <c r="B205" s="20"/>
      <c r="C205" s="19"/>
      <c r="D205" s="23"/>
      <c r="E205" s="19"/>
      <c r="F205" s="23"/>
      <c r="G205" s="23"/>
      <c r="H205" s="23"/>
      <c r="I205" s="22" t="str">
        <f aca="false">IF($B205="","",$B205*(IsverenPayiOrani+IssizlikOrani))</f>
        <v/>
      </c>
    </row>
    <row r="206" customFormat="false" ht="15" hidden="false" customHeight="false" outlineLevel="0" collapsed="false">
      <c r="A206" s="19"/>
      <c r="B206" s="20"/>
      <c r="C206" s="19"/>
      <c r="D206" s="23"/>
      <c r="E206" s="19"/>
      <c r="F206" s="23"/>
      <c r="G206" s="23"/>
      <c r="H206" s="23"/>
      <c r="I206" s="22" t="str">
        <f aca="false">IF($B206="","",$B206*(IsverenPayiOrani+IssizlikOrani))</f>
        <v/>
      </c>
    </row>
    <row r="207" customFormat="false" ht="15" hidden="false" customHeight="false" outlineLevel="0" collapsed="false">
      <c r="A207" s="19"/>
      <c r="B207" s="20"/>
      <c r="C207" s="19"/>
      <c r="D207" s="23"/>
      <c r="E207" s="19"/>
      <c r="F207" s="23"/>
      <c r="G207" s="23"/>
      <c r="H207" s="23"/>
      <c r="I207" s="22" t="str">
        <f aca="false">IF($B207="","",$B207*(IsverenPayiOrani+IssizlikOrani))</f>
        <v/>
      </c>
    </row>
    <row r="208" customFormat="false" ht="15" hidden="false" customHeight="false" outlineLevel="0" collapsed="false">
      <c r="A208" s="19"/>
      <c r="B208" s="20"/>
      <c r="C208" s="19"/>
      <c r="D208" s="23"/>
      <c r="E208" s="19"/>
      <c r="F208" s="23"/>
      <c r="G208" s="23"/>
      <c r="H208" s="23"/>
      <c r="I208" s="22" t="str">
        <f aca="false">IF($B208="","",$B208*(IsverenPayiOrani+IssizlikOrani))</f>
        <v/>
      </c>
    </row>
    <row r="209" customFormat="false" ht="15" hidden="false" customHeight="false" outlineLevel="0" collapsed="false">
      <c r="A209" s="19"/>
      <c r="B209" s="20"/>
      <c r="C209" s="19"/>
      <c r="D209" s="23"/>
      <c r="E209" s="19"/>
      <c r="F209" s="23"/>
      <c r="G209" s="23"/>
      <c r="H209" s="23"/>
      <c r="I209" s="22" t="str">
        <f aca="false">IF($B209="","",$B209*(IsverenPayiOrani+IssizlikOrani))</f>
        <v/>
      </c>
    </row>
    <row r="210" customFormat="false" ht="15" hidden="false" customHeight="false" outlineLevel="0" collapsed="false">
      <c r="A210" s="19"/>
      <c r="B210" s="20"/>
      <c r="C210" s="19"/>
      <c r="D210" s="23"/>
      <c r="E210" s="19"/>
      <c r="F210" s="23"/>
      <c r="G210" s="23"/>
      <c r="H210" s="23"/>
      <c r="I210" s="22" t="str">
        <f aca="false">IF($B210="","",$B210*(IsverenPayiOrani+IssizlikOrani))</f>
        <v/>
      </c>
    </row>
    <row r="211" customFormat="false" ht="15" hidden="false" customHeight="false" outlineLevel="0" collapsed="false">
      <c r="A211" s="19"/>
      <c r="B211" s="20"/>
      <c r="C211" s="19"/>
      <c r="D211" s="23"/>
      <c r="E211" s="19"/>
      <c r="F211" s="23"/>
      <c r="G211" s="23"/>
      <c r="H211" s="23"/>
      <c r="I211" s="22" t="str">
        <f aca="false">IF($B211="","",$B211*(IsverenPayiOrani+IssizlikOrani))</f>
        <v/>
      </c>
    </row>
    <row r="212" customFormat="false" ht="15" hidden="false" customHeight="false" outlineLevel="0" collapsed="false">
      <c r="A212" s="19"/>
      <c r="B212" s="20"/>
      <c r="C212" s="19"/>
      <c r="D212" s="23"/>
      <c r="E212" s="19"/>
      <c r="F212" s="23"/>
      <c r="G212" s="23"/>
      <c r="H212" s="23"/>
      <c r="I212" s="22" t="str">
        <f aca="false">IF($B212="","",$B212*(IsverenPayiOrani+IssizlikOrani))</f>
        <v/>
      </c>
    </row>
    <row r="213" customFormat="false" ht="15" hidden="false" customHeight="false" outlineLevel="0" collapsed="false">
      <c r="A213" s="19"/>
      <c r="B213" s="20"/>
      <c r="C213" s="19"/>
      <c r="D213" s="23"/>
      <c r="E213" s="19"/>
      <c r="F213" s="23"/>
      <c r="G213" s="23"/>
      <c r="H213" s="23"/>
      <c r="I213" s="22" t="str">
        <f aca="false">IF($B213="","",$B213*(IsverenPayiOrani+IssizlikOrani))</f>
        <v/>
      </c>
    </row>
    <row r="214" customFormat="false" ht="15" hidden="false" customHeight="false" outlineLevel="0" collapsed="false">
      <c r="A214" s="19"/>
      <c r="B214" s="20"/>
      <c r="C214" s="19"/>
      <c r="D214" s="23"/>
      <c r="E214" s="19"/>
      <c r="F214" s="23"/>
      <c r="G214" s="23"/>
      <c r="H214" s="23"/>
      <c r="I214" s="22" t="str">
        <f aca="false">IF($B214="","",$B214*(IsverenPayiOrani+IssizlikOrani))</f>
        <v/>
      </c>
    </row>
    <row r="215" customFormat="false" ht="15" hidden="false" customHeight="false" outlineLevel="0" collapsed="false">
      <c r="A215" s="19"/>
      <c r="B215" s="20"/>
      <c r="C215" s="19"/>
      <c r="D215" s="23"/>
      <c r="E215" s="19"/>
      <c r="F215" s="23"/>
      <c r="G215" s="23"/>
      <c r="H215" s="23"/>
      <c r="I215" s="22" t="str">
        <f aca="false">IF($B215="","",$B215*(IsverenPayiOrani+IssizlikOrani))</f>
        <v/>
      </c>
    </row>
    <row r="216" customFormat="false" ht="15" hidden="false" customHeight="false" outlineLevel="0" collapsed="false">
      <c r="A216" s="19"/>
      <c r="B216" s="20"/>
      <c r="C216" s="19"/>
      <c r="D216" s="23"/>
      <c r="E216" s="19"/>
      <c r="F216" s="23"/>
      <c r="G216" s="23"/>
      <c r="H216" s="23"/>
      <c r="I216" s="22" t="str">
        <f aca="false">IF($B216="","",$B216*(IsverenPayiOrani+IssizlikOrani))</f>
        <v/>
      </c>
    </row>
    <row r="217" customFormat="false" ht="15" hidden="false" customHeight="false" outlineLevel="0" collapsed="false">
      <c r="A217" s="19"/>
      <c r="B217" s="20"/>
      <c r="C217" s="19"/>
      <c r="D217" s="23"/>
      <c r="E217" s="19"/>
      <c r="F217" s="23"/>
      <c r="G217" s="23"/>
      <c r="H217" s="23"/>
      <c r="I217" s="22" t="str">
        <f aca="false">IF($B217="","",$B217*(IsverenPayiOrani+IssizlikOrani))</f>
        <v/>
      </c>
    </row>
    <row r="218" customFormat="false" ht="15" hidden="false" customHeight="false" outlineLevel="0" collapsed="false">
      <c r="A218" s="19"/>
      <c r="B218" s="20"/>
      <c r="C218" s="19"/>
      <c r="D218" s="23"/>
      <c r="E218" s="19"/>
      <c r="F218" s="23"/>
      <c r="G218" s="23"/>
      <c r="H218" s="23"/>
      <c r="I218" s="22" t="str">
        <f aca="false">IF($B218="","",$B218*(IsverenPayiOrani+IssizlikOrani))</f>
        <v/>
      </c>
    </row>
    <row r="219" customFormat="false" ht="15" hidden="false" customHeight="false" outlineLevel="0" collapsed="false">
      <c r="A219" s="19"/>
      <c r="B219" s="20"/>
      <c r="C219" s="19"/>
      <c r="D219" s="23"/>
      <c r="E219" s="19"/>
      <c r="F219" s="23"/>
      <c r="G219" s="23"/>
      <c r="H219" s="23"/>
      <c r="I219" s="22" t="str">
        <f aca="false">IF($B219="","",$B219*(IsverenPayiOrani+IssizlikOrani))</f>
        <v/>
      </c>
    </row>
    <row r="220" customFormat="false" ht="15" hidden="false" customHeight="false" outlineLevel="0" collapsed="false">
      <c r="A220" s="19"/>
      <c r="B220" s="20"/>
      <c r="C220" s="19"/>
      <c r="D220" s="23"/>
      <c r="E220" s="19"/>
      <c r="F220" s="23"/>
      <c r="G220" s="23"/>
      <c r="H220" s="23"/>
      <c r="I220" s="22" t="str">
        <f aca="false">IF($B220="","",$B220*(IsverenPayiOrani+IssizlikOrani))</f>
        <v/>
      </c>
    </row>
    <row r="221" customFormat="false" ht="15" hidden="false" customHeight="false" outlineLevel="0" collapsed="false">
      <c r="A221" s="19"/>
      <c r="B221" s="20"/>
      <c r="C221" s="19"/>
      <c r="D221" s="23"/>
      <c r="E221" s="19"/>
      <c r="F221" s="23"/>
      <c r="G221" s="23"/>
      <c r="H221" s="23"/>
      <c r="I221" s="22" t="str">
        <f aca="false">IF($B221="","",$B221*(IsverenPayiOrani+IssizlikOrani))</f>
        <v/>
      </c>
    </row>
    <row r="222" customFormat="false" ht="15" hidden="false" customHeight="false" outlineLevel="0" collapsed="false">
      <c r="A222" s="19"/>
      <c r="B222" s="20"/>
      <c r="C222" s="19"/>
      <c r="D222" s="23"/>
      <c r="E222" s="19"/>
      <c r="F222" s="23"/>
      <c r="G222" s="23"/>
      <c r="H222" s="23"/>
      <c r="I222" s="22" t="str">
        <f aca="false">IF($B222="","",$B222*(IsverenPayiOrani+IssizlikOrani))</f>
        <v/>
      </c>
    </row>
    <row r="223" customFormat="false" ht="15" hidden="false" customHeight="false" outlineLevel="0" collapsed="false">
      <c r="A223" s="19"/>
      <c r="B223" s="20"/>
      <c r="C223" s="19"/>
      <c r="D223" s="23"/>
      <c r="E223" s="19"/>
      <c r="F223" s="23"/>
      <c r="G223" s="23"/>
      <c r="H223" s="23"/>
      <c r="I223" s="22" t="str">
        <f aca="false">IF($B223="","",$B223*(IsverenPayiOrani+IssizlikOrani))</f>
        <v/>
      </c>
    </row>
    <row r="224" customFormat="false" ht="15" hidden="false" customHeight="false" outlineLevel="0" collapsed="false">
      <c r="A224" s="19"/>
      <c r="B224" s="20"/>
      <c r="C224" s="19"/>
      <c r="D224" s="23"/>
      <c r="E224" s="19"/>
      <c r="F224" s="23"/>
      <c r="G224" s="23"/>
      <c r="H224" s="23"/>
      <c r="I224" s="22" t="str">
        <f aca="false">IF($B224="","",$B224*(IsverenPayiOrani+IssizlikOrani))</f>
        <v/>
      </c>
    </row>
    <row r="225" customFormat="false" ht="15" hidden="false" customHeight="false" outlineLevel="0" collapsed="false">
      <c r="A225" s="19"/>
      <c r="B225" s="20"/>
      <c r="C225" s="19"/>
      <c r="D225" s="23"/>
      <c r="E225" s="19"/>
      <c r="F225" s="23"/>
      <c r="G225" s="23"/>
      <c r="H225" s="23"/>
      <c r="I225" s="22" t="str">
        <f aca="false">IF($B225="","",$B225*(IsverenPayiOrani+IssizlikOrani))</f>
        <v/>
      </c>
    </row>
    <row r="226" customFormat="false" ht="15" hidden="false" customHeight="false" outlineLevel="0" collapsed="false">
      <c r="A226" s="19"/>
      <c r="B226" s="20"/>
      <c r="C226" s="19"/>
      <c r="D226" s="23"/>
      <c r="E226" s="19"/>
      <c r="F226" s="23"/>
      <c r="G226" s="23"/>
      <c r="H226" s="23"/>
      <c r="I226" s="22" t="str">
        <f aca="false">IF($B226="","",$B226*(IsverenPayiOrani+IssizlikOrani))</f>
        <v/>
      </c>
    </row>
    <row r="227" customFormat="false" ht="15" hidden="false" customHeight="false" outlineLevel="0" collapsed="false">
      <c r="A227" s="19"/>
      <c r="B227" s="20"/>
      <c r="C227" s="19"/>
      <c r="D227" s="23"/>
      <c r="E227" s="19"/>
      <c r="F227" s="23"/>
      <c r="G227" s="23"/>
      <c r="H227" s="23"/>
      <c r="I227" s="22" t="str">
        <f aca="false">IF($B227="","",$B227*(IsverenPayiOrani+IssizlikOrani))</f>
        <v/>
      </c>
    </row>
    <row r="228" customFormat="false" ht="15" hidden="false" customHeight="false" outlineLevel="0" collapsed="false">
      <c r="A228" s="19"/>
      <c r="B228" s="20"/>
      <c r="C228" s="19"/>
      <c r="D228" s="23"/>
      <c r="E228" s="19"/>
      <c r="F228" s="23"/>
      <c r="G228" s="23"/>
      <c r="H228" s="23"/>
      <c r="I228" s="22" t="str">
        <f aca="false">IF($B228="","",$B228*(IsverenPayiOrani+IssizlikOrani))</f>
        <v/>
      </c>
    </row>
    <row r="229" customFormat="false" ht="15" hidden="false" customHeight="false" outlineLevel="0" collapsed="false">
      <c r="A229" s="19"/>
      <c r="B229" s="20"/>
      <c r="C229" s="19"/>
      <c r="D229" s="23"/>
      <c r="E229" s="19"/>
      <c r="F229" s="23"/>
      <c r="G229" s="23"/>
      <c r="H229" s="23"/>
      <c r="I229" s="22" t="str">
        <f aca="false">IF($B229="","",$B229*(IsverenPayiOrani+IssizlikOrani))</f>
        <v/>
      </c>
    </row>
    <row r="230" customFormat="false" ht="15" hidden="false" customHeight="false" outlineLevel="0" collapsed="false">
      <c r="A230" s="19"/>
      <c r="B230" s="20"/>
      <c r="C230" s="19"/>
      <c r="D230" s="23"/>
      <c r="E230" s="19"/>
      <c r="F230" s="23"/>
      <c r="G230" s="23"/>
      <c r="H230" s="23"/>
      <c r="I230" s="22" t="str">
        <f aca="false">IF($B230="","",$B230*(IsverenPayiOrani+IssizlikOrani))</f>
        <v/>
      </c>
    </row>
    <row r="231" customFormat="false" ht="15" hidden="false" customHeight="false" outlineLevel="0" collapsed="false">
      <c r="A231" s="19"/>
      <c r="B231" s="20"/>
      <c r="C231" s="19"/>
      <c r="D231" s="23"/>
      <c r="E231" s="19"/>
      <c r="F231" s="23"/>
      <c r="G231" s="23"/>
      <c r="H231" s="23"/>
      <c r="I231" s="22" t="str">
        <f aca="false">IF($B231="","",$B231*(IsverenPayiOrani+IssizlikOrani))</f>
        <v/>
      </c>
    </row>
    <row r="232" customFormat="false" ht="15" hidden="false" customHeight="false" outlineLevel="0" collapsed="false">
      <c r="A232" s="19"/>
      <c r="B232" s="20"/>
      <c r="C232" s="19"/>
      <c r="D232" s="23"/>
      <c r="E232" s="19"/>
      <c r="F232" s="23"/>
      <c r="G232" s="23"/>
      <c r="H232" s="23"/>
      <c r="I232" s="22" t="str">
        <f aca="false">IF($B232="","",$B232*(IsverenPayiOrani+IssizlikOrani))</f>
        <v/>
      </c>
    </row>
    <row r="233" customFormat="false" ht="15" hidden="false" customHeight="false" outlineLevel="0" collapsed="false">
      <c r="A233" s="19"/>
      <c r="B233" s="20"/>
      <c r="C233" s="19"/>
      <c r="D233" s="23"/>
      <c r="E233" s="19"/>
      <c r="F233" s="23"/>
      <c r="G233" s="23"/>
      <c r="H233" s="23"/>
      <c r="I233" s="22" t="str">
        <f aca="false">IF($B233="","",$B233*(IsverenPayiOrani+IssizlikOrani))</f>
        <v/>
      </c>
    </row>
    <row r="234" customFormat="false" ht="15" hidden="false" customHeight="false" outlineLevel="0" collapsed="false">
      <c r="A234" s="19"/>
      <c r="B234" s="20"/>
      <c r="C234" s="19"/>
      <c r="D234" s="23"/>
      <c r="E234" s="19"/>
      <c r="F234" s="23"/>
      <c r="G234" s="23"/>
      <c r="H234" s="23"/>
      <c r="I234" s="22" t="str">
        <f aca="false">IF($B234="","",$B234*(IsverenPayiOrani+IssizlikOrani))</f>
        <v/>
      </c>
    </row>
    <row r="235" customFormat="false" ht="15" hidden="false" customHeight="false" outlineLevel="0" collapsed="false">
      <c r="A235" s="19"/>
      <c r="B235" s="20"/>
      <c r="C235" s="19"/>
      <c r="D235" s="23"/>
      <c r="E235" s="19"/>
      <c r="F235" s="23"/>
      <c r="G235" s="23"/>
      <c r="H235" s="23"/>
      <c r="I235" s="22" t="str">
        <f aca="false">IF($B235="","",$B235*(IsverenPayiOrani+IssizlikOrani))</f>
        <v/>
      </c>
    </row>
    <row r="236" customFormat="false" ht="15" hidden="false" customHeight="false" outlineLevel="0" collapsed="false">
      <c r="A236" s="19"/>
      <c r="B236" s="20"/>
      <c r="C236" s="19"/>
      <c r="D236" s="23"/>
      <c r="E236" s="19"/>
      <c r="F236" s="23"/>
      <c r="G236" s="23"/>
      <c r="H236" s="23"/>
      <c r="I236" s="22" t="str">
        <f aca="false">IF($B236="","",$B236*(IsverenPayiOrani+IssizlikOrani))</f>
        <v/>
      </c>
    </row>
    <row r="237" customFormat="false" ht="15" hidden="false" customHeight="false" outlineLevel="0" collapsed="false">
      <c r="A237" s="19"/>
      <c r="B237" s="20"/>
      <c r="C237" s="19"/>
      <c r="D237" s="23"/>
      <c r="E237" s="19"/>
      <c r="F237" s="23"/>
      <c r="G237" s="23"/>
      <c r="H237" s="23"/>
      <c r="I237" s="22" t="str">
        <f aca="false">IF($B237="","",$B237*(IsverenPayiOrani+IssizlikOrani))</f>
        <v/>
      </c>
    </row>
    <row r="238" customFormat="false" ht="15" hidden="false" customHeight="false" outlineLevel="0" collapsed="false">
      <c r="A238" s="19"/>
      <c r="B238" s="20"/>
      <c r="C238" s="19"/>
      <c r="D238" s="23"/>
      <c r="E238" s="19"/>
      <c r="F238" s="23"/>
      <c r="G238" s="23"/>
      <c r="H238" s="23"/>
      <c r="I238" s="22" t="str">
        <f aca="false">IF($B238="","",$B238*(IsverenPayiOrani+IssizlikOrani))</f>
        <v/>
      </c>
    </row>
    <row r="239" customFormat="false" ht="15" hidden="false" customHeight="false" outlineLevel="0" collapsed="false">
      <c r="A239" s="19"/>
      <c r="B239" s="20"/>
      <c r="C239" s="19"/>
      <c r="D239" s="23"/>
      <c r="E239" s="19"/>
      <c r="F239" s="23"/>
      <c r="G239" s="23"/>
      <c r="H239" s="23"/>
      <c r="I239" s="22" t="str">
        <f aca="false">IF($B239="","",$B239*(IsverenPayiOrani+IssizlikOrani))</f>
        <v/>
      </c>
    </row>
    <row r="240" customFormat="false" ht="15" hidden="false" customHeight="false" outlineLevel="0" collapsed="false">
      <c r="A240" s="19"/>
      <c r="B240" s="20"/>
      <c r="C240" s="19"/>
      <c r="D240" s="23"/>
      <c r="E240" s="19"/>
      <c r="F240" s="23"/>
      <c r="G240" s="23"/>
      <c r="H240" s="23"/>
      <c r="I240" s="22" t="str">
        <f aca="false">IF($B240="","",$B240*(IsverenPayiOrani+IssizlikOrani))</f>
        <v/>
      </c>
    </row>
    <row r="241" customFormat="false" ht="15" hidden="false" customHeight="false" outlineLevel="0" collapsed="false">
      <c r="A241" s="19"/>
      <c r="B241" s="20"/>
      <c r="C241" s="19"/>
      <c r="D241" s="23"/>
      <c r="E241" s="19"/>
      <c r="F241" s="23"/>
      <c r="G241" s="23"/>
      <c r="H241" s="23"/>
      <c r="I241" s="22" t="str">
        <f aca="false">IF($B241="","",$B241*(IsverenPayiOrani+IssizlikOrani))</f>
        <v/>
      </c>
    </row>
    <row r="242" customFormat="false" ht="15" hidden="false" customHeight="false" outlineLevel="0" collapsed="false">
      <c r="A242" s="19"/>
      <c r="B242" s="20"/>
      <c r="C242" s="19"/>
      <c r="D242" s="23"/>
      <c r="E242" s="19"/>
      <c r="F242" s="23"/>
      <c r="G242" s="23"/>
      <c r="H242" s="23"/>
      <c r="I242" s="22" t="str">
        <f aca="false">IF($B242="","",$B242*(IsverenPayiOrani+IssizlikOrani))</f>
        <v/>
      </c>
    </row>
    <row r="243" customFormat="false" ht="15" hidden="false" customHeight="false" outlineLevel="0" collapsed="false">
      <c r="A243" s="19"/>
      <c r="B243" s="20"/>
      <c r="C243" s="19"/>
      <c r="D243" s="23"/>
      <c r="E243" s="19"/>
      <c r="F243" s="23"/>
      <c r="G243" s="23"/>
      <c r="H243" s="23"/>
      <c r="I243" s="22" t="str">
        <f aca="false">IF($B243="","",$B243*(IsverenPayiOrani+IssizlikOrani))</f>
        <v/>
      </c>
    </row>
    <row r="244" customFormat="false" ht="15" hidden="false" customHeight="false" outlineLevel="0" collapsed="false">
      <c r="A244" s="19"/>
      <c r="B244" s="20"/>
      <c r="C244" s="19"/>
      <c r="D244" s="23"/>
      <c r="E244" s="19"/>
      <c r="F244" s="23"/>
      <c r="G244" s="23"/>
      <c r="H244" s="23"/>
      <c r="I244" s="22" t="str">
        <f aca="false">IF($B244="","",$B244*(IsverenPayiOrani+IssizlikOrani))</f>
        <v/>
      </c>
    </row>
    <row r="245" customFormat="false" ht="15" hidden="false" customHeight="false" outlineLevel="0" collapsed="false">
      <c r="A245" s="19"/>
      <c r="B245" s="20"/>
      <c r="C245" s="19"/>
      <c r="D245" s="23"/>
      <c r="E245" s="19"/>
      <c r="F245" s="23"/>
      <c r="G245" s="23"/>
      <c r="H245" s="23"/>
      <c r="I245" s="22" t="str">
        <f aca="false">IF($B245="","",$B245*(IsverenPayiOrani+IssizlikOrani))</f>
        <v/>
      </c>
    </row>
    <row r="246" customFormat="false" ht="15" hidden="false" customHeight="false" outlineLevel="0" collapsed="false">
      <c r="A246" s="19"/>
      <c r="B246" s="20"/>
      <c r="C246" s="19"/>
      <c r="D246" s="23"/>
      <c r="E246" s="19"/>
      <c r="F246" s="23"/>
      <c r="G246" s="23"/>
      <c r="H246" s="23"/>
      <c r="I246" s="22" t="str">
        <f aca="false">IF($B246="","",$B246*(IsverenPayiOrani+IssizlikOrani))</f>
        <v/>
      </c>
    </row>
    <row r="247" customFormat="false" ht="15" hidden="false" customHeight="false" outlineLevel="0" collapsed="false">
      <c r="A247" s="19"/>
      <c r="B247" s="20"/>
      <c r="C247" s="19"/>
      <c r="D247" s="23"/>
      <c r="E247" s="19"/>
      <c r="F247" s="23"/>
      <c r="G247" s="23"/>
      <c r="H247" s="23"/>
      <c r="I247" s="22" t="str">
        <f aca="false">IF($B247="","",$B247*(IsverenPayiOrani+IssizlikOrani))</f>
        <v/>
      </c>
    </row>
    <row r="248" customFormat="false" ht="15" hidden="false" customHeight="false" outlineLevel="0" collapsed="false">
      <c r="A248" s="19"/>
      <c r="B248" s="20"/>
      <c r="C248" s="19"/>
      <c r="D248" s="23"/>
      <c r="E248" s="19"/>
      <c r="F248" s="23"/>
      <c r="G248" s="23"/>
      <c r="H248" s="23"/>
      <c r="I248" s="22" t="str">
        <f aca="false">IF($B248="","",$B248*(IsverenPayiOrani+IssizlikOrani))</f>
        <v/>
      </c>
    </row>
    <row r="249" customFormat="false" ht="15" hidden="false" customHeight="false" outlineLevel="0" collapsed="false">
      <c r="A249" s="19"/>
      <c r="B249" s="20"/>
      <c r="C249" s="19"/>
      <c r="D249" s="23"/>
      <c r="E249" s="19"/>
      <c r="F249" s="23"/>
      <c r="G249" s="23"/>
      <c r="H249" s="23"/>
      <c r="I249" s="22" t="str">
        <f aca="false">IF($B249="","",$B249*(IsverenPayiOrani+IssizlikOrani))</f>
        <v/>
      </c>
    </row>
    <row r="250" customFormat="false" ht="15" hidden="false" customHeight="false" outlineLevel="0" collapsed="false">
      <c r="A250" s="19"/>
      <c r="B250" s="20"/>
      <c r="C250" s="19"/>
      <c r="D250" s="23"/>
      <c r="E250" s="19"/>
      <c r="F250" s="23"/>
      <c r="G250" s="23"/>
      <c r="H250" s="23"/>
      <c r="I250" s="22" t="str">
        <f aca="false">IF($B250="","",$B250*(IsverenPayiOrani+IssizlikOrani))</f>
        <v/>
      </c>
    </row>
    <row r="251" customFormat="false" ht="15" hidden="false" customHeight="false" outlineLevel="0" collapsed="false">
      <c r="A251" s="19"/>
      <c r="B251" s="20"/>
      <c r="C251" s="19"/>
      <c r="D251" s="23"/>
      <c r="E251" s="19"/>
      <c r="F251" s="23"/>
      <c r="G251" s="23"/>
      <c r="H251" s="23"/>
      <c r="I251" s="22" t="str">
        <f aca="false">IF($B251="","",$B251*(IsverenPayiOrani+IssizlikOrani))</f>
        <v/>
      </c>
    </row>
    <row r="252" customFormat="false" ht="15" hidden="false" customHeight="false" outlineLevel="0" collapsed="false">
      <c r="A252" s="19"/>
      <c r="B252" s="20"/>
      <c r="C252" s="19"/>
      <c r="D252" s="23"/>
      <c r="E252" s="19"/>
      <c r="F252" s="23"/>
      <c r="G252" s="23"/>
      <c r="H252" s="23"/>
      <c r="I252" s="22" t="str">
        <f aca="false">IF($B252="","",$B252*(IsverenPayiOrani+IssizlikOrani))</f>
        <v/>
      </c>
    </row>
    <row r="253" customFormat="false" ht="15" hidden="false" customHeight="false" outlineLevel="0" collapsed="false">
      <c r="A253" s="19"/>
      <c r="B253" s="20"/>
      <c r="C253" s="19"/>
      <c r="D253" s="23"/>
      <c r="E253" s="19"/>
      <c r="F253" s="23"/>
      <c r="G253" s="23"/>
      <c r="H253" s="23"/>
      <c r="I253" s="22" t="str">
        <f aca="false">IF($B253="","",$B253*(IsverenPayiOrani+IssizlikOrani))</f>
        <v/>
      </c>
    </row>
    <row r="254" customFormat="false" ht="15" hidden="false" customHeight="false" outlineLevel="0" collapsed="false">
      <c r="A254" s="19"/>
      <c r="B254" s="20"/>
      <c r="C254" s="19"/>
      <c r="D254" s="23"/>
      <c r="E254" s="19"/>
      <c r="F254" s="23"/>
      <c r="G254" s="23"/>
      <c r="H254" s="23"/>
      <c r="I254" s="22" t="str">
        <f aca="false">IF($B254="","",$B254*(IsverenPayiOrani+IssizlikOrani))</f>
        <v/>
      </c>
    </row>
    <row r="255" customFormat="false" ht="15" hidden="false" customHeight="false" outlineLevel="0" collapsed="false">
      <c r="A255" s="19"/>
      <c r="B255" s="20"/>
      <c r="C255" s="19"/>
      <c r="D255" s="23"/>
      <c r="E255" s="19"/>
      <c r="F255" s="23"/>
      <c r="G255" s="23"/>
      <c r="H255" s="23"/>
      <c r="I255" s="22" t="str">
        <f aca="false">IF($B255="","",$B255*(IsverenPayiOrani+IssizlikOrani))</f>
        <v/>
      </c>
    </row>
    <row r="256" customFormat="false" ht="15" hidden="false" customHeight="false" outlineLevel="0" collapsed="false">
      <c r="A256" s="19"/>
      <c r="B256" s="20"/>
      <c r="C256" s="19"/>
      <c r="D256" s="23"/>
      <c r="E256" s="19"/>
      <c r="F256" s="23"/>
      <c r="G256" s="23"/>
      <c r="H256" s="23"/>
      <c r="I256" s="22" t="str">
        <f aca="false">IF($B256="","",$B256*(IsverenPayiOrani+IssizlikOrani))</f>
        <v/>
      </c>
    </row>
    <row r="257" customFormat="false" ht="15" hidden="false" customHeight="false" outlineLevel="0" collapsed="false">
      <c r="A257" s="19"/>
      <c r="B257" s="20"/>
      <c r="C257" s="19"/>
      <c r="D257" s="23"/>
      <c r="E257" s="19"/>
      <c r="F257" s="23"/>
      <c r="G257" s="23"/>
      <c r="H257" s="23"/>
      <c r="I257" s="22" t="str">
        <f aca="false">IF($B257="","",$B257*(IsverenPayiOrani+IssizlikOrani))</f>
        <v/>
      </c>
    </row>
    <row r="258" customFormat="false" ht="15" hidden="false" customHeight="false" outlineLevel="0" collapsed="false">
      <c r="A258" s="19"/>
      <c r="B258" s="20"/>
      <c r="C258" s="19"/>
      <c r="D258" s="23"/>
      <c r="E258" s="19"/>
      <c r="F258" s="23"/>
      <c r="G258" s="23"/>
      <c r="H258" s="23"/>
      <c r="I258" s="22" t="str">
        <f aca="false">IF($B258="","",$B258*(IsverenPayiOrani+IssizlikOrani))</f>
        <v/>
      </c>
    </row>
    <row r="259" customFormat="false" ht="15" hidden="false" customHeight="false" outlineLevel="0" collapsed="false">
      <c r="A259" s="19"/>
      <c r="B259" s="20"/>
      <c r="C259" s="19"/>
      <c r="D259" s="23"/>
      <c r="E259" s="19"/>
      <c r="F259" s="23"/>
      <c r="G259" s="23"/>
      <c r="H259" s="23"/>
      <c r="I259" s="22" t="str">
        <f aca="false">IF($B259="","",$B259*(IsverenPayiOrani+IssizlikOrani))</f>
        <v/>
      </c>
    </row>
    <row r="260" customFormat="false" ht="15" hidden="false" customHeight="false" outlineLevel="0" collapsed="false">
      <c r="A260" s="19"/>
      <c r="B260" s="20"/>
      <c r="C260" s="19"/>
      <c r="D260" s="23"/>
      <c r="E260" s="19"/>
      <c r="F260" s="23"/>
      <c r="G260" s="23"/>
      <c r="H260" s="23"/>
      <c r="I260" s="22" t="str">
        <f aca="false">IF($B260="","",$B260*(IsverenPayiOrani+IssizlikOrani))</f>
        <v/>
      </c>
    </row>
    <row r="261" customFormat="false" ht="15" hidden="false" customHeight="false" outlineLevel="0" collapsed="false">
      <c r="A261" s="19"/>
      <c r="B261" s="20"/>
      <c r="C261" s="19"/>
      <c r="D261" s="23"/>
      <c r="E261" s="19"/>
      <c r="F261" s="23"/>
      <c r="G261" s="23"/>
      <c r="H261" s="23"/>
      <c r="I261" s="22" t="str">
        <f aca="false">IF($B261="","",$B261*(IsverenPayiOrani+IssizlikOrani))</f>
        <v/>
      </c>
    </row>
    <row r="262" customFormat="false" ht="15" hidden="false" customHeight="false" outlineLevel="0" collapsed="false">
      <c r="A262" s="19"/>
      <c r="B262" s="20"/>
      <c r="C262" s="19"/>
      <c r="D262" s="23"/>
      <c r="E262" s="19"/>
      <c r="F262" s="23"/>
      <c r="G262" s="23"/>
      <c r="H262" s="23"/>
      <c r="I262" s="22" t="str">
        <f aca="false">IF($B262="","",$B262*(IsverenPayiOrani+IssizlikOrani))</f>
        <v/>
      </c>
    </row>
    <row r="263" customFormat="false" ht="15" hidden="false" customHeight="false" outlineLevel="0" collapsed="false">
      <c r="A263" s="19"/>
      <c r="B263" s="20"/>
      <c r="C263" s="19"/>
      <c r="D263" s="23"/>
      <c r="E263" s="19"/>
      <c r="F263" s="23"/>
      <c r="G263" s="23"/>
      <c r="H263" s="23"/>
      <c r="I263" s="22" t="str">
        <f aca="false">IF($B263="","",$B263*(IsverenPayiOrani+IssizlikOrani))</f>
        <v/>
      </c>
    </row>
    <row r="264" customFormat="false" ht="15" hidden="false" customHeight="false" outlineLevel="0" collapsed="false">
      <c r="A264" s="19"/>
      <c r="B264" s="20"/>
      <c r="C264" s="19"/>
      <c r="D264" s="23"/>
      <c r="E264" s="19"/>
      <c r="F264" s="23"/>
      <c r="G264" s="23"/>
      <c r="H264" s="23"/>
      <c r="I264" s="22" t="str">
        <f aca="false">IF($B264="","",$B264*(IsverenPayiOrani+IssizlikOrani))</f>
        <v/>
      </c>
    </row>
    <row r="265" customFormat="false" ht="15" hidden="false" customHeight="false" outlineLevel="0" collapsed="false">
      <c r="A265" s="19"/>
      <c r="B265" s="20"/>
      <c r="C265" s="19"/>
      <c r="D265" s="23"/>
      <c r="E265" s="19"/>
      <c r="F265" s="23"/>
      <c r="G265" s="23"/>
      <c r="H265" s="23"/>
      <c r="I265" s="22" t="str">
        <f aca="false">IF($B265="","",$B265*(IsverenPayiOrani+IssizlikOrani))</f>
        <v/>
      </c>
    </row>
    <row r="266" customFormat="false" ht="15" hidden="false" customHeight="false" outlineLevel="0" collapsed="false">
      <c r="A266" s="19"/>
      <c r="B266" s="20"/>
      <c r="C266" s="19"/>
      <c r="D266" s="23"/>
      <c r="E266" s="19"/>
      <c r="F266" s="23"/>
      <c r="G266" s="23"/>
      <c r="H266" s="23"/>
      <c r="I266" s="22" t="str">
        <f aca="false">IF($B266="","",$B266*(IsverenPayiOrani+IssizlikOrani))</f>
        <v/>
      </c>
    </row>
    <row r="267" customFormat="false" ht="15" hidden="false" customHeight="false" outlineLevel="0" collapsed="false">
      <c r="A267" s="19"/>
      <c r="B267" s="20"/>
      <c r="C267" s="19"/>
      <c r="D267" s="23"/>
      <c r="E267" s="19"/>
      <c r="F267" s="23"/>
      <c r="G267" s="23"/>
      <c r="H267" s="23"/>
      <c r="I267" s="22" t="str">
        <f aca="false">IF($B267="","",$B267*(IsverenPayiOrani+IssizlikOrani))</f>
        <v/>
      </c>
    </row>
    <row r="268" customFormat="false" ht="15" hidden="false" customHeight="false" outlineLevel="0" collapsed="false">
      <c r="A268" s="19"/>
      <c r="B268" s="20"/>
      <c r="C268" s="19"/>
      <c r="D268" s="23"/>
      <c r="E268" s="19"/>
      <c r="F268" s="23"/>
      <c r="G268" s="23"/>
      <c r="H268" s="23"/>
      <c r="I268" s="22" t="str">
        <f aca="false">IF($B268="","",$B268*(IsverenPayiOrani+IssizlikOrani))</f>
        <v/>
      </c>
    </row>
    <row r="269" customFormat="false" ht="15" hidden="false" customHeight="false" outlineLevel="0" collapsed="false">
      <c r="A269" s="19"/>
      <c r="B269" s="20"/>
      <c r="C269" s="19"/>
      <c r="D269" s="23"/>
      <c r="E269" s="19"/>
      <c r="F269" s="23"/>
      <c r="G269" s="23"/>
      <c r="H269" s="23"/>
      <c r="I269" s="22" t="str">
        <f aca="false">IF($B269="","",$B269*(IsverenPayiOrani+IssizlikOrani))</f>
        <v/>
      </c>
    </row>
    <row r="270" customFormat="false" ht="15" hidden="false" customHeight="false" outlineLevel="0" collapsed="false">
      <c r="A270" s="19"/>
      <c r="B270" s="20"/>
      <c r="C270" s="19"/>
      <c r="D270" s="23"/>
      <c r="E270" s="19"/>
      <c r="F270" s="23"/>
      <c r="G270" s="23"/>
      <c r="H270" s="23"/>
      <c r="I270" s="22" t="str">
        <f aca="false">IF($B270="","",$B270*(IsverenPayiOrani+IssizlikOrani))</f>
        <v/>
      </c>
    </row>
    <row r="271" customFormat="false" ht="15" hidden="false" customHeight="false" outlineLevel="0" collapsed="false">
      <c r="A271" s="19"/>
      <c r="B271" s="20"/>
      <c r="C271" s="19"/>
      <c r="D271" s="23"/>
      <c r="E271" s="19"/>
      <c r="F271" s="23"/>
      <c r="G271" s="23"/>
      <c r="H271" s="23"/>
      <c r="I271" s="22" t="str">
        <f aca="false">IF($B271="","",$B271*(IsverenPayiOrani+IssizlikOrani))</f>
        <v/>
      </c>
    </row>
    <row r="272" customFormat="false" ht="15" hidden="false" customHeight="false" outlineLevel="0" collapsed="false">
      <c r="A272" s="19"/>
      <c r="B272" s="20"/>
      <c r="C272" s="19"/>
      <c r="D272" s="23"/>
      <c r="E272" s="19"/>
      <c r="F272" s="23"/>
      <c r="G272" s="23"/>
      <c r="H272" s="23"/>
      <c r="I272" s="22" t="str">
        <f aca="false">IF($B272="","",$B272*(IsverenPayiOrani+IssizlikOrani))</f>
        <v/>
      </c>
    </row>
    <row r="273" customFormat="false" ht="15" hidden="false" customHeight="false" outlineLevel="0" collapsed="false">
      <c r="A273" s="19"/>
      <c r="B273" s="20"/>
      <c r="C273" s="19"/>
      <c r="D273" s="23"/>
      <c r="E273" s="19"/>
      <c r="F273" s="23"/>
      <c r="G273" s="23"/>
      <c r="H273" s="23"/>
      <c r="I273" s="22" t="str">
        <f aca="false">IF($B273="","",$B273*(IsverenPayiOrani+IssizlikOrani))</f>
        <v/>
      </c>
    </row>
    <row r="274" customFormat="false" ht="15" hidden="false" customHeight="false" outlineLevel="0" collapsed="false">
      <c r="A274" s="19"/>
      <c r="B274" s="20"/>
      <c r="C274" s="19"/>
      <c r="D274" s="23"/>
      <c r="E274" s="19"/>
      <c r="F274" s="23"/>
      <c r="G274" s="23"/>
      <c r="H274" s="23"/>
      <c r="I274" s="22" t="str">
        <f aca="false">IF($B274="","",$B274*(IsverenPayiOrani+IssizlikOrani))</f>
        <v/>
      </c>
    </row>
    <row r="275" customFormat="false" ht="15" hidden="false" customHeight="false" outlineLevel="0" collapsed="false">
      <c r="A275" s="19"/>
      <c r="B275" s="20"/>
      <c r="C275" s="19"/>
      <c r="D275" s="23"/>
      <c r="E275" s="19"/>
      <c r="F275" s="23"/>
      <c r="G275" s="23"/>
      <c r="H275" s="23"/>
      <c r="I275" s="22" t="str">
        <f aca="false">IF($B275="","",$B275*(IsverenPayiOrani+IssizlikOrani))</f>
        <v/>
      </c>
    </row>
    <row r="276" customFormat="false" ht="15" hidden="false" customHeight="false" outlineLevel="0" collapsed="false">
      <c r="A276" s="19"/>
      <c r="B276" s="20"/>
      <c r="C276" s="19"/>
      <c r="D276" s="23"/>
      <c r="E276" s="19"/>
      <c r="F276" s="23"/>
      <c r="G276" s="23"/>
      <c r="H276" s="23"/>
      <c r="I276" s="22" t="str">
        <f aca="false">IF($B276="","",$B276*(IsverenPayiOrani+IssizlikOrani))</f>
        <v/>
      </c>
    </row>
    <row r="277" customFormat="false" ht="15" hidden="false" customHeight="false" outlineLevel="0" collapsed="false">
      <c r="A277" s="19"/>
      <c r="B277" s="20"/>
      <c r="C277" s="19"/>
      <c r="D277" s="23"/>
      <c r="E277" s="19"/>
      <c r="F277" s="23"/>
      <c r="G277" s="23"/>
      <c r="H277" s="23"/>
      <c r="I277" s="22" t="str">
        <f aca="false">IF($B277="","",$B277*(IsverenPayiOrani+IssizlikOrani))</f>
        <v/>
      </c>
    </row>
    <row r="278" customFormat="false" ht="15" hidden="false" customHeight="false" outlineLevel="0" collapsed="false">
      <c r="A278" s="19"/>
      <c r="B278" s="20"/>
      <c r="C278" s="19"/>
      <c r="D278" s="23"/>
      <c r="E278" s="19"/>
      <c r="F278" s="23"/>
      <c r="G278" s="23"/>
      <c r="H278" s="23"/>
      <c r="I278" s="22" t="str">
        <f aca="false">IF($B278="","",$B278*(IsverenPayiOrani+IssizlikOrani))</f>
        <v/>
      </c>
    </row>
    <row r="279" customFormat="false" ht="15" hidden="false" customHeight="false" outlineLevel="0" collapsed="false">
      <c r="A279" s="19"/>
      <c r="B279" s="20"/>
      <c r="C279" s="19"/>
      <c r="D279" s="23"/>
      <c r="E279" s="19"/>
      <c r="F279" s="23"/>
      <c r="G279" s="23"/>
      <c r="H279" s="23"/>
      <c r="I279" s="22" t="str">
        <f aca="false">IF($B279="","",$B279*(IsverenPayiOrani+IssizlikOrani))</f>
        <v/>
      </c>
    </row>
    <row r="280" customFormat="false" ht="15" hidden="false" customHeight="false" outlineLevel="0" collapsed="false">
      <c r="A280" s="19"/>
      <c r="B280" s="20"/>
      <c r="C280" s="19"/>
      <c r="D280" s="23"/>
      <c r="E280" s="19"/>
      <c r="F280" s="23"/>
      <c r="G280" s="23"/>
      <c r="H280" s="23"/>
      <c r="I280" s="22" t="str">
        <f aca="false">IF($B280="","",$B280*(IsverenPayiOrani+IssizlikOrani))</f>
        <v/>
      </c>
    </row>
    <row r="281" customFormat="false" ht="15" hidden="false" customHeight="false" outlineLevel="0" collapsed="false">
      <c r="A281" s="19"/>
      <c r="B281" s="20"/>
      <c r="C281" s="19"/>
      <c r="D281" s="23"/>
      <c r="E281" s="19"/>
      <c r="F281" s="23"/>
      <c r="G281" s="23"/>
      <c r="H281" s="23"/>
      <c r="I281" s="22" t="str">
        <f aca="false">IF($B281="","",$B281*(IsverenPayiOrani+IssizlikOrani))</f>
        <v/>
      </c>
    </row>
    <row r="282" customFormat="false" ht="15" hidden="false" customHeight="false" outlineLevel="0" collapsed="false">
      <c r="A282" s="19"/>
      <c r="B282" s="20"/>
      <c r="C282" s="19"/>
      <c r="D282" s="23"/>
      <c r="E282" s="19"/>
      <c r="F282" s="23"/>
      <c r="G282" s="23"/>
      <c r="H282" s="23"/>
      <c r="I282" s="22" t="str">
        <f aca="false">IF($B282="","",$B282*(IsverenPayiOrani+IssizlikOrani))</f>
        <v/>
      </c>
    </row>
    <row r="283" customFormat="false" ht="15" hidden="false" customHeight="false" outlineLevel="0" collapsed="false">
      <c r="A283" s="19"/>
      <c r="B283" s="20"/>
      <c r="C283" s="19"/>
      <c r="D283" s="23"/>
      <c r="E283" s="19"/>
      <c r="F283" s="23"/>
      <c r="G283" s="23"/>
      <c r="H283" s="23"/>
      <c r="I283" s="22" t="str">
        <f aca="false">IF($B283="","",$B283*(IsverenPayiOrani+IssizlikOrani))</f>
        <v/>
      </c>
    </row>
    <row r="284" customFormat="false" ht="15" hidden="false" customHeight="false" outlineLevel="0" collapsed="false">
      <c r="A284" s="19"/>
      <c r="B284" s="20"/>
      <c r="C284" s="19"/>
      <c r="D284" s="23"/>
      <c r="E284" s="19"/>
      <c r="F284" s="23"/>
      <c r="G284" s="23"/>
      <c r="H284" s="23"/>
      <c r="I284" s="22" t="str">
        <f aca="false">IF($B284="","",$B284*(IsverenPayiOrani+IssizlikOrani))</f>
        <v/>
      </c>
    </row>
    <row r="285" customFormat="false" ht="15" hidden="false" customHeight="false" outlineLevel="0" collapsed="false">
      <c r="A285" s="19"/>
      <c r="B285" s="20"/>
      <c r="C285" s="19"/>
      <c r="D285" s="23"/>
      <c r="E285" s="19"/>
      <c r="F285" s="23"/>
      <c r="G285" s="23"/>
      <c r="H285" s="23"/>
      <c r="I285" s="22" t="str">
        <f aca="false">IF($B285="","",$B285*(IsverenPayiOrani+IssizlikOrani))</f>
        <v/>
      </c>
    </row>
    <row r="286" customFormat="false" ht="15" hidden="false" customHeight="false" outlineLevel="0" collapsed="false">
      <c r="A286" s="19"/>
      <c r="B286" s="20"/>
      <c r="C286" s="19"/>
      <c r="D286" s="23"/>
      <c r="E286" s="19"/>
      <c r="F286" s="23"/>
      <c r="G286" s="23"/>
      <c r="H286" s="23"/>
      <c r="I286" s="22" t="str">
        <f aca="false">IF($B286="","",$B286*(IsverenPayiOrani+IssizlikOrani))</f>
        <v/>
      </c>
    </row>
    <row r="287" customFormat="false" ht="15" hidden="false" customHeight="false" outlineLevel="0" collapsed="false">
      <c r="A287" s="19"/>
      <c r="B287" s="20"/>
      <c r="C287" s="19"/>
      <c r="D287" s="23"/>
      <c r="E287" s="19"/>
      <c r="F287" s="23"/>
      <c r="G287" s="23"/>
      <c r="H287" s="23"/>
      <c r="I287" s="22" t="str">
        <f aca="false">IF($B287="","",$B287*(IsverenPayiOrani+IssizlikOrani))</f>
        <v/>
      </c>
    </row>
    <row r="288" customFormat="false" ht="15" hidden="false" customHeight="false" outlineLevel="0" collapsed="false">
      <c r="A288" s="19"/>
      <c r="B288" s="20"/>
      <c r="C288" s="19"/>
      <c r="D288" s="23"/>
      <c r="E288" s="19"/>
      <c r="F288" s="23"/>
      <c r="G288" s="23"/>
      <c r="H288" s="23"/>
      <c r="I288" s="22" t="str">
        <f aca="false">IF($B288="","",$B288*(IsverenPayiOrani+IssizlikOrani))</f>
        <v/>
      </c>
    </row>
    <row r="289" customFormat="false" ht="15" hidden="false" customHeight="false" outlineLevel="0" collapsed="false">
      <c r="A289" s="19"/>
      <c r="B289" s="20"/>
      <c r="C289" s="19"/>
      <c r="D289" s="23"/>
      <c r="E289" s="19"/>
      <c r="F289" s="23"/>
      <c r="G289" s="23"/>
      <c r="H289" s="23"/>
      <c r="I289" s="22" t="str">
        <f aca="false">IF($B289="","",$B289*(IsverenPayiOrani+IssizlikOrani))</f>
        <v/>
      </c>
    </row>
    <row r="290" customFormat="false" ht="15" hidden="false" customHeight="false" outlineLevel="0" collapsed="false">
      <c r="A290" s="19"/>
      <c r="B290" s="20"/>
      <c r="C290" s="19"/>
      <c r="D290" s="23"/>
      <c r="E290" s="19"/>
      <c r="F290" s="23"/>
      <c r="G290" s="23"/>
      <c r="H290" s="23"/>
      <c r="I290" s="22" t="str">
        <f aca="false">IF($B290="","",$B290*(IsverenPayiOrani+IssizlikOrani))</f>
        <v/>
      </c>
    </row>
    <row r="291" customFormat="false" ht="15" hidden="false" customHeight="false" outlineLevel="0" collapsed="false">
      <c r="A291" s="19"/>
      <c r="B291" s="20"/>
      <c r="C291" s="19"/>
      <c r="D291" s="23"/>
      <c r="E291" s="19"/>
      <c r="F291" s="23"/>
      <c r="G291" s="23"/>
      <c r="H291" s="23"/>
      <c r="I291" s="22" t="str">
        <f aca="false">IF($B291="","",$B291*(IsverenPayiOrani+IssizlikOrani))</f>
        <v/>
      </c>
    </row>
    <row r="292" customFormat="false" ht="15" hidden="false" customHeight="false" outlineLevel="0" collapsed="false">
      <c r="A292" s="19"/>
      <c r="B292" s="20"/>
      <c r="C292" s="19"/>
      <c r="D292" s="23"/>
      <c r="E292" s="19"/>
      <c r="F292" s="23"/>
      <c r="G292" s="23"/>
      <c r="H292" s="23"/>
      <c r="I292" s="22" t="str">
        <f aca="false">IF($B292="","",$B292*(IsverenPayiOrani+IssizlikOrani))</f>
        <v/>
      </c>
    </row>
    <row r="293" customFormat="false" ht="15" hidden="false" customHeight="false" outlineLevel="0" collapsed="false">
      <c r="A293" s="19"/>
      <c r="B293" s="20"/>
      <c r="C293" s="19"/>
      <c r="D293" s="23"/>
      <c r="E293" s="19"/>
      <c r="F293" s="23"/>
      <c r="G293" s="23"/>
      <c r="H293" s="23"/>
      <c r="I293" s="22" t="str">
        <f aca="false">IF($B293="","",$B293*(IsverenPayiOrani+IssizlikOrani))</f>
        <v/>
      </c>
    </row>
    <row r="294" customFormat="false" ht="15" hidden="false" customHeight="false" outlineLevel="0" collapsed="false">
      <c r="A294" s="19"/>
      <c r="B294" s="20"/>
      <c r="C294" s="19"/>
      <c r="D294" s="23"/>
      <c r="E294" s="19"/>
      <c r="F294" s="23"/>
      <c r="G294" s="23"/>
      <c r="H294" s="23"/>
      <c r="I294" s="22" t="str">
        <f aca="false">IF($B294="","",$B294*(IsverenPayiOrani+IssizlikOrani))</f>
        <v/>
      </c>
    </row>
    <row r="295" customFormat="false" ht="15" hidden="false" customHeight="false" outlineLevel="0" collapsed="false">
      <c r="A295" s="19"/>
      <c r="B295" s="20"/>
      <c r="C295" s="19"/>
      <c r="D295" s="23"/>
      <c r="E295" s="19"/>
      <c r="F295" s="23"/>
      <c r="G295" s="23"/>
      <c r="H295" s="23"/>
      <c r="I295" s="22" t="str">
        <f aca="false">IF($B295="","",$B295*(IsverenPayiOrani+IssizlikOrani))</f>
        <v/>
      </c>
    </row>
    <row r="296" customFormat="false" ht="15" hidden="false" customHeight="false" outlineLevel="0" collapsed="false">
      <c r="A296" s="19"/>
      <c r="B296" s="20"/>
      <c r="C296" s="19"/>
      <c r="D296" s="23"/>
      <c r="E296" s="19"/>
      <c r="F296" s="23"/>
      <c r="G296" s="23"/>
      <c r="H296" s="23"/>
      <c r="I296" s="22" t="str">
        <f aca="false">IF($B296="","",$B296*(IsverenPayiOrani+IssizlikOrani))</f>
        <v/>
      </c>
    </row>
    <row r="297" customFormat="false" ht="15" hidden="false" customHeight="false" outlineLevel="0" collapsed="false">
      <c r="A297" s="19"/>
      <c r="B297" s="20"/>
      <c r="C297" s="19"/>
      <c r="D297" s="23"/>
      <c r="E297" s="19"/>
      <c r="F297" s="23"/>
      <c r="G297" s="23"/>
      <c r="H297" s="23"/>
      <c r="I297" s="22" t="str">
        <f aca="false">IF($B297="","",$B297*(IsverenPayiOrani+IssizlikOrani))</f>
        <v/>
      </c>
    </row>
    <row r="298" customFormat="false" ht="15" hidden="false" customHeight="false" outlineLevel="0" collapsed="false">
      <c r="A298" s="19"/>
      <c r="B298" s="20"/>
      <c r="C298" s="19"/>
      <c r="D298" s="23"/>
      <c r="E298" s="19"/>
      <c r="F298" s="23"/>
      <c r="G298" s="23"/>
      <c r="H298" s="23"/>
      <c r="I298" s="22" t="str">
        <f aca="false">IF($B298="","",$B298*(IsverenPayiOrani+IssizlikOrani))</f>
        <v/>
      </c>
    </row>
    <row r="299" customFormat="false" ht="15" hidden="false" customHeight="false" outlineLevel="0" collapsed="false">
      <c r="A299" s="19"/>
      <c r="B299" s="20"/>
      <c r="C299" s="19"/>
      <c r="D299" s="23"/>
      <c r="E299" s="19"/>
      <c r="F299" s="23"/>
      <c r="G299" s="23"/>
      <c r="H299" s="23"/>
      <c r="I299" s="22" t="str">
        <f aca="false">IF($B299="","",$B299*(IsverenPayiOrani+IssizlikOrani))</f>
        <v/>
      </c>
    </row>
    <row r="300" customFormat="false" ht="15" hidden="false" customHeight="false" outlineLevel="0" collapsed="false">
      <c r="A300" s="19"/>
      <c r="B300" s="20"/>
      <c r="C300" s="19"/>
      <c r="D300" s="23"/>
      <c r="E300" s="19"/>
      <c r="F300" s="23"/>
      <c r="G300" s="23"/>
      <c r="H300" s="23"/>
      <c r="I300" s="22" t="str">
        <f aca="false">IF($B300="","",$B300*(IsverenPayiOrani+IssizlikOrani))</f>
        <v/>
      </c>
    </row>
    <row r="301" customFormat="false" ht="15" hidden="false" customHeight="false" outlineLevel="0" collapsed="false">
      <c r="A301" s="19"/>
      <c r="B301" s="20"/>
      <c r="C301" s="19"/>
      <c r="D301" s="23"/>
      <c r="E301" s="19"/>
      <c r="F301" s="23"/>
      <c r="G301" s="23"/>
      <c r="H301" s="23"/>
      <c r="I301" s="22" t="str">
        <f aca="false">IF($B301="","",$B301*(IsverenPayiOrani+IssizlikOrani))</f>
        <v/>
      </c>
    </row>
    <row r="302" customFormat="false" ht="15" hidden="false" customHeight="false" outlineLevel="0" collapsed="false">
      <c r="A302" s="19"/>
      <c r="B302" s="20"/>
      <c r="C302" s="19"/>
      <c r="D302" s="23"/>
      <c r="E302" s="19"/>
      <c r="F302" s="23"/>
      <c r="G302" s="23"/>
      <c r="H302" s="23"/>
      <c r="I302" s="22" t="str">
        <f aca="false">IF($B302="","",$B302*(IsverenPayiOrani+IssizlikOrani))</f>
        <v/>
      </c>
    </row>
    <row r="303" customFormat="false" ht="15" hidden="false" customHeight="false" outlineLevel="0" collapsed="false">
      <c r="A303" s="19"/>
      <c r="B303" s="20"/>
      <c r="C303" s="19"/>
      <c r="D303" s="23"/>
      <c r="E303" s="19"/>
      <c r="F303" s="23"/>
      <c r="G303" s="23"/>
      <c r="H303" s="23"/>
      <c r="I303" s="22" t="str">
        <f aca="false">IF($B303="","",$B303*(IsverenPayiOrani+IssizlikOrani))</f>
        <v/>
      </c>
    </row>
    <row r="304" customFormat="false" ht="15" hidden="false" customHeight="false" outlineLevel="0" collapsed="false">
      <c r="A304" s="19"/>
      <c r="B304" s="20"/>
      <c r="C304" s="19"/>
      <c r="D304" s="23"/>
      <c r="E304" s="19"/>
      <c r="F304" s="23"/>
      <c r="G304" s="23"/>
      <c r="H304" s="23"/>
      <c r="I304" s="22" t="str">
        <f aca="false">IF($B304="","",$B304*(IsverenPayiOrani+IssizlikOrani))</f>
        <v/>
      </c>
    </row>
    <row r="305" customFormat="false" ht="15" hidden="false" customHeight="false" outlineLevel="0" collapsed="false">
      <c r="A305" s="19"/>
      <c r="B305" s="20"/>
      <c r="C305" s="19"/>
      <c r="D305" s="23"/>
      <c r="E305" s="19"/>
      <c r="F305" s="23"/>
      <c r="G305" s="23"/>
      <c r="H305" s="23"/>
      <c r="I305" s="22" t="str">
        <f aca="false">IF($B305="","",$B305*(IsverenPayiOrani+IssizlikOrani))</f>
        <v/>
      </c>
    </row>
    <row r="306" customFormat="false" ht="15" hidden="false" customHeight="false" outlineLevel="0" collapsed="false">
      <c r="A306" s="19"/>
      <c r="B306" s="20"/>
      <c r="C306" s="19"/>
      <c r="D306" s="23"/>
      <c r="E306" s="19"/>
      <c r="F306" s="23"/>
      <c r="G306" s="23"/>
      <c r="H306" s="23"/>
      <c r="I306" s="22" t="str">
        <f aca="false">IF($B306="","",$B306*(IsverenPayiOrani+IssizlikOrani))</f>
        <v/>
      </c>
    </row>
    <row r="307" customFormat="false" ht="15" hidden="false" customHeight="false" outlineLevel="0" collapsed="false">
      <c r="A307" s="19"/>
      <c r="B307" s="20"/>
      <c r="C307" s="19"/>
      <c r="D307" s="23"/>
      <c r="E307" s="19"/>
      <c r="F307" s="23"/>
      <c r="G307" s="23"/>
      <c r="H307" s="23"/>
      <c r="I307" s="22" t="str">
        <f aca="false">IF($B307="","",$B307*(IsverenPayiOrani+IssizlikOrani))</f>
        <v/>
      </c>
    </row>
    <row r="308" customFormat="false" ht="15" hidden="false" customHeight="false" outlineLevel="0" collapsed="false">
      <c r="A308" s="19"/>
      <c r="B308" s="20"/>
      <c r="C308" s="19"/>
      <c r="D308" s="23"/>
      <c r="E308" s="19"/>
      <c r="F308" s="23"/>
      <c r="G308" s="23"/>
      <c r="H308" s="23"/>
      <c r="I308" s="22" t="str">
        <f aca="false">IF($B308="","",$B308*(IsverenPayiOrani+IssizlikOrani))</f>
        <v/>
      </c>
    </row>
    <row r="309" customFormat="false" ht="15" hidden="false" customHeight="false" outlineLevel="0" collapsed="false">
      <c r="A309" s="19"/>
      <c r="B309" s="20"/>
      <c r="C309" s="19"/>
      <c r="D309" s="23"/>
      <c r="E309" s="19"/>
      <c r="F309" s="23"/>
      <c r="G309" s="23"/>
      <c r="H309" s="23"/>
      <c r="I309" s="22" t="str">
        <f aca="false">IF($B309="","",$B309*(IsverenPayiOrani+IssizlikOrani))</f>
        <v/>
      </c>
    </row>
    <row r="310" customFormat="false" ht="15" hidden="false" customHeight="false" outlineLevel="0" collapsed="false">
      <c r="A310" s="19"/>
      <c r="B310" s="20"/>
      <c r="C310" s="19"/>
      <c r="D310" s="23"/>
      <c r="E310" s="19"/>
      <c r="F310" s="23"/>
      <c r="G310" s="23"/>
      <c r="H310" s="23"/>
      <c r="I310" s="22" t="str">
        <f aca="false">IF($B310="","",$B310*(IsverenPayiOrani+IssizlikOrani))</f>
        <v/>
      </c>
    </row>
    <row r="311" customFormat="false" ht="15" hidden="false" customHeight="false" outlineLevel="0" collapsed="false">
      <c r="A311" s="19"/>
      <c r="B311" s="20"/>
      <c r="C311" s="19"/>
      <c r="D311" s="23"/>
      <c r="E311" s="19"/>
      <c r="F311" s="23"/>
      <c r="G311" s="23"/>
      <c r="H311" s="23"/>
      <c r="I311" s="22" t="str">
        <f aca="false">IF($B311="","",$B311*(IsverenPayiOrani+IssizlikOrani))</f>
        <v/>
      </c>
    </row>
    <row r="312" customFormat="false" ht="15" hidden="false" customHeight="false" outlineLevel="0" collapsed="false">
      <c r="A312" s="19"/>
      <c r="B312" s="20"/>
      <c r="C312" s="19"/>
      <c r="D312" s="23"/>
      <c r="E312" s="19"/>
      <c r="F312" s="23"/>
      <c r="G312" s="23"/>
      <c r="H312" s="23"/>
      <c r="I312" s="22" t="str">
        <f aca="false">IF($B312="","",$B312*(IsverenPayiOrani+IssizlikOrani))</f>
        <v/>
      </c>
    </row>
    <row r="313" customFormat="false" ht="15" hidden="false" customHeight="false" outlineLevel="0" collapsed="false">
      <c r="A313" s="19"/>
      <c r="B313" s="20"/>
      <c r="C313" s="19"/>
      <c r="D313" s="23"/>
      <c r="E313" s="19"/>
      <c r="F313" s="23"/>
      <c r="G313" s="23"/>
      <c r="H313" s="23"/>
      <c r="I313" s="22" t="str">
        <f aca="false">IF($B313="","",$B313*(IsverenPayiOrani+IssizlikOrani))</f>
        <v/>
      </c>
    </row>
    <row r="314" customFormat="false" ht="15" hidden="false" customHeight="false" outlineLevel="0" collapsed="false">
      <c r="A314" s="19"/>
      <c r="B314" s="20"/>
      <c r="C314" s="19"/>
      <c r="D314" s="23"/>
      <c r="E314" s="19"/>
      <c r="F314" s="23"/>
      <c r="G314" s="23"/>
      <c r="H314" s="23"/>
      <c r="I314" s="22" t="str">
        <f aca="false">IF($B314="","",$B314*(IsverenPayiOrani+IssizlikOrani))</f>
        <v/>
      </c>
    </row>
    <row r="315" customFormat="false" ht="15" hidden="false" customHeight="false" outlineLevel="0" collapsed="false">
      <c r="A315" s="19"/>
      <c r="B315" s="20"/>
      <c r="C315" s="19"/>
      <c r="D315" s="23"/>
      <c r="E315" s="19"/>
      <c r="F315" s="23"/>
      <c r="G315" s="23"/>
      <c r="H315" s="23"/>
      <c r="I315" s="22" t="str">
        <f aca="false">IF($B315="","",$B315*(IsverenPayiOrani+IssizlikOrani))</f>
        <v/>
      </c>
    </row>
    <row r="316" customFormat="false" ht="15" hidden="false" customHeight="false" outlineLevel="0" collapsed="false">
      <c r="A316" s="19"/>
      <c r="B316" s="20"/>
      <c r="C316" s="19"/>
      <c r="D316" s="23"/>
      <c r="E316" s="19"/>
      <c r="F316" s="23"/>
      <c r="G316" s="23"/>
      <c r="H316" s="23"/>
      <c r="I316" s="22" t="str">
        <f aca="false">IF($B316="","",$B316*(IsverenPayiOrani+IssizlikOrani))</f>
        <v/>
      </c>
    </row>
    <row r="317" customFormat="false" ht="15" hidden="false" customHeight="false" outlineLevel="0" collapsed="false">
      <c r="A317" s="19"/>
      <c r="B317" s="20"/>
      <c r="C317" s="19"/>
      <c r="D317" s="23"/>
      <c r="E317" s="19"/>
      <c r="F317" s="23"/>
      <c r="G317" s="23"/>
      <c r="H317" s="23"/>
      <c r="I317" s="22" t="str">
        <f aca="false">IF($B317="","",$B317*(IsverenPayiOrani+IssizlikOrani))</f>
        <v/>
      </c>
    </row>
    <row r="318" customFormat="false" ht="15" hidden="false" customHeight="false" outlineLevel="0" collapsed="false">
      <c r="A318" s="19"/>
      <c r="B318" s="20"/>
      <c r="C318" s="19"/>
      <c r="D318" s="23"/>
      <c r="E318" s="19"/>
      <c r="F318" s="23"/>
      <c r="G318" s="23"/>
      <c r="H318" s="23"/>
      <c r="I318" s="22" t="str">
        <f aca="false">IF($B318="","",$B318*(IsverenPayiOrani+IssizlikOrani))</f>
        <v/>
      </c>
    </row>
    <row r="319" customFormat="false" ht="15" hidden="false" customHeight="false" outlineLevel="0" collapsed="false">
      <c r="A319" s="19"/>
      <c r="B319" s="20"/>
      <c r="C319" s="19"/>
      <c r="D319" s="23"/>
      <c r="E319" s="19"/>
      <c r="F319" s="23"/>
      <c r="G319" s="23"/>
      <c r="H319" s="23"/>
      <c r="I319" s="22" t="str">
        <f aca="false">IF($B319="","",$B319*(IsverenPayiOrani+IssizlikOrani))</f>
        <v/>
      </c>
    </row>
    <row r="320" customFormat="false" ht="15" hidden="false" customHeight="false" outlineLevel="0" collapsed="false">
      <c r="A320" s="19"/>
      <c r="B320" s="20"/>
      <c r="C320" s="19"/>
      <c r="D320" s="23"/>
      <c r="E320" s="19"/>
      <c r="F320" s="23"/>
      <c r="G320" s="23"/>
      <c r="H320" s="23"/>
      <c r="I320" s="22" t="str">
        <f aca="false">IF($B320="","",$B320*(IsverenPayiOrani+IssizlikOrani))</f>
        <v/>
      </c>
    </row>
    <row r="321" customFormat="false" ht="15" hidden="false" customHeight="false" outlineLevel="0" collapsed="false">
      <c r="A321" s="19"/>
      <c r="B321" s="20"/>
      <c r="C321" s="19"/>
      <c r="D321" s="23"/>
      <c r="E321" s="19"/>
      <c r="F321" s="23"/>
      <c r="G321" s="23"/>
      <c r="H321" s="23"/>
      <c r="I321" s="22" t="str">
        <f aca="false">IF($B321="","",$B321*(IsverenPayiOrani+IssizlikOrani))</f>
        <v/>
      </c>
    </row>
    <row r="322" customFormat="false" ht="15" hidden="false" customHeight="false" outlineLevel="0" collapsed="false">
      <c r="A322" s="19"/>
      <c r="B322" s="20"/>
      <c r="C322" s="19"/>
      <c r="D322" s="23"/>
      <c r="E322" s="19"/>
      <c r="F322" s="23"/>
      <c r="G322" s="23"/>
      <c r="H322" s="23"/>
      <c r="I322" s="22" t="str">
        <f aca="false">IF($B322="","",$B322*(IsverenPayiOrani+IssizlikOrani))</f>
        <v/>
      </c>
    </row>
    <row r="323" customFormat="false" ht="15" hidden="false" customHeight="false" outlineLevel="0" collapsed="false">
      <c r="A323" s="19"/>
      <c r="B323" s="20"/>
      <c r="C323" s="19"/>
      <c r="D323" s="23"/>
      <c r="E323" s="19"/>
      <c r="F323" s="23"/>
      <c r="G323" s="23"/>
      <c r="H323" s="23"/>
      <c r="I323" s="22" t="str">
        <f aca="false">IF($B323="","",$B323*(IsverenPayiOrani+IssizlikOrani))</f>
        <v/>
      </c>
    </row>
    <row r="324" customFormat="false" ht="15" hidden="false" customHeight="false" outlineLevel="0" collapsed="false">
      <c r="A324" s="19"/>
      <c r="B324" s="20"/>
      <c r="C324" s="19"/>
      <c r="D324" s="23"/>
      <c r="E324" s="19"/>
      <c r="F324" s="23"/>
      <c r="G324" s="23"/>
      <c r="H324" s="23"/>
      <c r="I324" s="22" t="str">
        <f aca="false">IF($B324="","",$B324*(IsverenPayiOrani+IssizlikOrani))</f>
        <v/>
      </c>
    </row>
    <row r="325" customFormat="false" ht="15" hidden="false" customHeight="false" outlineLevel="0" collapsed="false">
      <c r="A325" s="19"/>
      <c r="B325" s="20"/>
      <c r="C325" s="19"/>
      <c r="D325" s="23"/>
      <c r="E325" s="19"/>
      <c r="F325" s="23"/>
      <c r="G325" s="23"/>
      <c r="H325" s="23"/>
      <c r="I325" s="22" t="str">
        <f aca="false">IF($B325="","",$B325*(IsverenPayiOrani+IssizlikOrani))</f>
        <v/>
      </c>
    </row>
    <row r="326" customFormat="false" ht="15" hidden="false" customHeight="false" outlineLevel="0" collapsed="false">
      <c r="A326" s="19"/>
      <c r="B326" s="20"/>
      <c r="C326" s="19"/>
      <c r="D326" s="23"/>
      <c r="E326" s="19"/>
      <c r="F326" s="23"/>
      <c r="G326" s="23"/>
      <c r="H326" s="23"/>
      <c r="I326" s="22" t="str">
        <f aca="false">IF($B326="","",$B326*(IsverenPayiOrani+IssizlikOrani))</f>
        <v/>
      </c>
    </row>
    <row r="327" customFormat="false" ht="15" hidden="false" customHeight="false" outlineLevel="0" collapsed="false">
      <c r="A327" s="19"/>
      <c r="B327" s="20"/>
      <c r="C327" s="19"/>
      <c r="D327" s="23"/>
      <c r="E327" s="19"/>
      <c r="F327" s="23"/>
      <c r="G327" s="23"/>
      <c r="H327" s="23"/>
      <c r="I327" s="22" t="str">
        <f aca="false">IF($B327="","",$B327*(IsverenPayiOrani+IssizlikOrani))</f>
        <v/>
      </c>
    </row>
    <row r="328" customFormat="false" ht="15" hidden="false" customHeight="false" outlineLevel="0" collapsed="false">
      <c r="A328" s="19"/>
      <c r="B328" s="20"/>
      <c r="C328" s="19"/>
      <c r="D328" s="23"/>
      <c r="E328" s="19"/>
      <c r="F328" s="23"/>
      <c r="G328" s="23"/>
      <c r="H328" s="23"/>
      <c r="I328" s="22" t="str">
        <f aca="false">IF($B328="","",$B328*(IsverenPayiOrani+IssizlikOrani))</f>
        <v/>
      </c>
    </row>
    <row r="329" customFormat="false" ht="15" hidden="false" customHeight="false" outlineLevel="0" collapsed="false">
      <c r="A329" s="19"/>
      <c r="B329" s="20"/>
      <c r="C329" s="19"/>
      <c r="D329" s="23"/>
      <c r="E329" s="19"/>
      <c r="F329" s="23"/>
      <c r="G329" s="23"/>
      <c r="H329" s="23"/>
      <c r="I329" s="22" t="str">
        <f aca="false">IF($B329="","",$B329*(IsverenPayiOrani+IssizlikOrani))</f>
        <v/>
      </c>
    </row>
    <row r="330" customFormat="false" ht="15" hidden="false" customHeight="false" outlineLevel="0" collapsed="false">
      <c r="A330" s="19"/>
      <c r="B330" s="20"/>
      <c r="C330" s="19"/>
      <c r="D330" s="23"/>
      <c r="E330" s="19"/>
      <c r="F330" s="23"/>
      <c r="G330" s="23"/>
      <c r="H330" s="23"/>
      <c r="I330" s="22" t="str">
        <f aca="false">IF($B330="","",$B330*(IsverenPayiOrani+IssizlikOrani))</f>
        <v/>
      </c>
    </row>
    <row r="331" customFormat="false" ht="15" hidden="false" customHeight="false" outlineLevel="0" collapsed="false">
      <c r="A331" s="19"/>
      <c r="B331" s="20"/>
      <c r="C331" s="19"/>
      <c r="D331" s="23"/>
      <c r="E331" s="19"/>
      <c r="F331" s="23"/>
      <c r="G331" s="23"/>
      <c r="H331" s="23"/>
      <c r="I331" s="22" t="str">
        <f aca="false">IF($B331="","",$B331*(IsverenPayiOrani+IssizlikOrani))</f>
        <v/>
      </c>
    </row>
    <row r="332" customFormat="false" ht="15" hidden="false" customHeight="false" outlineLevel="0" collapsed="false">
      <c r="A332" s="19"/>
      <c r="B332" s="20"/>
      <c r="C332" s="19"/>
      <c r="D332" s="23"/>
      <c r="E332" s="19"/>
      <c r="F332" s="23"/>
      <c r="G332" s="23"/>
      <c r="H332" s="23"/>
      <c r="I332" s="22" t="str">
        <f aca="false">IF($B332="","",$B332*(IsverenPayiOrani+IssizlikOrani))</f>
        <v/>
      </c>
    </row>
    <row r="333" customFormat="false" ht="15" hidden="false" customHeight="false" outlineLevel="0" collapsed="false">
      <c r="A333" s="19"/>
      <c r="B333" s="20"/>
      <c r="C333" s="19"/>
      <c r="D333" s="23"/>
      <c r="E333" s="19"/>
      <c r="F333" s="23"/>
      <c r="G333" s="23"/>
      <c r="H333" s="23"/>
      <c r="I333" s="22" t="str">
        <f aca="false">IF($B333="","",$B333*(IsverenPayiOrani+IssizlikOrani))</f>
        <v/>
      </c>
    </row>
    <row r="334" customFormat="false" ht="15" hidden="false" customHeight="false" outlineLevel="0" collapsed="false">
      <c r="A334" s="19"/>
      <c r="B334" s="20"/>
      <c r="C334" s="19"/>
      <c r="D334" s="23"/>
      <c r="E334" s="19"/>
      <c r="F334" s="23"/>
      <c r="G334" s="23"/>
      <c r="H334" s="23"/>
      <c r="I334" s="22" t="str">
        <f aca="false">IF($B334="","",$B334*(IsverenPayiOrani+IssizlikOrani))</f>
        <v/>
      </c>
    </row>
    <row r="335" customFormat="false" ht="15" hidden="false" customHeight="false" outlineLevel="0" collapsed="false">
      <c r="A335" s="19"/>
      <c r="B335" s="20"/>
      <c r="C335" s="19"/>
      <c r="D335" s="23"/>
      <c r="E335" s="19"/>
      <c r="F335" s="23"/>
      <c r="G335" s="23"/>
      <c r="H335" s="23"/>
      <c r="I335" s="22" t="str">
        <f aca="false">IF($B335="","",$B335*(IsverenPayiOrani+IssizlikOrani))</f>
        <v/>
      </c>
    </row>
    <row r="336" customFormat="false" ht="15" hidden="false" customHeight="false" outlineLevel="0" collapsed="false">
      <c r="A336" s="19"/>
      <c r="B336" s="20"/>
      <c r="C336" s="19"/>
      <c r="D336" s="23"/>
      <c r="E336" s="19"/>
      <c r="F336" s="23"/>
      <c r="G336" s="23"/>
      <c r="H336" s="23"/>
      <c r="I336" s="22" t="str">
        <f aca="false">IF($B336="","",$B336*(IsverenPayiOrani+IssizlikOrani))</f>
        <v/>
      </c>
    </row>
    <row r="337" customFormat="false" ht="15" hidden="false" customHeight="false" outlineLevel="0" collapsed="false">
      <c r="A337" s="19"/>
      <c r="B337" s="20"/>
      <c r="C337" s="19"/>
      <c r="D337" s="23"/>
      <c r="E337" s="19"/>
      <c r="F337" s="23"/>
      <c r="G337" s="23"/>
      <c r="H337" s="23"/>
      <c r="I337" s="22" t="str">
        <f aca="false">IF($B337="","",$B337*(IsverenPayiOrani+IssizlikOrani))</f>
        <v/>
      </c>
    </row>
    <row r="338" customFormat="false" ht="15" hidden="false" customHeight="false" outlineLevel="0" collapsed="false">
      <c r="A338" s="19"/>
      <c r="B338" s="20"/>
      <c r="C338" s="19"/>
      <c r="D338" s="23"/>
      <c r="E338" s="19"/>
      <c r="F338" s="23"/>
      <c r="G338" s="23"/>
      <c r="H338" s="23"/>
      <c r="I338" s="22" t="str">
        <f aca="false">IF($B338="","",$B338*(IsverenPayiOrani+IssizlikOrani))</f>
        <v/>
      </c>
    </row>
    <row r="339" customFormat="false" ht="15" hidden="false" customHeight="false" outlineLevel="0" collapsed="false">
      <c r="A339" s="19"/>
      <c r="B339" s="20"/>
      <c r="C339" s="19"/>
      <c r="D339" s="23"/>
      <c r="E339" s="19"/>
      <c r="F339" s="23"/>
      <c r="G339" s="23"/>
      <c r="H339" s="23"/>
      <c r="I339" s="22" t="str">
        <f aca="false">IF($B339="","",$B339*(IsverenPayiOrani+IssizlikOrani))</f>
        <v/>
      </c>
    </row>
    <row r="340" customFormat="false" ht="15" hidden="false" customHeight="false" outlineLevel="0" collapsed="false">
      <c r="A340" s="19"/>
      <c r="B340" s="20"/>
      <c r="C340" s="19"/>
      <c r="D340" s="23"/>
      <c r="E340" s="19"/>
      <c r="F340" s="23"/>
      <c r="G340" s="23"/>
      <c r="H340" s="23"/>
      <c r="I340" s="22" t="str">
        <f aca="false">IF($B340="","",$B340*(IsverenPayiOrani+IssizlikOrani))</f>
        <v/>
      </c>
    </row>
    <row r="341" customFormat="false" ht="15" hidden="false" customHeight="false" outlineLevel="0" collapsed="false">
      <c r="A341" s="19"/>
      <c r="B341" s="20"/>
      <c r="C341" s="19"/>
      <c r="D341" s="23"/>
      <c r="E341" s="19"/>
      <c r="F341" s="23"/>
      <c r="G341" s="23"/>
      <c r="H341" s="23"/>
      <c r="I341" s="22" t="str">
        <f aca="false">IF($B341="","",$B341*(IsverenPayiOrani+IssizlikOrani))</f>
        <v/>
      </c>
    </row>
    <row r="342" customFormat="false" ht="15" hidden="false" customHeight="false" outlineLevel="0" collapsed="false">
      <c r="A342" s="19"/>
      <c r="B342" s="20"/>
      <c r="C342" s="19"/>
      <c r="D342" s="23"/>
      <c r="E342" s="19"/>
      <c r="F342" s="23"/>
      <c r="G342" s="23"/>
      <c r="H342" s="23"/>
      <c r="I342" s="22" t="str">
        <f aca="false">IF($B342="","",$B342*(IsverenPayiOrani+IssizlikOrani))</f>
        <v/>
      </c>
    </row>
    <row r="343" customFormat="false" ht="15" hidden="false" customHeight="false" outlineLevel="0" collapsed="false">
      <c r="A343" s="19"/>
      <c r="B343" s="20"/>
      <c r="C343" s="19"/>
      <c r="D343" s="23"/>
      <c r="E343" s="19"/>
      <c r="F343" s="23"/>
      <c r="G343" s="23"/>
      <c r="H343" s="23"/>
      <c r="I343" s="22" t="str">
        <f aca="false">IF($B343="","",$B343*(IsverenPayiOrani+IssizlikOrani))</f>
        <v/>
      </c>
    </row>
    <row r="344" customFormat="false" ht="15" hidden="false" customHeight="false" outlineLevel="0" collapsed="false">
      <c r="A344" s="19"/>
      <c r="B344" s="20"/>
      <c r="C344" s="19"/>
      <c r="D344" s="23"/>
      <c r="E344" s="19"/>
      <c r="F344" s="23"/>
      <c r="G344" s="23"/>
      <c r="H344" s="23"/>
      <c r="I344" s="22" t="str">
        <f aca="false">IF($B344="","",$B344*(IsverenPayiOrani+IssizlikOrani))</f>
        <v/>
      </c>
    </row>
    <row r="345" customFormat="false" ht="15" hidden="false" customHeight="false" outlineLevel="0" collapsed="false">
      <c r="A345" s="19"/>
      <c r="B345" s="20"/>
      <c r="C345" s="19"/>
      <c r="D345" s="23"/>
      <c r="E345" s="19"/>
      <c r="F345" s="23"/>
      <c r="G345" s="23"/>
      <c r="H345" s="23"/>
      <c r="I345" s="22" t="str">
        <f aca="false">IF($B345="","",$B345*(IsverenPayiOrani+IssizlikOrani))</f>
        <v/>
      </c>
    </row>
    <row r="346" customFormat="false" ht="15" hidden="false" customHeight="false" outlineLevel="0" collapsed="false">
      <c r="A346" s="19"/>
      <c r="B346" s="20"/>
      <c r="C346" s="19"/>
      <c r="D346" s="23"/>
      <c r="E346" s="19"/>
      <c r="F346" s="23"/>
      <c r="G346" s="23"/>
      <c r="H346" s="23"/>
      <c r="I346" s="22" t="str">
        <f aca="false">IF($B346="","",$B346*(IsverenPayiOrani+IssizlikOrani))</f>
        <v/>
      </c>
    </row>
    <row r="347" customFormat="false" ht="15" hidden="false" customHeight="false" outlineLevel="0" collapsed="false">
      <c r="A347" s="19"/>
      <c r="B347" s="20"/>
      <c r="C347" s="19"/>
      <c r="D347" s="23"/>
      <c r="E347" s="19"/>
      <c r="F347" s="23"/>
      <c r="G347" s="23"/>
      <c r="H347" s="23"/>
      <c r="I347" s="22" t="str">
        <f aca="false">IF($B347="","",$B347*(IsverenPayiOrani+IssizlikOrani))</f>
        <v/>
      </c>
    </row>
    <row r="348" customFormat="false" ht="15" hidden="false" customHeight="false" outlineLevel="0" collapsed="false">
      <c r="A348" s="19"/>
      <c r="B348" s="20"/>
      <c r="C348" s="19"/>
      <c r="D348" s="23"/>
      <c r="E348" s="19"/>
      <c r="F348" s="23"/>
      <c r="G348" s="23"/>
      <c r="H348" s="23"/>
      <c r="I348" s="22" t="str">
        <f aca="false">IF($B348="","",$B348*(IsverenPayiOrani+IssizlikOrani))</f>
        <v/>
      </c>
    </row>
    <row r="349" customFormat="false" ht="15" hidden="false" customHeight="false" outlineLevel="0" collapsed="false">
      <c r="A349" s="19"/>
      <c r="B349" s="20"/>
      <c r="C349" s="19"/>
      <c r="D349" s="23"/>
      <c r="E349" s="19"/>
      <c r="F349" s="23"/>
      <c r="G349" s="23"/>
      <c r="H349" s="23"/>
      <c r="I349" s="22" t="str">
        <f aca="false">IF($B349="","",$B349*(IsverenPayiOrani+IssizlikOrani))</f>
        <v/>
      </c>
    </row>
    <row r="350" customFormat="false" ht="15" hidden="false" customHeight="false" outlineLevel="0" collapsed="false">
      <c r="A350" s="19"/>
      <c r="B350" s="20"/>
      <c r="C350" s="19"/>
      <c r="D350" s="23"/>
      <c r="E350" s="19"/>
      <c r="F350" s="23"/>
      <c r="G350" s="23"/>
      <c r="H350" s="23"/>
      <c r="I350" s="22" t="str">
        <f aca="false">IF($B350="","",$B350*(IsverenPayiOrani+IssizlikOrani))</f>
        <v/>
      </c>
    </row>
    <row r="351" customFormat="false" ht="15" hidden="false" customHeight="false" outlineLevel="0" collapsed="false">
      <c r="A351" s="19"/>
      <c r="B351" s="20"/>
      <c r="C351" s="19"/>
      <c r="D351" s="23"/>
      <c r="E351" s="19"/>
      <c r="F351" s="23"/>
      <c r="G351" s="23"/>
      <c r="H351" s="23"/>
      <c r="I351" s="22" t="str">
        <f aca="false">IF($B351="","",$B351*(IsverenPayiOrani+IssizlikOrani))</f>
        <v/>
      </c>
    </row>
    <row r="352" customFormat="false" ht="15" hidden="false" customHeight="false" outlineLevel="0" collapsed="false">
      <c r="A352" s="19"/>
      <c r="B352" s="20"/>
      <c r="C352" s="19"/>
      <c r="D352" s="23"/>
      <c r="E352" s="19"/>
      <c r="F352" s="23"/>
      <c r="G352" s="23"/>
      <c r="H352" s="23"/>
      <c r="I352" s="22" t="str">
        <f aca="false">IF($B352="","",$B352*(IsverenPayiOrani+IssizlikOrani))</f>
        <v/>
      </c>
    </row>
    <row r="353" customFormat="false" ht="15" hidden="false" customHeight="false" outlineLevel="0" collapsed="false">
      <c r="A353" s="19"/>
      <c r="B353" s="20"/>
      <c r="C353" s="19"/>
      <c r="D353" s="23"/>
      <c r="E353" s="19"/>
      <c r="F353" s="23"/>
      <c r="G353" s="23"/>
      <c r="H353" s="23"/>
      <c r="I353" s="22" t="str">
        <f aca="false">IF($B353="","",$B353*(IsverenPayiOrani+IssizlikOrani))</f>
        <v/>
      </c>
    </row>
    <row r="354" customFormat="false" ht="15" hidden="false" customHeight="false" outlineLevel="0" collapsed="false">
      <c r="A354" s="19"/>
      <c r="B354" s="20"/>
      <c r="C354" s="19"/>
      <c r="D354" s="23"/>
      <c r="E354" s="19"/>
      <c r="F354" s="23"/>
      <c r="G354" s="23"/>
      <c r="H354" s="23"/>
      <c r="I354" s="22" t="str">
        <f aca="false">IF($B354="","",$B354*(IsverenPayiOrani+IssizlikOrani))</f>
        <v/>
      </c>
    </row>
    <row r="355" customFormat="false" ht="15" hidden="false" customHeight="false" outlineLevel="0" collapsed="false">
      <c r="A355" s="19"/>
      <c r="B355" s="20"/>
      <c r="C355" s="19"/>
      <c r="D355" s="23"/>
      <c r="E355" s="19"/>
      <c r="F355" s="23"/>
      <c r="G355" s="23"/>
      <c r="H355" s="23"/>
      <c r="I355" s="22" t="str">
        <f aca="false">IF($B355="","",$B355*(IsverenPayiOrani+IssizlikOrani))</f>
        <v/>
      </c>
    </row>
    <row r="356" customFormat="false" ht="15" hidden="false" customHeight="false" outlineLevel="0" collapsed="false">
      <c r="A356" s="19"/>
      <c r="B356" s="20"/>
      <c r="C356" s="19"/>
      <c r="D356" s="23"/>
      <c r="E356" s="19"/>
      <c r="F356" s="23"/>
      <c r="G356" s="23"/>
      <c r="H356" s="23"/>
      <c r="I356" s="22" t="str">
        <f aca="false">IF($B356="","",$B356*(IsverenPayiOrani+IssizlikOrani))</f>
        <v/>
      </c>
    </row>
    <row r="357" customFormat="false" ht="15" hidden="false" customHeight="false" outlineLevel="0" collapsed="false">
      <c r="A357" s="19"/>
      <c r="B357" s="20"/>
      <c r="C357" s="19"/>
      <c r="D357" s="23"/>
      <c r="E357" s="19"/>
      <c r="F357" s="23"/>
      <c r="G357" s="23"/>
      <c r="H357" s="23"/>
      <c r="I357" s="22" t="str">
        <f aca="false">IF($B357="","",$B357*(IsverenPayiOrani+IssizlikOrani))</f>
        <v/>
      </c>
    </row>
    <row r="358" customFormat="false" ht="15" hidden="false" customHeight="false" outlineLevel="0" collapsed="false">
      <c r="A358" s="19"/>
      <c r="B358" s="20"/>
      <c r="C358" s="19"/>
      <c r="D358" s="23"/>
      <c r="E358" s="19"/>
      <c r="F358" s="23"/>
      <c r="G358" s="23"/>
      <c r="H358" s="23"/>
      <c r="I358" s="22" t="str">
        <f aca="false">IF($B358="","",$B358*(IsverenPayiOrani+IssizlikOrani))</f>
        <v/>
      </c>
    </row>
    <row r="359" customFormat="false" ht="15" hidden="false" customHeight="false" outlineLevel="0" collapsed="false">
      <c r="A359" s="19"/>
      <c r="B359" s="20"/>
      <c r="C359" s="19"/>
      <c r="D359" s="23"/>
      <c r="E359" s="19"/>
      <c r="F359" s="23"/>
      <c r="G359" s="23"/>
      <c r="H359" s="23"/>
      <c r="I359" s="22" t="str">
        <f aca="false">IF($B359="","",$B359*(IsverenPayiOrani+IssizlikOrani))</f>
        <v/>
      </c>
    </row>
    <row r="360" customFormat="false" ht="15" hidden="false" customHeight="false" outlineLevel="0" collapsed="false">
      <c r="A360" s="19"/>
      <c r="B360" s="20"/>
      <c r="C360" s="19"/>
      <c r="D360" s="23"/>
      <c r="E360" s="19"/>
      <c r="F360" s="23"/>
      <c r="G360" s="23"/>
      <c r="H360" s="23"/>
      <c r="I360" s="22" t="str">
        <f aca="false">IF($B360="","",$B360*(IsverenPayiOrani+IssizlikOrani))</f>
        <v/>
      </c>
    </row>
    <row r="361" customFormat="false" ht="15" hidden="false" customHeight="false" outlineLevel="0" collapsed="false">
      <c r="A361" s="19"/>
      <c r="B361" s="20"/>
      <c r="C361" s="19"/>
      <c r="D361" s="23"/>
      <c r="E361" s="19"/>
      <c r="F361" s="23"/>
      <c r="G361" s="23"/>
      <c r="H361" s="23"/>
      <c r="I361" s="22" t="str">
        <f aca="false">IF($B361="","",$B361*(IsverenPayiOrani+IssizlikOrani))</f>
        <v/>
      </c>
    </row>
    <row r="362" customFormat="false" ht="15" hidden="false" customHeight="false" outlineLevel="0" collapsed="false">
      <c r="A362" s="19"/>
      <c r="B362" s="20"/>
      <c r="C362" s="19"/>
      <c r="D362" s="23"/>
      <c r="E362" s="19"/>
      <c r="F362" s="23"/>
      <c r="G362" s="23"/>
      <c r="H362" s="23"/>
      <c r="I362" s="22" t="str">
        <f aca="false">IF($B362="","",$B362*(IsverenPayiOrani+IssizlikOrani))</f>
        <v/>
      </c>
    </row>
    <row r="363" customFormat="false" ht="15" hidden="false" customHeight="false" outlineLevel="0" collapsed="false">
      <c r="A363" s="19"/>
      <c r="B363" s="20"/>
      <c r="C363" s="19"/>
      <c r="D363" s="23"/>
      <c r="E363" s="19"/>
      <c r="F363" s="23"/>
      <c r="G363" s="23"/>
      <c r="H363" s="23"/>
      <c r="I363" s="22" t="str">
        <f aca="false">IF($B363="","",$B363*(IsverenPayiOrani+IssizlikOrani))</f>
        <v/>
      </c>
    </row>
    <row r="364" customFormat="false" ht="15" hidden="false" customHeight="false" outlineLevel="0" collapsed="false">
      <c r="A364" s="19"/>
      <c r="B364" s="20"/>
      <c r="C364" s="19"/>
      <c r="D364" s="23"/>
      <c r="E364" s="19"/>
      <c r="F364" s="23"/>
      <c r="G364" s="23"/>
      <c r="H364" s="23"/>
      <c r="I364" s="22" t="str">
        <f aca="false">IF($B364="","",$B364*(IsverenPayiOrani+IssizlikOrani))</f>
        <v/>
      </c>
    </row>
    <row r="365" customFormat="false" ht="15" hidden="false" customHeight="false" outlineLevel="0" collapsed="false">
      <c r="A365" s="19"/>
      <c r="B365" s="20"/>
      <c r="C365" s="19"/>
      <c r="D365" s="23"/>
      <c r="E365" s="19"/>
      <c r="F365" s="23"/>
      <c r="G365" s="23"/>
      <c r="H365" s="23"/>
      <c r="I365" s="22" t="str">
        <f aca="false">IF($B365="","",$B365*(IsverenPayiOrani+IssizlikOrani))</f>
        <v/>
      </c>
    </row>
    <row r="366" customFormat="false" ht="15" hidden="false" customHeight="false" outlineLevel="0" collapsed="false">
      <c r="A366" s="19"/>
      <c r="B366" s="20"/>
      <c r="C366" s="19"/>
      <c r="D366" s="23"/>
      <c r="E366" s="19"/>
      <c r="F366" s="23"/>
      <c r="G366" s="23"/>
      <c r="H366" s="23"/>
      <c r="I366" s="22" t="str">
        <f aca="false">IF($B366="","",$B366*(IsverenPayiOrani+IssizlikOrani))</f>
        <v/>
      </c>
    </row>
    <row r="367" customFormat="false" ht="15" hidden="false" customHeight="false" outlineLevel="0" collapsed="false">
      <c r="A367" s="19"/>
      <c r="B367" s="20"/>
      <c r="C367" s="19"/>
      <c r="D367" s="23"/>
      <c r="E367" s="19"/>
      <c r="F367" s="23"/>
      <c r="G367" s="23"/>
      <c r="H367" s="23"/>
      <c r="I367" s="22" t="str">
        <f aca="false">IF($B367="","",$B367*(IsverenPayiOrani+IssizlikOrani))</f>
        <v/>
      </c>
    </row>
    <row r="368" customFormat="false" ht="15" hidden="false" customHeight="false" outlineLevel="0" collapsed="false">
      <c r="A368" s="19"/>
      <c r="B368" s="20"/>
      <c r="C368" s="19"/>
      <c r="D368" s="23"/>
      <c r="E368" s="19"/>
      <c r="F368" s="23"/>
      <c r="G368" s="23"/>
      <c r="H368" s="23"/>
      <c r="I368" s="22" t="str">
        <f aca="false">IF($B368="","",$B368*(IsverenPayiOrani+IssizlikOrani))</f>
        <v/>
      </c>
    </row>
    <row r="369" customFormat="false" ht="15" hidden="false" customHeight="false" outlineLevel="0" collapsed="false">
      <c r="A369" s="19"/>
      <c r="B369" s="20"/>
      <c r="C369" s="19"/>
      <c r="D369" s="23"/>
      <c r="E369" s="19"/>
      <c r="F369" s="23"/>
      <c r="G369" s="23"/>
      <c r="H369" s="23"/>
      <c r="I369" s="22" t="str">
        <f aca="false">IF($B369="","",$B369*(IsverenPayiOrani+IssizlikOrani))</f>
        <v/>
      </c>
    </row>
    <row r="370" customFormat="false" ht="15" hidden="false" customHeight="false" outlineLevel="0" collapsed="false">
      <c r="A370" s="19"/>
      <c r="B370" s="20"/>
      <c r="C370" s="19"/>
      <c r="D370" s="23"/>
      <c r="E370" s="19"/>
      <c r="F370" s="23"/>
      <c r="G370" s="23"/>
      <c r="H370" s="23"/>
      <c r="I370" s="22" t="str">
        <f aca="false">IF($B370="","",$B370*(IsverenPayiOrani+IssizlikOrani))</f>
        <v/>
      </c>
    </row>
    <row r="371" customFormat="false" ht="15" hidden="false" customHeight="false" outlineLevel="0" collapsed="false">
      <c r="A371" s="19"/>
      <c r="B371" s="20"/>
      <c r="C371" s="19"/>
      <c r="D371" s="23"/>
      <c r="E371" s="19"/>
      <c r="F371" s="23"/>
      <c r="G371" s="23"/>
      <c r="H371" s="23"/>
      <c r="I371" s="22" t="str">
        <f aca="false">IF($B371="","",$B371*(IsverenPayiOrani+IssizlikOrani))</f>
        <v/>
      </c>
    </row>
    <row r="372" customFormat="false" ht="15" hidden="false" customHeight="false" outlineLevel="0" collapsed="false">
      <c r="A372" s="19"/>
      <c r="B372" s="20"/>
      <c r="C372" s="19"/>
      <c r="D372" s="23"/>
      <c r="E372" s="19"/>
      <c r="F372" s="23"/>
      <c r="G372" s="23"/>
      <c r="H372" s="23"/>
      <c r="I372" s="22" t="str">
        <f aca="false">IF($B372="","",$B372*(IsverenPayiOrani+IssizlikOrani))</f>
        <v/>
      </c>
    </row>
    <row r="373" customFormat="false" ht="15" hidden="false" customHeight="false" outlineLevel="0" collapsed="false">
      <c r="A373" s="19"/>
      <c r="B373" s="20"/>
      <c r="C373" s="19"/>
      <c r="D373" s="23"/>
      <c r="E373" s="19"/>
      <c r="F373" s="23"/>
      <c r="G373" s="23"/>
      <c r="H373" s="23"/>
      <c r="I373" s="22" t="str">
        <f aca="false">IF($B373="","",$B373*(IsverenPayiOrani+IssizlikOrani))</f>
        <v/>
      </c>
    </row>
    <row r="374" customFormat="false" ht="15" hidden="false" customHeight="false" outlineLevel="0" collapsed="false">
      <c r="A374" s="19"/>
      <c r="B374" s="20"/>
      <c r="C374" s="19"/>
      <c r="D374" s="23"/>
      <c r="E374" s="19"/>
      <c r="F374" s="23"/>
      <c r="G374" s="23"/>
      <c r="H374" s="23"/>
      <c r="I374" s="22" t="str">
        <f aca="false">IF($B374="","",$B374*(IsverenPayiOrani+IssizlikOrani))</f>
        <v/>
      </c>
    </row>
    <row r="375" customFormat="false" ht="15" hidden="false" customHeight="false" outlineLevel="0" collapsed="false">
      <c r="A375" s="19"/>
      <c r="B375" s="20"/>
      <c r="C375" s="19"/>
      <c r="D375" s="23"/>
      <c r="E375" s="19"/>
      <c r="F375" s="23"/>
      <c r="G375" s="23"/>
      <c r="H375" s="23"/>
      <c r="I375" s="22" t="str">
        <f aca="false">IF($B375="","",$B375*(IsverenPayiOrani+IssizlikOrani))</f>
        <v/>
      </c>
    </row>
    <row r="376" customFormat="false" ht="15" hidden="false" customHeight="false" outlineLevel="0" collapsed="false">
      <c r="A376" s="19"/>
      <c r="B376" s="20"/>
      <c r="C376" s="19"/>
      <c r="D376" s="23"/>
      <c r="E376" s="19"/>
      <c r="F376" s="23"/>
      <c r="G376" s="23"/>
      <c r="H376" s="23"/>
      <c r="I376" s="22" t="str">
        <f aca="false">IF($B376="","",$B376*(IsverenPayiOrani+IssizlikOrani))</f>
        <v/>
      </c>
    </row>
    <row r="377" customFormat="false" ht="15" hidden="false" customHeight="false" outlineLevel="0" collapsed="false">
      <c r="A377" s="19"/>
      <c r="B377" s="20"/>
      <c r="C377" s="19"/>
      <c r="D377" s="23"/>
      <c r="E377" s="19"/>
      <c r="F377" s="23"/>
      <c r="G377" s="23"/>
      <c r="H377" s="23"/>
      <c r="I377" s="22" t="str">
        <f aca="false">IF($B377="","",$B377*(IsverenPayiOrani+IssizlikOrani))</f>
        <v/>
      </c>
    </row>
    <row r="378" customFormat="false" ht="15" hidden="false" customHeight="false" outlineLevel="0" collapsed="false">
      <c r="A378" s="19"/>
      <c r="B378" s="20"/>
      <c r="C378" s="19"/>
      <c r="D378" s="23"/>
      <c r="E378" s="19"/>
      <c r="F378" s="23"/>
      <c r="G378" s="23"/>
      <c r="H378" s="23"/>
      <c r="I378" s="22" t="str">
        <f aca="false">IF($B378="","",$B378*(IsverenPayiOrani+IssizlikOrani))</f>
        <v/>
      </c>
    </row>
    <row r="379" customFormat="false" ht="15" hidden="false" customHeight="false" outlineLevel="0" collapsed="false">
      <c r="A379" s="19"/>
      <c r="B379" s="20"/>
      <c r="C379" s="19"/>
      <c r="D379" s="23"/>
      <c r="E379" s="19"/>
      <c r="F379" s="23"/>
      <c r="G379" s="23"/>
      <c r="H379" s="23"/>
      <c r="I379" s="22" t="str">
        <f aca="false">IF($B379="","",$B379*(IsverenPayiOrani+IssizlikOrani))</f>
        <v/>
      </c>
    </row>
    <row r="380" customFormat="false" ht="15" hidden="false" customHeight="false" outlineLevel="0" collapsed="false">
      <c r="A380" s="19"/>
      <c r="B380" s="20"/>
      <c r="C380" s="19"/>
      <c r="D380" s="23"/>
      <c r="E380" s="19"/>
      <c r="F380" s="23"/>
      <c r="G380" s="23"/>
      <c r="H380" s="23"/>
      <c r="I380" s="22" t="str">
        <f aca="false">IF($B380="","",$B380*(IsverenPayiOrani+IssizlikOrani))</f>
        <v/>
      </c>
    </row>
    <row r="381" customFormat="false" ht="15" hidden="false" customHeight="false" outlineLevel="0" collapsed="false">
      <c r="A381" s="19"/>
      <c r="B381" s="20"/>
      <c r="C381" s="19"/>
      <c r="D381" s="23"/>
      <c r="E381" s="19"/>
      <c r="F381" s="23"/>
      <c r="G381" s="23"/>
      <c r="H381" s="23"/>
      <c r="I381" s="22" t="str">
        <f aca="false">IF($B381="","",$B381*(IsverenPayiOrani+IssizlikOrani))</f>
        <v/>
      </c>
    </row>
    <row r="382" customFormat="false" ht="15" hidden="false" customHeight="false" outlineLevel="0" collapsed="false">
      <c r="A382" s="19"/>
      <c r="B382" s="20"/>
      <c r="C382" s="19"/>
      <c r="D382" s="23"/>
      <c r="E382" s="19"/>
      <c r="F382" s="23"/>
      <c r="G382" s="23"/>
      <c r="H382" s="23"/>
      <c r="I382" s="22" t="str">
        <f aca="false">IF($B382="","",$B382*(IsverenPayiOrani+IssizlikOrani))</f>
        <v/>
      </c>
    </row>
    <row r="383" customFormat="false" ht="15" hidden="false" customHeight="false" outlineLevel="0" collapsed="false">
      <c r="A383" s="19"/>
      <c r="B383" s="20"/>
      <c r="C383" s="19"/>
      <c r="D383" s="23"/>
      <c r="E383" s="19"/>
      <c r="F383" s="23"/>
      <c r="G383" s="23"/>
      <c r="H383" s="23"/>
      <c r="I383" s="22" t="str">
        <f aca="false">IF($B383="","",$B383*(IsverenPayiOrani+IssizlikOrani))</f>
        <v/>
      </c>
    </row>
    <row r="384" customFormat="false" ht="15" hidden="false" customHeight="false" outlineLevel="0" collapsed="false">
      <c r="A384" s="19"/>
      <c r="B384" s="20"/>
      <c r="C384" s="19"/>
      <c r="D384" s="23"/>
      <c r="E384" s="19"/>
      <c r="F384" s="23"/>
      <c r="G384" s="23"/>
      <c r="H384" s="23"/>
      <c r="I384" s="22" t="str">
        <f aca="false">IF($B384="","",$B384*(IsverenPayiOrani+IssizlikOrani))</f>
        <v/>
      </c>
    </row>
    <row r="385" customFormat="false" ht="15" hidden="false" customHeight="false" outlineLevel="0" collapsed="false">
      <c r="A385" s="19"/>
      <c r="B385" s="20"/>
      <c r="C385" s="19"/>
      <c r="D385" s="23"/>
      <c r="E385" s="19"/>
      <c r="F385" s="23"/>
      <c r="G385" s="23"/>
      <c r="H385" s="23"/>
      <c r="I385" s="22" t="str">
        <f aca="false">IF($B385="","",$B385*(IsverenPayiOrani+IssizlikOrani))</f>
        <v/>
      </c>
    </row>
    <row r="386" customFormat="false" ht="15" hidden="false" customHeight="false" outlineLevel="0" collapsed="false">
      <c r="A386" s="19"/>
      <c r="B386" s="20"/>
      <c r="C386" s="19"/>
      <c r="D386" s="23"/>
      <c r="E386" s="19"/>
      <c r="F386" s="23"/>
      <c r="G386" s="23"/>
      <c r="H386" s="23"/>
      <c r="I386" s="22" t="str">
        <f aca="false">IF($B386="","",$B386*(IsverenPayiOrani+IssizlikOrani))</f>
        <v/>
      </c>
    </row>
    <row r="387" customFormat="false" ht="15" hidden="false" customHeight="false" outlineLevel="0" collapsed="false">
      <c r="A387" s="19"/>
      <c r="B387" s="20"/>
      <c r="C387" s="19"/>
      <c r="D387" s="23"/>
      <c r="E387" s="19"/>
      <c r="F387" s="23"/>
      <c r="G387" s="23"/>
      <c r="H387" s="23"/>
      <c r="I387" s="22" t="str">
        <f aca="false">IF($B387="","",$B387*(IsverenPayiOrani+IssizlikOrani))</f>
        <v/>
      </c>
    </row>
    <row r="388" customFormat="false" ht="15" hidden="false" customHeight="false" outlineLevel="0" collapsed="false">
      <c r="A388" s="19"/>
      <c r="B388" s="20"/>
      <c r="C388" s="19"/>
      <c r="D388" s="23"/>
      <c r="E388" s="19"/>
      <c r="F388" s="23"/>
      <c r="G388" s="23"/>
      <c r="H388" s="23"/>
      <c r="I388" s="22" t="str">
        <f aca="false">IF($B388="","",$B388*(IsverenPayiOrani+IssizlikOrani))</f>
        <v/>
      </c>
    </row>
    <row r="389" customFormat="false" ht="15" hidden="false" customHeight="false" outlineLevel="0" collapsed="false">
      <c r="A389" s="19"/>
      <c r="B389" s="20"/>
      <c r="C389" s="19"/>
      <c r="D389" s="23"/>
      <c r="E389" s="19"/>
      <c r="F389" s="23"/>
      <c r="G389" s="23"/>
      <c r="H389" s="23"/>
      <c r="I389" s="22" t="str">
        <f aca="false">IF($B389="","",$B389*(IsverenPayiOrani+IssizlikOrani))</f>
        <v/>
      </c>
    </row>
    <row r="390" customFormat="false" ht="15" hidden="false" customHeight="false" outlineLevel="0" collapsed="false">
      <c r="A390" s="19"/>
      <c r="B390" s="20"/>
      <c r="C390" s="19"/>
      <c r="D390" s="23"/>
      <c r="E390" s="19"/>
      <c r="F390" s="23"/>
      <c r="G390" s="23"/>
      <c r="H390" s="23"/>
      <c r="I390" s="22" t="str">
        <f aca="false">IF($B390="","",$B390*(IsverenPayiOrani+IssizlikOrani))</f>
        <v/>
      </c>
    </row>
    <row r="391" customFormat="false" ht="15" hidden="false" customHeight="false" outlineLevel="0" collapsed="false">
      <c r="A391" s="19"/>
      <c r="B391" s="20"/>
      <c r="C391" s="19"/>
      <c r="D391" s="23"/>
      <c r="E391" s="19"/>
      <c r="F391" s="23"/>
      <c r="G391" s="23"/>
      <c r="H391" s="23"/>
      <c r="I391" s="22" t="str">
        <f aca="false">IF($B391="","",$B391*(IsverenPayiOrani+IssizlikOrani))</f>
        <v/>
      </c>
    </row>
    <row r="392" customFormat="false" ht="15" hidden="false" customHeight="false" outlineLevel="0" collapsed="false">
      <c r="A392" s="19"/>
      <c r="B392" s="20"/>
      <c r="C392" s="19"/>
      <c r="D392" s="23"/>
      <c r="E392" s="19"/>
      <c r="F392" s="23"/>
      <c r="G392" s="23"/>
      <c r="H392" s="23"/>
      <c r="I392" s="22" t="str">
        <f aca="false">IF($B392="","",$B392*(IsverenPayiOrani+IssizlikOrani))</f>
        <v/>
      </c>
    </row>
    <row r="393" customFormat="false" ht="15" hidden="false" customHeight="false" outlineLevel="0" collapsed="false">
      <c r="A393" s="19"/>
      <c r="B393" s="20"/>
      <c r="C393" s="19"/>
      <c r="D393" s="23"/>
      <c r="E393" s="19"/>
      <c r="F393" s="23"/>
      <c r="G393" s="23"/>
      <c r="H393" s="23"/>
      <c r="I393" s="22" t="str">
        <f aca="false">IF($B393="","",$B393*(IsverenPayiOrani+IssizlikOrani))</f>
        <v/>
      </c>
    </row>
    <row r="394" customFormat="false" ht="15" hidden="false" customHeight="false" outlineLevel="0" collapsed="false">
      <c r="A394" s="19"/>
      <c r="B394" s="20"/>
      <c r="C394" s="19"/>
      <c r="D394" s="23"/>
      <c r="E394" s="19"/>
      <c r="F394" s="23"/>
      <c r="G394" s="23"/>
      <c r="H394" s="23"/>
      <c r="I394" s="22" t="str">
        <f aca="false">IF($B394="","",$B394*(IsverenPayiOrani+IssizlikOrani))</f>
        <v/>
      </c>
    </row>
    <row r="395" customFormat="false" ht="15" hidden="false" customHeight="false" outlineLevel="0" collapsed="false">
      <c r="A395" s="19"/>
      <c r="B395" s="20"/>
      <c r="C395" s="19"/>
      <c r="D395" s="23"/>
      <c r="E395" s="19"/>
      <c r="F395" s="23"/>
      <c r="G395" s="23"/>
      <c r="H395" s="23"/>
      <c r="I395" s="22" t="str">
        <f aca="false">IF($B395="","",$B395*(IsverenPayiOrani+IssizlikOrani))</f>
        <v/>
      </c>
    </row>
    <row r="396" customFormat="false" ht="15" hidden="false" customHeight="false" outlineLevel="0" collapsed="false">
      <c r="A396" s="19"/>
      <c r="B396" s="20"/>
      <c r="C396" s="19"/>
      <c r="D396" s="23"/>
      <c r="E396" s="19"/>
      <c r="F396" s="23"/>
      <c r="G396" s="23"/>
      <c r="H396" s="23"/>
      <c r="I396" s="22" t="str">
        <f aca="false">IF($B396="","",$B396*(IsverenPayiOrani+IssizlikOrani))</f>
        <v/>
      </c>
    </row>
    <row r="397" customFormat="false" ht="15" hidden="false" customHeight="false" outlineLevel="0" collapsed="false">
      <c r="A397" s="19"/>
      <c r="B397" s="20"/>
      <c r="C397" s="19"/>
      <c r="D397" s="23"/>
      <c r="E397" s="19"/>
      <c r="F397" s="23"/>
      <c r="G397" s="23"/>
      <c r="H397" s="23"/>
      <c r="I397" s="22" t="str">
        <f aca="false">IF($B397="","",$B397*(IsverenPayiOrani+IssizlikOrani))</f>
        <v/>
      </c>
    </row>
    <row r="398" customFormat="false" ht="15" hidden="false" customHeight="false" outlineLevel="0" collapsed="false">
      <c r="A398" s="19"/>
      <c r="B398" s="20"/>
      <c r="C398" s="19"/>
      <c r="D398" s="23"/>
      <c r="E398" s="19"/>
      <c r="F398" s="23"/>
      <c r="G398" s="23"/>
      <c r="H398" s="23"/>
      <c r="I398" s="22" t="str">
        <f aca="false">IF($B398="","",$B398*(IsverenPayiOrani+IssizlikOrani))</f>
        <v/>
      </c>
    </row>
    <row r="399" customFormat="false" ht="15" hidden="false" customHeight="false" outlineLevel="0" collapsed="false">
      <c r="A399" s="19"/>
      <c r="B399" s="20"/>
      <c r="C399" s="19"/>
      <c r="D399" s="23"/>
      <c r="E399" s="19"/>
      <c r="F399" s="23"/>
      <c r="G399" s="23"/>
      <c r="H399" s="23"/>
      <c r="I399" s="22" t="str">
        <f aca="false">IF($B399="","",$B399*(IsverenPayiOrani+IssizlikOrani))</f>
        <v/>
      </c>
    </row>
    <row r="400" customFormat="false" ht="15" hidden="false" customHeight="false" outlineLevel="0" collapsed="false">
      <c r="A400" s="19"/>
      <c r="B400" s="20"/>
      <c r="C400" s="19"/>
      <c r="D400" s="23"/>
      <c r="E400" s="19"/>
      <c r="F400" s="23"/>
      <c r="G400" s="23"/>
      <c r="H400" s="23"/>
      <c r="I400" s="22" t="str">
        <f aca="false">IF($B400="","",$B400*(IsverenPayiOrani+IssizlikOrani))</f>
        <v/>
      </c>
    </row>
    <row r="401" customFormat="false" ht="15" hidden="false" customHeight="false" outlineLevel="0" collapsed="false">
      <c r="A401" s="19"/>
      <c r="B401" s="20"/>
      <c r="C401" s="19"/>
      <c r="D401" s="23"/>
      <c r="E401" s="19"/>
      <c r="F401" s="23"/>
      <c r="G401" s="23"/>
      <c r="H401" s="23"/>
      <c r="I401" s="22" t="str">
        <f aca="false">IF($B401="","",$B401*(IsverenPayiOrani+IssizlikOrani))</f>
        <v/>
      </c>
    </row>
    <row r="402" customFormat="false" ht="15" hidden="false" customHeight="false" outlineLevel="0" collapsed="false">
      <c r="A402" s="19"/>
      <c r="B402" s="20"/>
      <c r="C402" s="19"/>
      <c r="D402" s="23"/>
      <c r="E402" s="19"/>
      <c r="F402" s="23"/>
      <c r="G402" s="23"/>
      <c r="H402" s="23"/>
      <c r="I402" s="22" t="str">
        <f aca="false">IF($B402="","",$B402*(IsverenPayiOrani+IssizlikOrani))</f>
        <v/>
      </c>
    </row>
    <row r="403" customFormat="false" ht="15" hidden="false" customHeight="false" outlineLevel="0" collapsed="false">
      <c r="A403" s="19"/>
      <c r="B403" s="20"/>
      <c r="C403" s="19"/>
      <c r="D403" s="23"/>
      <c r="E403" s="19"/>
      <c r="F403" s="23"/>
      <c r="G403" s="23"/>
      <c r="H403" s="23"/>
      <c r="I403" s="22" t="str">
        <f aca="false">IF($B403="","",$B403*(IsverenPayiOrani+IssizlikOrani))</f>
        <v/>
      </c>
    </row>
    <row r="404" customFormat="false" ht="15" hidden="false" customHeight="false" outlineLevel="0" collapsed="false">
      <c r="A404" s="19"/>
      <c r="B404" s="20"/>
      <c r="C404" s="19"/>
      <c r="D404" s="23"/>
      <c r="E404" s="19"/>
      <c r="F404" s="23"/>
      <c r="G404" s="23"/>
      <c r="H404" s="23"/>
      <c r="I404" s="22" t="str">
        <f aca="false">IF($B404="","",$B404*(IsverenPayiOrani+IssizlikOrani))</f>
        <v/>
      </c>
    </row>
    <row r="405" customFormat="false" ht="15" hidden="false" customHeight="false" outlineLevel="0" collapsed="false">
      <c r="A405" s="19"/>
      <c r="B405" s="20"/>
      <c r="C405" s="19"/>
      <c r="D405" s="23"/>
      <c r="E405" s="19"/>
      <c r="F405" s="23"/>
      <c r="G405" s="23"/>
      <c r="H405" s="23"/>
      <c r="I405" s="22" t="str">
        <f aca="false">IF($B405="","",$B405*(IsverenPayiOrani+IssizlikOrani))</f>
        <v/>
      </c>
    </row>
    <row r="406" customFormat="false" ht="15" hidden="false" customHeight="false" outlineLevel="0" collapsed="false">
      <c r="A406" s="19"/>
      <c r="B406" s="20"/>
      <c r="C406" s="19"/>
      <c r="D406" s="23"/>
      <c r="E406" s="19"/>
      <c r="F406" s="23"/>
      <c r="G406" s="23"/>
      <c r="H406" s="23"/>
      <c r="I406" s="22" t="str">
        <f aca="false">IF($B406="","",$B406*(IsverenPayiOrani+IssizlikOrani))</f>
        <v/>
      </c>
    </row>
    <row r="407" customFormat="false" ht="15" hidden="false" customHeight="false" outlineLevel="0" collapsed="false">
      <c r="A407" s="19"/>
      <c r="B407" s="20"/>
      <c r="C407" s="19"/>
      <c r="D407" s="23"/>
      <c r="E407" s="19"/>
      <c r="F407" s="23"/>
      <c r="G407" s="23"/>
      <c r="H407" s="23"/>
      <c r="I407" s="22" t="str">
        <f aca="false">IF($B407="","",$B407*(IsverenPayiOrani+IssizlikOrani))</f>
        <v/>
      </c>
    </row>
    <row r="408" customFormat="false" ht="15" hidden="false" customHeight="false" outlineLevel="0" collapsed="false">
      <c r="A408" s="19"/>
      <c r="B408" s="20"/>
      <c r="C408" s="19"/>
      <c r="D408" s="23"/>
      <c r="E408" s="19"/>
      <c r="F408" s="23"/>
      <c r="G408" s="23"/>
      <c r="H408" s="23"/>
      <c r="I408" s="22" t="str">
        <f aca="false">IF($B408="","",$B408*(IsverenPayiOrani+IssizlikOrani))</f>
        <v/>
      </c>
    </row>
    <row r="409" customFormat="false" ht="15" hidden="false" customHeight="false" outlineLevel="0" collapsed="false">
      <c r="A409" s="19"/>
      <c r="B409" s="20"/>
      <c r="C409" s="19"/>
      <c r="D409" s="23"/>
      <c r="E409" s="19"/>
      <c r="F409" s="23"/>
      <c r="G409" s="23"/>
      <c r="H409" s="23"/>
      <c r="I409" s="22" t="str">
        <f aca="false">IF($B409="","",$B409*(IsverenPayiOrani+IssizlikOrani))</f>
        <v/>
      </c>
    </row>
    <row r="410" customFormat="false" ht="15" hidden="false" customHeight="false" outlineLevel="0" collapsed="false">
      <c r="A410" s="19"/>
      <c r="B410" s="20"/>
      <c r="C410" s="19"/>
      <c r="D410" s="23"/>
      <c r="E410" s="19"/>
      <c r="F410" s="23"/>
      <c r="G410" s="23"/>
      <c r="H410" s="23"/>
      <c r="I410" s="22" t="str">
        <f aca="false">IF($B410="","",$B410*(IsverenPayiOrani+IssizlikOrani))</f>
        <v/>
      </c>
    </row>
    <row r="411" customFormat="false" ht="15" hidden="false" customHeight="false" outlineLevel="0" collapsed="false">
      <c r="A411" s="19"/>
      <c r="B411" s="20"/>
      <c r="C411" s="19"/>
      <c r="D411" s="23"/>
      <c r="E411" s="19"/>
      <c r="F411" s="23"/>
      <c r="G411" s="23"/>
      <c r="H411" s="23"/>
      <c r="I411" s="22" t="str">
        <f aca="false">IF($B411="","",$B411*(IsverenPayiOrani+IssizlikOrani))</f>
        <v/>
      </c>
    </row>
    <row r="412" customFormat="false" ht="15" hidden="false" customHeight="false" outlineLevel="0" collapsed="false">
      <c r="A412" s="19"/>
      <c r="B412" s="20"/>
      <c r="C412" s="19"/>
      <c r="D412" s="23"/>
      <c r="E412" s="19"/>
      <c r="F412" s="23"/>
      <c r="G412" s="23"/>
      <c r="H412" s="23"/>
      <c r="I412" s="22" t="str">
        <f aca="false">IF($B412="","",$B412*(IsverenPayiOrani+IssizlikOrani))</f>
        <v/>
      </c>
    </row>
    <row r="413" customFormat="false" ht="15" hidden="false" customHeight="false" outlineLevel="0" collapsed="false">
      <c r="A413" s="19"/>
      <c r="B413" s="20"/>
      <c r="C413" s="19"/>
      <c r="D413" s="23"/>
      <c r="E413" s="19"/>
      <c r="F413" s="23"/>
      <c r="G413" s="23"/>
      <c r="H413" s="23"/>
      <c r="I413" s="22" t="str">
        <f aca="false">IF($B413="","",$B413*(IsverenPayiOrani+IssizlikOrani))</f>
        <v/>
      </c>
    </row>
    <row r="414" customFormat="false" ht="15" hidden="false" customHeight="false" outlineLevel="0" collapsed="false">
      <c r="A414" s="19"/>
      <c r="B414" s="20"/>
      <c r="C414" s="19"/>
      <c r="D414" s="23"/>
      <c r="E414" s="19"/>
      <c r="F414" s="23"/>
      <c r="G414" s="23"/>
      <c r="H414" s="23"/>
      <c r="I414" s="22" t="str">
        <f aca="false">IF($B414="","",$B414*(IsverenPayiOrani+IssizlikOrani))</f>
        <v/>
      </c>
    </row>
    <row r="415" customFormat="false" ht="15" hidden="false" customHeight="false" outlineLevel="0" collapsed="false">
      <c r="A415" s="19"/>
      <c r="B415" s="20"/>
      <c r="C415" s="19"/>
      <c r="D415" s="23"/>
      <c r="E415" s="19"/>
      <c r="F415" s="23"/>
      <c r="G415" s="23"/>
      <c r="H415" s="23"/>
      <c r="I415" s="22" t="str">
        <f aca="false">IF($B415="","",$B415*(IsverenPayiOrani+IssizlikOrani))</f>
        <v/>
      </c>
    </row>
    <row r="416" customFormat="false" ht="15" hidden="false" customHeight="false" outlineLevel="0" collapsed="false">
      <c r="A416" s="19"/>
      <c r="B416" s="20"/>
      <c r="C416" s="19"/>
      <c r="D416" s="23"/>
      <c r="E416" s="19"/>
      <c r="F416" s="23"/>
      <c r="G416" s="23"/>
      <c r="H416" s="23"/>
      <c r="I416" s="22" t="str">
        <f aca="false">IF($B416="","",$B416*(IsverenPayiOrani+IssizlikOrani))</f>
        <v/>
      </c>
    </row>
    <row r="417" customFormat="false" ht="15" hidden="false" customHeight="false" outlineLevel="0" collapsed="false">
      <c r="A417" s="19"/>
      <c r="B417" s="20"/>
      <c r="C417" s="19"/>
      <c r="D417" s="23"/>
      <c r="E417" s="19"/>
      <c r="F417" s="23"/>
      <c r="G417" s="23"/>
      <c r="H417" s="23"/>
      <c r="I417" s="22" t="str">
        <f aca="false">IF($B417="","",$B417*(IsverenPayiOrani+IssizlikOrani))</f>
        <v/>
      </c>
    </row>
    <row r="418" customFormat="false" ht="15" hidden="false" customHeight="false" outlineLevel="0" collapsed="false">
      <c r="A418" s="19"/>
      <c r="B418" s="20"/>
      <c r="C418" s="19"/>
      <c r="D418" s="23"/>
      <c r="E418" s="19"/>
      <c r="F418" s="23"/>
      <c r="G418" s="23"/>
      <c r="H418" s="23"/>
      <c r="I418" s="22" t="str">
        <f aca="false">IF($B418="","",$B418*(IsverenPayiOrani+IssizlikOrani))</f>
        <v/>
      </c>
    </row>
    <row r="419" customFormat="false" ht="15" hidden="false" customHeight="false" outlineLevel="0" collapsed="false">
      <c r="A419" s="19"/>
      <c r="B419" s="20"/>
      <c r="C419" s="19"/>
      <c r="D419" s="23"/>
      <c r="E419" s="19"/>
      <c r="F419" s="23"/>
      <c r="G419" s="23"/>
      <c r="H419" s="23"/>
      <c r="I419" s="22" t="str">
        <f aca="false">IF($B419="","",$B419*(IsverenPayiOrani+IssizlikOrani))</f>
        <v/>
      </c>
    </row>
    <row r="420" customFormat="false" ht="15" hidden="false" customHeight="false" outlineLevel="0" collapsed="false">
      <c r="A420" s="19"/>
      <c r="B420" s="20"/>
      <c r="C420" s="19"/>
      <c r="D420" s="23"/>
      <c r="E420" s="19"/>
      <c r="F420" s="23"/>
      <c r="G420" s="23"/>
      <c r="H420" s="23"/>
      <c r="I420" s="22" t="str">
        <f aca="false">IF($B420="","",$B420*(IsverenPayiOrani+IssizlikOrani))</f>
        <v/>
      </c>
    </row>
    <row r="421" customFormat="false" ht="15" hidden="false" customHeight="false" outlineLevel="0" collapsed="false">
      <c r="A421" s="19"/>
      <c r="B421" s="20"/>
      <c r="C421" s="19"/>
      <c r="D421" s="23"/>
      <c r="E421" s="19"/>
      <c r="F421" s="23"/>
      <c r="G421" s="23"/>
      <c r="H421" s="23"/>
      <c r="I421" s="22" t="str">
        <f aca="false">IF($B421="","",$B421*(IsverenPayiOrani+IssizlikOrani))</f>
        <v/>
      </c>
    </row>
    <row r="422" customFormat="false" ht="15" hidden="false" customHeight="false" outlineLevel="0" collapsed="false">
      <c r="A422" s="19"/>
      <c r="B422" s="20"/>
      <c r="C422" s="19"/>
      <c r="D422" s="23"/>
      <c r="E422" s="19"/>
      <c r="F422" s="23"/>
      <c r="G422" s="23"/>
      <c r="H422" s="23"/>
      <c r="I422" s="22" t="str">
        <f aca="false">IF($B422="","",$B422*(IsverenPayiOrani+IssizlikOrani))</f>
        <v/>
      </c>
    </row>
    <row r="423" customFormat="false" ht="15" hidden="false" customHeight="false" outlineLevel="0" collapsed="false">
      <c r="A423" s="19"/>
      <c r="B423" s="20"/>
      <c r="C423" s="19"/>
      <c r="D423" s="23"/>
      <c r="E423" s="19"/>
      <c r="F423" s="23"/>
      <c r="G423" s="23"/>
      <c r="H423" s="23"/>
      <c r="I423" s="22" t="str">
        <f aca="false">IF($B423="","",$B423*(IsverenPayiOrani+IssizlikOrani))</f>
        <v/>
      </c>
    </row>
    <row r="424" customFormat="false" ht="15" hidden="false" customHeight="false" outlineLevel="0" collapsed="false">
      <c r="A424" s="19"/>
      <c r="B424" s="20"/>
      <c r="C424" s="19"/>
      <c r="D424" s="23"/>
      <c r="E424" s="19"/>
      <c r="F424" s="23"/>
      <c r="G424" s="23"/>
      <c r="H424" s="23"/>
      <c r="I424" s="22" t="str">
        <f aca="false">IF($B424="","",$B424*(IsverenPayiOrani+IssizlikOrani))</f>
        <v/>
      </c>
    </row>
    <row r="425" customFormat="false" ht="15" hidden="false" customHeight="false" outlineLevel="0" collapsed="false">
      <c r="A425" s="19"/>
      <c r="B425" s="20"/>
      <c r="C425" s="19"/>
      <c r="D425" s="23"/>
      <c r="E425" s="19"/>
      <c r="F425" s="23"/>
      <c r="G425" s="23"/>
      <c r="H425" s="23"/>
      <c r="I425" s="22" t="str">
        <f aca="false">IF($B425="","",$B425*(IsverenPayiOrani+IssizlikOrani))</f>
        <v/>
      </c>
    </row>
    <row r="426" customFormat="false" ht="15" hidden="false" customHeight="false" outlineLevel="0" collapsed="false">
      <c r="A426" s="19"/>
      <c r="B426" s="20"/>
      <c r="C426" s="19"/>
      <c r="D426" s="23"/>
      <c r="E426" s="19"/>
      <c r="F426" s="23"/>
      <c r="G426" s="23"/>
      <c r="H426" s="23"/>
      <c r="I426" s="22" t="str">
        <f aca="false">IF($B426="","",$B426*(IsverenPayiOrani+IssizlikOrani))</f>
        <v/>
      </c>
    </row>
    <row r="427" customFormat="false" ht="15" hidden="false" customHeight="false" outlineLevel="0" collapsed="false">
      <c r="A427" s="19"/>
      <c r="B427" s="20"/>
      <c r="C427" s="19"/>
      <c r="D427" s="23"/>
      <c r="E427" s="19"/>
      <c r="F427" s="23"/>
      <c r="G427" s="23"/>
      <c r="H427" s="23"/>
      <c r="I427" s="22" t="str">
        <f aca="false">IF($B427="","",$B427*(IsverenPayiOrani+IssizlikOrani))</f>
        <v/>
      </c>
    </row>
    <row r="428" customFormat="false" ht="15" hidden="false" customHeight="false" outlineLevel="0" collapsed="false">
      <c r="A428" s="19"/>
      <c r="B428" s="20"/>
      <c r="C428" s="19"/>
      <c r="D428" s="23"/>
      <c r="E428" s="19"/>
      <c r="F428" s="23"/>
      <c r="G428" s="23"/>
      <c r="H428" s="23"/>
      <c r="I428" s="22" t="str">
        <f aca="false">IF($B428="","",$B428*(IsverenPayiOrani+IssizlikOrani))</f>
        <v/>
      </c>
    </row>
    <row r="429" customFormat="false" ht="15" hidden="false" customHeight="false" outlineLevel="0" collapsed="false">
      <c r="A429" s="19"/>
      <c r="B429" s="20"/>
      <c r="C429" s="19"/>
      <c r="D429" s="23"/>
      <c r="E429" s="19"/>
      <c r="F429" s="23"/>
      <c r="G429" s="23"/>
      <c r="H429" s="23"/>
      <c r="I429" s="22" t="str">
        <f aca="false">IF($B429="","",$B429*(IsverenPayiOrani+IssizlikOrani))</f>
        <v/>
      </c>
    </row>
    <row r="430" customFormat="false" ht="15" hidden="false" customHeight="false" outlineLevel="0" collapsed="false">
      <c r="A430" s="19"/>
      <c r="B430" s="20"/>
      <c r="C430" s="19"/>
      <c r="D430" s="23"/>
      <c r="E430" s="19"/>
      <c r="F430" s="23"/>
      <c r="G430" s="23"/>
      <c r="H430" s="23"/>
      <c r="I430" s="22" t="str">
        <f aca="false">IF($B430="","",$B430*(IsverenPayiOrani+IssizlikOrani))</f>
        <v/>
      </c>
    </row>
    <row r="431" customFormat="false" ht="15" hidden="false" customHeight="false" outlineLevel="0" collapsed="false">
      <c r="A431" s="19"/>
      <c r="B431" s="20"/>
      <c r="C431" s="19"/>
      <c r="D431" s="23"/>
      <c r="E431" s="19"/>
      <c r="F431" s="23"/>
      <c r="G431" s="23"/>
      <c r="H431" s="23"/>
      <c r="I431" s="22" t="str">
        <f aca="false">IF($B431="","",$B431*(IsverenPayiOrani+IssizlikOrani))</f>
        <v/>
      </c>
    </row>
    <row r="432" customFormat="false" ht="15" hidden="false" customHeight="false" outlineLevel="0" collapsed="false">
      <c r="A432" s="19"/>
      <c r="B432" s="20"/>
      <c r="C432" s="19"/>
      <c r="D432" s="23"/>
      <c r="E432" s="19"/>
      <c r="F432" s="23"/>
      <c r="G432" s="23"/>
      <c r="H432" s="23"/>
      <c r="I432" s="22" t="str">
        <f aca="false">IF($B432="","",$B432*(IsverenPayiOrani+IssizlikOrani))</f>
        <v/>
      </c>
    </row>
    <row r="433" customFormat="false" ht="15" hidden="false" customHeight="false" outlineLevel="0" collapsed="false">
      <c r="A433" s="19"/>
      <c r="B433" s="20"/>
      <c r="C433" s="19"/>
      <c r="D433" s="23"/>
      <c r="E433" s="19"/>
      <c r="F433" s="23"/>
      <c r="G433" s="23"/>
      <c r="H433" s="23"/>
      <c r="I433" s="22" t="str">
        <f aca="false">IF($B433="","",$B433*(IsverenPayiOrani+IssizlikOrani))</f>
        <v/>
      </c>
    </row>
    <row r="434" customFormat="false" ht="15" hidden="false" customHeight="false" outlineLevel="0" collapsed="false">
      <c r="A434" s="19"/>
      <c r="B434" s="20"/>
      <c r="C434" s="19"/>
      <c r="D434" s="23"/>
      <c r="E434" s="19"/>
      <c r="F434" s="23"/>
      <c r="G434" s="23"/>
      <c r="H434" s="23"/>
      <c r="I434" s="22" t="str">
        <f aca="false">IF($B434="","",$B434*(IsverenPayiOrani+IssizlikOrani))</f>
        <v/>
      </c>
    </row>
    <row r="435" customFormat="false" ht="15" hidden="false" customHeight="false" outlineLevel="0" collapsed="false">
      <c r="A435" s="19"/>
      <c r="B435" s="20"/>
      <c r="C435" s="19"/>
      <c r="D435" s="23"/>
      <c r="E435" s="19"/>
      <c r="F435" s="23"/>
      <c r="G435" s="23"/>
      <c r="H435" s="23"/>
      <c r="I435" s="22" t="str">
        <f aca="false">IF($B435="","",$B435*(IsverenPayiOrani+IssizlikOrani))</f>
        <v/>
      </c>
    </row>
    <row r="436" customFormat="false" ht="15" hidden="false" customHeight="false" outlineLevel="0" collapsed="false">
      <c r="A436" s="19"/>
      <c r="B436" s="20"/>
      <c r="C436" s="19"/>
      <c r="D436" s="23"/>
      <c r="E436" s="19"/>
      <c r="F436" s="23"/>
      <c r="G436" s="23"/>
      <c r="H436" s="23"/>
      <c r="I436" s="22" t="str">
        <f aca="false">IF($B436="","",$B436*(IsverenPayiOrani+IssizlikOrani))</f>
        <v/>
      </c>
    </row>
    <row r="437" customFormat="false" ht="15" hidden="false" customHeight="false" outlineLevel="0" collapsed="false">
      <c r="A437" s="19"/>
      <c r="B437" s="20"/>
      <c r="C437" s="19"/>
      <c r="D437" s="23"/>
      <c r="E437" s="19"/>
      <c r="F437" s="23"/>
      <c r="G437" s="23"/>
      <c r="H437" s="23"/>
      <c r="I437" s="22" t="str">
        <f aca="false">IF($B437="","",$B437*(IsverenPayiOrani+IssizlikOrani))</f>
        <v/>
      </c>
    </row>
    <row r="438" customFormat="false" ht="15" hidden="false" customHeight="false" outlineLevel="0" collapsed="false">
      <c r="A438" s="19"/>
      <c r="B438" s="20"/>
      <c r="C438" s="19"/>
      <c r="D438" s="23"/>
      <c r="E438" s="19"/>
      <c r="F438" s="23"/>
      <c r="G438" s="23"/>
      <c r="H438" s="23"/>
      <c r="I438" s="22" t="str">
        <f aca="false">IF($B438="","",$B438*(IsverenPayiOrani+IssizlikOrani))</f>
        <v/>
      </c>
    </row>
    <row r="439" customFormat="false" ht="15" hidden="false" customHeight="false" outlineLevel="0" collapsed="false">
      <c r="A439" s="19"/>
      <c r="B439" s="20"/>
      <c r="C439" s="19"/>
      <c r="D439" s="23"/>
      <c r="E439" s="19"/>
      <c r="F439" s="23"/>
      <c r="G439" s="23"/>
      <c r="H439" s="23"/>
      <c r="I439" s="22" t="str">
        <f aca="false">IF($B439="","",$B439*(IsverenPayiOrani+IssizlikOrani))</f>
        <v/>
      </c>
    </row>
    <row r="440" customFormat="false" ht="15" hidden="false" customHeight="false" outlineLevel="0" collapsed="false">
      <c r="A440" s="19"/>
      <c r="B440" s="20"/>
      <c r="C440" s="19"/>
      <c r="D440" s="23"/>
      <c r="E440" s="19"/>
      <c r="F440" s="23"/>
      <c r="G440" s="23"/>
      <c r="H440" s="23"/>
      <c r="I440" s="22" t="str">
        <f aca="false">IF($B440="","",$B440*(IsverenPayiOrani+IssizlikOrani))</f>
        <v/>
      </c>
    </row>
    <row r="441" customFormat="false" ht="15" hidden="false" customHeight="false" outlineLevel="0" collapsed="false">
      <c r="A441" s="19"/>
      <c r="B441" s="20"/>
      <c r="C441" s="19"/>
      <c r="D441" s="23"/>
      <c r="E441" s="19"/>
      <c r="F441" s="23"/>
      <c r="G441" s="23"/>
      <c r="H441" s="23"/>
      <c r="I441" s="22" t="str">
        <f aca="false">IF($B441="","",$B441*(IsverenPayiOrani+IssizlikOrani))</f>
        <v/>
      </c>
    </row>
    <row r="442" customFormat="false" ht="15" hidden="false" customHeight="false" outlineLevel="0" collapsed="false">
      <c r="A442" s="19"/>
      <c r="B442" s="20"/>
      <c r="C442" s="19"/>
      <c r="D442" s="23"/>
      <c r="E442" s="19"/>
      <c r="F442" s="23"/>
      <c r="G442" s="23"/>
      <c r="H442" s="23"/>
      <c r="I442" s="22" t="str">
        <f aca="false">IF($B442="","",$B442*(IsverenPayiOrani+IssizlikOrani))</f>
        <v/>
      </c>
    </row>
    <row r="443" customFormat="false" ht="15" hidden="false" customHeight="false" outlineLevel="0" collapsed="false">
      <c r="A443" s="19"/>
      <c r="B443" s="20"/>
      <c r="C443" s="19"/>
      <c r="D443" s="23"/>
      <c r="E443" s="19"/>
      <c r="F443" s="23"/>
      <c r="G443" s="23"/>
      <c r="H443" s="23"/>
      <c r="I443" s="22" t="str">
        <f aca="false">IF($B443="","",$B443*(IsverenPayiOrani+IssizlikOrani))</f>
        <v/>
      </c>
    </row>
    <row r="444" customFormat="false" ht="15" hidden="false" customHeight="false" outlineLevel="0" collapsed="false">
      <c r="A444" s="19"/>
      <c r="B444" s="20"/>
      <c r="C444" s="19"/>
      <c r="D444" s="23"/>
      <c r="E444" s="19"/>
      <c r="F444" s="23"/>
      <c r="G444" s="23"/>
      <c r="H444" s="23"/>
      <c r="I444" s="22" t="str">
        <f aca="false">IF($B444="","",$B444*(IsverenPayiOrani+IssizlikOrani))</f>
        <v/>
      </c>
    </row>
    <row r="445" customFormat="false" ht="15" hidden="false" customHeight="false" outlineLevel="0" collapsed="false">
      <c r="A445" s="19"/>
      <c r="B445" s="20"/>
      <c r="C445" s="19"/>
      <c r="D445" s="23"/>
      <c r="E445" s="19"/>
      <c r="F445" s="23"/>
      <c r="G445" s="23"/>
      <c r="H445" s="23"/>
      <c r="I445" s="22" t="str">
        <f aca="false">IF($B445="","",$B445*(IsverenPayiOrani+IssizlikOrani))</f>
        <v/>
      </c>
    </row>
    <row r="446" customFormat="false" ht="15" hidden="false" customHeight="false" outlineLevel="0" collapsed="false">
      <c r="A446" s="19"/>
      <c r="B446" s="20"/>
      <c r="C446" s="19"/>
      <c r="D446" s="23"/>
      <c r="E446" s="19"/>
      <c r="F446" s="23"/>
      <c r="G446" s="23"/>
      <c r="H446" s="23"/>
      <c r="I446" s="22" t="str">
        <f aca="false">IF($B446="","",$B446*(IsverenPayiOrani+IssizlikOrani))</f>
        <v/>
      </c>
    </row>
    <row r="447" customFormat="false" ht="15" hidden="false" customHeight="false" outlineLevel="0" collapsed="false">
      <c r="A447" s="19"/>
      <c r="B447" s="20"/>
      <c r="C447" s="19"/>
      <c r="D447" s="23"/>
      <c r="E447" s="19"/>
      <c r="F447" s="23"/>
      <c r="G447" s="23"/>
      <c r="H447" s="23"/>
      <c r="I447" s="22" t="str">
        <f aca="false">IF($B447="","",$B447*(IsverenPayiOrani+IssizlikOrani))</f>
        <v/>
      </c>
    </row>
    <row r="448" customFormat="false" ht="15" hidden="false" customHeight="false" outlineLevel="0" collapsed="false">
      <c r="A448" s="19"/>
      <c r="B448" s="20"/>
      <c r="C448" s="19"/>
      <c r="D448" s="23"/>
      <c r="E448" s="19"/>
      <c r="F448" s="23"/>
      <c r="G448" s="23"/>
      <c r="H448" s="23"/>
      <c r="I448" s="22" t="str">
        <f aca="false">IF($B448="","",$B448*(IsverenPayiOrani+IssizlikOrani))</f>
        <v/>
      </c>
    </row>
    <row r="449" customFormat="false" ht="15" hidden="false" customHeight="false" outlineLevel="0" collapsed="false">
      <c r="A449" s="19"/>
      <c r="B449" s="20"/>
      <c r="C449" s="19"/>
      <c r="D449" s="23"/>
      <c r="E449" s="19"/>
      <c r="F449" s="23"/>
      <c r="G449" s="23"/>
      <c r="H449" s="23"/>
      <c r="I449" s="22" t="str">
        <f aca="false">IF($B449="","",$B449*(IsverenPayiOrani+IssizlikOrani))</f>
        <v/>
      </c>
    </row>
    <row r="450" customFormat="false" ht="15" hidden="false" customHeight="false" outlineLevel="0" collapsed="false">
      <c r="A450" s="19"/>
      <c r="B450" s="20"/>
      <c r="C450" s="19"/>
      <c r="D450" s="23"/>
      <c r="E450" s="19"/>
      <c r="F450" s="23"/>
      <c r="G450" s="23"/>
      <c r="H450" s="23"/>
      <c r="I450" s="22" t="str">
        <f aca="false">IF($B450="","",$B450*(IsverenPayiOrani+IssizlikOrani))</f>
        <v/>
      </c>
    </row>
    <row r="451" customFormat="false" ht="15" hidden="false" customHeight="false" outlineLevel="0" collapsed="false">
      <c r="A451" s="19"/>
      <c r="B451" s="20"/>
      <c r="C451" s="19"/>
      <c r="D451" s="23"/>
      <c r="E451" s="19"/>
      <c r="F451" s="23"/>
      <c r="G451" s="23"/>
      <c r="H451" s="23"/>
      <c r="I451" s="22" t="str">
        <f aca="false">IF($B451="","",$B451*(IsverenPayiOrani+IssizlikOrani))</f>
        <v/>
      </c>
    </row>
    <row r="452" customFormat="false" ht="15" hidden="false" customHeight="false" outlineLevel="0" collapsed="false">
      <c r="A452" s="19"/>
      <c r="B452" s="20"/>
      <c r="C452" s="19"/>
      <c r="D452" s="23"/>
      <c r="E452" s="19"/>
      <c r="F452" s="23"/>
      <c r="G452" s="23"/>
      <c r="H452" s="23"/>
      <c r="I452" s="22" t="str">
        <f aca="false">IF($B452="","",$B452*(IsverenPayiOrani+IssizlikOrani))</f>
        <v/>
      </c>
    </row>
    <row r="453" customFormat="false" ht="15" hidden="false" customHeight="false" outlineLevel="0" collapsed="false">
      <c r="A453" s="19"/>
      <c r="B453" s="20"/>
      <c r="C453" s="19"/>
      <c r="D453" s="23"/>
      <c r="E453" s="19"/>
      <c r="F453" s="23"/>
      <c r="G453" s="23"/>
      <c r="H453" s="23"/>
      <c r="I453" s="22" t="str">
        <f aca="false">IF($B453="","",$B453*(IsverenPayiOrani+IssizlikOrani))</f>
        <v/>
      </c>
    </row>
    <row r="454" customFormat="false" ht="15" hidden="false" customHeight="false" outlineLevel="0" collapsed="false">
      <c r="A454" s="19"/>
      <c r="B454" s="20"/>
      <c r="C454" s="19"/>
      <c r="D454" s="23"/>
      <c r="E454" s="19"/>
      <c r="F454" s="23"/>
      <c r="G454" s="23"/>
      <c r="H454" s="23"/>
      <c r="I454" s="22" t="str">
        <f aca="false">IF($B454="","",$B454*(IsverenPayiOrani+IssizlikOrani))</f>
        <v/>
      </c>
    </row>
    <row r="455" customFormat="false" ht="15" hidden="false" customHeight="false" outlineLevel="0" collapsed="false">
      <c r="A455" s="19"/>
      <c r="B455" s="20"/>
      <c r="C455" s="19"/>
      <c r="D455" s="23"/>
      <c r="E455" s="19"/>
      <c r="F455" s="23"/>
      <c r="G455" s="23"/>
      <c r="H455" s="23"/>
      <c r="I455" s="22" t="str">
        <f aca="false">IF($B455="","",$B455*(IsverenPayiOrani+IssizlikOrani))</f>
        <v/>
      </c>
    </row>
    <row r="456" customFormat="false" ht="15" hidden="false" customHeight="false" outlineLevel="0" collapsed="false">
      <c r="A456" s="19"/>
      <c r="B456" s="20"/>
      <c r="C456" s="19"/>
      <c r="D456" s="23"/>
      <c r="E456" s="19"/>
      <c r="F456" s="23"/>
      <c r="G456" s="23"/>
      <c r="H456" s="23"/>
      <c r="I456" s="22" t="str">
        <f aca="false">IF($B456="","",$B456*(IsverenPayiOrani+IssizlikOrani))</f>
        <v/>
      </c>
    </row>
    <row r="457" customFormat="false" ht="15" hidden="false" customHeight="false" outlineLevel="0" collapsed="false">
      <c r="A457" s="19"/>
      <c r="B457" s="20"/>
      <c r="C457" s="19"/>
      <c r="D457" s="23"/>
      <c r="E457" s="19"/>
      <c r="F457" s="23"/>
      <c r="G457" s="23"/>
      <c r="H457" s="23"/>
      <c r="I457" s="22" t="str">
        <f aca="false">IF($B457="","",$B457*(IsverenPayiOrani+IssizlikOrani))</f>
        <v/>
      </c>
    </row>
    <row r="458" customFormat="false" ht="15" hidden="false" customHeight="false" outlineLevel="0" collapsed="false">
      <c r="A458" s="19"/>
      <c r="B458" s="20"/>
      <c r="C458" s="19"/>
      <c r="D458" s="23"/>
      <c r="E458" s="19"/>
      <c r="F458" s="23"/>
      <c r="G458" s="23"/>
      <c r="H458" s="23"/>
      <c r="I458" s="22" t="str">
        <f aca="false">IF($B458="","",$B458*(IsverenPayiOrani+IssizlikOrani))</f>
        <v/>
      </c>
    </row>
    <row r="459" customFormat="false" ht="15" hidden="false" customHeight="false" outlineLevel="0" collapsed="false">
      <c r="A459" s="19"/>
      <c r="B459" s="20"/>
      <c r="C459" s="19"/>
      <c r="D459" s="23"/>
      <c r="E459" s="19"/>
      <c r="F459" s="23"/>
      <c r="G459" s="23"/>
      <c r="H459" s="23"/>
      <c r="I459" s="22" t="str">
        <f aca="false">IF($B459="","",$B459*(IsverenPayiOrani+IssizlikOrani))</f>
        <v/>
      </c>
    </row>
    <row r="460" customFormat="false" ht="15" hidden="false" customHeight="false" outlineLevel="0" collapsed="false">
      <c r="A460" s="19"/>
      <c r="B460" s="20"/>
      <c r="C460" s="19"/>
      <c r="D460" s="23"/>
      <c r="E460" s="19"/>
      <c r="F460" s="23"/>
      <c r="G460" s="23"/>
      <c r="H460" s="23"/>
      <c r="I460" s="22" t="str">
        <f aca="false">IF($B460="","",$B460*(IsverenPayiOrani+IssizlikOrani))</f>
        <v/>
      </c>
    </row>
    <row r="461" customFormat="false" ht="15" hidden="false" customHeight="false" outlineLevel="0" collapsed="false">
      <c r="A461" s="19"/>
      <c r="B461" s="20"/>
      <c r="C461" s="19"/>
      <c r="D461" s="23"/>
      <c r="E461" s="19"/>
      <c r="F461" s="23"/>
      <c r="G461" s="23"/>
      <c r="H461" s="23"/>
      <c r="I461" s="22" t="str">
        <f aca="false">IF($B461="","",$B461*(IsverenPayiOrani+IssizlikOrani))</f>
        <v/>
      </c>
    </row>
    <row r="462" customFormat="false" ht="15" hidden="false" customHeight="false" outlineLevel="0" collapsed="false">
      <c r="A462" s="19"/>
      <c r="B462" s="20"/>
      <c r="C462" s="19"/>
      <c r="D462" s="23"/>
      <c r="E462" s="19"/>
      <c r="F462" s="23"/>
      <c r="G462" s="23"/>
      <c r="H462" s="23"/>
      <c r="I462" s="22" t="str">
        <f aca="false">IF($B462="","",$B462*(IsverenPayiOrani+IssizlikOrani))</f>
        <v/>
      </c>
    </row>
    <row r="463" customFormat="false" ht="15" hidden="false" customHeight="false" outlineLevel="0" collapsed="false">
      <c r="A463" s="19"/>
      <c r="B463" s="20"/>
      <c r="C463" s="19"/>
      <c r="D463" s="23"/>
      <c r="E463" s="19"/>
      <c r="F463" s="23"/>
      <c r="G463" s="23"/>
      <c r="H463" s="23"/>
      <c r="I463" s="22" t="str">
        <f aca="false">IF($B463="","",$B463*(IsverenPayiOrani+IssizlikOrani))</f>
        <v/>
      </c>
    </row>
    <row r="464" customFormat="false" ht="15" hidden="false" customHeight="false" outlineLevel="0" collapsed="false">
      <c r="A464" s="19"/>
      <c r="B464" s="20"/>
      <c r="C464" s="19"/>
      <c r="D464" s="23"/>
      <c r="E464" s="19"/>
      <c r="F464" s="23"/>
      <c r="G464" s="23"/>
      <c r="H464" s="23"/>
      <c r="I464" s="22" t="str">
        <f aca="false">IF($B464="","",$B464*(IsverenPayiOrani+IssizlikOrani))</f>
        <v/>
      </c>
    </row>
    <row r="465" customFormat="false" ht="15" hidden="false" customHeight="false" outlineLevel="0" collapsed="false">
      <c r="A465" s="19"/>
      <c r="B465" s="20"/>
      <c r="C465" s="19"/>
      <c r="D465" s="23"/>
      <c r="E465" s="19"/>
      <c r="F465" s="23"/>
      <c r="G465" s="23"/>
      <c r="H465" s="23"/>
      <c r="I465" s="22" t="str">
        <f aca="false">IF($B465="","",$B465*(IsverenPayiOrani+IssizlikOrani))</f>
        <v/>
      </c>
    </row>
    <row r="466" customFormat="false" ht="15" hidden="false" customHeight="false" outlineLevel="0" collapsed="false">
      <c r="A466" s="19"/>
      <c r="B466" s="20"/>
      <c r="C466" s="19"/>
      <c r="D466" s="23"/>
      <c r="E466" s="19"/>
      <c r="F466" s="23"/>
      <c r="G466" s="23"/>
      <c r="H466" s="23"/>
      <c r="I466" s="22" t="str">
        <f aca="false">IF($B466="","",$B466*(IsverenPayiOrani+IssizlikOrani))</f>
        <v/>
      </c>
    </row>
    <row r="467" customFormat="false" ht="15" hidden="false" customHeight="false" outlineLevel="0" collapsed="false">
      <c r="A467" s="19"/>
      <c r="B467" s="20"/>
      <c r="C467" s="19"/>
      <c r="D467" s="23"/>
      <c r="E467" s="19"/>
      <c r="F467" s="23"/>
      <c r="G467" s="23"/>
      <c r="H467" s="23"/>
      <c r="I467" s="22" t="str">
        <f aca="false">IF($B467="","",$B467*(IsverenPayiOrani+IssizlikOrani))</f>
        <v/>
      </c>
    </row>
    <row r="468" customFormat="false" ht="15" hidden="false" customHeight="false" outlineLevel="0" collapsed="false">
      <c r="A468" s="19"/>
      <c r="B468" s="20"/>
      <c r="C468" s="19"/>
      <c r="D468" s="23"/>
      <c r="E468" s="19"/>
      <c r="F468" s="23"/>
      <c r="G468" s="23"/>
      <c r="H468" s="23"/>
      <c r="I468" s="22" t="str">
        <f aca="false">IF($B468="","",$B468*(IsverenPayiOrani+IssizlikOrani))</f>
        <v/>
      </c>
    </row>
    <row r="469" customFormat="false" ht="15" hidden="false" customHeight="false" outlineLevel="0" collapsed="false">
      <c r="A469" s="19"/>
      <c r="B469" s="20"/>
      <c r="C469" s="19"/>
      <c r="D469" s="23"/>
      <c r="E469" s="19"/>
      <c r="F469" s="23"/>
      <c r="G469" s="23"/>
      <c r="H469" s="23"/>
      <c r="I469" s="22" t="str">
        <f aca="false">IF($B469="","",$B469*(IsverenPayiOrani+IssizlikOrani))</f>
        <v/>
      </c>
    </row>
    <row r="470" customFormat="false" ht="15" hidden="false" customHeight="false" outlineLevel="0" collapsed="false">
      <c r="A470" s="19"/>
      <c r="B470" s="20"/>
      <c r="C470" s="19"/>
      <c r="D470" s="23"/>
      <c r="E470" s="19"/>
      <c r="F470" s="23"/>
      <c r="G470" s="23"/>
      <c r="H470" s="23"/>
      <c r="I470" s="22" t="str">
        <f aca="false">IF($B470="","",$B470*(IsverenPayiOrani+IssizlikOrani))</f>
        <v/>
      </c>
    </row>
    <row r="471" customFormat="false" ht="15" hidden="false" customHeight="false" outlineLevel="0" collapsed="false">
      <c r="A471" s="19"/>
      <c r="B471" s="20"/>
      <c r="C471" s="19"/>
      <c r="D471" s="23"/>
      <c r="E471" s="19"/>
      <c r="F471" s="23"/>
      <c r="G471" s="23"/>
      <c r="H471" s="23"/>
      <c r="I471" s="22" t="str">
        <f aca="false">IF($B471="","",$B471*(IsverenPayiOrani+IssizlikOrani))</f>
        <v/>
      </c>
    </row>
    <row r="472" customFormat="false" ht="15" hidden="false" customHeight="false" outlineLevel="0" collapsed="false">
      <c r="A472" s="19"/>
      <c r="B472" s="20"/>
      <c r="C472" s="19"/>
      <c r="D472" s="23"/>
      <c r="E472" s="19"/>
      <c r="F472" s="23"/>
      <c r="G472" s="23"/>
      <c r="H472" s="23"/>
      <c r="I472" s="22" t="str">
        <f aca="false">IF($B472="","",$B472*(IsverenPayiOrani+IssizlikOrani))</f>
        <v/>
      </c>
    </row>
    <row r="473" customFormat="false" ht="15" hidden="false" customHeight="false" outlineLevel="0" collapsed="false">
      <c r="A473" s="19"/>
      <c r="B473" s="20"/>
      <c r="C473" s="19"/>
      <c r="D473" s="23"/>
      <c r="E473" s="19"/>
      <c r="F473" s="23"/>
      <c r="G473" s="23"/>
      <c r="H473" s="23"/>
      <c r="I473" s="22" t="str">
        <f aca="false">IF($B473="","",$B473*(IsverenPayiOrani+IssizlikOrani))</f>
        <v/>
      </c>
    </row>
    <row r="474" customFormat="false" ht="15" hidden="false" customHeight="false" outlineLevel="0" collapsed="false">
      <c r="A474" s="19"/>
      <c r="B474" s="20"/>
      <c r="C474" s="19"/>
      <c r="D474" s="23"/>
      <c r="E474" s="19"/>
      <c r="F474" s="23"/>
      <c r="G474" s="23"/>
      <c r="H474" s="23"/>
      <c r="I474" s="22" t="str">
        <f aca="false">IF($B474="","",$B474*(IsverenPayiOrani+IssizlikOrani))</f>
        <v/>
      </c>
    </row>
    <row r="475" customFormat="false" ht="15" hidden="false" customHeight="false" outlineLevel="0" collapsed="false">
      <c r="A475" s="19"/>
      <c r="B475" s="20"/>
      <c r="C475" s="19"/>
      <c r="D475" s="23"/>
      <c r="E475" s="19"/>
      <c r="F475" s="23"/>
      <c r="G475" s="23"/>
      <c r="H475" s="23"/>
      <c r="I475" s="22" t="str">
        <f aca="false">IF($B475="","",$B475*(IsverenPayiOrani+IssizlikOrani))</f>
        <v/>
      </c>
    </row>
    <row r="476" customFormat="false" ht="15" hidden="false" customHeight="false" outlineLevel="0" collapsed="false">
      <c r="A476" s="19"/>
      <c r="B476" s="20"/>
      <c r="C476" s="19"/>
      <c r="D476" s="23"/>
      <c r="E476" s="19"/>
      <c r="F476" s="23"/>
      <c r="G476" s="23"/>
      <c r="H476" s="23"/>
      <c r="I476" s="22" t="str">
        <f aca="false">IF($B476="","",$B476*(IsverenPayiOrani+IssizlikOrani))</f>
        <v/>
      </c>
    </row>
    <row r="477" customFormat="false" ht="15" hidden="false" customHeight="false" outlineLevel="0" collapsed="false">
      <c r="A477" s="19"/>
      <c r="B477" s="20"/>
      <c r="C477" s="19"/>
      <c r="D477" s="23"/>
      <c r="E477" s="19"/>
      <c r="F477" s="23"/>
      <c r="G477" s="23"/>
      <c r="H477" s="23"/>
      <c r="I477" s="22" t="str">
        <f aca="false">IF($B477="","",$B477*(IsverenPayiOrani+IssizlikOrani))</f>
        <v/>
      </c>
    </row>
    <row r="478" customFormat="false" ht="15" hidden="false" customHeight="false" outlineLevel="0" collapsed="false">
      <c r="A478" s="19"/>
      <c r="B478" s="20"/>
      <c r="C478" s="19"/>
      <c r="D478" s="23"/>
      <c r="E478" s="19"/>
      <c r="F478" s="23"/>
      <c r="G478" s="23"/>
      <c r="H478" s="23"/>
      <c r="I478" s="22" t="str">
        <f aca="false">IF($B478="","",$B478*(IsverenPayiOrani+IssizlikOrani))</f>
        <v/>
      </c>
    </row>
    <row r="479" customFormat="false" ht="15" hidden="false" customHeight="false" outlineLevel="0" collapsed="false">
      <c r="A479" s="19"/>
      <c r="B479" s="20"/>
      <c r="C479" s="19"/>
      <c r="D479" s="23"/>
      <c r="E479" s="19"/>
      <c r="F479" s="23"/>
      <c r="G479" s="23"/>
      <c r="H479" s="23"/>
      <c r="I479" s="22" t="str">
        <f aca="false">IF($B479="","",$B479*(IsverenPayiOrani+IssizlikOrani))</f>
        <v/>
      </c>
    </row>
    <row r="480" customFormat="false" ht="15" hidden="false" customHeight="false" outlineLevel="0" collapsed="false">
      <c r="A480" s="19"/>
      <c r="B480" s="20"/>
      <c r="C480" s="19"/>
      <c r="D480" s="23"/>
      <c r="E480" s="19"/>
      <c r="F480" s="23"/>
      <c r="G480" s="23"/>
      <c r="H480" s="23"/>
      <c r="I480" s="22" t="str">
        <f aca="false">IF($B480="","",$B480*(IsverenPayiOrani+IssizlikOrani))</f>
        <v/>
      </c>
    </row>
    <row r="481" customFormat="false" ht="15" hidden="false" customHeight="false" outlineLevel="0" collapsed="false">
      <c r="A481" s="19"/>
      <c r="B481" s="20"/>
      <c r="C481" s="19"/>
      <c r="D481" s="23"/>
      <c r="E481" s="19"/>
      <c r="F481" s="23"/>
      <c r="G481" s="23"/>
      <c r="H481" s="23"/>
      <c r="I481" s="22" t="str">
        <f aca="false">IF($B481="","",$B481*(IsverenPayiOrani+IssizlikOrani))</f>
        <v/>
      </c>
    </row>
    <row r="482" customFormat="false" ht="15" hidden="false" customHeight="false" outlineLevel="0" collapsed="false">
      <c r="A482" s="19"/>
      <c r="B482" s="20"/>
      <c r="C482" s="19"/>
      <c r="D482" s="23"/>
      <c r="E482" s="19"/>
      <c r="F482" s="23"/>
      <c r="G482" s="23"/>
      <c r="H482" s="23"/>
      <c r="I482" s="22" t="str">
        <f aca="false">IF($B482="","",$B482*(IsverenPayiOrani+IssizlikOrani))</f>
        <v/>
      </c>
    </row>
    <row r="483" customFormat="false" ht="15" hidden="false" customHeight="false" outlineLevel="0" collapsed="false">
      <c r="A483" s="19"/>
      <c r="B483" s="20"/>
      <c r="C483" s="19"/>
      <c r="D483" s="23"/>
      <c r="E483" s="19"/>
      <c r="F483" s="23"/>
      <c r="G483" s="23"/>
      <c r="H483" s="23"/>
      <c r="I483" s="22" t="str">
        <f aca="false">IF($B483="","",$B483*(IsverenPayiOrani+IssizlikOrani))</f>
        <v/>
      </c>
    </row>
    <row r="484" customFormat="false" ht="15" hidden="false" customHeight="false" outlineLevel="0" collapsed="false">
      <c r="A484" s="19"/>
      <c r="B484" s="20"/>
      <c r="C484" s="19"/>
      <c r="D484" s="23"/>
      <c r="E484" s="19"/>
      <c r="F484" s="23"/>
      <c r="G484" s="23"/>
      <c r="H484" s="23"/>
      <c r="I484" s="22" t="str">
        <f aca="false">IF($B484="","",$B484*(IsverenPayiOrani+IssizlikOrani))</f>
        <v/>
      </c>
    </row>
    <row r="485" customFormat="false" ht="15" hidden="false" customHeight="false" outlineLevel="0" collapsed="false">
      <c r="A485" s="19"/>
      <c r="B485" s="20"/>
      <c r="C485" s="19"/>
      <c r="D485" s="23"/>
      <c r="E485" s="19"/>
      <c r="F485" s="23"/>
      <c r="G485" s="23"/>
      <c r="H485" s="23"/>
      <c r="I485" s="22" t="str">
        <f aca="false">IF($B485="","",$B485*(IsverenPayiOrani+IssizlikOrani))</f>
        <v/>
      </c>
    </row>
    <row r="486" customFormat="false" ht="15" hidden="false" customHeight="false" outlineLevel="0" collapsed="false">
      <c r="A486" s="19"/>
      <c r="B486" s="20"/>
      <c r="C486" s="19"/>
      <c r="D486" s="23"/>
      <c r="E486" s="19"/>
      <c r="F486" s="23"/>
      <c r="G486" s="23"/>
      <c r="H486" s="23"/>
      <c r="I486" s="22" t="str">
        <f aca="false">IF($B486="","",$B486*(IsverenPayiOrani+IssizlikOrani))</f>
        <v/>
      </c>
    </row>
    <row r="487" customFormat="false" ht="15" hidden="false" customHeight="false" outlineLevel="0" collapsed="false">
      <c r="A487" s="19"/>
      <c r="B487" s="20"/>
      <c r="C487" s="19"/>
      <c r="D487" s="23"/>
      <c r="E487" s="19"/>
      <c r="F487" s="23"/>
      <c r="G487" s="23"/>
      <c r="H487" s="23"/>
      <c r="I487" s="22" t="str">
        <f aca="false">IF($B487="","",$B487*(IsverenPayiOrani+IssizlikOrani))</f>
        <v/>
      </c>
    </row>
    <row r="488" customFormat="false" ht="15" hidden="false" customHeight="false" outlineLevel="0" collapsed="false">
      <c r="A488" s="19"/>
      <c r="B488" s="20"/>
      <c r="C488" s="19"/>
      <c r="D488" s="23"/>
      <c r="E488" s="19"/>
      <c r="F488" s="23"/>
      <c r="G488" s="23"/>
      <c r="H488" s="23"/>
      <c r="I488" s="22" t="str">
        <f aca="false">IF($B488="","",$B488*(IsverenPayiOrani+IssizlikOrani))</f>
        <v/>
      </c>
    </row>
    <row r="489" customFormat="false" ht="15" hidden="false" customHeight="false" outlineLevel="0" collapsed="false">
      <c r="A489" s="19"/>
      <c r="B489" s="20"/>
      <c r="C489" s="19"/>
      <c r="D489" s="23"/>
      <c r="E489" s="19"/>
      <c r="F489" s="23"/>
      <c r="G489" s="23"/>
      <c r="H489" s="23"/>
      <c r="I489" s="22" t="str">
        <f aca="false">IF($B489="","",$B489*(IsverenPayiOrani+IssizlikOrani))</f>
        <v/>
      </c>
    </row>
    <row r="490" customFormat="false" ht="15" hidden="false" customHeight="false" outlineLevel="0" collapsed="false">
      <c r="A490" s="19"/>
      <c r="B490" s="20"/>
      <c r="C490" s="19"/>
      <c r="D490" s="23"/>
      <c r="E490" s="19"/>
      <c r="F490" s="23"/>
      <c r="G490" s="23"/>
      <c r="H490" s="23"/>
      <c r="I490" s="22" t="str">
        <f aca="false">IF($B490="","",$B490*(IsverenPayiOrani+IssizlikOrani))</f>
        <v/>
      </c>
    </row>
    <row r="491" customFormat="false" ht="15" hidden="false" customHeight="false" outlineLevel="0" collapsed="false">
      <c r="A491" s="19"/>
      <c r="B491" s="20"/>
      <c r="C491" s="19"/>
      <c r="D491" s="23"/>
      <c r="E491" s="19"/>
      <c r="F491" s="23"/>
      <c r="G491" s="23"/>
      <c r="H491" s="23"/>
      <c r="I491" s="22" t="str">
        <f aca="false">IF($B491="","",$B491*(IsverenPayiOrani+IssizlikOrani))</f>
        <v/>
      </c>
    </row>
    <row r="492" customFormat="false" ht="15" hidden="false" customHeight="false" outlineLevel="0" collapsed="false">
      <c r="A492" s="19"/>
      <c r="B492" s="20"/>
      <c r="C492" s="19"/>
      <c r="D492" s="23"/>
      <c r="E492" s="19"/>
      <c r="F492" s="23"/>
      <c r="G492" s="23"/>
      <c r="H492" s="23"/>
      <c r="I492" s="22" t="str">
        <f aca="false">IF($B492="","",$B492*(IsverenPayiOrani+IssizlikOrani))</f>
        <v/>
      </c>
    </row>
    <row r="493" customFormat="false" ht="15" hidden="false" customHeight="false" outlineLevel="0" collapsed="false">
      <c r="A493" s="19"/>
      <c r="B493" s="20"/>
      <c r="C493" s="19"/>
      <c r="D493" s="23"/>
      <c r="E493" s="19"/>
      <c r="F493" s="23"/>
      <c r="G493" s="23"/>
      <c r="H493" s="23"/>
      <c r="I493" s="22" t="str">
        <f aca="false">IF($B493="","",$B493*(IsverenPayiOrani+IssizlikOrani))</f>
        <v/>
      </c>
    </row>
    <row r="494" customFormat="false" ht="15" hidden="false" customHeight="false" outlineLevel="0" collapsed="false">
      <c r="A494" s="19"/>
      <c r="B494" s="20"/>
      <c r="C494" s="19"/>
      <c r="D494" s="23"/>
      <c r="E494" s="19"/>
      <c r="F494" s="23"/>
      <c r="G494" s="23"/>
      <c r="H494" s="23"/>
      <c r="I494" s="22" t="str">
        <f aca="false">IF($B494="","",$B494*(IsverenPayiOrani+IssizlikOrani))</f>
        <v/>
      </c>
    </row>
    <row r="495" customFormat="false" ht="15" hidden="false" customHeight="false" outlineLevel="0" collapsed="false">
      <c r="A495" s="19"/>
      <c r="B495" s="20"/>
      <c r="C495" s="19"/>
      <c r="D495" s="23"/>
      <c r="E495" s="19"/>
      <c r="F495" s="23"/>
      <c r="G495" s="23"/>
      <c r="H495" s="23"/>
      <c r="I495" s="22" t="str">
        <f aca="false">IF($B495="","",$B495*(IsverenPayiOrani+IssizlikOrani))</f>
        <v/>
      </c>
    </row>
    <row r="496" customFormat="false" ht="15" hidden="false" customHeight="false" outlineLevel="0" collapsed="false">
      <c r="A496" s="19"/>
      <c r="B496" s="20"/>
      <c r="C496" s="19"/>
      <c r="D496" s="23"/>
      <c r="E496" s="19"/>
      <c r="F496" s="23"/>
      <c r="G496" s="23"/>
      <c r="H496" s="23"/>
      <c r="I496" s="22" t="str">
        <f aca="false">IF($B496="","",$B496*(IsverenPayiOrani+IssizlikOrani))</f>
        <v/>
      </c>
    </row>
    <row r="497" customFormat="false" ht="15" hidden="false" customHeight="false" outlineLevel="0" collapsed="false">
      <c r="A497" s="19"/>
      <c r="B497" s="20"/>
      <c r="C497" s="19"/>
      <c r="D497" s="23"/>
      <c r="E497" s="19"/>
      <c r="F497" s="23"/>
      <c r="G497" s="23"/>
      <c r="H497" s="23"/>
      <c r="I497" s="22" t="str">
        <f aca="false">IF($B497="","",$B497*(IsverenPayiOrani+IssizlikOrani))</f>
        <v/>
      </c>
    </row>
    <row r="498" customFormat="false" ht="15" hidden="false" customHeight="false" outlineLevel="0" collapsed="false">
      <c r="A498" s="19"/>
      <c r="B498" s="20"/>
      <c r="C498" s="19"/>
      <c r="D498" s="23"/>
      <c r="E498" s="19"/>
      <c r="F498" s="23"/>
      <c r="G498" s="23"/>
      <c r="H498" s="23"/>
      <c r="I498" s="22" t="str">
        <f aca="false">IF($B498="","",$B498*(IsverenPayiOrani+IssizlikOrani))</f>
        <v/>
      </c>
    </row>
    <row r="499" customFormat="false" ht="15" hidden="false" customHeight="false" outlineLevel="0" collapsed="false">
      <c r="A499" s="19"/>
      <c r="B499" s="20"/>
      <c r="C499" s="19"/>
      <c r="D499" s="23"/>
      <c r="E499" s="19"/>
      <c r="F499" s="23"/>
      <c r="G499" s="23"/>
      <c r="H499" s="23"/>
      <c r="I499" s="22" t="str">
        <f aca="false">IF($B499="","",$B499*(IsverenPayiOrani+IssizlikOrani))</f>
        <v/>
      </c>
    </row>
    <row r="500" customFormat="false" ht="15" hidden="false" customHeight="false" outlineLevel="0" collapsed="false">
      <c r="A500" s="19"/>
      <c r="B500" s="20"/>
      <c r="C500" s="19"/>
      <c r="D500" s="23"/>
      <c r="E500" s="19"/>
      <c r="F500" s="23"/>
      <c r="G500" s="23"/>
      <c r="H500" s="23"/>
      <c r="I500" s="22" t="str">
        <f aca="false">IF($B500="","",$B500*(IsverenPayiOrani+IssizlikOrani))</f>
        <v/>
      </c>
    </row>
    <row r="501" customFormat="false" ht="15" hidden="false" customHeight="false" outlineLevel="0" collapsed="false">
      <c r="A501" s="19"/>
      <c r="B501" s="20"/>
      <c r="C501" s="19"/>
      <c r="D501" s="23"/>
      <c r="E501" s="19"/>
      <c r="F501" s="23"/>
      <c r="G501" s="23"/>
      <c r="H501" s="23"/>
      <c r="I501" s="22" t="str">
        <f aca="false">IF($B501="","",$B501*(IsverenPayiOrani+IssizlikOrani))</f>
        <v/>
      </c>
    </row>
    <row r="502" customFormat="false" ht="15" hidden="false" customHeight="false" outlineLevel="0" collapsed="false">
      <c r="A502" s="19"/>
      <c r="B502" s="20"/>
      <c r="C502" s="19"/>
      <c r="D502" s="23"/>
      <c r="E502" s="19"/>
      <c r="F502" s="23"/>
      <c r="G502" s="23"/>
      <c r="H502" s="23"/>
      <c r="I502" s="22" t="str">
        <f aca="false">IF($B502="","",$B502*(IsverenPayiOrani+IssizlikOrani))</f>
        <v/>
      </c>
    </row>
    <row r="503" customFormat="false" ht="15" hidden="false" customHeight="false" outlineLevel="0" collapsed="false">
      <c r="A503" s="19"/>
      <c r="B503" s="20"/>
      <c r="C503" s="19"/>
      <c r="D503" s="23"/>
      <c r="E503" s="19"/>
      <c r="F503" s="23"/>
      <c r="G503" s="23"/>
      <c r="H503" s="23"/>
      <c r="I503" s="22" t="str">
        <f aca="false">IF($B503="","",$B503*(IsverenPayiOrani+IssizlikOrani))</f>
        <v/>
      </c>
    </row>
    <row r="504" customFormat="false" ht="15" hidden="false" customHeight="false" outlineLevel="0" collapsed="false">
      <c r="A504" s="19"/>
      <c r="B504" s="20"/>
      <c r="C504" s="19"/>
      <c r="D504" s="23"/>
      <c r="E504" s="19"/>
      <c r="F504" s="23"/>
      <c r="G504" s="23"/>
      <c r="H504" s="23"/>
      <c r="I504" s="22" t="str">
        <f aca="false">IF($B504="","",$B504*(IsverenPayiOrani+IssizlikOrani))</f>
        <v/>
      </c>
    </row>
    <row r="505" customFormat="false" ht="15" hidden="false" customHeight="false" outlineLevel="0" collapsed="false">
      <c r="A505" s="19"/>
      <c r="B505" s="20"/>
      <c r="C505" s="19"/>
      <c r="D505" s="23"/>
      <c r="E505" s="19"/>
      <c r="F505" s="23"/>
      <c r="G505" s="23"/>
      <c r="H505" s="23"/>
      <c r="I505" s="22" t="str">
        <f aca="false">IF($B505="","",$B505*(IsverenPayiOrani+IssizlikOrani))</f>
        <v/>
      </c>
    </row>
    <row r="506" customFormat="false" ht="15" hidden="false" customHeight="false" outlineLevel="0" collapsed="false">
      <c r="A506" s="19"/>
      <c r="B506" s="20"/>
      <c r="C506" s="19"/>
      <c r="D506" s="23"/>
      <c r="E506" s="19"/>
      <c r="F506" s="23"/>
      <c r="G506" s="23"/>
      <c r="H506" s="23"/>
      <c r="I506" s="22" t="str">
        <f aca="false">IF($B506="","",$B506*(IsverenPayiOrani+IssizlikOrani))</f>
        <v/>
      </c>
    </row>
    <row r="507" customFormat="false" ht="15" hidden="false" customHeight="false" outlineLevel="0" collapsed="false">
      <c r="A507" s="19"/>
      <c r="B507" s="20"/>
      <c r="C507" s="19"/>
      <c r="D507" s="23"/>
      <c r="E507" s="19"/>
      <c r="F507" s="23"/>
      <c r="G507" s="23"/>
      <c r="H507" s="23"/>
      <c r="I507" s="22" t="str">
        <f aca="false">IF($B507="","",$B507*(IsverenPayiOrani+IssizlikOrani))</f>
        <v/>
      </c>
    </row>
    <row r="508" customFormat="false" ht="15" hidden="false" customHeight="false" outlineLevel="0" collapsed="false">
      <c r="A508" s="19"/>
      <c r="B508" s="20"/>
      <c r="C508" s="19"/>
      <c r="D508" s="23"/>
      <c r="E508" s="19"/>
      <c r="F508" s="23"/>
      <c r="G508" s="23"/>
      <c r="H508" s="23"/>
      <c r="I508" s="22" t="str">
        <f aca="false">IF($B508="","",$B508*(IsverenPayiOrani+IssizlikOrani))</f>
        <v/>
      </c>
    </row>
    <row r="509" customFormat="false" ht="15" hidden="false" customHeight="false" outlineLevel="0" collapsed="false">
      <c r="A509" s="19"/>
      <c r="B509" s="20"/>
      <c r="C509" s="19"/>
      <c r="D509" s="23"/>
      <c r="E509" s="19"/>
      <c r="F509" s="23"/>
      <c r="G509" s="23"/>
      <c r="H509" s="23"/>
      <c r="I509" s="22" t="str">
        <f aca="false">IF($B509="","",$B509*(IsverenPayiOrani+IssizlikOrani))</f>
        <v/>
      </c>
    </row>
    <row r="510" customFormat="false" ht="15" hidden="false" customHeight="false" outlineLevel="0" collapsed="false">
      <c r="A510" s="19"/>
      <c r="B510" s="20"/>
      <c r="C510" s="19"/>
      <c r="D510" s="23"/>
      <c r="E510" s="19"/>
      <c r="F510" s="23"/>
      <c r="G510" s="23"/>
      <c r="H510" s="23"/>
      <c r="I510" s="22" t="str">
        <f aca="false">IF($B510="","",$B510*(IsverenPayiOrani+IssizlikOrani))</f>
        <v/>
      </c>
    </row>
    <row r="511" customFormat="false" ht="15" hidden="false" customHeight="false" outlineLevel="0" collapsed="false">
      <c r="A511" s="19"/>
      <c r="B511" s="20"/>
      <c r="C511" s="19"/>
      <c r="D511" s="23"/>
      <c r="E511" s="19"/>
      <c r="F511" s="23"/>
      <c r="G511" s="23"/>
      <c r="H511" s="23"/>
      <c r="I511" s="22" t="str">
        <f aca="false">IF($B511="","",$B511*(IsverenPayiOrani+IssizlikOrani))</f>
        <v/>
      </c>
    </row>
    <row r="512" customFormat="false" ht="15" hidden="false" customHeight="false" outlineLevel="0" collapsed="false">
      <c r="A512" s="19"/>
      <c r="B512" s="20"/>
      <c r="C512" s="19"/>
      <c r="D512" s="23"/>
      <c r="E512" s="19"/>
      <c r="F512" s="23"/>
      <c r="G512" s="23"/>
      <c r="H512" s="23"/>
      <c r="I512" s="22" t="str">
        <f aca="false">IF($B512="","",$B512*(IsverenPayiOrani+IssizlikOrani))</f>
        <v/>
      </c>
    </row>
    <row r="513" customFormat="false" ht="15" hidden="false" customHeight="false" outlineLevel="0" collapsed="false">
      <c r="A513" s="19"/>
      <c r="B513" s="20"/>
      <c r="C513" s="19"/>
      <c r="D513" s="23"/>
      <c r="E513" s="19"/>
      <c r="F513" s="23"/>
      <c r="G513" s="23"/>
      <c r="H513" s="23"/>
      <c r="I513" s="22" t="str">
        <f aca="false">IF($B513="","",$B513*(IsverenPayiOrani+IssizlikOrani))</f>
        <v/>
      </c>
    </row>
    <row r="514" customFormat="false" ht="15" hidden="false" customHeight="false" outlineLevel="0" collapsed="false">
      <c r="A514" s="19"/>
      <c r="B514" s="20"/>
      <c r="C514" s="19"/>
      <c r="D514" s="23"/>
      <c r="E514" s="19"/>
      <c r="F514" s="23"/>
      <c r="G514" s="23"/>
      <c r="H514" s="23"/>
      <c r="I514" s="22" t="str">
        <f aca="false">IF($B514="","",$B514*(IsverenPayiOrani+IssizlikOrani))</f>
        <v/>
      </c>
    </row>
    <row r="515" customFormat="false" ht="15" hidden="false" customHeight="false" outlineLevel="0" collapsed="false">
      <c r="A515" s="19"/>
      <c r="B515" s="20"/>
      <c r="C515" s="19"/>
      <c r="D515" s="23"/>
      <c r="E515" s="19"/>
      <c r="F515" s="23"/>
      <c r="G515" s="23"/>
      <c r="H515" s="23"/>
      <c r="I515" s="22" t="str">
        <f aca="false">IF($B515="","",$B515*(IsverenPayiOrani+IssizlikOrani))</f>
        <v/>
      </c>
    </row>
    <row r="516" customFormat="false" ht="15" hidden="false" customHeight="false" outlineLevel="0" collapsed="false">
      <c r="A516" s="19"/>
      <c r="B516" s="20"/>
      <c r="C516" s="19"/>
      <c r="D516" s="23"/>
      <c r="E516" s="19"/>
      <c r="F516" s="23"/>
      <c r="G516" s="23"/>
      <c r="H516" s="23"/>
      <c r="I516" s="22" t="str">
        <f aca="false">IF($B516="","",$B516*(IsverenPayiOrani+IssizlikOrani))</f>
        <v/>
      </c>
    </row>
    <row r="517" customFormat="false" ht="15" hidden="false" customHeight="false" outlineLevel="0" collapsed="false">
      <c r="A517" s="19"/>
      <c r="B517" s="20"/>
      <c r="C517" s="19"/>
      <c r="D517" s="23"/>
      <c r="E517" s="19"/>
      <c r="F517" s="23"/>
      <c r="G517" s="23"/>
      <c r="H517" s="23"/>
      <c r="I517" s="22" t="str">
        <f aca="false">IF($B517="","",$B517*(IsverenPayiOrani+IssizlikOrani))</f>
        <v/>
      </c>
    </row>
    <row r="518" customFormat="false" ht="15" hidden="false" customHeight="false" outlineLevel="0" collapsed="false">
      <c r="A518" s="19"/>
      <c r="B518" s="20"/>
      <c r="C518" s="19"/>
      <c r="D518" s="23"/>
      <c r="E518" s="19"/>
      <c r="F518" s="23"/>
      <c r="G518" s="23"/>
      <c r="H518" s="23"/>
      <c r="I518" s="22" t="str">
        <f aca="false">IF($B518="","",$B518*(IsverenPayiOrani+IssizlikOrani))</f>
        <v/>
      </c>
    </row>
    <row r="519" customFormat="false" ht="15" hidden="false" customHeight="false" outlineLevel="0" collapsed="false">
      <c r="A519" s="19"/>
      <c r="B519" s="20"/>
      <c r="C519" s="19"/>
      <c r="D519" s="23"/>
      <c r="E519" s="19"/>
      <c r="F519" s="23"/>
      <c r="G519" s="23"/>
      <c r="H519" s="23"/>
      <c r="I519" s="22" t="str">
        <f aca="false">IF($B519="","",$B519*(IsverenPayiOrani+IssizlikOrani))</f>
        <v/>
      </c>
    </row>
    <row r="520" customFormat="false" ht="15" hidden="false" customHeight="false" outlineLevel="0" collapsed="false">
      <c r="A520" s="19"/>
      <c r="B520" s="20"/>
      <c r="C520" s="19"/>
      <c r="D520" s="23"/>
      <c r="E520" s="19"/>
      <c r="F520" s="23"/>
      <c r="G520" s="23"/>
      <c r="H520" s="23"/>
      <c r="I520" s="22" t="str">
        <f aca="false">IF($B520="","",$B520*(IsverenPayiOrani+IssizlikOrani))</f>
        <v/>
      </c>
    </row>
    <row r="521" customFormat="false" ht="15" hidden="false" customHeight="false" outlineLevel="0" collapsed="false">
      <c r="A521" s="19"/>
      <c r="B521" s="20"/>
      <c r="C521" s="19"/>
      <c r="D521" s="23"/>
      <c r="E521" s="19"/>
      <c r="F521" s="23"/>
      <c r="G521" s="23"/>
      <c r="H521" s="23"/>
      <c r="I521" s="22" t="str">
        <f aca="false">IF($B521="","",$B521*(IsverenPayiOrani+IssizlikOrani))</f>
        <v/>
      </c>
    </row>
    <row r="522" customFormat="false" ht="15" hidden="false" customHeight="false" outlineLevel="0" collapsed="false">
      <c r="A522" s="19"/>
      <c r="B522" s="20"/>
      <c r="C522" s="19"/>
      <c r="D522" s="23"/>
      <c r="E522" s="19"/>
      <c r="F522" s="23"/>
      <c r="G522" s="23"/>
      <c r="H522" s="23"/>
      <c r="I522" s="22" t="str">
        <f aca="false">IF($B522="","",$B522*(IsverenPayiOrani+IssizlikOrani))</f>
        <v/>
      </c>
    </row>
    <row r="523" customFormat="false" ht="15" hidden="false" customHeight="false" outlineLevel="0" collapsed="false">
      <c r="A523" s="19"/>
      <c r="B523" s="20"/>
      <c r="C523" s="19"/>
      <c r="D523" s="23"/>
      <c r="E523" s="19"/>
      <c r="F523" s="23"/>
      <c r="G523" s="23"/>
      <c r="H523" s="23"/>
      <c r="I523" s="22" t="str">
        <f aca="false">IF($B523="","",$B523*(IsverenPayiOrani+IssizlikOrani))</f>
        <v/>
      </c>
    </row>
    <row r="524" customFormat="false" ht="15" hidden="false" customHeight="false" outlineLevel="0" collapsed="false">
      <c r="A524" s="19"/>
      <c r="B524" s="20"/>
      <c r="C524" s="19"/>
      <c r="D524" s="23"/>
      <c r="E524" s="19"/>
      <c r="F524" s="23"/>
      <c r="G524" s="23"/>
      <c r="H524" s="23"/>
      <c r="I524" s="22" t="str">
        <f aca="false">IF($B524="","",$B524*(IsverenPayiOrani+IssizlikOrani))</f>
        <v/>
      </c>
    </row>
    <row r="525" customFormat="false" ht="15" hidden="false" customHeight="false" outlineLevel="0" collapsed="false">
      <c r="A525" s="19"/>
      <c r="B525" s="20"/>
      <c r="C525" s="19"/>
      <c r="D525" s="23"/>
      <c r="E525" s="19"/>
      <c r="F525" s="23"/>
      <c r="G525" s="23"/>
      <c r="H525" s="23"/>
      <c r="I525" s="22" t="str">
        <f aca="false">IF($B525="","",$B525*(IsverenPayiOrani+IssizlikOrani))</f>
        <v/>
      </c>
    </row>
    <row r="526" customFormat="false" ht="15" hidden="false" customHeight="false" outlineLevel="0" collapsed="false">
      <c r="A526" s="19"/>
      <c r="B526" s="20"/>
      <c r="C526" s="19"/>
      <c r="D526" s="23"/>
      <c r="E526" s="19"/>
      <c r="F526" s="23"/>
      <c r="G526" s="23"/>
      <c r="H526" s="23"/>
      <c r="I526" s="22" t="str">
        <f aca="false">IF($B526="","",$B526*(IsverenPayiOrani+IssizlikOrani))</f>
        <v/>
      </c>
    </row>
    <row r="527" customFormat="false" ht="15" hidden="false" customHeight="false" outlineLevel="0" collapsed="false">
      <c r="A527" s="19"/>
      <c r="B527" s="20"/>
      <c r="C527" s="19"/>
      <c r="D527" s="23"/>
      <c r="E527" s="19"/>
      <c r="F527" s="23"/>
      <c r="G527" s="23"/>
      <c r="H527" s="23"/>
      <c r="I527" s="22" t="str">
        <f aca="false">IF($B527="","",$B527*(IsverenPayiOrani+IssizlikOrani))</f>
        <v/>
      </c>
    </row>
    <row r="528" customFormat="false" ht="15" hidden="false" customHeight="false" outlineLevel="0" collapsed="false">
      <c r="A528" s="19"/>
      <c r="B528" s="20"/>
      <c r="C528" s="19"/>
      <c r="D528" s="23"/>
      <c r="E528" s="19"/>
      <c r="F528" s="23"/>
      <c r="G528" s="23"/>
      <c r="H528" s="23"/>
      <c r="I528" s="22" t="str">
        <f aca="false">IF($B528="","",$B528*(IsverenPayiOrani+IssizlikOrani))</f>
        <v/>
      </c>
    </row>
    <row r="529" customFormat="false" ht="15" hidden="false" customHeight="false" outlineLevel="0" collapsed="false">
      <c r="A529" s="19"/>
      <c r="B529" s="20"/>
      <c r="C529" s="19"/>
      <c r="D529" s="23"/>
      <c r="E529" s="19"/>
      <c r="F529" s="23"/>
      <c r="G529" s="23"/>
      <c r="H529" s="23"/>
      <c r="I529" s="22" t="str">
        <f aca="false">IF($B529="","",$B529*(IsverenPayiOrani+IssizlikOrani))</f>
        <v/>
      </c>
    </row>
    <row r="530" customFormat="false" ht="15" hidden="false" customHeight="false" outlineLevel="0" collapsed="false">
      <c r="A530" s="19"/>
      <c r="B530" s="20"/>
      <c r="C530" s="19"/>
      <c r="D530" s="23"/>
      <c r="E530" s="19"/>
      <c r="F530" s="23"/>
      <c r="G530" s="23"/>
      <c r="H530" s="23"/>
      <c r="I530" s="22" t="str">
        <f aca="false">IF($B530="","",$B530*(IsverenPayiOrani+IssizlikOrani))</f>
        <v/>
      </c>
    </row>
    <row r="531" customFormat="false" ht="15" hidden="false" customHeight="false" outlineLevel="0" collapsed="false">
      <c r="A531" s="19"/>
      <c r="B531" s="20"/>
      <c r="C531" s="19"/>
      <c r="D531" s="23"/>
      <c r="E531" s="19"/>
      <c r="F531" s="23"/>
      <c r="G531" s="23"/>
      <c r="H531" s="23"/>
      <c r="I531" s="22" t="str">
        <f aca="false">IF($B531="","",$B531*(IsverenPayiOrani+IssizlikOrani))</f>
        <v/>
      </c>
    </row>
    <row r="532" customFormat="false" ht="15" hidden="false" customHeight="false" outlineLevel="0" collapsed="false">
      <c r="A532" s="19"/>
      <c r="B532" s="20"/>
      <c r="C532" s="19"/>
      <c r="D532" s="23"/>
      <c r="E532" s="19"/>
      <c r="F532" s="23"/>
      <c r="G532" s="23"/>
      <c r="H532" s="23"/>
      <c r="I532" s="22" t="str">
        <f aca="false">IF($B532="","",$B532*(IsverenPayiOrani+IssizlikOrani))</f>
        <v/>
      </c>
    </row>
    <row r="533" customFormat="false" ht="15" hidden="false" customHeight="false" outlineLevel="0" collapsed="false">
      <c r="A533" s="19"/>
      <c r="B533" s="20"/>
      <c r="C533" s="19"/>
      <c r="D533" s="23"/>
      <c r="E533" s="19"/>
      <c r="F533" s="23"/>
      <c r="G533" s="23"/>
      <c r="H533" s="23"/>
      <c r="I533" s="22" t="str">
        <f aca="false">IF($B533="","",$B533*(IsverenPayiOrani+IssizlikOrani))</f>
        <v/>
      </c>
    </row>
    <row r="534" customFormat="false" ht="15" hidden="false" customHeight="false" outlineLevel="0" collapsed="false">
      <c r="A534" s="19"/>
      <c r="B534" s="20"/>
      <c r="C534" s="19"/>
      <c r="D534" s="23"/>
      <c r="E534" s="19"/>
      <c r="F534" s="23"/>
      <c r="G534" s="23"/>
      <c r="H534" s="23"/>
      <c r="I534" s="22" t="str">
        <f aca="false">IF($B534="","",$B534*(IsverenPayiOrani+IssizlikOrani))</f>
        <v/>
      </c>
    </row>
    <row r="535" customFormat="false" ht="15" hidden="false" customHeight="false" outlineLevel="0" collapsed="false">
      <c r="A535" s="19"/>
      <c r="B535" s="20"/>
      <c r="C535" s="19"/>
      <c r="D535" s="23"/>
      <c r="E535" s="19"/>
      <c r="F535" s="23"/>
      <c r="G535" s="23"/>
      <c r="H535" s="23"/>
      <c r="I535" s="22" t="str">
        <f aca="false">IF($B535="","",$B535*(IsverenPayiOrani+IssizlikOrani))</f>
        <v/>
      </c>
    </row>
    <row r="536" customFormat="false" ht="15" hidden="false" customHeight="false" outlineLevel="0" collapsed="false">
      <c r="A536" s="19"/>
      <c r="B536" s="20"/>
      <c r="C536" s="19"/>
      <c r="D536" s="23"/>
      <c r="E536" s="19"/>
      <c r="F536" s="23"/>
      <c r="G536" s="23"/>
      <c r="H536" s="23"/>
      <c r="I536" s="22" t="str">
        <f aca="false">IF($B536="","",$B536*(IsverenPayiOrani+IssizlikOrani))</f>
        <v/>
      </c>
    </row>
    <row r="537" customFormat="false" ht="15" hidden="false" customHeight="false" outlineLevel="0" collapsed="false">
      <c r="A537" s="19"/>
      <c r="B537" s="20"/>
      <c r="C537" s="19"/>
      <c r="D537" s="23"/>
      <c r="E537" s="19"/>
      <c r="F537" s="23"/>
      <c r="G537" s="23"/>
      <c r="H537" s="23"/>
      <c r="I537" s="22" t="str">
        <f aca="false">IF($B537="","",$B537*(IsverenPayiOrani+IssizlikOrani))</f>
        <v/>
      </c>
    </row>
    <row r="538" customFormat="false" ht="15" hidden="false" customHeight="false" outlineLevel="0" collapsed="false">
      <c r="A538" s="19"/>
      <c r="B538" s="20"/>
      <c r="C538" s="19"/>
      <c r="D538" s="23"/>
      <c r="E538" s="19"/>
      <c r="F538" s="23"/>
      <c r="G538" s="23"/>
      <c r="H538" s="23"/>
      <c r="I538" s="22" t="str">
        <f aca="false">IF($B538="","",$B538*(IsverenPayiOrani+IssizlikOrani))</f>
        <v/>
      </c>
    </row>
    <row r="539" customFormat="false" ht="15" hidden="false" customHeight="false" outlineLevel="0" collapsed="false">
      <c r="A539" s="19"/>
      <c r="B539" s="20"/>
      <c r="C539" s="19"/>
      <c r="D539" s="23"/>
      <c r="E539" s="19"/>
      <c r="F539" s="23"/>
      <c r="G539" s="23"/>
      <c r="H539" s="23"/>
      <c r="I539" s="22" t="str">
        <f aca="false">IF($B539="","",$B539*(IsverenPayiOrani+IssizlikOrani))</f>
        <v/>
      </c>
    </row>
    <row r="540" customFormat="false" ht="15" hidden="false" customHeight="false" outlineLevel="0" collapsed="false">
      <c r="A540" s="19"/>
      <c r="B540" s="20"/>
      <c r="C540" s="19"/>
      <c r="D540" s="23"/>
      <c r="E540" s="19"/>
      <c r="F540" s="23"/>
      <c r="G540" s="23"/>
      <c r="H540" s="23"/>
      <c r="I540" s="22" t="str">
        <f aca="false">IF($B540="","",$B540*(IsverenPayiOrani+IssizlikOrani))</f>
        <v/>
      </c>
    </row>
    <row r="541" customFormat="false" ht="15" hidden="false" customHeight="false" outlineLevel="0" collapsed="false">
      <c r="A541" s="19"/>
      <c r="B541" s="20"/>
      <c r="C541" s="19"/>
      <c r="D541" s="23"/>
      <c r="E541" s="19"/>
      <c r="F541" s="23"/>
      <c r="G541" s="23"/>
      <c r="H541" s="23"/>
      <c r="I541" s="22" t="str">
        <f aca="false">IF($B541="","",$B541*(IsverenPayiOrani+IssizlikOrani))</f>
        <v/>
      </c>
    </row>
    <row r="542" customFormat="false" ht="15" hidden="false" customHeight="false" outlineLevel="0" collapsed="false">
      <c r="A542" s="19"/>
      <c r="B542" s="20"/>
      <c r="C542" s="19"/>
      <c r="D542" s="23"/>
      <c r="E542" s="19"/>
      <c r="F542" s="23"/>
      <c r="G542" s="23"/>
      <c r="H542" s="23"/>
      <c r="I542" s="22" t="str">
        <f aca="false">IF($B542="","",$B542*(IsverenPayiOrani+IssizlikOrani))</f>
        <v/>
      </c>
    </row>
    <row r="543" customFormat="false" ht="15" hidden="false" customHeight="false" outlineLevel="0" collapsed="false">
      <c r="A543" s="19"/>
      <c r="B543" s="20"/>
      <c r="C543" s="19"/>
      <c r="D543" s="23"/>
      <c r="E543" s="19"/>
      <c r="F543" s="23"/>
      <c r="G543" s="23"/>
      <c r="H543" s="23"/>
      <c r="I543" s="22" t="str">
        <f aca="false">IF($B543="","",$B543*(IsverenPayiOrani+IssizlikOrani))</f>
        <v/>
      </c>
    </row>
    <row r="544" customFormat="false" ht="15" hidden="false" customHeight="false" outlineLevel="0" collapsed="false">
      <c r="A544" s="19"/>
      <c r="B544" s="20"/>
      <c r="C544" s="19"/>
      <c r="D544" s="23"/>
      <c r="E544" s="19"/>
      <c r="F544" s="23"/>
      <c r="G544" s="23"/>
      <c r="H544" s="23"/>
      <c r="I544" s="22" t="str">
        <f aca="false">IF($B544="","",$B544*(IsverenPayiOrani+IssizlikOrani))</f>
        <v/>
      </c>
    </row>
    <row r="545" customFormat="false" ht="15" hidden="false" customHeight="false" outlineLevel="0" collapsed="false">
      <c r="A545" s="19"/>
      <c r="B545" s="20"/>
      <c r="C545" s="19"/>
      <c r="D545" s="23"/>
      <c r="E545" s="19"/>
      <c r="F545" s="23"/>
      <c r="G545" s="23"/>
      <c r="H545" s="23"/>
      <c r="I545" s="22" t="str">
        <f aca="false">IF($B545="","",$B545*(IsverenPayiOrani+IssizlikOrani))</f>
        <v/>
      </c>
    </row>
    <row r="546" customFormat="false" ht="15" hidden="false" customHeight="false" outlineLevel="0" collapsed="false">
      <c r="A546" s="19"/>
      <c r="B546" s="20"/>
      <c r="C546" s="19"/>
      <c r="D546" s="23"/>
      <c r="E546" s="19"/>
      <c r="F546" s="23"/>
      <c r="G546" s="23"/>
      <c r="H546" s="23"/>
      <c r="I546" s="22" t="str">
        <f aca="false">IF($B546="","",$B546*(IsverenPayiOrani+IssizlikOrani))</f>
        <v/>
      </c>
    </row>
    <row r="547" customFormat="false" ht="15" hidden="false" customHeight="false" outlineLevel="0" collapsed="false">
      <c r="A547" s="19"/>
      <c r="B547" s="20"/>
      <c r="C547" s="19"/>
      <c r="D547" s="23"/>
      <c r="E547" s="19"/>
      <c r="F547" s="23"/>
      <c r="G547" s="23"/>
      <c r="H547" s="23"/>
      <c r="I547" s="22" t="str">
        <f aca="false">IF($B547="","",$B547*(IsverenPayiOrani+IssizlikOrani))</f>
        <v/>
      </c>
    </row>
    <row r="548" customFormat="false" ht="15" hidden="false" customHeight="false" outlineLevel="0" collapsed="false">
      <c r="A548" s="19"/>
      <c r="B548" s="20"/>
      <c r="C548" s="19"/>
      <c r="D548" s="23"/>
      <c r="E548" s="19"/>
      <c r="F548" s="23"/>
      <c r="G548" s="23"/>
      <c r="H548" s="23"/>
      <c r="I548" s="22" t="str">
        <f aca="false">IF($B548="","",$B548*(IsverenPayiOrani+IssizlikOrani))</f>
        <v/>
      </c>
    </row>
    <row r="549" customFormat="false" ht="15" hidden="false" customHeight="false" outlineLevel="0" collapsed="false">
      <c r="A549" s="19"/>
      <c r="B549" s="20"/>
      <c r="C549" s="19"/>
      <c r="D549" s="23"/>
      <c r="E549" s="19"/>
      <c r="F549" s="23"/>
      <c r="G549" s="23"/>
      <c r="H549" s="23"/>
      <c r="I549" s="22" t="str">
        <f aca="false">IF($B549="","",$B549*(IsverenPayiOrani+IssizlikOrani))</f>
        <v/>
      </c>
    </row>
    <row r="550" customFormat="false" ht="15" hidden="false" customHeight="false" outlineLevel="0" collapsed="false">
      <c r="A550" s="19"/>
      <c r="B550" s="20"/>
      <c r="C550" s="19"/>
      <c r="D550" s="23"/>
      <c r="E550" s="19"/>
      <c r="F550" s="23"/>
      <c r="G550" s="23"/>
      <c r="H550" s="23"/>
      <c r="I550" s="22" t="str">
        <f aca="false">IF($B550="","",$B550*(IsverenPayiOrani+IssizlikOrani))</f>
        <v/>
      </c>
    </row>
    <row r="551" customFormat="false" ht="15" hidden="false" customHeight="false" outlineLevel="0" collapsed="false">
      <c r="A551" s="19"/>
      <c r="B551" s="20"/>
      <c r="C551" s="19"/>
      <c r="D551" s="23"/>
      <c r="E551" s="19"/>
      <c r="F551" s="23"/>
      <c r="G551" s="23"/>
      <c r="H551" s="23"/>
      <c r="I551" s="22" t="str">
        <f aca="false">IF($B551="","",$B551*(IsverenPayiOrani+IssizlikOrani))</f>
        <v/>
      </c>
    </row>
    <row r="552" customFormat="false" ht="15" hidden="false" customHeight="false" outlineLevel="0" collapsed="false">
      <c r="A552" s="19"/>
      <c r="B552" s="20"/>
      <c r="C552" s="19"/>
      <c r="D552" s="23"/>
      <c r="E552" s="19"/>
      <c r="F552" s="23"/>
      <c r="G552" s="23"/>
      <c r="H552" s="23"/>
      <c r="I552" s="22" t="str">
        <f aca="false">IF($B552="","",$B552*(IsverenPayiOrani+IssizlikOrani))</f>
        <v/>
      </c>
    </row>
    <row r="553" customFormat="false" ht="15" hidden="false" customHeight="false" outlineLevel="0" collapsed="false">
      <c r="A553" s="19"/>
      <c r="B553" s="20"/>
      <c r="C553" s="19"/>
      <c r="D553" s="23"/>
      <c r="E553" s="19"/>
      <c r="F553" s="23"/>
      <c r="G553" s="23"/>
      <c r="H553" s="23"/>
      <c r="I553" s="22" t="str">
        <f aca="false">IF($B553="","",$B553*(IsverenPayiOrani+IssizlikOrani))</f>
        <v/>
      </c>
    </row>
    <row r="554" customFormat="false" ht="15" hidden="false" customHeight="false" outlineLevel="0" collapsed="false">
      <c r="A554" s="19"/>
      <c r="B554" s="20"/>
      <c r="C554" s="19"/>
      <c r="D554" s="23"/>
      <c r="E554" s="19"/>
      <c r="F554" s="23"/>
      <c r="G554" s="23"/>
      <c r="H554" s="23"/>
      <c r="I554" s="22" t="str">
        <f aca="false">IF($B554="","",$B554*(IsverenPayiOrani+IssizlikOrani))</f>
        <v/>
      </c>
    </row>
    <row r="555" customFormat="false" ht="15" hidden="false" customHeight="false" outlineLevel="0" collapsed="false">
      <c r="A555" s="19"/>
      <c r="B555" s="20"/>
      <c r="C555" s="19"/>
      <c r="D555" s="23"/>
      <c r="E555" s="19"/>
      <c r="F555" s="23"/>
      <c r="G555" s="23"/>
      <c r="H555" s="23"/>
      <c r="I555" s="22" t="str">
        <f aca="false">IF($B555="","",$B555*(IsverenPayiOrani+IssizlikOrani))</f>
        <v/>
      </c>
    </row>
    <row r="556" customFormat="false" ht="15" hidden="false" customHeight="false" outlineLevel="0" collapsed="false">
      <c r="A556" s="19"/>
      <c r="B556" s="20"/>
      <c r="C556" s="19"/>
      <c r="D556" s="23"/>
      <c r="E556" s="19"/>
      <c r="F556" s="23"/>
      <c r="G556" s="23"/>
      <c r="H556" s="23"/>
      <c r="I556" s="22" t="str">
        <f aca="false">IF($B556="","",$B556*(IsverenPayiOrani+IssizlikOrani))</f>
        <v/>
      </c>
    </row>
    <row r="557" customFormat="false" ht="15" hidden="false" customHeight="false" outlineLevel="0" collapsed="false">
      <c r="A557" s="19"/>
      <c r="B557" s="20"/>
      <c r="C557" s="19"/>
      <c r="D557" s="23"/>
      <c r="E557" s="19"/>
      <c r="F557" s="23"/>
      <c r="G557" s="23"/>
      <c r="H557" s="23"/>
      <c r="I557" s="22" t="str">
        <f aca="false">IF($B557="","",$B557*(IsverenPayiOrani+IssizlikOrani))</f>
        <v/>
      </c>
    </row>
    <row r="558" customFormat="false" ht="15" hidden="false" customHeight="false" outlineLevel="0" collapsed="false">
      <c r="A558" s="19"/>
      <c r="B558" s="20"/>
      <c r="C558" s="19"/>
      <c r="D558" s="23"/>
      <c r="E558" s="19"/>
      <c r="F558" s="23"/>
      <c r="G558" s="23"/>
      <c r="H558" s="23"/>
      <c r="I558" s="22" t="str">
        <f aca="false">IF($B558="","",$B558*(IsverenPayiOrani+IssizlikOrani))</f>
        <v/>
      </c>
    </row>
    <row r="559" customFormat="false" ht="15" hidden="false" customHeight="false" outlineLevel="0" collapsed="false">
      <c r="A559" s="19"/>
      <c r="B559" s="20"/>
      <c r="C559" s="19"/>
      <c r="D559" s="23"/>
      <c r="E559" s="19"/>
      <c r="F559" s="23"/>
      <c r="G559" s="23"/>
      <c r="H559" s="23"/>
      <c r="I559" s="22" t="str">
        <f aca="false">IF($B559="","",$B559*(IsverenPayiOrani+IssizlikOrani))</f>
        <v/>
      </c>
    </row>
    <row r="560" customFormat="false" ht="15" hidden="false" customHeight="false" outlineLevel="0" collapsed="false">
      <c r="A560" s="19"/>
      <c r="B560" s="20"/>
      <c r="C560" s="19"/>
      <c r="D560" s="23"/>
      <c r="E560" s="19"/>
      <c r="F560" s="23"/>
      <c r="G560" s="23"/>
      <c r="H560" s="23"/>
      <c r="I560" s="22" t="str">
        <f aca="false">IF($B560="","",$B560*(IsverenPayiOrani+IssizlikOrani))</f>
        <v/>
      </c>
    </row>
    <row r="561" customFormat="false" ht="15" hidden="false" customHeight="false" outlineLevel="0" collapsed="false">
      <c r="A561" s="19"/>
      <c r="B561" s="20"/>
      <c r="C561" s="19"/>
      <c r="D561" s="23"/>
      <c r="E561" s="19"/>
      <c r="F561" s="23"/>
      <c r="G561" s="23"/>
      <c r="H561" s="23"/>
      <c r="I561" s="22" t="str">
        <f aca="false">IF($B561="","",$B561*(IsverenPayiOrani+IssizlikOrani))</f>
        <v/>
      </c>
    </row>
    <row r="562" customFormat="false" ht="15" hidden="false" customHeight="false" outlineLevel="0" collapsed="false">
      <c r="A562" s="19"/>
      <c r="B562" s="20"/>
      <c r="C562" s="19"/>
      <c r="D562" s="23"/>
      <c r="E562" s="19"/>
      <c r="F562" s="23"/>
      <c r="G562" s="23"/>
      <c r="H562" s="23"/>
      <c r="I562" s="22" t="str">
        <f aca="false">IF($B562="","",$B562*(IsverenPayiOrani+IssizlikOrani))</f>
        <v/>
      </c>
    </row>
    <row r="563" customFormat="false" ht="15" hidden="false" customHeight="false" outlineLevel="0" collapsed="false">
      <c r="A563" s="19"/>
      <c r="B563" s="20"/>
      <c r="C563" s="19"/>
      <c r="D563" s="23"/>
      <c r="E563" s="19"/>
      <c r="F563" s="23"/>
      <c r="G563" s="23"/>
      <c r="H563" s="23"/>
      <c r="I563" s="22" t="str">
        <f aca="false">IF($B563="","",$B563*(IsverenPayiOrani+IssizlikOrani))</f>
        <v/>
      </c>
    </row>
    <row r="564" customFormat="false" ht="15" hidden="false" customHeight="false" outlineLevel="0" collapsed="false">
      <c r="A564" s="19"/>
      <c r="B564" s="20"/>
      <c r="C564" s="19"/>
      <c r="D564" s="23"/>
      <c r="E564" s="19"/>
      <c r="F564" s="23"/>
      <c r="G564" s="23"/>
      <c r="H564" s="23"/>
      <c r="I564" s="22" t="str">
        <f aca="false">IF($B564="","",$B564*(IsverenPayiOrani+IssizlikOrani))</f>
        <v/>
      </c>
    </row>
    <row r="565" customFormat="false" ht="15" hidden="false" customHeight="false" outlineLevel="0" collapsed="false">
      <c r="A565" s="19"/>
      <c r="B565" s="20"/>
      <c r="C565" s="19"/>
      <c r="D565" s="23"/>
      <c r="E565" s="19"/>
      <c r="F565" s="23"/>
      <c r="G565" s="23"/>
      <c r="H565" s="23"/>
      <c r="I565" s="22" t="str">
        <f aca="false">IF($B565="","",$B565*(IsverenPayiOrani+IssizlikOrani))</f>
        <v/>
      </c>
    </row>
    <row r="566" customFormat="false" ht="15" hidden="false" customHeight="false" outlineLevel="0" collapsed="false">
      <c r="A566" s="19"/>
      <c r="B566" s="20"/>
      <c r="C566" s="19"/>
      <c r="D566" s="23"/>
      <c r="E566" s="19"/>
      <c r="F566" s="23"/>
      <c r="G566" s="23"/>
      <c r="H566" s="23"/>
      <c r="I566" s="22" t="str">
        <f aca="false">IF($B566="","",$B566*(IsverenPayiOrani+IssizlikOrani))</f>
        <v/>
      </c>
    </row>
    <row r="567" customFormat="false" ht="15" hidden="false" customHeight="false" outlineLevel="0" collapsed="false">
      <c r="A567" s="19"/>
      <c r="B567" s="20"/>
      <c r="C567" s="19"/>
      <c r="D567" s="23"/>
      <c r="E567" s="19"/>
      <c r="F567" s="23"/>
      <c r="G567" s="23"/>
      <c r="H567" s="23"/>
      <c r="I567" s="22" t="str">
        <f aca="false">IF($B567="","",$B567*(IsverenPayiOrani+IssizlikOrani))</f>
        <v/>
      </c>
    </row>
    <row r="568" customFormat="false" ht="15" hidden="false" customHeight="false" outlineLevel="0" collapsed="false">
      <c r="A568" s="19"/>
      <c r="B568" s="20"/>
      <c r="C568" s="19"/>
      <c r="D568" s="23"/>
      <c r="E568" s="19"/>
      <c r="F568" s="23"/>
      <c r="G568" s="23"/>
      <c r="H568" s="23"/>
      <c r="I568" s="22" t="str">
        <f aca="false">IF($B568="","",$B568*(IsverenPayiOrani+IssizlikOrani))</f>
        <v/>
      </c>
    </row>
    <row r="569" customFormat="false" ht="15" hidden="false" customHeight="false" outlineLevel="0" collapsed="false">
      <c r="A569" s="19"/>
      <c r="B569" s="20"/>
      <c r="C569" s="19"/>
      <c r="D569" s="23"/>
      <c r="E569" s="19"/>
      <c r="F569" s="23"/>
      <c r="G569" s="23"/>
      <c r="H569" s="23"/>
      <c r="I569" s="22" t="str">
        <f aca="false">IF($B569="","",$B569*(IsverenPayiOrani+IssizlikOrani))</f>
        <v/>
      </c>
    </row>
    <row r="570" customFormat="false" ht="15" hidden="false" customHeight="false" outlineLevel="0" collapsed="false">
      <c r="A570" s="19"/>
      <c r="B570" s="20"/>
      <c r="C570" s="19"/>
      <c r="D570" s="23"/>
      <c r="E570" s="19"/>
      <c r="F570" s="23"/>
      <c r="G570" s="23"/>
      <c r="H570" s="23"/>
      <c r="I570" s="22" t="str">
        <f aca="false">IF($B570="","",$B570*(IsverenPayiOrani+IssizlikOrani))</f>
        <v/>
      </c>
    </row>
    <row r="571" customFormat="false" ht="15" hidden="false" customHeight="false" outlineLevel="0" collapsed="false">
      <c r="A571" s="19"/>
      <c r="B571" s="20"/>
      <c r="C571" s="19"/>
      <c r="D571" s="23"/>
      <c r="E571" s="19"/>
      <c r="F571" s="23"/>
      <c r="G571" s="23"/>
      <c r="H571" s="23"/>
      <c r="I571" s="22" t="str">
        <f aca="false">IF($B571="","",$B571*(IsverenPayiOrani+IssizlikOrani))</f>
        <v/>
      </c>
    </row>
    <row r="572" customFormat="false" ht="15" hidden="false" customHeight="false" outlineLevel="0" collapsed="false">
      <c r="A572" s="19"/>
      <c r="B572" s="20"/>
      <c r="C572" s="19"/>
      <c r="D572" s="23"/>
      <c r="E572" s="19"/>
      <c r="F572" s="23"/>
      <c r="G572" s="23"/>
      <c r="H572" s="23"/>
      <c r="I572" s="22" t="str">
        <f aca="false">IF($B572="","",$B572*(IsverenPayiOrani+IssizlikOrani))</f>
        <v/>
      </c>
    </row>
    <row r="573" customFormat="false" ht="15" hidden="false" customHeight="false" outlineLevel="0" collapsed="false">
      <c r="A573" s="19"/>
      <c r="B573" s="20"/>
      <c r="C573" s="19"/>
      <c r="D573" s="23"/>
      <c r="E573" s="19"/>
      <c r="F573" s="23"/>
      <c r="G573" s="23"/>
      <c r="H573" s="23"/>
      <c r="I573" s="22" t="str">
        <f aca="false">IF($B573="","",$B573*(IsverenPayiOrani+IssizlikOrani))</f>
        <v/>
      </c>
    </row>
    <row r="574" customFormat="false" ht="15" hidden="false" customHeight="false" outlineLevel="0" collapsed="false">
      <c r="A574" s="19"/>
      <c r="B574" s="20"/>
      <c r="C574" s="19"/>
      <c r="D574" s="23"/>
      <c r="E574" s="19"/>
      <c r="F574" s="23"/>
      <c r="G574" s="23"/>
      <c r="H574" s="23"/>
      <c r="I574" s="22" t="str">
        <f aca="false">IF($B574="","",$B574*(IsverenPayiOrani+IssizlikOrani))</f>
        <v/>
      </c>
    </row>
    <row r="575" customFormat="false" ht="15" hidden="false" customHeight="false" outlineLevel="0" collapsed="false">
      <c r="A575" s="19"/>
      <c r="B575" s="20"/>
      <c r="C575" s="19"/>
      <c r="D575" s="23"/>
      <c r="E575" s="19"/>
      <c r="F575" s="23"/>
      <c r="G575" s="23"/>
      <c r="H575" s="23"/>
      <c r="I575" s="22" t="str">
        <f aca="false">IF($B575="","",$B575*(IsverenPayiOrani+IssizlikOrani))</f>
        <v/>
      </c>
    </row>
    <row r="576" customFormat="false" ht="15" hidden="false" customHeight="false" outlineLevel="0" collapsed="false">
      <c r="A576" s="19"/>
      <c r="B576" s="20"/>
      <c r="C576" s="19"/>
      <c r="D576" s="23"/>
      <c r="E576" s="19"/>
      <c r="F576" s="23"/>
      <c r="G576" s="23"/>
      <c r="H576" s="23"/>
      <c r="I576" s="22" t="str">
        <f aca="false">IF($B576="","",$B576*(IsverenPayiOrani+IssizlikOrani))</f>
        <v/>
      </c>
    </row>
    <row r="577" customFormat="false" ht="15" hidden="false" customHeight="false" outlineLevel="0" collapsed="false">
      <c r="A577" s="19"/>
      <c r="B577" s="20"/>
      <c r="C577" s="19"/>
      <c r="D577" s="23"/>
      <c r="E577" s="19"/>
      <c r="F577" s="23"/>
      <c r="G577" s="23"/>
      <c r="H577" s="23"/>
      <c r="I577" s="22" t="str">
        <f aca="false">IF($B577="","",$B577*(IsverenPayiOrani+IssizlikOrani))</f>
        <v/>
      </c>
    </row>
    <row r="578" customFormat="false" ht="15" hidden="false" customHeight="false" outlineLevel="0" collapsed="false">
      <c r="A578" s="19"/>
      <c r="B578" s="20"/>
      <c r="C578" s="19"/>
      <c r="D578" s="23"/>
      <c r="E578" s="19"/>
      <c r="F578" s="23"/>
      <c r="G578" s="23"/>
      <c r="H578" s="23"/>
      <c r="I578" s="22" t="str">
        <f aca="false">IF($B578="","",$B578*(IsverenPayiOrani+IssizlikOrani))</f>
        <v/>
      </c>
    </row>
    <row r="579" customFormat="false" ht="15" hidden="false" customHeight="false" outlineLevel="0" collapsed="false">
      <c r="A579" s="19"/>
      <c r="B579" s="20"/>
      <c r="C579" s="19"/>
      <c r="D579" s="23"/>
      <c r="E579" s="19"/>
      <c r="F579" s="23"/>
      <c r="G579" s="23"/>
      <c r="H579" s="23"/>
      <c r="I579" s="22" t="str">
        <f aca="false">IF($B579="","",$B579*(IsverenPayiOrani+IssizlikOrani))</f>
        <v/>
      </c>
    </row>
    <row r="580" customFormat="false" ht="15" hidden="false" customHeight="false" outlineLevel="0" collapsed="false">
      <c r="A580" s="19"/>
      <c r="B580" s="20"/>
      <c r="C580" s="19"/>
      <c r="D580" s="23"/>
      <c r="E580" s="19"/>
      <c r="F580" s="23"/>
      <c r="G580" s="23"/>
      <c r="H580" s="23"/>
      <c r="I580" s="22" t="str">
        <f aca="false">IF($B580="","",$B580*(IsverenPayiOrani+IssizlikOrani))</f>
        <v/>
      </c>
    </row>
    <row r="581" customFormat="false" ht="15" hidden="false" customHeight="false" outlineLevel="0" collapsed="false">
      <c r="A581" s="19"/>
      <c r="B581" s="20"/>
      <c r="C581" s="19"/>
      <c r="D581" s="23"/>
      <c r="E581" s="19"/>
      <c r="F581" s="23"/>
      <c r="G581" s="23"/>
      <c r="H581" s="23"/>
      <c r="I581" s="22" t="str">
        <f aca="false">IF($B581="","",$B581*(IsverenPayiOrani+IssizlikOrani))</f>
        <v/>
      </c>
    </row>
    <row r="582" customFormat="false" ht="15" hidden="false" customHeight="false" outlineLevel="0" collapsed="false">
      <c r="A582" s="19"/>
      <c r="B582" s="20"/>
      <c r="C582" s="19"/>
      <c r="D582" s="23"/>
      <c r="E582" s="19"/>
      <c r="F582" s="23"/>
      <c r="G582" s="23"/>
      <c r="H582" s="23"/>
      <c r="I582" s="22" t="str">
        <f aca="false">IF($B582="","",$B582*(IsverenPayiOrani+IssizlikOrani))</f>
        <v/>
      </c>
    </row>
    <row r="583" customFormat="false" ht="15" hidden="false" customHeight="false" outlineLevel="0" collapsed="false">
      <c r="A583" s="19"/>
      <c r="B583" s="20"/>
      <c r="C583" s="19"/>
      <c r="D583" s="23"/>
      <c r="E583" s="19"/>
      <c r="F583" s="23"/>
      <c r="G583" s="23"/>
      <c r="H583" s="23"/>
      <c r="I583" s="22" t="str">
        <f aca="false">IF($B583="","",$B583*(IsverenPayiOrani+IssizlikOrani))</f>
        <v/>
      </c>
    </row>
    <row r="584" customFormat="false" ht="15" hidden="false" customHeight="false" outlineLevel="0" collapsed="false">
      <c r="A584" s="19"/>
      <c r="B584" s="20"/>
      <c r="C584" s="19"/>
      <c r="D584" s="23"/>
      <c r="E584" s="19"/>
      <c r="F584" s="23"/>
      <c r="G584" s="23"/>
      <c r="H584" s="23"/>
      <c r="I584" s="22" t="str">
        <f aca="false">IF($B584="","",$B584*(IsverenPayiOrani+IssizlikOrani))</f>
        <v/>
      </c>
    </row>
    <row r="585" customFormat="false" ht="15" hidden="false" customHeight="false" outlineLevel="0" collapsed="false">
      <c r="A585" s="19"/>
      <c r="B585" s="20"/>
      <c r="C585" s="19"/>
      <c r="D585" s="23"/>
      <c r="E585" s="19"/>
      <c r="F585" s="23"/>
      <c r="G585" s="23"/>
      <c r="H585" s="23"/>
      <c r="I585" s="22" t="str">
        <f aca="false">IF($B585="","",$B585*(IsverenPayiOrani+IssizlikOrani))</f>
        <v/>
      </c>
    </row>
    <row r="586" customFormat="false" ht="15" hidden="false" customHeight="false" outlineLevel="0" collapsed="false">
      <c r="A586" s="19"/>
      <c r="B586" s="20"/>
      <c r="C586" s="19"/>
      <c r="D586" s="23"/>
      <c r="E586" s="19"/>
      <c r="F586" s="23"/>
      <c r="G586" s="23"/>
      <c r="H586" s="23"/>
      <c r="I586" s="22" t="str">
        <f aca="false">IF($B586="","",$B586*(IsverenPayiOrani+IssizlikOrani))</f>
        <v/>
      </c>
    </row>
    <row r="587" customFormat="false" ht="15" hidden="false" customHeight="false" outlineLevel="0" collapsed="false">
      <c r="A587" s="19"/>
      <c r="B587" s="20"/>
      <c r="C587" s="19"/>
      <c r="D587" s="23"/>
      <c r="E587" s="19"/>
      <c r="F587" s="23"/>
      <c r="G587" s="23"/>
      <c r="H587" s="23"/>
      <c r="I587" s="22" t="str">
        <f aca="false">IF($B587="","",$B587*(IsverenPayiOrani+IssizlikOrani))</f>
        <v/>
      </c>
    </row>
    <row r="588" customFormat="false" ht="15" hidden="false" customHeight="false" outlineLevel="0" collapsed="false">
      <c r="A588" s="19"/>
      <c r="B588" s="20"/>
      <c r="C588" s="19"/>
      <c r="D588" s="23"/>
      <c r="E588" s="19"/>
      <c r="F588" s="23"/>
      <c r="G588" s="23"/>
      <c r="H588" s="23"/>
      <c r="I588" s="22" t="str">
        <f aca="false">IF($B588="","",$B588*(IsverenPayiOrani+IssizlikOrani))</f>
        <v/>
      </c>
    </row>
    <row r="589" customFormat="false" ht="15" hidden="false" customHeight="false" outlineLevel="0" collapsed="false">
      <c r="A589" s="19"/>
      <c r="B589" s="20"/>
      <c r="C589" s="19"/>
      <c r="D589" s="23"/>
      <c r="E589" s="19"/>
      <c r="F589" s="23"/>
      <c r="G589" s="23"/>
      <c r="H589" s="23"/>
      <c r="I589" s="22" t="str">
        <f aca="false">IF($B589="","",$B589*(IsverenPayiOrani+IssizlikOrani))</f>
        <v/>
      </c>
    </row>
    <row r="590" customFormat="false" ht="15" hidden="false" customHeight="false" outlineLevel="0" collapsed="false">
      <c r="A590" s="19"/>
      <c r="B590" s="20"/>
      <c r="C590" s="19"/>
      <c r="D590" s="23"/>
      <c r="E590" s="19"/>
      <c r="F590" s="23"/>
      <c r="G590" s="23"/>
      <c r="H590" s="23"/>
      <c r="I590" s="22" t="str">
        <f aca="false">IF($B590="","",$B590*(IsverenPayiOrani+IssizlikOrani))</f>
        <v/>
      </c>
    </row>
    <row r="591" customFormat="false" ht="15" hidden="false" customHeight="false" outlineLevel="0" collapsed="false">
      <c r="A591" s="19"/>
      <c r="B591" s="20"/>
      <c r="C591" s="19"/>
      <c r="D591" s="23"/>
      <c r="E591" s="19"/>
      <c r="F591" s="23"/>
      <c r="G591" s="23"/>
      <c r="H591" s="23"/>
      <c r="I591" s="22" t="str">
        <f aca="false">IF($B591="","",$B591*(IsverenPayiOrani+IssizlikOrani))</f>
        <v/>
      </c>
    </row>
    <row r="592" customFormat="false" ht="15" hidden="false" customHeight="false" outlineLevel="0" collapsed="false">
      <c r="A592" s="19"/>
      <c r="B592" s="20"/>
      <c r="C592" s="19"/>
      <c r="D592" s="23"/>
      <c r="E592" s="19"/>
      <c r="F592" s="23"/>
      <c r="G592" s="23"/>
      <c r="H592" s="23"/>
      <c r="I592" s="22" t="str">
        <f aca="false">IF($B592="","",$B592*(IsverenPayiOrani+IssizlikOrani))</f>
        <v/>
      </c>
    </row>
    <row r="593" customFormat="false" ht="15" hidden="false" customHeight="false" outlineLevel="0" collapsed="false">
      <c r="A593" s="19"/>
      <c r="B593" s="20"/>
      <c r="C593" s="19"/>
      <c r="D593" s="23"/>
      <c r="E593" s="19"/>
      <c r="F593" s="23"/>
      <c r="G593" s="23"/>
      <c r="H593" s="23"/>
      <c r="I593" s="22" t="str">
        <f aca="false">IF($B593="","",$B593*(IsverenPayiOrani+IssizlikOrani))</f>
        <v/>
      </c>
    </row>
    <row r="594" customFormat="false" ht="15" hidden="false" customHeight="false" outlineLevel="0" collapsed="false">
      <c r="A594" s="19"/>
      <c r="B594" s="20"/>
      <c r="C594" s="19"/>
      <c r="D594" s="23"/>
      <c r="E594" s="19"/>
      <c r="F594" s="23"/>
      <c r="G594" s="23"/>
      <c r="H594" s="23"/>
      <c r="I594" s="22" t="str">
        <f aca="false">IF($B594="","",$B594*(IsverenPayiOrani+IssizlikOrani))</f>
        <v/>
      </c>
    </row>
    <row r="595" customFormat="false" ht="15" hidden="false" customHeight="false" outlineLevel="0" collapsed="false">
      <c r="A595" s="19"/>
      <c r="B595" s="20"/>
      <c r="C595" s="19"/>
      <c r="D595" s="23"/>
      <c r="E595" s="19"/>
      <c r="F595" s="23"/>
      <c r="G595" s="23"/>
      <c r="H595" s="23"/>
      <c r="I595" s="22" t="str">
        <f aca="false">IF($B595="","",$B595*(IsverenPayiOrani+IssizlikOrani))</f>
        <v/>
      </c>
    </row>
    <row r="596" customFormat="false" ht="15" hidden="false" customHeight="false" outlineLevel="0" collapsed="false">
      <c r="A596" s="19"/>
      <c r="B596" s="20"/>
      <c r="C596" s="19"/>
      <c r="D596" s="23"/>
      <c r="E596" s="19"/>
      <c r="F596" s="23"/>
      <c r="G596" s="23"/>
      <c r="H596" s="23"/>
      <c r="I596" s="22" t="str">
        <f aca="false">IF($B596="","",$B596*(IsverenPayiOrani+IssizlikOrani))</f>
        <v/>
      </c>
    </row>
    <row r="597" customFormat="false" ht="15" hidden="false" customHeight="false" outlineLevel="0" collapsed="false">
      <c r="A597" s="19"/>
      <c r="B597" s="20"/>
      <c r="C597" s="19"/>
      <c r="D597" s="23"/>
      <c r="E597" s="19"/>
      <c r="F597" s="23"/>
      <c r="G597" s="23"/>
      <c r="H597" s="23"/>
      <c r="I597" s="22" t="str">
        <f aca="false">IF($B597="","",$B597*(IsverenPayiOrani+IssizlikOrani))</f>
        <v/>
      </c>
    </row>
    <row r="598" customFormat="false" ht="15" hidden="false" customHeight="false" outlineLevel="0" collapsed="false">
      <c r="A598" s="19"/>
      <c r="B598" s="20"/>
      <c r="C598" s="19"/>
      <c r="D598" s="23"/>
      <c r="E598" s="19"/>
      <c r="F598" s="23"/>
      <c r="G598" s="23"/>
      <c r="H598" s="23"/>
      <c r="I598" s="22" t="str">
        <f aca="false">IF($B598="","",$B598*(IsverenPayiOrani+IssizlikOrani))</f>
        <v/>
      </c>
    </row>
    <row r="599" customFormat="false" ht="15" hidden="false" customHeight="false" outlineLevel="0" collapsed="false">
      <c r="A599" s="19"/>
      <c r="B599" s="20"/>
      <c r="C599" s="19"/>
      <c r="D599" s="23"/>
      <c r="E599" s="19"/>
      <c r="F599" s="23"/>
      <c r="G599" s="23"/>
      <c r="H599" s="23"/>
      <c r="I599" s="22" t="str">
        <f aca="false">IF($B599="","",$B599*(IsverenPayiOrani+IssizlikOrani))</f>
        <v/>
      </c>
    </row>
    <row r="600" customFormat="false" ht="15" hidden="false" customHeight="false" outlineLevel="0" collapsed="false">
      <c r="A600" s="19"/>
      <c r="B600" s="20"/>
      <c r="C600" s="19"/>
      <c r="D600" s="23"/>
      <c r="E600" s="19"/>
      <c r="F600" s="23"/>
      <c r="G600" s="23"/>
      <c r="H600" s="23"/>
      <c r="I600" s="22" t="str">
        <f aca="false">IF($B600="","",$B600*(IsverenPayiOrani+IssizlikOrani))</f>
        <v/>
      </c>
    </row>
    <row r="601" customFormat="false" ht="15" hidden="false" customHeight="false" outlineLevel="0" collapsed="false">
      <c r="A601" s="19"/>
      <c r="B601" s="20"/>
      <c r="C601" s="19"/>
      <c r="D601" s="23"/>
      <c r="E601" s="19"/>
      <c r="F601" s="23"/>
      <c r="G601" s="23"/>
      <c r="H601" s="23"/>
      <c r="I601" s="22" t="str">
        <f aca="false">IF($B601="","",$B601*(IsverenPayiOrani+IssizlikOrani))</f>
        <v/>
      </c>
    </row>
    <row r="602" customFormat="false" ht="15" hidden="false" customHeight="false" outlineLevel="0" collapsed="false">
      <c r="A602" s="19"/>
      <c r="B602" s="20"/>
      <c r="C602" s="19"/>
      <c r="D602" s="23"/>
      <c r="E602" s="19"/>
      <c r="F602" s="23"/>
      <c r="G602" s="23"/>
      <c r="H602" s="23"/>
      <c r="I602" s="22" t="str">
        <f aca="false">IF($B602="","",$B602*(IsverenPayiOrani+IssizlikOrani))</f>
        <v/>
      </c>
    </row>
    <row r="603" customFormat="false" ht="15" hidden="false" customHeight="false" outlineLevel="0" collapsed="false">
      <c r="A603" s="19"/>
      <c r="B603" s="20"/>
      <c r="C603" s="19"/>
      <c r="D603" s="23"/>
      <c r="E603" s="19"/>
      <c r="F603" s="23"/>
      <c r="G603" s="23"/>
      <c r="H603" s="23"/>
      <c r="I603" s="22" t="str">
        <f aca="false">IF($B603="","",$B603*(IsverenPayiOrani+IssizlikOrani))</f>
        <v/>
      </c>
    </row>
    <row r="604" customFormat="false" ht="15" hidden="false" customHeight="false" outlineLevel="0" collapsed="false">
      <c r="A604" s="19"/>
      <c r="B604" s="20"/>
      <c r="C604" s="19"/>
      <c r="D604" s="23"/>
      <c r="E604" s="19"/>
      <c r="F604" s="23"/>
      <c r="G604" s="23"/>
      <c r="H604" s="23"/>
      <c r="I604" s="22" t="str">
        <f aca="false">IF($B604="","",$B604*(IsverenPayiOrani+IssizlikOrani))</f>
        <v/>
      </c>
    </row>
    <row r="605" customFormat="false" ht="15" hidden="false" customHeight="false" outlineLevel="0" collapsed="false">
      <c r="A605" s="19"/>
      <c r="B605" s="20"/>
      <c r="C605" s="19"/>
      <c r="D605" s="23"/>
      <c r="E605" s="19"/>
      <c r="F605" s="23"/>
      <c r="G605" s="23"/>
      <c r="H605" s="23"/>
      <c r="I605" s="22" t="str">
        <f aca="false">IF($B605="","",$B605*(IsverenPayiOrani+IssizlikOrani))</f>
        <v/>
      </c>
    </row>
    <row r="606" customFormat="false" ht="15" hidden="false" customHeight="false" outlineLevel="0" collapsed="false">
      <c r="A606" s="19"/>
      <c r="B606" s="20"/>
      <c r="C606" s="19"/>
      <c r="D606" s="23"/>
      <c r="E606" s="19"/>
      <c r="F606" s="23"/>
      <c r="G606" s="23"/>
      <c r="H606" s="23"/>
      <c r="I606" s="22" t="str">
        <f aca="false">IF($B606="","",$B606*(IsverenPayiOrani+IssizlikOrani))</f>
        <v/>
      </c>
    </row>
    <row r="607" customFormat="false" ht="15" hidden="false" customHeight="false" outlineLevel="0" collapsed="false">
      <c r="A607" s="19"/>
      <c r="B607" s="20"/>
      <c r="C607" s="19"/>
      <c r="D607" s="23"/>
      <c r="E607" s="19"/>
      <c r="F607" s="23"/>
      <c r="G607" s="23"/>
      <c r="H607" s="23"/>
      <c r="I607" s="22" t="str">
        <f aca="false">IF($B607="","",$B607*(IsverenPayiOrani+IssizlikOrani))</f>
        <v/>
      </c>
    </row>
    <row r="608" customFormat="false" ht="15" hidden="false" customHeight="false" outlineLevel="0" collapsed="false">
      <c r="A608" s="19"/>
      <c r="B608" s="20"/>
      <c r="C608" s="19"/>
      <c r="D608" s="23"/>
      <c r="E608" s="19"/>
      <c r="F608" s="23"/>
      <c r="G608" s="23"/>
      <c r="H608" s="23"/>
      <c r="I608" s="22" t="str">
        <f aca="false">IF($B608="","",$B608*(IsverenPayiOrani+IssizlikOrani))</f>
        <v/>
      </c>
    </row>
    <row r="609" customFormat="false" ht="15" hidden="false" customHeight="false" outlineLevel="0" collapsed="false">
      <c r="A609" s="19"/>
      <c r="B609" s="20"/>
      <c r="C609" s="19"/>
      <c r="D609" s="23"/>
      <c r="E609" s="19"/>
      <c r="F609" s="23"/>
      <c r="G609" s="23"/>
      <c r="H609" s="23"/>
      <c r="I609" s="22" t="str">
        <f aca="false">IF($B609="","",$B609*(IsverenPayiOrani+IssizlikOrani))</f>
        <v/>
      </c>
    </row>
    <row r="610" customFormat="false" ht="15" hidden="false" customHeight="false" outlineLevel="0" collapsed="false">
      <c r="A610" s="19"/>
      <c r="B610" s="20"/>
      <c r="C610" s="19"/>
      <c r="D610" s="23"/>
      <c r="E610" s="19"/>
      <c r="F610" s="23"/>
      <c r="G610" s="23"/>
      <c r="H610" s="23"/>
      <c r="I610" s="22" t="str">
        <f aca="false">IF($B610="","",$B610*(IsverenPayiOrani+IssizlikOrani))</f>
        <v/>
      </c>
    </row>
    <row r="611" customFormat="false" ht="15" hidden="false" customHeight="false" outlineLevel="0" collapsed="false">
      <c r="A611" s="19"/>
      <c r="B611" s="20"/>
      <c r="C611" s="19"/>
      <c r="D611" s="23"/>
      <c r="E611" s="19"/>
      <c r="F611" s="23"/>
      <c r="G611" s="23"/>
      <c r="H611" s="23"/>
      <c r="I611" s="22" t="str">
        <f aca="false">IF($B611="","",$B611*(IsverenPayiOrani+IssizlikOrani))</f>
        <v/>
      </c>
    </row>
    <row r="612" customFormat="false" ht="15" hidden="false" customHeight="false" outlineLevel="0" collapsed="false">
      <c r="A612" s="19"/>
      <c r="B612" s="20"/>
      <c r="C612" s="19"/>
      <c r="D612" s="23"/>
      <c r="E612" s="19"/>
      <c r="F612" s="23"/>
      <c r="G612" s="23"/>
      <c r="H612" s="23"/>
      <c r="I612" s="22" t="str">
        <f aca="false">IF($B612="","",$B612*(IsverenPayiOrani+IssizlikOrani))</f>
        <v/>
      </c>
    </row>
    <row r="613" customFormat="false" ht="15" hidden="false" customHeight="false" outlineLevel="0" collapsed="false">
      <c r="A613" s="19"/>
      <c r="B613" s="20"/>
      <c r="C613" s="19"/>
      <c r="D613" s="23"/>
      <c r="E613" s="19"/>
      <c r="F613" s="23"/>
      <c r="G613" s="23"/>
      <c r="H613" s="23"/>
      <c r="I613" s="22" t="str">
        <f aca="false">IF($B613="","",$B613*(IsverenPayiOrani+IssizlikOrani))</f>
        <v/>
      </c>
    </row>
    <row r="614" customFormat="false" ht="15" hidden="false" customHeight="false" outlineLevel="0" collapsed="false">
      <c r="A614" s="19"/>
      <c r="B614" s="20"/>
      <c r="C614" s="19"/>
      <c r="D614" s="23"/>
      <c r="E614" s="19"/>
      <c r="F614" s="23"/>
      <c r="G614" s="23"/>
      <c r="H614" s="23"/>
      <c r="I614" s="22" t="str">
        <f aca="false">IF($B614="","",$B614*(IsverenPayiOrani+IssizlikOrani))</f>
        <v/>
      </c>
    </row>
    <row r="615" customFormat="false" ht="15" hidden="false" customHeight="false" outlineLevel="0" collapsed="false">
      <c r="A615" s="19"/>
      <c r="B615" s="20"/>
      <c r="C615" s="19"/>
      <c r="D615" s="23"/>
      <c r="E615" s="19"/>
      <c r="F615" s="23"/>
      <c r="G615" s="23"/>
      <c r="H615" s="23"/>
      <c r="I615" s="22" t="str">
        <f aca="false">IF($B615="","",$B615*(IsverenPayiOrani+IssizlikOrani))</f>
        <v/>
      </c>
    </row>
    <row r="616" customFormat="false" ht="15" hidden="false" customHeight="false" outlineLevel="0" collapsed="false">
      <c r="A616" s="19"/>
      <c r="B616" s="20"/>
      <c r="C616" s="19"/>
      <c r="D616" s="23"/>
      <c r="E616" s="19"/>
      <c r="F616" s="23"/>
      <c r="G616" s="23"/>
      <c r="H616" s="23"/>
      <c r="I616" s="22" t="str">
        <f aca="false">IF($B616="","",$B616*(IsverenPayiOrani+IssizlikOrani))</f>
        <v/>
      </c>
    </row>
    <row r="617" customFormat="false" ht="15" hidden="false" customHeight="false" outlineLevel="0" collapsed="false">
      <c r="A617" s="19"/>
      <c r="B617" s="20"/>
      <c r="C617" s="19"/>
      <c r="D617" s="23"/>
      <c r="E617" s="19"/>
      <c r="F617" s="23"/>
      <c r="G617" s="23"/>
      <c r="H617" s="23"/>
      <c r="I617" s="22" t="str">
        <f aca="false">IF($B617="","",$B617*(IsverenPayiOrani+IssizlikOrani))</f>
        <v/>
      </c>
    </row>
    <row r="618" customFormat="false" ht="15" hidden="false" customHeight="false" outlineLevel="0" collapsed="false">
      <c r="A618" s="19"/>
      <c r="B618" s="20"/>
      <c r="C618" s="19"/>
      <c r="D618" s="23"/>
      <c r="E618" s="19"/>
      <c r="F618" s="23"/>
      <c r="G618" s="23"/>
      <c r="H618" s="23"/>
      <c r="I618" s="22" t="str">
        <f aca="false">IF($B618="","",$B618*(IsverenPayiOrani+IssizlikOrani))</f>
        <v/>
      </c>
    </row>
    <row r="619" customFormat="false" ht="15" hidden="false" customHeight="false" outlineLevel="0" collapsed="false">
      <c r="A619" s="19"/>
      <c r="B619" s="20"/>
      <c r="C619" s="19"/>
      <c r="D619" s="23"/>
      <c r="E619" s="19"/>
      <c r="F619" s="23"/>
      <c r="G619" s="23"/>
      <c r="H619" s="23"/>
      <c r="I619" s="22" t="str">
        <f aca="false">IF($B619="","",$B619*(IsverenPayiOrani+IssizlikOrani))</f>
        <v/>
      </c>
    </row>
    <row r="620" customFormat="false" ht="15" hidden="false" customHeight="false" outlineLevel="0" collapsed="false">
      <c r="A620" s="19"/>
      <c r="B620" s="20"/>
      <c r="C620" s="19"/>
      <c r="D620" s="23"/>
      <c r="E620" s="19"/>
      <c r="F620" s="23"/>
      <c r="G620" s="23"/>
      <c r="H620" s="23"/>
      <c r="I620" s="22" t="str">
        <f aca="false">IF($B620="","",$B620*(IsverenPayiOrani+IssizlikOrani))</f>
        <v/>
      </c>
    </row>
    <row r="621" customFormat="false" ht="15" hidden="false" customHeight="false" outlineLevel="0" collapsed="false">
      <c r="A621" s="19"/>
      <c r="B621" s="20"/>
      <c r="C621" s="19"/>
      <c r="D621" s="23"/>
      <c r="E621" s="19"/>
      <c r="F621" s="23"/>
      <c r="G621" s="23"/>
      <c r="H621" s="23"/>
      <c r="I621" s="22" t="str">
        <f aca="false">IF($B621="","",$B621*(IsverenPayiOrani+IssizlikOrani))</f>
        <v/>
      </c>
    </row>
    <row r="622" customFormat="false" ht="15" hidden="false" customHeight="false" outlineLevel="0" collapsed="false">
      <c r="A622" s="19"/>
      <c r="B622" s="20"/>
      <c r="C622" s="19"/>
      <c r="D622" s="23"/>
      <c r="E622" s="19"/>
      <c r="F622" s="23"/>
      <c r="G622" s="23"/>
      <c r="H622" s="23"/>
      <c r="I622" s="22" t="str">
        <f aca="false">IF($B622="","",$B622*(IsverenPayiOrani+IssizlikOrani))</f>
        <v/>
      </c>
    </row>
    <row r="623" customFormat="false" ht="15" hidden="false" customHeight="false" outlineLevel="0" collapsed="false">
      <c r="A623" s="19"/>
      <c r="B623" s="20"/>
      <c r="C623" s="19"/>
      <c r="D623" s="23"/>
      <c r="E623" s="19"/>
      <c r="F623" s="23"/>
      <c r="G623" s="23"/>
      <c r="H623" s="23"/>
      <c r="I623" s="22" t="str">
        <f aca="false">IF($B623="","",$B623*(IsverenPayiOrani+IssizlikOrani))</f>
        <v/>
      </c>
    </row>
    <row r="624" customFormat="false" ht="15" hidden="false" customHeight="false" outlineLevel="0" collapsed="false">
      <c r="A624" s="19"/>
      <c r="B624" s="20"/>
      <c r="C624" s="19"/>
      <c r="D624" s="23"/>
      <c r="E624" s="19"/>
      <c r="F624" s="23"/>
      <c r="G624" s="23"/>
      <c r="H624" s="23"/>
      <c r="I624" s="22" t="str">
        <f aca="false">IF($B624="","",$B624*(IsverenPayiOrani+IssizlikOrani))</f>
        <v/>
      </c>
    </row>
    <row r="625" customFormat="false" ht="15" hidden="false" customHeight="false" outlineLevel="0" collapsed="false">
      <c r="A625" s="19"/>
      <c r="B625" s="20"/>
      <c r="C625" s="19"/>
      <c r="D625" s="23"/>
      <c r="E625" s="19"/>
      <c r="F625" s="23"/>
      <c r="G625" s="23"/>
      <c r="H625" s="23"/>
      <c r="I625" s="22" t="str">
        <f aca="false">IF($B625="","",$B625*(IsverenPayiOrani+IssizlikOrani))</f>
        <v/>
      </c>
    </row>
    <row r="626" customFormat="false" ht="15" hidden="false" customHeight="false" outlineLevel="0" collapsed="false">
      <c r="A626" s="19"/>
      <c r="B626" s="20"/>
      <c r="C626" s="19"/>
      <c r="D626" s="23"/>
      <c r="E626" s="19"/>
      <c r="F626" s="23"/>
      <c r="G626" s="23"/>
      <c r="H626" s="23"/>
      <c r="I626" s="22" t="str">
        <f aca="false">IF($B626="","",$B626*(IsverenPayiOrani+IssizlikOrani))</f>
        <v/>
      </c>
    </row>
    <row r="627" customFormat="false" ht="15" hidden="false" customHeight="false" outlineLevel="0" collapsed="false">
      <c r="A627" s="19"/>
      <c r="B627" s="20"/>
      <c r="C627" s="19"/>
      <c r="D627" s="23"/>
      <c r="E627" s="19"/>
      <c r="F627" s="23"/>
      <c r="G627" s="23"/>
      <c r="H627" s="23"/>
      <c r="I627" s="22" t="str">
        <f aca="false">IF($B627="","",$B627*(IsverenPayiOrani+IssizlikOrani))</f>
        <v/>
      </c>
    </row>
    <row r="628" customFormat="false" ht="15" hidden="false" customHeight="false" outlineLevel="0" collapsed="false">
      <c r="A628" s="19"/>
      <c r="B628" s="20"/>
      <c r="C628" s="19"/>
      <c r="D628" s="23"/>
      <c r="E628" s="19"/>
      <c r="F628" s="23"/>
      <c r="G628" s="23"/>
      <c r="H628" s="23"/>
      <c r="I628" s="22" t="str">
        <f aca="false">IF($B628="","",$B628*(IsverenPayiOrani+IssizlikOrani))</f>
        <v/>
      </c>
    </row>
    <row r="629" customFormat="false" ht="15" hidden="false" customHeight="false" outlineLevel="0" collapsed="false">
      <c r="A629" s="19"/>
      <c r="B629" s="20"/>
      <c r="C629" s="19"/>
      <c r="D629" s="23"/>
      <c r="E629" s="19"/>
      <c r="F629" s="23"/>
      <c r="G629" s="23"/>
      <c r="H629" s="23"/>
      <c r="I629" s="22" t="str">
        <f aca="false">IF($B629="","",$B629*(IsverenPayiOrani+IssizlikOrani))</f>
        <v/>
      </c>
    </row>
    <row r="630" customFormat="false" ht="15" hidden="false" customHeight="false" outlineLevel="0" collapsed="false">
      <c r="A630" s="19"/>
      <c r="B630" s="20"/>
      <c r="C630" s="19"/>
      <c r="D630" s="23"/>
      <c r="E630" s="19"/>
      <c r="F630" s="23"/>
      <c r="G630" s="23"/>
      <c r="H630" s="23"/>
      <c r="I630" s="22" t="str">
        <f aca="false">IF($B630="","",$B630*(IsverenPayiOrani+IssizlikOrani))</f>
        <v/>
      </c>
    </row>
    <row r="631" customFormat="false" ht="15" hidden="false" customHeight="false" outlineLevel="0" collapsed="false">
      <c r="A631" s="19"/>
      <c r="B631" s="20"/>
      <c r="C631" s="19"/>
      <c r="D631" s="23"/>
      <c r="E631" s="19"/>
      <c r="F631" s="23"/>
      <c r="G631" s="23"/>
      <c r="H631" s="23"/>
      <c r="I631" s="22" t="str">
        <f aca="false">IF($B631="","",$B631*(IsverenPayiOrani+IssizlikOrani))</f>
        <v/>
      </c>
    </row>
    <row r="632" customFormat="false" ht="15" hidden="false" customHeight="false" outlineLevel="0" collapsed="false">
      <c r="A632" s="19"/>
      <c r="B632" s="20"/>
      <c r="C632" s="19"/>
      <c r="D632" s="23"/>
      <c r="E632" s="19"/>
      <c r="F632" s="23"/>
      <c r="G632" s="23"/>
      <c r="H632" s="23"/>
      <c r="I632" s="22" t="str">
        <f aca="false">IF($B632="","",$B632*(IsverenPayiOrani+IssizlikOrani))</f>
        <v/>
      </c>
    </row>
    <row r="633" customFormat="false" ht="15" hidden="false" customHeight="false" outlineLevel="0" collapsed="false">
      <c r="A633" s="19"/>
      <c r="B633" s="20"/>
      <c r="C633" s="19"/>
      <c r="D633" s="23"/>
      <c r="E633" s="19"/>
      <c r="F633" s="23"/>
      <c r="G633" s="23"/>
      <c r="H633" s="23"/>
      <c r="I633" s="22" t="str">
        <f aca="false">IF($B633="","",$B633*(IsverenPayiOrani+IssizlikOrani))</f>
        <v/>
      </c>
    </row>
    <row r="634" customFormat="false" ht="15" hidden="false" customHeight="false" outlineLevel="0" collapsed="false">
      <c r="A634" s="19"/>
      <c r="B634" s="20"/>
      <c r="C634" s="19"/>
      <c r="D634" s="23"/>
      <c r="E634" s="19"/>
      <c r="F634" s="23"/>
      <c r="G634" s="23"/>
      <c r="H634" s="23"/>
      <c r="I634" s="22" t="str">
        <f aca="false">IF($B634="","",$B634*(IsverenPayiOrani+IssizlikOrani))</f>
        <v/>
      </c>
    </row>
    <row r="635" customFormat="false" ht="15" hidden="false" customHeight="false" outlineLevel="0" collapsed="false">
      <c r="A635" s="19"/>
      <c r="B635" s="20"/>
      <c r="C635" s="19"/>
      <c r="D635" s="23"/>
      <c r="E635" s="19"/>
      <c r="F635" s="23"/>
      <c r="G635" s="23"/>
      <c r="H635" s="23"/>
      <c r="I635" s="22" t="str">
        <f aca="false">IF($B635="","",$B635*(IsverenPayiOrani+IssizlikOrani))</f>
        <v/>
      </c>
    </row>
    <row r="636" customFormat="false" ht="15" hidden="false" customHeight="false" outlineLevel="0" collapsed="false">
      <c r="A636" s="19"/>
      <c r="B636" s="20"/>
      <c r="C636" s="19"/>
      <c r="D636" s="23"/>
      <c r="E636" s="19"/>
      <c r="F636" s="23"/>
      <c r="G636" s="23"/>
      <c r="H636" s="23"/>
      <c r="I636" s="22" t="str">
        <f aca="false">IF($B636="","",$B636*(IsverenPayiOrani+IssizlikOrani))</f>
        <v/>
      </c>
    </row>
    <row r="637" customFormat="false" ht="15" hidden="false" customHeight="false" outlineLevel="0" collapsed="false">
      <c r="A637" s="19"/>
      <c r="B637" s="20"/>
      <c r="C637" s="19"/>
      <c r="D637" s="23"/>
      <c r="E637" s="19"/>
      <c r="F637" s="23"/>
      <c r="G637" s="23"/>
      <c r="H637" s="23"/>
      <c r="I637" s="22" t="str">
        <f aca="false">IF($B637="","",$B637*(IsverenPayiOrani+IssizlikOrani))</f>
        <v/>
      </c>
    </row>
    <row r="638" customFormat="false" ht="15" hidden="false" customHeight="false" outlineLevel="0" collapsed="false">
      <c r="A638" s="19"/>
      <c r="B638" s="20"/>
      <c r="C638" s="19"/>
      <c r="D638" s="23"/>
      <c r="E638" s="19"/>
      <c r="F638" s="23"/>
      <c r="G638" s="23"/>
      <c r="H638" s="23"/>
      <c r="I638" s="22" t="str">
        <f aca="false">IF($B638="","",$B638*(IsverenPayiOrani+IssizlikOrani))</f>
        <v/>
      </c>
    </row>
    <row r="639" customFormat="false" ht="15" hidden="false" customHeight="false" outlineLevel="0" collapsed="false">
      <c r="A639" s="19"/>
      <c r="B639" s="20"/>
      <c r="C639" s="19"/>
      <c r="D639" s="23"/>
      <c r="E639" s="19"/>
      <c r="F639" s="23"/>
      <c r="G639" s="23"/>
      <c r="H639" s="23"/>
      <c r="I639" s="22" t="str">
        <f aca="false">IF($B639="","",$B639*(IsverenPayiOrani+IssizlikOrani))</f>
        <v/>
      </c>
    </row>
    <row r="640" customFormat="false" ht="15" hidden="false" customHeight="false" outlineLevel="0" collapsed="false">
      <c r="A640" s="19"/>
      <c r="B640" s="20"/>
      <c r="C640" s="19"/>
      <c r="D640" s="23"/>
      <c r="E640" s="19"/>
      <c r="F640" s="23"/>
      <c r="G640" s="23"/>
      <c r="H640" s="23"/>
      <c r="I640" s="22" t="str">
        <f aca="false">IF($B640="","",$B640*(IsverenPayiOrani+IssizlikOrani))</f>
        <v/>
      </c>
    </row>
    <row r="641" customFormat="false" ht="15" hidden="false" customHeight="false" outlineLevel="0" collapsed="false">
      <c r="A641" s="19"/>
      <c r="B641" s="20"/>
      <c r="C641" s="19"/>
      <c r="D641" s="23"/>
      <c r="E641" s="19"/>
      <c r="F641" s="23"/>
      <c r="G641" s="23"/>
      <c r="H641" s="23"/>
      <c r="I641" s="22" t="str">
        <f aca="false">IF($B641="","",$B641*(IsverenPayiOrani+IssizlikOrani))</f>
        <v/>
      </c>
    </row>
    <row r="642" customFormat="false" ht="15" hidden="false" customHeight="false" outlineLevel="0" collapsed="false">
      <c r="A642" s="19"/>
      <c r="B642" s="20"/>
      <c r="C642" s="19"/>
      <c r="D642" s="23"/>
      <c r="E642" s="19"/>
      <c r="F642" s="23"/>
      <c r="G642" s="23"/>
      <c r="H642" s="23"/>
      <c r="I642" s="22" t="str">
        <f aca="false">IF($B642="","",$B642*(IsverenPayiOrani+IssizlikOrani))</f>
        <v/>
      </c>
    </row>
    <row r="643" customFormat="false" ht="15" hidden="false" customHeight="false" outlineLevel="0" collapsed="false">
      <c r="A643" s="19"/>
      <c r="B643" s="20"/>
      <c r="C643" s="19"/>
      <c r="D643" s="23"/>
      <c r="E643" s="19"/>
      <c r="F643" s="23"/>
      <c r="G643" s="23"/>
      <c r="H643" s="23"/>
      <c r="I643" s="22" t="str">
        <f aca="false">IF($B643="","",$B643*(IsverenPayiOrani+IssizlikOrani))</f>
        <v/>
      </c>
    </row>
    <row r="644" customFormat="false" ht="15" hidden="false" customHeight="false" outlineLevel="0" collapsed="false">
      <c r="A644" s="19"/>
      <c r="B644" s="20"/>
      <c r="C644" s="19"/>
      <c r="D644" s="23"/>
      <c r="E644" s="19"/>
      <c r="F644" s="23"/>
      <c r="G644" s="23"/>
      <c r="H644" s="23"/>
      <c r="I644" s="22" t="str">
        <f aca="false">IF($B644="","",$B644*(IsverenPayiOrani+IssizlikOrani))</f>
        <v/>
      </c>
    </row>
    <row r="645" customFormat="false" ht="15" hidden="false" customHeight="false" outlineLevel="0" collapsed="false">
      <c r="A645" s="19"/>
      <c r="B645" s="20"/>
      <c r="C645" s="19"/>
      <c r="D645" s="23"/>
      <c r="E645" s="19"/>
      <c r="F645" s="23"/>
      <c r="G645" s="23"/>
      <c r="H645" s="23"/>
      <c r="I645" s="22" t="str">
        <f aca="false">IF($B645="","",$B645*(IsverenPayiOrani+IssizlikOrani))</f>
        <v/>
      </c>
    </row>
    <row r="646" customFormat="false" ht="15" hidden="false" customHeight="false" outlineLevel="0" collapsed="false">
      <c r="A646" s="19"/>
      <c r="B646" s="20"/>
      <c r="C646" s="19"/>
      <c r="D646" s="23"/>
      <c r="E646" s="19"/>
      <c r="F646" s="23"/>
      <c r="G646" s="23"/>
      <c r="H646" s="23"/>
      <c r="I646" s="22" t="str">
        <f aca="false">IF($B646="","",$B646*(IsverenPayiOrani+IssizlikOrani))</f>
        <v/>
      </c>
    </row>
    <row r="647" customFormat="false" ht="15" hidden="false" customHeight="false" outlineLevel="0" collapsed="false">
      <c r="A647" s="19"/>
      <c r="B647" s="20"/>
      <c r="C647" s="19"/>
      <c r="D647" s="23"/>
      <c r="E647" s="19"/>
      <c r="F647" s="23"/>
      <c r="G647" s="23"/>
      <c r="H647" s="23"/>
      <c r="I647" s="22" t="str">
        <f aca="false">IF($B647="","",$B647*(IsverenPayiOrani+IssizlikOrani))</f>
        <v/>
      </c>
    </row>
    <row r="648" customFormat="false" ht="15" hidden="false" customHeight="false" outlineLevel="0" collapsed="false">
      <c r="A648" s="19"/>
      <c r="B648" s="20"/>
      <c r="C648" s="19"/>
      <c r="D648" s="23"/>
      <c r="E648" s="19"/>
      <c r="F648" s="23"/>
      <c r="G648" s="23"/>
      <c r="H648" s="23"/>
      <c r="I648" s="22" t="str">
        <f aca="false">IF($B648="","",$B648*(IsverenPayiOrani+IssizlikOrani))</f>
        <v/>
      </c>
    </row>
    <row r="649" customFormat="false" ht="15" hidden="false" customHeight="false" outlineLevel="0" collapsed="false">
      <c r="A649" s="19"/>
      <c r="B649" s="20"/>
      <c r="C649" s="19"/>
      <c r="D649" s="23"/>
      <c r="E649" s="19"/>
      <c r="F649" s="23"/>
      <c r="G649" s="23"/>
      <c r="H649" s="23"/>
      <c r="I649" s="22" t="str">
        <f aca="false">IF($B649="","",$B649*(IsverenPayiOrani+IssizlikOrani))</f>
        <v/>
      </c>
    </row>
    <row r="650" customFormat="false" ht="15" hidden="false" customHeight="false" outlineLevel="0" collapsed="false">
      <c r="A650" s="19"/>
      <c r="B650" s="20"/>
      <c r="C650" s="19"/>
      <c r="D650" s="23"/>
      <c r="E650" s="19"/>
      <c r="F650" s="23"/>
      <c r="G650" s="23"/>
      <c r="H650" s="23"/>
      <c r="I650" s="22" t="str">
        <f aca="false">IF($B650="","",$B650*(IsverenPayiOrani+IssizlikOrani))</f>
        <v/>
      </c>
    </row>
    <row r="651" customFormat="false" ht="15" hidden="false" customHeight="false" outlineLevel="0" collapsed="false">
      <c r="A651" s="19"/>
      <c r="B651" s="20"/>
      <c r="C651" s="19"/>
      <c r="D651" s="23"/>
      <c r="E651" s="19"/>
      <c r="F651" s="23"/>
      <c r="G651" s="23"/>
      <c r="H651" s="23"/>
      <c r="I651" s="22" t="str">
        <f aca="false">IF($B651="","",$B651*(IsverenPayiOrani+IssizlikOrani))</f>
        <v/>
      </c>
    </row>
    <row r="652" customFormat="false" ht="15" hidden="false" customHeight="false" outlineLevel="0" collapsed="false">
      <c r="A652" s="19"/>
      <c r="B652" s="20"/>
      <c r="C652" s="19"/>
      <c r="D652" s="23"/>
      <c r="E652" s="19"/>
      <c r="F652" s="23"/>
      <c r="G652" s="23"/>
      <c r="H652" s="23"/>
      <c r="I652" s="22" t="str">
        <f aca="false">IF($B652="","",$B652*(IsverenPayiOrani+IssizlikOrani))</f>
        <v/>
      </c>
    </row>
    <row r="653" customFormat="false" ht="15" hidden="false" customHeight="false" outlineLevel="0" collapsed="false">
      <c r="A653" s="19"/>
      <c r="B653" s="20"/>
      <c r="C653" s="19"/>
      <c r="D653" s="23"/>
      <c r="E653" s="19"/>
      <c r="F653" s="23"/>
      <c r="G653" s="23"/>
      <c r="H653" s="23"/>
      <c r="I653" s="22" t="str">
        <f aca="false">IF($B653="","",$B653*(IsverenPayiOrani+IssizlikOrani))</f>
        <v/>
      </c>
    </row>
    <row r="654" customFormat="false" ht="15" hidden="false" customHeight="false" outlineLevel="0" collapsed="false">
      <c r="A654" s="19"/>
      <c r="B654" s="20"/>
      <c r="C654" s="19"/>
      <c r="D654" s="23"/>
      <c r="E654" s="19"/>
      <c r="F654" s="23"/>
      <c r="G654" s="23"/>
      <c r="H654" s="23"/>
      <c r="I654" s="22" t="str">
        <f aca="false">IF($B654="","",$B654*(IsverenPayiOrani+IssizlikOrani))</f>
        <v/>
      </c>
    </row>
    <row r="655" customFormat="false" ht="15" hidden="false" customHeight="false" outlineLevel="0" collapsed="false">
      <c r="A655" s="19"/>
      <c r="B655" s="20"/>
      <c r="C655" s="19"/>
      <c r="D655" s="23"/>
      <c r="E655" s="19"/>
      <c r="F655" s="23"/>
      <c r="G655" s="23"/>
      <c r="H655" s="23"/>
      <c r="I655" s="22" t="str">
        <f aca="false">IF($B655="","",$B655*(IsverenPayiOrani+IssizlikOrani))</f>
        <v/>
      </c>
    </row>
    <row r="656" customFormat="false" ht="15" hidden="false" customHeight="false" outlineLevel="0" collapsed="false">
      <c r="A656" s="19"/>
      <c r="B656" s="20"/>
      <c r="C656" s="19"/>
      <c r="D656" s="23"/>
      <c r="E656" s="19"/>
      <c r="F656" s="23"/>
      <c r="G656" s="23"/>
      <c r="H656" s="23"/>
      <c r="I656" s="22" t="str">
        <f aca="false">IF($B656="","",$B656*(IsverenPayiOrani+IssizlikOrani))</f>
        <v/>
      </c>
    </row>
    <row r="657" customFormat="false" ht="15" hidden="false" customHeight="false" outlineLevel="0" collapsed="false">
      <c r="A657" s="19"/>
      <c r="B657" s="20"/>
      <c r="C657" s="19"/>
      <c r="D657" s="23"/>
      <c r="E657" s="19"/>
      <c r="F657" s="23"/>
      <c r="G657" s="23"/>
      <c r="H657" s="23"/>
      <c r="I657" s="22" t="str">
        <f aca="false">IF($B657="","",$B657*(IsverenPayiOrani+IssizlikOrani))</f>
        <v/>
      </c>
    </row>
    <row r="658" customFormat="false" ht="15" hidden="false" customHeight="false" outlineLevel="0" collapsed="false">
      <c r="A658" s="19"/>
      <c r="B658" s="20"/>
      <c r="C658" s="19"/>
      <c r="D658" s="23"/>
      <c r="E658" s="19"/>
      <c r="F658" s="23"/>
      <c r="G658" s="23"/>
      <c r="H658" s="23"/>
      <c r="I658" s="22" t="str">
        <f aca="false">IF($B658="","",$B658*(IsverenPayiOrani+IssizlikOrani))</f>
        <v/>
      </c>
    </row>
    <row r="659" customFormat="false" ht="15" hidden="false" customHeight="false" outlineLevel="0" collapsed="false">
      <c r="A659" s="19"/>
      <c r="B659" s="20"/>
      <c r="C659" s="19"/>
      <c r="D659" s="23"/>
      <c r="E659" s="19"/>
      <c r="F659" s="23"/>
      <c r="G659" s="23"/>
      <c r="H659" s="23"/>
      <c r="I659" s="22" t="str">
        <f aca="false">IF($B659="","",$B659*(IsverenPayiOrani+IssizlikOrani))</f>
        <v/>
      </c>
    </row>
    <row r="660" customFormat="false" ht="15" hidden="false" customHeight="false" outlineLevel="0" collapsed="false">
      <c r="A660" s="19"/>
      <c r="B660" s="20"/>
      <c r="C660" s="19"/>
      <c r="D660" s="23"/>
      <c r="E660" s="19"/>
      <c r="F660" s="23"/>
      <c r="G660" s="23"/>
      <c r="H660" s="23"/>
      <c r="I660" s="22" t="str">
        <f aca="false">IF($B660="","",$B660*(IsverenPayiOrani+IssizlikOrani))</f>
        <v/>
      </c>
    </row>
    <row r="661" customFormat="false" ht="15" hidden="false" customHeight="false" outlineLevel="0" collapsed="false">
      <c r="A661" s="19"/>
      <c r="B661" s="20"/>
      <c r="C661" s="19"/>
      <c r="D661" s="23"/>
      <c r="E661" s="19"/>
      <c r="F661" s="23"/>
      <c r="G661" s="23"/>
      <c r="H661" s="23"/>
      <c r="I661" s="22" t="str">
        <f aca="false">IF($B661="","",$B661*(IsverenPayiOrani+IssizlikOrani))</f>
        <v/>
      </c>
    </row>
    <row r="662" customFormat="false" ht="15" hidden="false" customHeight="false" outlineLevel="0" collapsed="false">
      <c r="A662" s="19"/>
      <c r="B662" s="20"/>
      <c r="C662" s="19"/>
      <c r="D662" s="23"/>
      <c r="E662" s="19"/>
      <c r="F662" s="23"/>
      <c r="G662" s="23"/>
      <c r="H662" s="23"/>
      <c r="I662" s="22" t="str">
        <f aca="false">IF($B662="","",$B662*(IsverenPayiOrani+IssizlikOrani))</f>
        <v/>
      </c>
    </row>
    <row r="663" customFormat="false" ht="15" hidden="false" customHeight="false" outlineLevel="0" collapsed="false">
      <c r="A663" s="19"/>
      <c r="B663" s="20"/>
      <c r="C663" s="19"/>
      <c r="D663" s="23"/>
      <c r="E663" s="19"/>
      <c r="F663" s="23"/>
      <c r="G663" s="23"/>
      <c r="H663" s="23"/>
      <c r="I663" s="22" t="str">
        <f aca="false">IF($B663="","",$B663*(IsverenPayiOrani+IssizlikOrani))</f>
        <v/>
      </c>
    </row>
    <row r="664" customFormat="false" ht="15" hidden="false" customHeight="false" outlineLevel="0" collapsed="false">
      <c r="A664" s="19"/>
      <c r="B664" s="20"/>
      <c r="C664" s="19"/>
      <c r="D664" s="23"/>
      <c r="E664" s="19"/>
      <c r="F664" s="23"/>
      <c r="G664" s="23"/>
      <c r="H664" s="23"/>
      <c r="I664" s="22" t="str">
        <f aca="false">IF($B664="","",$B664*(IsverenPayiOrani+IssizlikOrani))</f>
        <v/>
      </c>
    </row>
    <row r="665" customFormat="false" ht="15" hidden="false" customHeight="false" outlineLevel="0" collapsed="false">
      <c r="A665" s="19"/>
      <c r="B665" s="20"/>
      <c r="C665" s="19"/>
      <c r="D665" s="23"/>
      <c r="E665" s="19"/>
      <c r="F665" s="23"/>
      <c r="G665" s="23"/>
      <c r="H665" s="23"/>
      <c r="I665" s="22" t="str">
        <f aca="false">IF($B665="","",$B665*(IsverenPayiOrani+IssizlikOrani))</f>
        <v/>
      </c>
    </row>
    <row r="666" customFormat="false" ht="15" hidden="false" customHeight="false" outlineLevel="0" collapsed="false">
      <c r="A666" s="19"/>
      <c r="B666" s="20"/>
      <c r="C666" s="19"/>
      <c r="D666" s="23"/>
      <c r="E666" s="19"/>
      <c r="F666" s="23"/>
      <c r="G666" s="23"/>
      <c r="H666" s="23"/>
      <c r="I666" s="22" t="str">
        <f aca="false">IF($B666="","",$B666*(IsverenPayiOrani+IssizlikOrani))</f>
        <v/>
      </c>
    </row>
    <row r="667" customFormat="false" ht="15" hidden="false" customHeight="false" outlineLevel="0" collapsed="false">
      <c r="A667" s="19"/>
      <c r="B667" s="20"/>
      <c r="C667" s="19"/>
      <c r="D667" s="23"/>
      <c r="E667" s="19"/>
      <c r="F667" s="23"/>
      <c r="G667" s="23"/>
      <c r="H667" s="23"/>
      <c r="I667" s="22" t="str">
        <f aca="false">IF($B667="","",$B667*(IsverenPayiOrani+IssizlikOrani))</f>
        <v/>
      </c>
    </row>
    <row r="668" customFormat="false" ht="15" hidden="false" customHeight="false" outlineLevel="0" collapsed="false">
      <c r="A668" s="19"/>
      <c r="B668" s="20"/>
      <c r="C668" s="19"/>
      <c r="D668" s="23"/>
      <c r="E668" s="19"/>
      <c r="F668" s="23"/>
      <c r="G668" s="23"/>
      <c r="H668" s="23"/>
      <c r="I668" s="22" t="str">
        <f aca="false">IF($B668="","",$B668*(IsverenPayiOrani+IssizlikOrani))</f>
        <v/>
      </c>
    </row>
    <row r="669" customFormat="false" ht="15" hidden="false" customHeight="false" outlineLevel="0" collapsed="false">
      <c r="A669" s="19"/>
      <c r="B669" s="20"/>
      <c r="C669" s="19"/>
      <c r="D669" s="23"/>
      <c r="E669" s="19"/>
      <c r="F669" s="23"/>
      <c r="G669" s="23"/>
      <c r="H669" s="23"/>
      <c r="I669" s="22" t="str">
        <f aca="false">IF($B669="","",$B669*(IsverenPayiOrani+IssizlikOrani))</f>
        <v/>
      </c>
    </row>
    <row r="670" customFormat="false" ht="15" hidden="false" customHeight="false" outlineLevel="0" collapsed="false">
      <c r="A670" s="19"/>
      <c r="B670" s="20"/>
      <c r="C670" s="19"/>
      <c r="D670" s="23"/>
      <c r="E670" s="19"/>
      <c r="F670" s="23"/>
      <c r="G670" s="23"/>
      <c r="H670" s="23"/>
      <c r="I670" s="22" t="str">
        <f aca="false">IF($B670="","",$B670*(IsverenPayiOrani+IssizlikOrani))</f>
        <v/>
      </c>
    </row>
    <row r="671" customFormat="false" ht="15" hidden="false" customHeight="false" outlineLevel="0" collapsed="false">
      <c r="A671" s="19"/>
      <c r="B671" s="20"/>
      <c r="C671" s="19"/>
      <c r="D671" s="23"/>
      <c r="E671" s="19"/>
      <c r="F671" s="23"/>
      <c r="G671" s="23"/>
      <c r="H671" s="23"/>
      <c r="I671" s="22" t="str">
        <f aca="false">IF($B671="","",$B671*(IsverenPayiOrani+IssizlikOrani))</f>
        <v/>
      </c>
    </row>
    <row r="672" customFormat="false" ht="15" hidden="false" customHeight="false" outlineLevel="0" collapsed="false">
      <c r="A672" s="19"/>
      <c r="B672" s="20"/>
      <c r="C672" s="19"/>
      <c r="D672" s="23"/>
      <c r="E672" s="19"/>
      <c r="F672" s="23"/>
      <c r="G672" s="23"/>
      <c r="H672" s="23"/>
      <c r="I672" s="22" t="str">
        <f aca="false">IF($B672="","",$B672*(IsverenPayiOrani+IssizlikOrani))</f>
        <v/>
      </c>
    </row>
    <row r="673" customFormat="false" ht="15" hidden="false" customHeight="false" outlineLevel="0" collapsed="false">
      <c r="A673" s="19"/>
      <c r="B673" s="20"/>
      <c r="C673" s="19"/>
      <c r="D673" s="23"/>
      <c r="E673" s="19"/>
      <c r="F673" s="23"/>
      <c r="G673" s="23"/>
      <c r="H673" s="23"/>
      <c r="I673" s="22" t="str">
        <f aca="false">IF($B673="","",$B673*(IsverenPayiOrani+IssizlikOrani))</f>
        <v/>
      </c>
    </row>
    <row r="674" customFormat="false" ht="15" hidden="false" customHeight="false" outlineLevel="0" collapsed="false">
      <c r="A674" s="19"/>
      <c r="B674" s="20"/>
      <c r="C674" s="19"/>
      <c r="D674" s="23"/>
      <c r="E674" s="19"/>
      <c r="F674" s="23"/>
      <c r="G674" s="23"/>
      <c r="H674" s="23"/>
      <c r="I674" s="22" t="str">
        <f aca="false">IF($B674="","",$B674*(IsverenPayiOrani+IssizlikOrani))</f>
        <v/>
      </c>
    </row>
    <row r="675" customFormat="false" ht="15" hidden="false" customHeight="false" outlineLevel="0" collapsed="false">
      <c r="A675" s="19"/>
      <c r="B675" s="20"/>
      <c r="C675" s="19"/>
      <c r="D675" s="23"/>
      <c r="E675" s="19"/>
      <c r="F675" s="23"/>
      <c r="G675" s="23"/>
      <c r="H675" s="23"/>
      <c r="I675" s="22" t="str">
        <f aca="false">IF($B675="","",$B675*(IsverenPayiOrani+IssizlikOrani))</f>
        <v/>
      </c>
    </row>
    <row r="676" customFormat="false" ht="15" hidden="false" customHeight="false" outlineLevel="0" collapsed="false">
      <c r="A676" s="19"/>
      <c r="B676" s="20"/>
      <c r="C676" s="19"/>
      <c r="D676" s="23"/>
      <c r="E676" s="19"/>
      <c r="F676" s="23"/>
      <c r="G676" s="23"/>
      <c r="H676" s="23"/>
      <c r="I676" s="22" t="str">
        <f aca="false">IF($B676="","",$B676*(IsverenPayiOrani+IssizlikOrani))</f>
        <v/>
      </c>
    </row>
    <row r="677" customFormat="false" ht="15" hidden="false" customHeight="false" outlineLevel="0" collapsed="false">
      <c r="A677" s="19"/>
      <c r="B677" s="20"/>
      <c r="C677" s="19"/>
      <c r="D677" s="23"/>
      <c r="E677" s="19"/>
      <c r="F677" s="23"/>
      <c r="G677" s="23"/>
      <c r="H677" s="23"/>
      <c r="I677" s="22" t="str">
        <f aca="false">IF($B677="","",$B677*(IsverenPayiOrani+IssizlikOrani))</f>
        <v/>
      </c>
    </row>
    <row r="678" customFormat="false" ht="15" hidden="false" customHeight="false" outlineLevel="0" collapsed="false">
      <c r="A678" s="19"/>
      <c r="B678" s="20"/>
      <c r="C678" s="19"/>
      <c r="D678" s="23"/>
      <c r="E678" s="19"/>
      <c r="F678" s="23"/>
      <c r="G678" s="23"/>
      <c r="H678" s="23"/>
      <c r="I678" s="22" t="str">
        <f aca="false">IF($B678="","",$B678*(IsverenPayiOrani+IssizlikOrani))</f>
        <v/>
      </c>
    </row>
    <row r="679" customFormat="false" ht="15" hidden="false" customHeight="false" outlineLevel="0" collapsed="false">
      <c r="A679" s="19"/>
      <c r="B679" s="20"/>
      <c r="C679" s="19"/>
      <c r="D679" s="23"/>
      <c r="E679" s="19"/>
      <c r="F679" s="23"/>
      <c r="G679" s="23"/>
      <c r="H679" s="23"/>
      <c r="I679" s="22" t="str">
        <f aca="false">IF($B679="","",$B679*(IsverenPayiOrani+IssizlikOrani))</f>
        <v/>
      </c>
    </row>
    <row r="680" customFormat="false" ht="15" hidden="false" customHeight="false" outlineLevel="0" collapsed="false">
      <c r="A680" s="19"/>
      <c r="B680" s="20"/>
      <c r="C680" s="19"/>
      <c r="D680" s="23"/>
      <c r="E680" s="19"/>
      <c r="F680" s="23"/>
      <c r="G680" s="23"/>
      <c r="H680" s="23"/>
      <c r="I680" s="22" t="str">
        <f aca="false">IF($B680="","",$B680*(IsverenPayiOrani+IssizlikOrani))</f>
        <v/>
      </c>
    </row>
    <row r="681" customFormat="false" ht="15" hidden="false" customHeight="false" outlineLevel="0" collapsed="false">
      <c r="A681" s="19"/>
      <c r="B681" s="20"/>
      <c r="C681" s="19"/>
      <c r="D681" s="23"/>
      <c r="E681" s="19"/>
      <c r="F681" s="23"/>
      <c r="G681" s="23"/>
      <c r="H681" s="23"/>
      <c r="I681" s="22" t="str">
        <f aca="false">IF($B681="","",$B681*(IsverenPayiOrani+IssizlikOrani))</f>
        <v/>
      </c>
    </row>
    <row r="682" customFormat="false" ht="15" hidden="false" customHeight="false" outlineLevel="0" collapsed="false">
      <c r="A682" s="19"/>
      <c r="B682" s="20"/>
      <c r="C682" s="19"/>
      <c r="D682" s="23"/>
      <c r="E682" s="19"/>
      <c r="F682" s="23"/>
      <c r="G682" s="23"/>
      <c r="H682" s="23"/>
      <c r="I682" s="22" t="str">
        <f aca="false">IF($B682="","",$B682*(IsverenPayiOrani+IssizlikOrani))</f>
        <v/>
      </c>
    </row>
    <row r="683" customFormat="false" ht="15" hidden="false" customHeight="false" outlineLevel="0" collapsed="false">
      <c r="A683" s="19"/>
      <c r="B683" s="20"/>
      <c r="C683" s="19"/>
      <c r="D683" s="23"/>
      <c r="E683" s="19"/>
      <c r="F683" s="23"/>
      <c r="G683" s="23"/>
      <c r="H683" s="23"/>
      <c r="I683" s="22" t="str">
        <f aca="false">IF($B683="","",$B683*(IsverenPayiOrani+IssizlikOrani))</f>
        <v/>
      </c>
    </row>
    <row r="684" customFormat="false" ht="15" hidden="false" customHeight="false" outlineLevel="0" collapsed="false">
      <c r="A684" s="19"/>
      <c r="B684" s="20"/>
      <c r="C684" s="19"/>
      <c r="D684" s="23"/>
      <c r="E684" s="19"/>
      <c r="F684" s="23"/>
      <c r="G684" s="23"/>
      <c r="H684" s="23"/>
      <c r="I684" s="22" t="str">
        <f aca="false">IF($B684="","",$B684*(IsverenPayiOrani+IssizlikOrani))</f>
        <v/>
      </c>
    </row>
    <row r="685" customFormat="false" ht="15" hidden="false" customHeight="false" outlineLevel="0" collapsed="false">
      <c r="A685" s="19"/>
      <c r="B685" s="20"/>
      <c r="C685" s="19"/>
      <c r="D685" s="23"/>
      <c r="E685" s="19"/>
      <c r="F685" s="23"/>
      <c r="G685" s="23"/>
      <c r="H685" s="23"/>
      <c r="I685" s="22" t="str">
        <f aca="false">IF($B685="","",$B685*(IsverenPayiOrani+IssizlikOrani))</f>
        <v/>
      </c>
    </row>
    <row r="686" customFormat="false" ht="15" hidden="false" customHeight="false" outlineLevel="0" collapsed="false">
      <c r="A686" s="19"/>
      <c r="B686" s="20"/>
      <c r="C686" s="19"/>
      <c r="D686" s="23"/>
      <c r="E686" s="19"/>
      <c r="F686" s="23"/>
      <c r="G686" s="23"/>
      <c r="H686" s="23"/>
      <c r="I686" s="22" t="str">
        <f aca="false">IF($B686="","",$B686*(IsverenPayiOrani+IssizlikOrani))</f>
        <v/>
      </c>
    </row>
    <row r="687" customFormat="false" ht="15" hidden="false" customHeight="false" outlineLevel="0" collapsed="false">
      <c r="A687" s="19"/>
      <c r="B687" s="20"/>
      <c r="C687" s="19"/>
      <c r="D687" s="23"/>
      <c r="E687" s="19"/>
      <c r="F687" s="23"/>
      <c r="G687" s="23"/>
      <c r="H687" s="23"/>
      <c r="I687" s="22" t="str">
        <f aca="false">IF($B687="","",$B687*(IsverenPayiOrani+IssizlikOrani))</f>
        <v/>
      </c>
    </row>
    <row r="688" customFormat="false" ht="15" hidden="false" customHeight="false" outlineLevel="0" collapsed="false">
      <c r="A688" s="19"/>
      <c r="B688" s="20"/>
      <c r="C688" s="19"/>
      <c r="D688" s="23"/>
      <c r="E688" s="19"/>
      <c r="F688" s="23"/>
      <c r="G688" s="23"/>
      <c r="H688" s="23"/>
      <c r="I688" s="22" t="str">
        <f aca="false">IF($B688="","",$B688*(IsverenPayiOrani+IssizlikOrani))</f>
        <v/>
      </c>
    </row>
    <row r="689" customFormat="false" ht="15" hidden="false" customHeight="false" outlineLevel="0" collapsed="false">
      <c r="A689" s="19"/>
      <c r="B689" s="20"/>
      <c r="C689" s="19"/>
      <c r="D689" s="23"/>
      <c r="E689" s="19"/>
      <c r="F689" s="23"/>
      <c r="G689" s="23"/>
      <c r="H689" s="23"/>
      <c r="I689" s="22" t="str">
        <f aca="false">IF($B689="","",$B689*(IsverenPayiOrani+IssizlikOrani))</f>
        <v/>
      </c>
    </row>
    <row r="690" customFormat="false" ht="15" hidden="false" customHeight="false" outlineLevel="0" collapsed="false">
      <c r="A690" s="19"/>
      <c r="B690" s="20"/>
      <c r="C690" s="19"/>
      <c r="D690" s="23"/>
      <c r="E690" s="19"/>
      <c r="F690" s="23"/>
      <c r="G690" s="23"/>
      <c r="H690" s="23"/>
      <c r="I690" s="22" t="str">
        <f aca="false">IF($B690="","",$B690*(IsverenPayiOrani+IssizlikOrani))</f>
        <v/>
      </c>
    </row>
    <row r="691" customFormat="false" ht="15" hidden="false" customHeight="false" outlineLevel="0" collapsed="false">
      <c r="A691" s="19"/>
      <c r="B691" s="20"/>
      <c r="C691" s="19"/>
      <c r="D691" s="23"/>
      <c r="E691" s="19"/>
      <c r="F691" s="23"/>
      <c r="G691" s="23"/>
      <c r="H691" s="23"/>
      <c r="I691" s="22" t="str">
        <f aca="false">IF($B691="","",$B691*(IsverenPayiOrani+IssizlikOrani))</f>
        <v/>
      </c>
    </row>
    <row r="692" customFormat="false" ht="15" hidden="false" customHeight="false" outlineLevel="0" collapsed="false">
      <c r="A692" s="19"/>
      <c r="B692" s="20"/>
      <c r="C692" s="19"/>
      <c r="D692" s="23"/>
      <c r="E692" s="19"/>
      <c r="F692" s="23"/>
      <c r="G692" s="23"/>
      <c r="H692" s="23"/>
      <c r="I692" s="22" t="str">
        <f aca="false">IF($B692="","",$B692*(IsverenPayiOrani+IssizlikOrani))</f>
        <v/>
      </c>
    </row>
    <row r="693" customFormat="false" ht="15" hidden="false" customHeight="false" outlineLevel="0" collapsed="false">
      <c r="A693" s="19"/>
      <c r="B693" s="20"/>
      <c r="C693" s="19"/>
      <c r="D693" s="23"/>
      <c r="E693" s="19"/>
      <c r="F693" s="23"/>
      <c r="G693" s="23"/>
      <c r="H693" s="23"/>
      <c r="I693" s="22" t="str">
        <f aca="false">IF($B693="","",$B693*(IsverenPayiOrani+IssizlikOrani))</f>
        <v/>
      </c>
    </row>
    <row r="694" customFormat="false" ht="15" hidden="false" customHeight="false" outlineLevel="0" collapsed="false">
      <c r="A694" s="19"/>
      <c r="B694" s="20"/>
      <c r="C694" s="19"/>
      <c r="D694" s="23"/>
      <c r="E694" s="19"/>
      <c r="F694" s="23"/>
      <c r="G694" s="23"/>
      <c r="H694" s="23"/>
      <c r="I694" s="22" t="str">
        <f aca="false">IF($B694="","",$B694*(IsverenPayiOrani+IssizlikOrani))</f>
        <v/>
      </c>
    </row>
    <row r="695" customFormat="false" ht="15" hidden="false" customHeight="false" outlineLevel="0" collapsed="false">
      <c r="A695" s="19"/>
      <c r="B695" s="20"/>
      <c r="C695" s="19"/>
      <c r="D695" s="23"/>
      <c r="E695" s="19"/>
      <c r="F695" s="23"/>
      <c r="G695" s="23"/>
      <c r="H695" s="23"/>
      <c r="I695" s="22" t="str">
        <f aca="false">IF($B695="","",$B695*(IsverenPayiOrani+IssizlikOrani))</f>
        <v/>
      </c>
    </row>
    <row r="696" customFormat="false" ht="15" hidden="false" customHeight="false" outlineLevel="0" collapsed="false">
      <c r="A696" s="19"/>
      <c r="B696" s="20"/>
      <c r="C696" s="19"/>
      <c r="D696" s="23"/>
      <c r="E696" s="19"/>
      <c r="F696" s="23"/>
      <c r="G696" s="23"/>
      <c r="H696" s="23"/>
      <c r="I696" s="22" t="str">
        <f aca="false">IF($B696="","",$B696*(IsverenPayiOrani+IssizlikOrani))</f>
        <v/>
      </c>
    </row>
    <row r="697" customFormat="false" ht="15" hidden="false" customHeight="false" outlineLevel="0" collapsed="false">
      <c r="A697" s="19"/>
      <c r="B697" s="20"/>
      <c r="C697" s="19"/>
      <c r="D697" s="23"/>
      <c r="E697" s="19"/>
      <c r="F697" s="23"/>
      <c r="G697" s="23"/>
      <c r="H697" s="23"/>
      <c r="I697" s="22" t="str">
        <f aca="false">IF($B697="","",$B697*(IsverenPayiOrani+IssizlikOrani))</f>
        <v/>
      </c>
    </row>
    <row r="698" customFormat="false" ht="15" hidden="false" customHeight="false" outlineLevel="0" collapsed="false">
      <c r="A698" s="19"/>
      <c r="B698" s="20"/>
      <c r="C698" s="19"/>
      <c r="D698" s="23"/>
      <c r="E698" s="19"/>
      <c r="F698" s="23"/>
      <c r="G698" s="23"/>
      <c r="H698" s="23"/>
      <c r="I698" s="22" t="str">
        <f aca="false">IF($B698="","",$B698*(IsverenPayiOrani+IssizlikOrani))</f>
        <v/>
      </c>
    </row>
    <row r="699" customFormat="false" ht="15" hidden="false" customHeight="false" outlineLevel="0" collapsed="false">
      <c r="A699" s="19"/>
      <c r="B699" s="20"/>
      <c r="C699" s="19"/>
      <c r="D699" s="23"/>
      <c r="E699" s="19"/>
      <c r="F699" s="23"/>
      <c r="G699" s="23"/>
      <c r="H699" s="23"/>
      <c r="I699" s="22" t="str">
        <f aca="false">IF($B699="","",$B699*(IsverenPayiOrani+IssizlikOrani))</f>
        <v/>
      </c>
    </row>
    <row r="700" customFormat="false" ht="15" hidden="false" customHeight="false" outlineLevel="0" collapsed="false">
      <c r="A700" s="19"/>
      <c r="B700" s="20"/>
      <c r="C700" s="19"/>
      <c r="D700" s="23"/>
      <c r="E700" s="19"/>
      <c r="F700" s="23"/>
      <c r="G700" s="23"/>
      <c r="H700" s="23"/>
      <c r="I700" s="22" t="str">
        <f aca="false">IF($B700="","",$B700*(IsverenPayiOrani+IssizlikOrani))</f>
        <v/>
      </c>
    </row>
    <row r="701" customFormat="false" ht="15" hidden="false" customHeight="false" outlineLevel="0" collapsed="false">
      <c r="A701" s="19"/>
      <c r="B701" s="20"/>
      <c r="C701" s="19"/>
      <c r="D701" s="23"/>
      <c r="E701" s="19"/>
      <c r="F701" s="23"/>
      <c r="G701" s="23"/>
      <c r="H701" s="23"/>
      <c r="I701" s="22" t="str">
        <f aca="false">IF($B701="","",$B701*(IsverenPayiOrani+IssizlikOrani))</f>
        <v/>
      </c>
    </row>
    <row r="702" customFormat="false" ht="15" hidden="false" customHeight="false" outlineLevel="0" collapsed="false">
      <c r="A702" s="19"/>
      <c r="B702" s="20"/>
      <c r="C702" s="19"/>
      <c r="D702" s="23"/>
      <c r="E702" s="19"/>
      <c r="F702" s="23"/>
      <c r="G702" s="23"/>
      <c r="H702" s="23"/>
      <c r="I702" s="22" t="str">
        <f aca="false">IF($B702="","",$B702*(IsverenPayiOrani+IssizlikOrani))</f>
        <v/>
      </c>
    </row>
    <row r="703" customFormat="false" ht="15" hidden="false" customHeight="false" outlineLevel="0" collapsed="false">
      <c r="A703" s="19"/>
      <c r="B703" s="20"/>
      <c r="C703" s="19"/>
      <c r="D703" s="23"/>
      <c r="E703" s="19"/>
      <c r="F703" s="23"/>
      <c r="G703" s="23"/>
      <c r="H703" s="23"/>
      <c r="I703" s="22" t="str">
        <f aca="false">IF($B703="","",$B703*(IsverenPayiOrani+IssizlikOrani))</f>
        <v/>
      </c>
    </row>
    <row r="704" customFormat="false" ht="15" hidden="false" customHeight="false" outlineLevel="0" collapsed="false">
      <c r="A704" s="19"/>
      <c r="B704" s="20"/>
      <c r="C704" s="19"/>
      <c r="D704" s="23"/>
      <c r="E704" s="19"/>
      <c r="F704" s="23"/>
      <c r="G704" s="23"/>
      <c r="H704" s="23"/>
      <c r="I704" s="22" t="str">
        <f aca="false">IF($B704="","",$B704*(IsverenPayiOrani+IssizlikOrani))</f>
        <v/>
      </c>
    </row>
    <row r="705" customFormat="false" ht="15" hidden="false" customHeight="false" outlineLevel="0" collapsed="false">
      <c r="A705" s="19"/>
      <c r="B705" s="20"/>
      <c r="C705" s="19"/>
      <c r="D705" s="23"/>
      <c r="E705" s="19"/>
      <c r="F705" s="23"/>
      <c r="G705" s="23"/>
      <c r="H705" s="23"/>
      <c r="I705" s="22" t="str">
        <f aca="false">IF($B705="","",$B705*(IsverenPayiOrani+IssizlikOrani))</f>
        <v/>
      </c>
    </row>
    <row r="706" customFormat="false" ht="15" hidden="false" customHeight="false" outlineLevel="0" collapsed="false">
      <c r="A706" s="19"/>
      <c r="B706" s="20"/>
      <c r="C706" s="19"/>
      <c r="D706" s="23"/>
      <c r="E706" s="19"/>
      <c r="F706" s="23"/>
      <c r="G706" s="23"/>
      <c r="H706" s="23"/>
      <c r="I706" s="22" t="str">
        <f aca="false">IF($B706="","",$B706*(IsverenPayiOrani+IssizlikOrani))</f>
        <v/>
      </c>
    </row>
    <row r="707" customFormat="false" ht="15" hidden="false" customHeight="false" outlineLevel="0" collapsed="false">
      <c r="A707" s="19"/>
      <c r="B707" s="20"/>
      <c r="C707" s="19"/>
      <c r="D707" s="23"/>
      <c r="E707" s="19"/>
      <c r="F707" s="23"/>
      <c r="G707" s="23"/>
      <c r="H707" s="23"/>
      <c r="I707" s="22" t="str">
        <f aca="false">IF($B707="","",$B707*(IsverenPayiOrani+IssizlikOrani))</f>
        <v/>
      </c>
    </row>
    <row r="708" customFormat="false" ht="15" hidden="false" customHeight="false" outlineLevel="0" collapsed="false">
      <c r="A708" s="19"/>
      <c r="B708" s="20"/>
      <c r="C708" s="19"/>
      <c r="D708" s="23"/>
      <c r="E708" s="19"/>
      <c r="F708" s="23"/>
      <c r="G708" s="23"/>
      <c r="H708" s="23"/>
      <c r="I708" s="22" t="str">
        <f aca="false">IF($B708="","",$B708*(IsverenPayiOrani+IssizlikOrani))</f>
        <v/>
      </c>
    </row>
    <row r="709" customFormat="false" ht="15" hidden="false" customHeight="false" outlineLevel="0" collapsed="false">
      <c r="A709" s="19"/>
      <c r="B709" s="20"/>
      <c r="C709" s="19"/>
      <c r="D709" s="23"/>
      <c r="E709" s="19"/>
      <c r="F709" s="23"/>
      <c r="G709" s="23"/>
      <c r="H709" s="23"/>
      <c r="I709" s="22" t="str">
        <f aca="false">IF($B709="","",$B709*(IsverenPayiOrani+IssizlikOrani))</f>
        <v/>
      </c>
    </row>
    <row r="710" customFormat="false" ht="15" hidden="false" customHeight="false" outlineLevel="0" collapsed="false">
      <c r="A710" s="19"/>
      <c r="B710" s="20"/>
      <c r="C710" s="19"/>
      <c r="D710" s="23"/>
      <c r="E710" s="19"/>
      <c r="F710" s="23"/>
      <c r="G710" s="23"/>
      <c r="H710" s="23"/>
      <c r="I710" s="22" t="str">
        <f aca="false">IF($B710="","",$B710*(IsverenPayiOrani+IssizlikOrani))</f>
        <v/>
      </c>
    </row>
    <row r="711" customFormat="false" ht="15" hidden="false" customHeight="false" outlineLevel="0" collapsed="false">
      <c r="A711" s="19"/>
      <c r="B711" s="20"/>
      <c r="C711" s="19"/>
      <c r="D711" s="23"/>
      <c r="E711" s="19"/>
      <c r="F711" s="23"/>
      <c r="G711" s="23"/>
      <c r="H711" s="23"/>
      <c r="I711" s="22" t="str">
        <f aca="false">IF($B711="","",$B711*(IsverenPayiOrani+IssizlikOrani))</f>
        <v/>
      </c>
    </row>
    <row r="712" customFormat="false" ht="15" hidden="false" customHeight="false" outlineLevel="0" collapsed="false">
      <c r="A712" s="19"/>
      <c r="B712" s="20"/>
      <c r="C712" s="19"/>
      <c r="D712" s="23"/>
      <c r="E712" s="19"/>
      <c r="F712" s="23"/>
      <c r="G712" s="23"/>
      <c r="H712" s="23"/>
      <c r="I712" s="22" t="str">
        <f aca="false">IF($B712="","",$B712*(IsverenPayiOrani+IssizlikOrani))</f>
        <v/>
      </c>
    </row>
    <row r="713" customFormat="false" ht="15" hidden="false" customHeight="false" outlineLevel="0" collapsed="false">
      <c r="A713" s="19"/>
      <c r="B713" s="20"/>
      <c r="C713" s="19"/>
      <c r="D713" s="23"/>
      <c r="E713" s="19"/>
      <c r="F713" s="23"/>
      <c r="G713" s="23"/>
      <c r="H713" s="23"/>
      <c r="I713" s="22" t="str">
        <f aca="false">IF($B713="","",$B713*(IsverenPayiOrani+IssizlikOrani))</f>
        <v/>
      </c>
    </row>
    <row r="714" customFormat="false" ht="15" hidden="false" customHeight="false" outlineLevel="0" collapsed="false">
      <c r="A714" s="19"/>
      <c r="B714" s="20"/>
      <c r="C714" s="19"/>
      <c r="D714" s="23"/>
      <c r="E714" s="19"/>
      <c r="F714" s="23"/>
      <c r="G714" s="23"/>
      <c r="H714" s="23"/>
      <c r="I714" s="22" t="str">
        <f aca="false">IF($B714="","",$B714*(IsverenPayiOrani+IssizlikOrani))</f>
        <v/>
      </c>
    </row>
    <row r="715" customFormat="false" ht="15" hidden="false" customHeight="false" outlineLevel="0" collapsed="false">
      <c r="A715" s="19"/>
      <c r="B715" s="20"/>
      <c r="C715" s="19"/>
      <c r="D715" s="23"/>
      <c r="E715" s="19"/>
      <c r="F715" s="23"/>
      <c r="G715" s="23"/>
      <c r="H715" s="23"/>
      <c r="I715" s="22" t="str">
        <f aca="false">IF($B715="","",$B715*(IsverenPayiOrani+IssizlikOrani))</f>
        <v/>
      </c>
    </row>
    <row r="716" customFormat="false" ht="15" hidden="false" customHeight="false" outlineLevel="0" collapsed="false">
      <c r="A716" s="19"/>
      <c r="B716" s="20"/>
      <c r="C716" s="19"/>
      <c r="D716" s="23"/>
      <c r="E716" s="19"/>
      <c r="F716" s="23"/>
      <c r="G716" s="23"/>
      <c r="H716" s="23"/>
      <c r="I716" s="22" t="str">
        <f aca="false">IF($B716="","",$B716*(IsverenPayiOrani+IssizlikOrani))</f>
        <v/>
      </c>
    </row>
    <row r="717" customFormat="false" ht="15" hidden="false" customHeight="false" outlineLevel="0" collapsed="false">
      <c r="A717" s="19"/>
      <c r="B717" s="20"/>
      <c r="C717" s="19"/>
      <c r="D717" s="23"/>
      <c r="E717" s="19"/>
      <c r="F717" s="23"/>
      <c r="G717" s="23"/>
      <c r="H717" s="23"/>
      <c r="I717" s="22" t="str">
        <f aca="false">IF($B717="","",$B717*(IsverenPayiOrani+IssizlikOrani))</f>
        <v/>
      </c>
    </row>
    <row r="718" customFormat="false" ht="15" hidden="false" customHeight="false" outlineLevel="0" collapsed="false">
      <c r="A718" s="19"/>
      <c r="B718" s="20"/>
      <c r="C718" s="19"/>
      <c r="D718" s="23"/>
      <c r="E718" s="19"/>
      <c r="F718" s="23"/>
      <c r="G718" s="23"/>
      <c r="H718" s="23"/>
      <c r="I718" s="22" t="str">
        <f aca="false">IF($B718="","",$B718*(IsverenPayiOrani+IssizlikOrani))</f>
        <v/>
      </c>
    </row>
    <row r="719" customFormat="false" ht="15" hidden="false" customHeight="false" outlineLevel="0" collapsed="false">
      <c r="A719" s="19"/>
      <c r="B719" s="20"/>
      <c r="C719" s="19"/>
      <c r="D719" s="23"/>
      <c r="E719" s="19"/>
      <c r="F719" s="23"/>
      <c r="G719" s="23"/>
      <c r="H719" s="23"/>
      <c r="I719" s="22" t="str">
        <f aca="false">IF($B719="","",$B719*(IsverenPayiOrani+IssizlikOrani))</f>
        <v/>
      </c>
    </row>
    <row r="720" customFormat="false" ht="15" hidden="false" customHeight="false" outlineLevel="0" collapsed="false">
      <c r="A720" s="19"/>
      <c r="B720" s="20"/>
      <c r="C720" s="19"/>
      <c r="D720" s="23"/>
      <c r="E720" s="19"/>
      <c r="F720" s="23"/>
      <c r="G720" s="23"/>
      <c r="H720" s="23"/>
      <c r="I720" s="22" t="str">
        <f aca="false">IF($B720="","",$B720*(IsverenPayiOrani+IssizlikOrani))</f>
        <v/>
      </c>
    </row>
    <row r="721" customFormat="false" ht="15" hidden="false" customHeight="false" outlineLevel="0" collapsed="false">
      <c r="A721" s="19"/>
      <c r="B721" s="20"/>
      <c r="C721" s="19"/>
      <c r="D721" s="23"/>
      <c r="E721" s="19"/>
      <c r="F721" s="23"/>
      <c r="G721" s="23"/>
      <c r="H721" s="23"/>
      <c r="I721" s="22" t="str">
        <f aca="false">IF($B721="","",$B721*(IsverenPayiOrani+IssizlikOrani))</f>
        <v/>
      </c>
    </row>
    <row r="722" customFormat="false" ht="15" hidden="false" customHeight="false" outlineLevel="0" collapsed="false">
      <c r="A722" s="19"/>
      <c r="B722" s="20"/>
      <c r="C722" s="19"/>
      <c r="D722" s="23"/>
      <c r="E722" s="19"/>
      <c r="F722" s="23"/>
      <c r="G722" s="23"/>
      <c r="H722" s="23"/>
      <c r="I722" s="22" t="str">
        <f aca="false">IF($B722="","",$B722*(IsverenPayiOrani+IssizlikOrani))</f>
        <v/>
      </c>
    </row>
    <row r="723" customFormat="false" ht="15" hidden="false" customHeight="false" outlineLevel="0" collapsed="false">
      <c r="A723" s="19"/>
      <c r="B723" s="20"/>
      <c r="C723" s="19"/>
      <c r="D723" s="23"/>
      <c r="E723" s="19"/>
      <c r="F723" s="23"/>
      <c r="G723" s="23"/>
      <c r="H723" s="23"/>
      <c r="I723" s="22" t="str">
        <f aca="false">IF($B723="","",$B723*(IsverenPayiOrani+IssizlikOrani))</f>
        <v/>
      </c>
    </row>
    <row r="724" customFormat="false" ht="15" hidden="false" customHeight="false" outlineLevel="0" collapsed="false">
      <c r="A724" s="19"/>
      <c r="B724" s="20"/>
      <c r="C724" s="19"/>
      <c r="D724" s="23"/>
      <c r="E724" s="19"/>
      <c r="F724" s="23"/>
      <c r="G724" s="23"/>
      <c r="H724" s="23"/>
      <c r="I724" s="22" t="str">
        <f aca="false">IF($B724="","",$B724*(IsverenPayiOrani+IssizlikOrani))</f>
        <v/>
      </c>
    </row>
    <row r="725" customFormat="false" ht="15" hidden="false" customHeight="false" outlineLevel="0" collapsed="false">
      <c r="A725" s="19"/>
      <c r="B725" s="20"/>
      <c r="C725" s="19"/>
      <c r="D725" s="23"/>
      <c r="E725" s="19"/>
      <c r="F725" s="23"/>
      <c r="G725" s="23"/>
      <c r="H725" s="23"/>
      <c r="I725" s="22" t="str">
        <f aca="false">IF($B725="","",$B725*(IsverenPayiOrani+IssizlikOrani))</f>
        <v/>
      </c>
    </row>
    <row r="726" customFormat="false" ht="15" hidden="false" customHeight="false" outlineLevel="0" collapsed="false">
      <c r="A726" s="19"/>
      <c r="B726" s="20"/>
      <c r="C726" s="19"/>
      <c r="D726" s="23"/>
      <c r="E726" s="19"/>
      <c r="F726" s="23"/>
      <c r="G726" s="23"/>
      <c r="H726" s="23"/>
      <c r="I726" s="22" t="str">
        <f aca="false">IF($B726="","",$B726*(IsverenPayiOrani+IssizlikOrani))</f>
        <v/>
      </c>
    </row>
    <row r="727" customFormat="false" ht="15" hidden="false" customHeight="false" outlineLevel="0" collapsed="false">
      <c r="A727" s="19"/>
      <c r="B727" s="20"/>
      <c r="C727" s="19"/>
      <c r="D727" s="23"/>
      <c r="E727" s="19"/>
      <c r="F727" s="23"/>
      <c r="G727" s="23"/>
      <c r="H727" s="23"/>
      <c r="I727" s="22" t="str">
        <f aca="false">IF($B727="","",$B727*(IsverenPayiOrani+IssizlikOrani))</f>
        <v/>
      </c>
    </row>
    <row r="728" customFormat="false" ht="15" hidden="false" customHeight="false" outlineLevel="0" collapsed="false">
      <c r="A728" s="19"/>
      <c r="B728" s="20"/>
      <c r="C728" s="19"/>
      <c r="D728" s="23"/>
      <c r="E728" s="19"/>
      <c r="F728" s="23"/>
      <c r="G728" s="23"/>
      <c r="H728" s="23"/>
      <c r="I728" s="22" t="str">
        <f aca="false">IF($B728="","",$B728*(IsverenPayiOrani+IssizlikOrani))</f>
        <v/>
      </c>
    </row>
    <row r="729" customFormat="false" ht="15" hidden="false" customHeight="false" outlineLevel="0" collapsed="false">
      <c r="A729" s="19"/>
      <c r="B729" s="20"/>
      <c r="C729" s="19"/>
      <c r="D729" s="23"/>
      <c r="E729" s="19"/>
      <c r="F729" s="23"/>
      <c r="G729" s="23"/>
      <c r="H729" s="23"/>
      <c r="I729" s="22" t="str">
        <f aca="false">IF($B729="","",$B729*(IsverenPayiOrani+IssizlikOrani))</f>
        <v/>
      </c>
    </row>
    <row r="730" customFormat="false" ht="15" hidden="false" customHeight="false" outlineLevel="0" collapsed="false">
      <c r="A730" s="19"/>
      <c r="B730" s="20"/>
      <c r="C730" s="19"/>
      <c r="D730" s="23"/>
      <c r="E730" s="19"/>
      <c r="F730" s="23"/>
      <c r="G730" s="23"/>
      <c r="H730" s="23"/>
      <c r="I730" s="22" t="str">
        <f aca="false">IF($B730="","",$B730*(IsverenPayiOrani+IssizlikOrani))</f>
        <v/>
      </c>
    </row>
    <row r="731" customFormat="false" ht="15" hidden="false" customHeight="false" outlineLevel="0" collapsed="false">
      <c r="A731" s="19"/>
      <c r="B731" s="20"/>
      <c r="C731" s="19"/>
      <c r="D731" s="23"/>
      <c r="E731" s="19"/>
      <c r="F731" s="23"/>
      <c r="G731" s="23"/>
      <c r="H731" s="23"/>
      <c r="I731" s="22" t="str">
        <f aca="false">IF($B731="","",$B731*(IsverenPayiOrani+IssizlikOrani))</f>
        <v/>
      </c>
    </row>
    <row r="732" customFormat="false" ht="15" hidden="false" customHeight="false" outlineLevel="0" collapsed="false">
      <c r="A732" s="19"/>
      <c r="B732" s="20"/>
      <c r="C732" s="19"/>
      <c r="D732" s="23"/>
      <c r="E732" s="19"/>
      <c r="F732" s="23"/>
      <c r="G732" s="23"/>
      <c r="H732" s="23"/>
      <c r="I732" s="22" t="str">
        <f aca="false">IF($B732="","",$B732*(IsverenPayiOrani+IssizlikOrani))</f>
        <v/>
      </c>
    </row>
    <row r="733" customFormat="false" ht="15" hidden="false" customHeight="false" outlineLevel="0" collapsed="false">
      <c r="A733" s="19"/>
      <c r="B733" s="20"/>
      <c r="C733" s="19"/>
      <c r="D733" s="23"/>
      <c r="E733" s="19"/>
      <c r="F733" s="23"/>
      <c r="G733" s="23"/>
      <c r="H733" s="23"/>
      <c r="I733" s="22" t="str">
        <f aca="false">IF($B733="","",$B733*(IsverenPayiOrani+IssizlikOrani))</f>
        <v/>
      </c>
    </row>
    <row r="734" customFormat="false" ht="15" hidden="false" customHeight="false" outlineLevel="0" collapsed="false">
      <c r="A734" s="19"/>
      <c r="B734" s="20"/>
      <c r="C734" s="19"/>
      <c r="D734" s="23"/>
      <c r="E734" s="19"/>
      <c r="F734" s="23"/>
      <c r="G734" s="23"/>
      <c r="H734" s="23"/>
      <c r="I734" s="22" t="str">
        <f aca="false">IF($B734="","",$B734*(IsverenPayiOrani+IssizlikOrani))</f>
        <v/>
      </c>
    </row>
    <row r="735" customFormat="false" ht="15" hidden="false" customHeight="false" outlineLevel="0" collapsed="false">
      <c r="A735" s="19"/>
      <c r="B735" s="20"/>
      <c r="C735" s="19"/>
      <c r="D735" s="23"/>
      <c r="E735" s="19"/>
      <c r="F735" s="23"/>
      <c r="G735" s="23"/>
      <c r="H735" s="23"/>
      <c r="I735" s="22" t="str">
        <f aca="false">IF($B735="","",$B735*(IsverenPayiOrani+IssizlikOrani))</f>
        <v/>
      </c>
    </row>
    <row r="736" customFormat="false" ht="15" hidden="false" customHeight="false" outlineLevel="0" collapsed="false">
      <c r="A736" s="19"/>
      <c r="B736" s="20"/>
      <c r="C736" s="19"/>
      <c r="D736" s="23"/>
      <c r="E736" s="19"/>
      <c r="F736" s="23"/>
      <c r="G736" s="23"/>
      <c r="H736" s="23"/>
      <c r="I736" s="22" t="str">
        <f aca="false">IF($B736="","",$B736*(IsverenPayiOrani+IssizlikOrani))</f>
        <v/>
      </c>
    </row>
    <row r="737" customFormat="false" ht="15" hidden="false" customHeight="false" outlineLevel="0" collapsed="false">
      <c r="A737" s="19"/>
      <c r="B737" s="20"/>
      <c r="C737" s="19"/>
      <c r="D737" s="23"/>
      <c r="E737" s="19"/>
      <c r="F737" s="23"/>
      <c r="G737" s="23"/>
      <c r="H737" s="23"/>
      <c r="I737" s="22" t="str">
        <f aca="false">IF($B737="","",$B737*(IsverenPayiOrani+IssizlikOrani))</f>
        <v/>
      </c>
    </row>
    <row r="738" customFormat="false" ht="15" hidden="false" customHeight="false" outlineLevel="0" collapsed="false">
      <c r="A738" s="19"/>
      <c r="B738" s="20"/>
      <c r="C738" s="19"/>
      <c r="D738" s="23"/>
      <c r="E738" s="19"/>
      <c r="F738" s="23"/>
      <c r="G738" s="23"/>
      <c r="H738" s="23"/>
      <c r="I738" s="22" t="str">
        <f aca="false">IF($B738="","",$B738*(IsverenPayiOrani+IssizlikOrani))</f>
        <v/>
      </c>
    </row>
    <row r="739" customFormat="false" ht="15" hidden="false" customHeight="false" outlineLevel="0" collapsed="false">
      <c r="A739" s="19"/>
      <c r="B739" s="20"/>
      <c r="C739" s="19"/>
      <c r="D739" s="23"/>
      <c r="E739" s="19"/>
      <c r="F739" s="23"/>
      <c r="G739" s="23"/>
      <c r="H739" s="23"/>
      <c r="I739" s="22" t="str">
        <f aca="false">IF($B739="","",$B739*(IsverenPayiOrani+IssizlikOrani))</f>
        <v/>
      </c>
    </row>
    <row r="740" customFormat="false" ht="15" hidden="false" customHeight="false" outlineLevel="0" collapsed="false">
      <c r="A740" s="19"/>
      <c r="B740" s="20"/>
      <c r="C740" s="19"/>
      <c r="D740" s="23"/>
      <c r="E740" s="19"/>
      <c r="F740" s="23"/>
      <c r="G740" s="23"/>
      <c r="H740" s="23"/>
      <c r="I740" s="22" t="str">
        <f aca="false">IF($B740="","",$B740*(IsverenPayiOrani+IssizlikOrani))</f>
        <v/>
      </c>
    </row>
    <row r="741" customFormat="false" ht="15" hidden="false" customHeight="false" outlineLevel="0" collapsed="false">
      <c r="A741" s="19"/>
      <c r="B741" s="20"/>
      <c r="C741" s="19"/>
      <c r="D741" s="23"/>
      <c r="E741" s="19"/>
      <c r="F741" s="23"/>
      <c r="G741" s="23"/>
      <c r="H741" s="23"/>
      <c r="I741" s="22" t="str">
        <f aca="false">IF($B741="","",$B741*(IsverenPayiOrani+IssizlikOrani))</f>
        <v/>
      </c>
    </row>
    <row r="742" customFormat="false" ht="15" hidden="false" customHeight="false" outlineLevel="0" collapsed="false">
      <c r="A742" s="19"/>
      <c r="B742" s="20"/>
      <c r="C742" s="19"/>
      <c r="D742" s="23"/>
      <c r="E742" s="19"/>
      <c r="F742" s="23"/>
      <c r="G742" s="23"/>
      <c r="H742" s="23"/>
      <c r="I742" s="22" t="str">
        <f aca="false">IF($B742="","",$B742*(IsverenPayiOrani+IssizlikOrani))</f>
        <v/>
      </c>
    </row>
    <row r="743" customFormat="false" ht="15" hidden="false" customHeight="false" outlineLevel="0" collapsed="false">
      <c r="A743" s="19"/>
      <c r="B743" s="20"/>
      <c r="C743" s="19"/>
      <c r="D743" s="23"/>
      <c r="E743" s="19"/>
      <c r="F743" s="23"/>
      <c r="G743" s="23"/>
      <c r="H743" s="23"/>
      <c r="I743" s="22" t="str">
        <f aca="false">IF($B743="","",$B743*(IsverenPayiOrani+IssizlikOrani))</f>
        <v/>
      </c>
    </row>
    <row r="744" customFormat="false" ht="15" hidden="false" customHeight="false" outlineLevel="0" collapsed="false">
      <c r="A744" s="19"/>
      <c r="B744" s="20"/>
      <c r="C744" s="19"/>
      <c r="D744" s="23"/>
      <c r="E744" s="19"/>
      <c r="F744" s="23"/>
      <c r="G744" s="23"/>
      <c r="H744" s="23"/>
      <c r="I744" s="22" t="str">
        <f aca="false">IF($B744="","",$B744*(IsverenPayiOrani+IssizlikOrani))</f>
        <v/>
      </c>
    </row>
    <row r="745" customFormat="false" ht="15" hidden="false" customHeight="false" outlineLevel="0" collapsed="false">
      <c r="A745" s="19"/>
      <c r="B745" s="20"/>
      <c r="C745" s="19"/>
      <c r="D745" s="23"/>
      <c r="E745" s="19"/>
      <c r="F745" s="23"/>
      <c r="G745" s="23"/>
      <c r="H745" s="23"/>
      <c r="I745" s="22" t="str">
        <f aca="false">IF($B745="","",$B745*(IsverenPayiOrani+IssizlikOrani))</f>
        <v/>
      </c>
    </row>
    <row r="746" customFormat="false" ht="15" hidden="false" customHeight="false" outlineLevel="0" collapsed="false">
      <c r="A746" s="19"/>
      <c r="B746" s="20"/>
      <c r="C746" s="19"/>
      <c r="D746" s="23"/>
      <c r="E746" s="19"/>
      <c r="F746" s="23"/>
      <c r="G746" s="23"/>
      <c r="H746" s="23"/>
      <c r="I746" s="22" t="str">
        <f aca="false">IF($B746="","",$B746*(IsverenPayiOrani+IssizlikOrani))</f>
        <v/>
      </c>
    </row>
    <row r="747" customFormat="false" ht="15" hidden="false" customHeight="false" outlineLevel="0" collapsed="false">
      <c r="A747" s="19"/>
      <c r="B747" s="20"/>
      <c r="C747" s="19"/>
      <c r="D747" s="23"/>
      <c r="E747" s="19"/>
      <c r="F747" s="23"/>
      <c r="G747" s="23"/>
      <c r="H747" s="23"/>
      <c r="I747" s="22" t="str">
        <f aca="false">IF($B747="","",$B747*(IsverenPayiOrani+IssizlikOrani))</f>
        <v/>
      </c>
    </row>
    <row r="748" customFormat="false" ht="15" hidden="false" customHeight="false" outlineLevel="0" collapsed="false">
      <c r="A748" s="19"/>
      <c r="B748" s="20"/>
      <c r="C748" s="19"/>
      <c r="D748" s="23"/>
      <c r="E748" s="19"/>
      <c r="F748" s="23"/>
      <c r="G748" s="23"/>
      <c r="H748" s="23"/>
      <c r="I748" s="22" t="str">
        <f aca="false">IF($B748="","",$B748*(IsverenPayiOrani+IssizlikOrani))</f>
        <v/>
      </c>
    </row>
    <row r="749" customFormat="false" ht="15" hidden="false" customHeight="false" outlineLevel="0" collapsed="false">
      <c r="A749" s="19"/>
      <c r="B749" s="20"/>
      <c r="C749" s="19"/>
      <c r="D749" s="23"/>
      <c r="E749" s="19"/>
      <c r="F749" s="23"/>
      <c r="G749" s="23"/>
      <c r="H749" s="23"/>
      <c r="I749" s="22" t="str">
        <f aca="false">IF($B749="","",$B749*(IsverenPayiOrani+IssizlikOrani))</f>
        <v/>
      </c>
    </row>
    <row r="750" customFormat="false" ht="15" hidden="false" customHeight="false" outlineLevel="0" collapsed="false">
      <c r="A750" s="19"/>
      <c r="B750" s="20"/>
      <c r="C750" s="19"/>
      <c r="D750" s="23"/>
      <c r="E750" s="19"/>
      <c r="F750" s="23"/>
      <c r="G750" s="23"/>
      <c r="H750" s="23"/>
      <c r="I750" s="22" t="str">
        <f aca="false">IF($B750="","",$B750*(IsverenPayiOrani+IssizlikOrani))</f>
        <v/>
      </c>
    </row>
    <row r="751" customFormat="false" ht="15" hidden="false" customHeight="false" outlineLevel="0" collapsed="false">
      <c r="A751" s="19"/>
      <c r="B751" s="20"/>
      <c r="C751" s="19"/>
      <c r="D751" s="23"/>
      <c r="E751" s="19"/>
      <c r="F751" s="23"/>
      <c r="G751" s="23"/>
      <c r="H751" s="23"/>
      <c r="I751" s="22" t="str">
        <f aca="false">IF($B751="","",$B751*(IsverenPayiOrani+IssizlikOrani))</f>
        <v/>
      </c>
    </row>
    <row r="752" customFormat="false" ht="15" hidden="false" customHeight="false" outlineLevel="0" collapsed="false">
      <c r="A752" s="19"/>
      <c r="B752" s="20"/>
      <c r="C752" s="19"/>
      <c r="D752" s="23"/>
      <c r="E752" s="19"/>
      <c r="F752" s="23"/>
      <c r="G752" s="23"/>
      <c r="H752" s="23"/>
      <c r="I752" s="22" t="str">
        <f aca="false">IF($B752="","",$B752*(IsverenPayiOrani+IssizlikOrani))</f>
        <v/>
      </c>
    </row>
    <row r="753" customFormat="false" ht="15" hidden="false" customHeight="false" outlineLevel="0" collapsed="false">
      <c r="A753" s="19"/>
      <c r="B753" s="20"/>
      <c r="C753" s="19"/>
      <c r="D753" s="23"/>
      <c r="E753" s="19"/>
      <c r="F753" s="23"/>
      <c r="G753" s="23"/>
      <c r="H753" s="23"/>
      <c r="I753" s="22" t="str">
        <f aca="false">IF($B753="","",$B753*(IsverenPayiOrani+IssizlikOrani))</f>
        <v/>
      </c>
    </row>
    <row r="754" customFormat="false" ht="15" hidden="false" customHeight="false" outlineLevel="0" collapsed="false">
      <c r="A754" s="19"/>
      <c r="B754" s="20"/>
      <c r="C754" s="19"/>
      <c r="D754" s="23"/>
      <c r="E754" s="19"/>
      <c r="F754" s="23"/>
      <c r="G754" s="23"/>
      <c r="H754" s="23"/>
      <c r="I754" s="22" t="str">
        <f aca="false">IF($B754="","",$B754*(IsverenPayiOrani+IssizlikOrani))</f>
        <v/>
      </c>
    </row>
    <row r="755" customFormat="false" ht="15" hidden="false" customHeight="false" outlineLevel="0" collapsed="false">
      <c r="A755" s="19"/>
      <c r="B755" s="20"/>
      <c r="C755" s="19"/>
      <c r="D755" s="23"/>
      <c r="E755" s="19"/>
      <c r="F755" s="23"/>
      <c r="G755" s="23"/>
      <c r="H755" s="23"/>
      <c r="I755" s="22" t="str">
        <f aca="false">IF($B755="","",$B755*(IsverenPayiOrani+IssizlikOrani))</f>
        <v/>
      </c>
    </row>
    <row r="756" customFormat="false" ht="15" hidden="false" customHeight="false" outlineLevel="0" collapsed="false">
      <c r="A756" s="19"/>
      <c r="B756" s="20"/>
      <c r="C756" s="19"/>
      <c r="D756" s="23"/>
      <c r="E756" s="19"/>
      <c r="F756" s="23"/>
      <c r="G756" s="23"/>
      <c r="H756" s="23"/>
      <c r="I756" s="22" t="str">
        <f aca="false">IF($B756="","",$B756*(IsverenPayiOrani+IssizlikOrani))</f>
        <v/>
      </c>
    </row>
    <row r="757" customFormat="false" ht="15" hidden="false" customHeight="false" outlineLevel="0" collapsed="false">
      <c r="A757" s="19"/>
      <c r="B757" s="20"/>
      <c r="C757" s="19"/>
      <c r="D757" s="23"/>
      <c r="E757" s="19"/>
      <c r="F757" s="23"/>
      <c r="G757" s="23"/>
      <c r="H757" s="23"/>
      <c r="I757" s="22" t="str">
        <f aca="false">IF($B757="","",$B757*(IsverenPayiOrani+IssizlikOrani))</f>
        <v/>
      </c>
    </row>
    <row r="758" customFormat="false" ht="15" hidden="false" customHeight="false" outlineLevel="0" collapsed="false">
      <c r="A758" s="19"/>
      <c r="B758" s="20"/>
      <c r="C758" s="19"/>
      <c r="D758" s="23"/>
      <c r="E758" s="19"/>
      <c r="F758" s="23"/>
      <c r="G758" s="23"/>
      <c r="H758" s="23"/>
      <c r="I758" s="22" t="str">
        <f aca="false">IF($B758="","",$B758*(IsverenPayiOrani+IssizlikOrani))</f>
        <v/>
      </c>
    </row>
    <row r="759" customFormat="false" ht="15" hidden="false" customHeight="false" outlineLevel="0" collapsed="false">
      <c r="A759" s="19"/>
      <c r="B759" s="20"/>
      <c r="C759" s="19"/>
      <c r="D759" s="23"/>
      <c r="E759" s="19"/>
      <c r="F759" s="23"/>
      <c r="G759" s="23"/>
      <c r="H759" s="23"/>
      <c r="I759" s="22" t="str">
        <f aca="false">IF($B759="","",$B759*(IsverenPayiOrani+IssizlikOrani))</f>
        <v/>
      </c>
    </row>
    <row r="760" customFormat="false" ht="15" hidden="false" customHeight="false" outlineLevel="0" collapsed="false">
      <c r="A760" s="19"/>
      <c r="B760" s="20"/>
      <c r="C760" s="19"/>
      <c r="D760" s="23"/>
      <c r="E760" s="19"/>
      <c r="F760" s="23"/>
      <c r="G760" s="23"/>
      <c r="H760" s="23"/>
      <c r="I760" s="22" t="str">
        <f aca="false">IF($B760="","",$B760*(IsverenPayiOrani+IssizlikOrani))</f>
        <v/>
      </c>
    </row>
    <row r="761" customFormat="false" ht="15" hidden="false" customHeight="false" outlineLevel="0" collapsed="false">
      <c r="A761" s="19"/>
      <c r="B761" s="20"/>
      <c r="C761" s="19"/>
      <c r="D761" s="23"/>
      <c r="E761" s="19"/>
      <c r="F761" s="23"/>
      <c r="G761" s="23"/>
      <c r="H761" s="23"/>
      <c r="I761" s="22" t="str">
        <f aca="false">IF($B761="","",$B761*(IsverenPayiOrani+IssizlikOrani))</f>
        <v/>
      </c>
    </row>
    <row r="762" customFormat="false" ht="15" hidden="false" customHeight="false" outlineLevel="0" collapsed="false">
      <c r="A762" s="19"/>
      <c r="B762" s="20"/>
      <c r="C762" s="19"/>
      <c r="D762" s="23"/>
      <c r="E762" s="19"/>
      <c r="F762" s="23"/>
      <c r="G762" s="23"/>
      <c r="H762" s="23"/>
      <c r="I762" s="22" t="str">
        <f aca="false">IF($B762="","",$B762*(IsverenPayiOrani+IssizlikOrani))</f>
        <v/>
      </c>
    </row>
    <row r="763" customFormat="false" ht="15" hidden="false" customHeight="false" outlineLevel="0" collapsed="false">
      <c r="A763" s="19"/>
      <c r="B763" s="20"/>
      <c r="C763" s="19"/>
      <c r="D763" s="23"/>
      <c r="E763" s="19"/>
      <c r="F763" s="23"/>
      <c r="G763" s="23"/>
      <c r="H763" s="23"/>
      <c r="I763" s="22" t="str">
        <f aca="false">IF($B763="","",$B763*(IsverenPayiOrani+IssizlikOrani))</f>
        <v/>
      </c>
    </row>
    <row r="764" customFormat="false" ht="15" hidden="false" customHeight="false" outlineLevel="0" collapsed="false">
      <c r="A764" s="19"/>
      <c r="B764" s="20"/>
      <c r="C764" s="19"/>
      <c r="D764" s="23"/>
      <c r="E764" s="19"/>
      <c r="F764" s="23"/>
      <c r="G764" s="23"/>
      <c r="H764" s="23"/>
      <c r="I764" s="22" t="str">
        <f aca="false">IF($B764="","",$B764*(IsverenPayiOrani+IssizlikOrani))</f>
        <v/>
      </c>
    </row>
    <row r="765" customFormat="false" ht="15" hidden="false" customHeight="false" outlineLevel="0" collapsed="false">
      <c r="A765" s="19"/>
      <c r="B765" s="20"/>
      <c r="C765" s="19"/>
      <c r="D765" s="23"/>
      <c r="E765" s="19"/>
      <c r="F765" s="23"/>
      <c r="G765" s="23"/>
      <c r="H765" s="23"/>
      <c r="I765" s="22" t="str">
        <f aca="false">IF($B765="","",$B765*(IsverenPayiOrani+IssizlikOrani))</f>
        <v/>
      </c>
    </row>
    <row r="766" customFormat="false" ht="15" hidden="false" customHeight="false" outlineLevel="0" collapsed="false">
      <c r="A766" s="19"/>
      <c r="B766" s="20"/>
      <c r="C766" s="19"/>
      <c r="D766" s="23"/>
      <c r="E766" s="19"/>
      <c r="F766" s="23"/>
      <c r="G766" s="23"/>
      <c r="H766" s="23"/>
      <c r="I766" s="22" t="str">
        <f aca="false">IF($B766="","",$B766*(IsverenPayiOrani+IssizlikOrani))</f>
        <v/>
      </c>
    </row>
    <row r="767" customFormat="false" ht="15" hidden="false" customHeight="false" outlineLevel="0" collapsed="false">
      <c r="A767" s="19"/>
      <c r="B767" s="20"/>
      <c r="C767" s="19"/>
      <c r="D767" s="23"/>
      <c r="E767" s="19"/>
      <c r="F767" s="23"/>
      <c r="G767" s="23"/>
      <c r="H767" s="23"/>
      <c r="I767" s="22" t="str">
        <f aca="false">IF($B767="","",$B767*(IsverenPayiOrani+IssizlikOrani))</f>
        <v/>
      </c>
    </row>
    <row r="768" customFormat="false" ht="15" hidden="false" customHeight="false" outlineLevel="0" collapsed="false">
      <c r="A768" s="19"/>
      <c r="B768" s="20"/>
      <c r="C768" s="19"/>
      <c r="D768" s="23"/>
      <c r="E768" s="19"/>
      <c r="F768" s="23"/>
      <c r="G768" s="23"/>
      <c r="H768" s="23"/>
      <c r="I768" s="22" t="str">
        <f aca="false">IF($B768="","",$B768*(IsverenPayiOrani+IssizlikOrani))</f>
        <v/>
      </c>
    </row>
    <row r="769" customFormat="false" ht="15" hidden="false" customHeight="false" outlineLevel="0" collapsed="false">
      <c r="A769" s="19"/>
      <c r="B769" s="20"/>
      <c r="C769" s="19"/>
      <c r="D769" s="23"/>
      <c r="E769" s="19"/>
      <c r="F769" s="23"/>
      <c r="G769" s="23"/>
      <c r="H769" s="23"/>
      <c r="I769" s="22" t="str">
        <f aca="false">IF($B769="","",$B769*(IsverenPayiOrani+IssizlikOrani))</f>
        <v/>
      </c>
    </row>
    <row r="770" customFormat="false" ht="15" hidden="false" customHeight="false" outlineLevel="0" collapsed="false">
      <c r="A770" s="19"/>
      <c r="B770" s="20"/>
      <c r="C770" s="19"/>
      <c r="D770" s="23"/>
      <c r="E770" s="19"/>
      <c r="F770" s="23"/>
      <c r="G770" s="23"/>
      <c r="H770" s="23"/>
      <c r="I770" s="22" t="str">
        <f aca="false">IF($B770="","",$B770*(IsverenPayiOrani+IssizlikOrani))</f>
        <v/>
      </c>
    </row>
    <row r="771" customFormat="false" ht="15" hidden="false" customHeight="false" outlineLevel="0" collapsed="false">
      <c r="A771" s="19"/>
      <c r="B771" s="20"/>
      <c r="C771" s="19"/>
      <c r="D771" s="23"/>
      <c r="E771" s="19"/>
      <c r="F771" s="23"/>
      <c r="G771" s="23"/>
      <c r="H771" s="23"/>
      <c r="I771" s="22" t="str">
        <f aca="false">IF($B771="","",$B771*(IsverenPayiOrani+IssizlikOrani))</f>
        <v/>
      </c>
    </row>
    <row r="772" customFormat="false" ht="15" hidden="false" customHeight="false" outlineLevel="0" collapsed="false">
      <c r="A772" s="19"/>
      <c r="B772" s="20"/>
      <c r="C772" s="19"/>
      <c r="D772" s="23"/>
      <c r="E772" s="19"/>
      <c r="F772" s="23"/>
      <c r="G772" s="23"/>
      <c r="H772" s="23"/>
      <c r="I772" s="22" t="str">
        <f aca="false">IF($B772="","",$B772*(IsverenPayiOrani+IssizlikOrani))</f>
        <v/>
      </c>
    </row>
    <row r="773" customFormat="false" ht="15" hidden="false" customHeight="false" outlineLevel="0" collapsed="false">
      <c r="A773" s="19"/>
      <c r="B773" s="20"/>
      <c r="C773" s="19"/>
      <c r="D773" s="23"/>
      <c r="E773" s="19"/>
      <c r="F773" s="23"/>
      <c r="G773" s="23"/>
      <c r="H773" s="23"/>
      <c r="I773" s="22" t="str">
        <f aca="false">IF($B773="","",$B773*(IsverenPayiOrani+IssizlikOrani))</f>
        <v/>
      </c>
    </row>
    <row r="774" customFormat="false" ht="15" hidden="false" customHeight="false" outlineLevel="0" collapsed="false">
      <c r="A774" s="19"/>
      <c r="B774" s="20"/>
      <c r="C774" s="19"/>
      <c r="D774" s="23"/>
      <c r="E774" s="19"/>
      <c r="F774" s="23"/>
      <c r="G774" s="23"/>
      <c r="H774" s="23"/>
      <c r="I774" s="22" t="str">
        <f aca="false">IF($B774="","",$B774*(IsverenPayiOrani+IssizlikOrani))</f>
        <v/>
      </c>
    </row>
    <row r="775" customFormat="false" ht="15" hidden="false" customHeight="false" outlineLevel="0" collapsed="false">
      <c r="A775" s="19"/>
      <c r="B775" s="20"/>
      <c r="C775" s="19"/>
      <c r="D775" s="23"/>
      <c r="E775" s="19"/>
      <c r="F775" s="23"/>
      <c r="G775" s="23"/>
      <c r="H775" s="23"/>
      <c r="I775" s="22" t="str">
        <f aca="false">IF($B775="","",$B775*(IsverenPayiOrani+IssizlikOrani))</f>
        <v/>
      </c>
    </row>
    <row r="776" customFormat="false" ht="15" hidden="false" customHeight="false" outlineLevel="0" collapsed="false">
      <c r="A776" s="19"/>
      <c r="B776" s="20"/>
      <c r="C776" s="19"/>
      <c r="D776" s="23"/>
      <c r="E776" s="19"/>
      <c r="F776" s="23"/>
      <c r="G776" s="23"/>
      <c r="H776" s="23"/>
      <c r="I776" s="22" t="str">
        <f aca="false">IF($B776="","",$B776*(IsverenPayiOrani+IssizlikOrani))</f>
        <v/>
      </c>
    </row>
    <row r="777" customFormat="false" ht="15" hidden="false" customHeight="false" outlineLevel="0" collapsed="false">
      <c r="A777" s="19"/>
      <c r="B777" s="20"/>
      <c r="C777" s="19"/>
      <c r="D777" s="23"/>
      <c r="E777" s="19"/>
      <c r="F777" s="23"/>
      <c r="G777" s="23"/>
      <c r="H777" s="23"/>
      <c r="I777" s="22" t="str">
        <f aca="false">IF($B777="","",$B777*(IsverenPayiOrani+IssizlikOrani))</f>
        <v/>
      </c>
    </row>
    <row r="778" customFormat="false" ht="15" hidden="false" customHeight="false" outlineLevel="0" collapsed="false">
      <c r="A778" s="19"/>
      <c r="B778" s="20"/>
      <c r="C778" s="19"/>
      <c r="D778" s="23"/>
      <c r="E778" s="19"/>
      <c r="F778" s="23"/>
      <c r="G778" s="23"/>
      <c r="H778" s="23"/>
      <c r="I778" s="22" t="str">
        <f aca="false">IF($B778="","",$B778*(IsverenPayiOrani+IssizlikOrani))</f>
        <v/>
      </c>
    </row>
    <row r="779" customFormat="false" ht="15" hidden="false" customHeight="false" outlineLevel="0" collapsed="false">
      <c r="A779" s="19"/>
      <c r="B779" s="20"/>
      <c r="C779" s="19"/>
      <c r="D779" s="23"/>
      <c r="E779" s="19"/>
      <c r="F779" s="23"/>
      <c r="G779" s="23"/>
      <c r="H779" s="23"/>
      <c r="I779" s="22" t="str">
        <f aca="false">IF($B779="","",$B779*(IsverenPayiOrani+IssizlikOrani))</f>
        <v/>
      </c>
    </row>
    <row r="780" customFormat="false" ht="15" hidden="false" customHeight="false" outlineLevel="0" collapsed="false">
      <c r="A780" s="19"/>
      <c r="B780" s="20"/>
      <c r="C780" s="19"/>
      <c r="D780" s="23"/>
      <c r="E780" s="19"/>
      <c r="F780" s="23"/>
      <c r="G780" s="23"/>
      <c r="H780" s="23"/>
      <c r="I780" s="22" t="str">
        <f aca="false">IF($B780="","",$B780*(IsverenPayiOrani+IssizlikOrani))</f>
        <v/>
      </c>
    </row>
    <row r="781" customFormat="false" ht="15" hidden="false" customHeight="false" outlineLevel="0" collapsed="false">
      <c r="A781" s="19"/>
      <c r="B781" s="20"/>
      <c r="C781" s="19"/>
      <c r="D781" s="23"/>
      <c r="E781" s="19"/>
      <c r="F781" s="23"/>
      <c r="G781" s="23"/>
      <c r="H781" s="23"/>
      <c r="I781" s="22" t="str">
        <f aca="false">IF($B781="","",$B781*(IsverenPayiOrani+IssizlikOrani))</f>
        <v/>
      </c>
    </row>
    <row r="782" customFormat="false" ht="15" hidden="false" customHeight="false" outlineLevel="0" collapsed="false">
      <c r="A782" s="19"/>
      <c r="B782" s="20"/>
      <c r="C782" s="19"/>
      <c r="D782" s="23"/>
      <c r="E782" s="19"/>
      <c r="F782" s="23"/>
      <c r="G782" s="23"/>
      <c r="H782" s="23"/>
      <c r="I782" s="22" t="str">
        <f aca="false">IF($B782="","",$B782*(IsverenPayiOrani+IssizlikOrani))</f>
        <v/>
      </c>
    </row>
    <row r="783" customFormat="false" ht="15" hidden="false" customHeight="false" outlineLevel="0" collapsed="false">
      <c r="A783" s="19"/>
      <c r="B783" s="20"/>
      <c r="C783" s="19"/>
      <c r="D783" s="23"/>
      <c r="E783" s="19"/>
      <c r="F783" s="23"/>
      <c r="G783" s="23"/>
      <c r="H783" s="23"/>
      <c r="I783" s="22" t="str">
        <f aca="false">IF($B783="","",$B783*(IsverenPayiOrani+IssizlikOrani))</f>
        <v/>
      </c>
    </row>
    <row r="784" customFormat="false" ht="15" hidden="false" customHeight="false" outlineLevel="0" collapsed="false">
      <c r="A784" s="19"/>
      <c r="B784" s="20"/>
      <c r="C784" s="19"/>
      <c r="D784" s="23"/>
      <c r="E784" s="19"/>
      <c r="F784" s="23"/>
      <c r="G784" s="23"/>
      <c r="H784" s="23"/>
      <c r="I784" s="22" t="str">
        <f aca="false">IF($B784="","",$B784*(IsverenPayiOrani+IssizlikOrani))</f>
        <v/>
      </c>
    </row>
    <row r="785" customFormat="false" ht="15" hidden="false" customHeight="false" outlineLevel="0" collapsed="false">
      <c r="A785" s="19"/>
      <c r="B785" s="20"/>
      <c r="C785" s="19"/>
      <c r="D785" s="23"/>
      <c r="E785" s="19"/>
      <c r="F785" s="23"/>
      <c r="G785" s="23"/>
      <c r="H785" s="23"/>
      <c r="I785" s="22" t="str">
        <f aca="false">IF($B785="","",$B785*(IsverenPayiOrani+IssizlikOrani))</f>
        <v/>
      </c>
    </row>
    <row r="786" customFormat="false" ht="15" hidden="false" customHeight="false" outlineLevel="0" collapsed="false">
      <c r="A786" s="19"/>
      <c r="B786" s="20"/>
      <c r="C786" s="19"/>
      <c r="D786" s="23"/>
      <c r="E786" s="19"/>
      <c r="F786" s="23"/>
      <c r="G786" s="23"/>
      <c r="H786" s="23"/>
      <c r="I786" s="22" t="str">
        <f aca="false">IF($B786="","",$B786*(IsverenPayiOrani+IssizlikOrani))</f>
        <v/>
      </c>
    </row>
    <row r="787" customFormat="false" ht="15" hidden="false" customHeight="false" outlineLevel="0" collapsed="false">
      <c r="A787" s="19"/>
      <c r="B787" s="20"/>
      <c r="C787" s="19"/>
      <c r="D787" s="23"/>
      <c r="E787" s="19"/>
      <c r="F787" s="23"/>
      <c r="G787" s="23"/>
      <c r="H787" s="23"/>
      <c r="I787" s="22" t="str">
        <f aca="false">IF($B787="","",$B787*(IsverenPayiOrani+IssizlikOrani))</f>
        <v/>
      </c>
    </row>
    <row r="788" customFormat="false" ht="15" hidden="false" customHeight="false" outlineLevel="0" collapsed="false">
      <c r="A788" s="19"/>
      <c r="B788" s="20"/>
      <c r="C788" s="19"/>
      <c r="D788" s="23"/>
      <c r="E788" s="19"/>
      <c r="F788" s="23"/>
      <c r="G788" s="23"/>
      <c r="H788" s="23"/>
      <c r="I788" s="22" t="str">
        <f aca="false">IF($B788="","",$B788*(IsverenPayiOrani+IssizlikOrani))</f>
        <v/>
      </c>
    </row>
    <row r="789" customFormat="false" ht="15" hidden="false" customHeight="false" outlineLevel="0" collapsed="false">
      <c r="A789" s="19"/>
      <c r="B789" s="20"/>
      <c r="C789" s="19"/>
      <c r="D789" s="23"/>
      <c r="E789" s="19"/>
      <c r="F789" s="23"/>
      <c r="G789" s="23"/>
      <c r="H789" s="23"/>
      <c r="I789" s="22" t="str">
        <f aca="false">IF($B789="","",$B789*(IsverenPayiOrani+IssizlikOrani))</f>
        <v/>
      </c>
    </row>
    <row r="790" customFormat="false" ht="15" hidden="false" customHeight="false" outlineLevel="0" collapsed="false">
      <c r="A790" s="19"/>
      <c r="B790" s="20"/>
      <c r="C790" s="19"/>
      <c r="D790" s="23"/>
      <c r="E790" s="19"/>
      <c r="F790" s="23"/>
      <c r="G790" s="23"/>
      <c r="H790" s="23"/>
      <c r="I790" s="22" t="str">
        <f aca="false">IF($B790="","",$B790*(IsverenPayiOrani+IssizlikOrani))</f>
        <v/>
      </c>
    </row>
    <row r="791" customFormat="false" ht="15" hidden="false" customHeight="false" outlineLevel="0" collapsed="false">
      <c r="A791" s="19"/>
      <c r="B791" s="20"/>
      <c r="C791" s="19"/>
      <c r="D791" s="23"/>
      <c r="E791" s="19"/>
      <c r="F791" s="23"/>
      <c r="G791" s="23"/>
      <c r="H791" s="23"/>
      <c r="I791" s="22" t="str">
        <f aca="false">IF($B791="","",$B791*(IsverenPayiOrani+IssizlikOrani))</f>
        <v/>
      </c>
    </row>
    <row r="792" customFormat="false" ht="15" hidden="false" customHeight="false" outlineLevel="0" collapsed="false">
      <c r="A792" s="19"/>
      <c r="B792" s="20"/>
      <c r="C792" s="19"/>
      <c r="D792" s="23"/>
      <c r="E792" s="19"/>
      <c r="F792" s="23"/>
      <c r="G792" s="23"/>
      <c r="H792" s="23"/>
      <c r="I792" s="22" t="str">
        <f aca="false">IF($B792="","",$B792*(IsverenPayiOrani+IssizlikOrani))</f>
        <v/>
      </c>
    </row>
    <row r="793" customFormat="false" ht="15" hidden="false" customHeight="false" outlineLevel="0" collapsed="false">
      <c r="A793" s="19"/>
      <c r="B793" s="20"/>
      <c r="C793" s="19"/>
      <c r="D793" s="23"/>
      <c r="E793" s="19"/>
      <c r="F793" s="23"/>
      <c r="G793" s="23"/>
      <c r="H793" s="23"/>
      <c r="I793" s="22" t="str">
        <f aca="false">IF($B793="","",$B793*(IsverenPayiOrani+IssizlikOrani))</f>
        <v/>
      </c>
    </row>
    <row r="794" customFormat="false" ht="15" hidden="false" customHeight="false" outlineLevel="0" collapsed="false">
      <c r="A794" s="19"/>
      <c r="B794" s="20"/>
      <c r="C794" s="19"/>
      <c r="D794" s="23"/>
      <c r="E794" s="19"/>
      <c r="F794" s="23"/>
      <c r="G794" s="23"/>
      <c r="H794" s="23"/>
      <c r="I794" s="22" t="str">
        <f aca="false">IF($B794="","",$B794*(IsverenPayiOrani+IssizlikOrani))</f>
        <v/>
      </c>
    </row>
    <row r="795" customFormat="false" ht="15" hidden="false" customHeight="false" outlineLevel="0" collapsed="false">
      <c r="A795" s="19"/>
      <c r="B795" s="20"/>
      <c r="C795" s="19"/>
      <c r="D795" s="23"/>
      <c r="E795" s="19"/>
      <c r="F795" s="23"/>
      <c r="G795" s="23"/>
      <c r="H795" s="23"/>
      <c r="I795" s="22" t="str">
        <f aca="false">IF($B795="","",$B795*(IsverenPayiOrani+IssizlikOrani))</f>
        <v/>
      </c>
    </row>
    <row r="796" customFormat="false" ht="15" hidden="false" customHeight="false" outlineLevel="0" collapsed="false">
      <c r="A796" s="19"/>
      <c r="B796" s="20"/>
      <c r="C796" s="19"/>
      <c r="D796" s="23"/>
      <c r="E796" s="19"/>
      <c r="F796" s="23"/>
      <c r="G796" s="23"/>
      <c r="H796" s="23"/>
      <c r="I796" s="22" t="str">
        <f aca="false">IF($B796="","",$B796*(IsverenPayiOrani+IssizlikOrani))</f>
        <v/>
      </c>
    </row>
    <row r="797" customFormat="false" ht="15" hidden="false" customHeight="false" outlineLevel="0" collapsed="false">
      <c r="A797" s="19"/>
      <c r="B797" s="20"/>
      <c r="C797" s="19"/>
      <c r="D797" s="23"/>
      <c r="E797" s="19"/>
      <c r="F797" s="23"/>
      <c r="G797" s="23"/>
      <c r="H797" s="23"/>
      <c r="I797" s="22" t="str">
        <f aca="false">IF($B797="","",$B797*(IsverenPayiOrani+IssizlikOrani))</f>
        <v/>
      </c>
    </row>
    <row r="798" customFormat="false" ht="15" hidden="false" customHeight="false" outlineLevel="0" collapsed="false">
      <c r="A798" s="19"/>
      <c r="B798" s="20"/>
      <c r="C798" s="19"/>
      <c r="D798" s="23"/>
      <c r="E798" s="19"/>
      <c r="F798" s="23"/>
      <c r="G798" s="23"/>
      <c r="H798" s="23"/>
      <c r="I798" s="22" t="str">
        <f aca="false">IF($B798="","",$B798*(IsverenPayiOrani+IssizlikOrani))</f>
        <v/>
      </c>
    </row>
    <row r="799" customFormat="false" ht="15" hidden="false" customHeight="false" outlineLevel="0" collapsed="false">
      <c r="A799" s="19"/>
      <c r="B799" s="20"/>
      <c r="C799" s="19"/>
      <c r="D799" s="23"/>
      <c r="E799" s="19"/>
      <c r="F799" s="23"/>
      <c r="G799" s="23"/>
      <c r="H799" s="23"/>
      <c r="I799" s="22" t="str">
        <f aca="false">IF($B799="","",$B799*(IsverenPayiOrani+IssizlikOrani))</f>
        <v/>
      </c>
    </row>
    <row r="800" customFormat="false" ht="15" hidden="false" customHeight="false" outlineLevel="0" collapsed="false">
      <c r="A800" s="19"/>
      <c r="B800" s="20"/>
      <c r="C800" s="19"/>
      <c r="D800" s="23"/>
      <c r="E800" s="19"/>
      <c r="F800" s="23"/>
      <c r="G800" s="23"/>
      <c r="H800" s="23"/>
      <c r="I800" s="22" t="str">
        <f aca="false">IF($B800="","",$B800*(IsverenPayiOrani+IssizlikOrani))</f>
        <v/>
      </c>
    </row>
    <row r="801" customFormat="false" ht="15" hidden="false" customHeight="false" outlineLevel="0" collapsed="false">
      <c r="A801" s="19"/>
      <c r="B801" s="20"/>
      <c r="C801" s="19"/>
      <c r="D801" s="23"/>
      <c r="E801" s="19"/>
      <c r="F801" s="23"/>
      <c r="G801" s="23"/>
      <c r="H801" s="23"/>
      <c r="I801" s="22" t="str">
        <f aca="false">IF($B801="","",$B801*(IsverenPayiOrani+IssizlikOrani))</f>
        <v/>
      </c>
    </row>
    <row r="802" customFormat="false" ht="15" hidden="false" customHeight="false" outlineLevel="0" collapsed="false">
      <c r="A802" s="19"/>
      <c r="B802" s="20"/>
      <c r="C802" s="19"/>
      <c r="D802" s="23"/>
      <c r="E802" s="19"/>
      <c r="F802" s="23"/>
      <c r="G802" s="23"/>
      <c r="H802" s="23"/>
      <c r="I802" s="22" t="str">
        <f aca="false">IF($B802="","",$B802*(IsverenPayiOrani+IssizlikOrani))</f>
        <v/>
      </c>
    </row>
    <row r="803" customFormat="false" ht="15" hidden="false" customHeight="false" outlineLevel="0" collapsed="false">
      <c r="A803" s="19"/>
      <c r="B803" s="20"/>
      <c r="C803" s="19"/>
      <c r="D803" s="23"/>
      <c r="E803" s="19"/>
      <c r="F803" s="23"/>
      <c r="G803" s="23"/>
      <c r="H803" s="23"/>
      <c r="I803" s="22" t="str">
        <f aca="false">IF($B803="","",$B803*(IsverenPayiOrani+IssizlikOrani))</f>
        <v/>
      </c>
    </row>
    <row r="804" customFormat="false" ht="15" hidden="false" customHeight="false" outlineLevel="0" collapsed="false">
      <c r="A804" s="19"/>
      <c r="B804" s="20"/>
      <c r="C804" s="19"/>
      <c r="D804" s="23"/>
      <c r="E804" s="19"/>
      <c r="F804" s="23"/>
      <c r="G804" s="23"/>
      <c r="H804" s="23"/>
      <c r="I804" s="22" t="str">
        <f aca="false">IF($B804="","",$B804*(IsverenPayiOrani+IssizlikOrani))</f>
        <v/>
      </c>
    </row>
    <row r="805" customFormat="false" ht="15" hidden="false" customHeight="false" outlineLevel="0" collapsed="false">
      <c r="A805" s="19"/>
      <c r="B805" s="20"/>
      <c r="C805" s="19"/>
      <c r="D805" s="23"/>
      <c r="E805" s="19"/>
      <c r="F805" s="23"/>
      <c r="G805" s="23"/>
      <c r="H805" s="23"/>
      <c r="I805" s="22" t="str">
        <f aca="false">IF($B805="","",$B805*(IsverenPayiOrani+IssizlikOrani))</f>
        <v/>
      </c>
    </row>
    <row r="806" customFormat="false" ht="15" hidden="false" customHeight="false" outlineLevel="0" collapsed="false">
      <c r="A806" s="19"/>
      <c r="B806" s="20"/>
      <c r="C806" s="19"/>
      <c r="D806" s="23"/>
      <c r="E806" s="19"/>
      <c r="F806" s="23"/>
      <c r="G806" s="23"/>
      <c r="H806" s="23"/>
      <c r="I806" s="22" t="str">
        <f aca="false">IF($B806="","",$B806*(IsverenPayiOrani+IssizlikOrani))</f>
        <v/>
      </c>
    </row>
    <row r="807" customFormat="false" ht="15" hidden="false" customHeight="false" outlineLevel="0" collapsed="false">
      <c r="A807" s="19"/>
      <c r="B807" s="20"/>
      <c r="C807" s="19"/>
      <c r="D807" s="23"/>
      <c r="E807" s="19"/>
      <c r="F807" s="23"/>
      <c r="G807" s="23"/>
      <c r="H807" s="23"/>
      <c r="I807" s="22" t="str">
        <f aca="false">IF($B807="","",$B807*(IsverenPayiOrani+IssizlikOrani))</f>
        <v/>
      </c>
    </row>
    <row r="808" customFormat="false" ht="15" hidden="false" customHeight="false" outlineLevel="0" collapsed="false">
      <c r="A808" s="19"/>
      <c r="B808" s="20"/>
      <c r="C808" s="19"/>
      <c r="D808" s="23"/>
      <c r="E808" s="19"/>
      <c r="F808" s="23"/>
      <c r="G808" s="23"/>
      <c r="H808" s="23"/>
      <c r="I808" s="22" t="str">
        <f aca="false">IF($B808="","",$B808*(IsverenPayiOrani+IssizlikOrani))</f>
        <v/>
      </c>
    </row>
    <row r="809" customFormat="false" ht="15" hidden="false" customHeight="false" outlineLevel="0" collapsed="false">
      <c r="A809" s="19"/>
      <c r="B809" s="20"/>
      <c r="C809" s="19"/>
      <c r="D809" s="23"/>
      <c r="E809" s="19"/>
      <c r="F809" s="23"/>
      <c r="G809" s="23"/>
      <c r="H809" s="23"/>
      <c r="I809" s="22" t="str">
        <f aca="false">IF($B809="","",$B809*(IsverenPayiOrani+IssizlikOrani))</f>
        <v/>
      </c>
    </row>
    <row r="810" customFormat="false" ht="15" hidden="false" customHeight="false" outlineLevel="0" collapsed="false">
      <c r="A810" s="19"/>
      <c r="B810" s="20"/>
      <c r="C810" s="19"/>
      <c r="D810" s="23"/>
      <c r="E810" s="19"/>
      <c r="F810" s="23"/>
      <c r="G810" s="23"/>
      <c r="H810" s="23"/>
      <c r="I810" s="22" t="str">
        <f aca="false">IF($B810="","",$B810*(IsverenPayiOrani+IssizlikOrani))</f>
        <v/>
      </c>
    </row>
    <row r="811" customFormat="false" ht="15" hidden="false" customHeight="false" outlineLevel="0" collapsed="false">
      <c r="A811" s="19"/>
      <c r="B811" s="20"/>
      <c r="C811" s="19"/>
      <c r="D811" s="23"/>
      <c r="E811" s="19"/>
      <c r="F811" s="23"/>
      <c r="G811" s="23"/>
      <c r="H811" s="23"/>
      <c r="I811" s="22" t="str">
        <f aca="false">IF($B811="","",$B811*(IsverenPayiOrani+IssizlikOrani))</f>
        <v/>
      </c>
    </row>
    <row r="812" customFormat="false" ht="15" hidden="false" customHeight="false" outlineLevel="0" collapsed="false">
      <c r="A812" s="19"/>
      <c r="B812" s="20"/>
      <c r="C812" s="19"/>
      <c r="D812" s="23"/>
      <c r="E812" s="19"/>
      <c r="F812" s="23"/>
      <c r="G812" s="23"/>
      <c r="H812" s="23"/>
      <c r="I812" s="22" t="str">
        <f aca="false">IF($B812="","",$B812*(IsverenPayiOrani+IssizlikOrani))</f>
        <v/>
      </c>
    </row>
    <row r="813" customFormat="false" ht="15" hidden="false" customHeight="false" outlineLevel="0" collapsed="false">
      <c r="A813" s="19"/>
      <c r="B813" s="20"/>
      <c r="C813" s="19"/>
      <c r="D813" s="23"/>
      <c r="E813" s="19"/>
      <c r="F813" s="23"/>
      <c r="G813" s="23"/>
      <c r="H813" s="23"/>
      <c r="I813" s="22" t="str">
        <f aca="false">IF($B813="","",$B813*(IsverenPayiOrani+IssizlikOrani))</f>
        <v/>
      </c>
    </row>
    <row r="814" customFormat="false" ht="15" hidden="false" customHeight="false" outlineLevel="0" collapsed="false">
      <c r="A814" s="19"/>
      <c r="B814" s="20"/>
      <c r="C814" s="19"/>
      <c r="D814" s="23"/>
      <c r="E814" s="19"/>
      <c r="F814" s="23"/>
      <c r="G814" s="23"/>
      <c r="H814" s="23"/>
      <c r="I814" s="22" t="str">
        <f aca="false">IF($B814="","",$B814*(IsverenPayiOrani+IssizlikOrani))</f>
        <v/>
      </c>
    </row>
    <row r="815" customFormat="false" ht="15" hidden="false" customHeight="false" outlineLevel="0" collapsed="false">
      <c r="A815" s="19"/>
      <c r="B815" s="20"/>
      <c r="C815" s="19"/>
      <c r="D815" s="23"/>
      <c r="E815" s="19"/>
      <c r="F815" s="23"/>
      <c r="G815" s="23"/>
      <c r="H815" s="23"/>
      <c r="I815" s="22" t="str">
        <f aca="false">IF($B815="","",$B815*(IsverenPayiOrani+IssizlikOrani))</f>
        <v/>
      </c>
    </row>
    <row r="816" customFormat="false" ht="15" hidden="false" customHeight="false" outlineLevel="0" collapsed="false">
      <c r="A816" s="19"/>
      <c r="B816" s="20"/>
      <c r="C816" s="19"/>
      <c r="D816" s="23"/>
      <c r="E816" s="19"/>
      <c r="F816" s="23"/>
      <c r="G816" s="23"/>
      <c r="H816" s="23"/>
      <c r="I816" s="22" t="str">
        <f aca="false">IF($B816="","",$B816*(IsverenPayiOrani+IssizlikOrani))</f>
        <v/>
      </c>
    </row>
    <row r="817" customFormat="false" ht="15" hidden="false" customHeight="false" outlineLevel="0" collapsed="false">
      <c r="A817" s="19"/>
      <c r="B817" s="20"/>
      <c r="C817" s="19"/>
      <c r="D817" s="23"/>
      <c r="E817" s="19"/>
      <c r="F817" s="23"/>
      <c r="G817" s="23"/>
      <c r="H817" s="23"/>
      <c r="I817" s="22" t="str">
        <f aca="false">IF($B817="","",$B817*(IsverenPayiOrani+IssizlikOrani))</f>
        <v/>
      </c>
    </row>
    <row r="818" customFormat="false" ht="15" hidden="false" customHeight="false" outlineLevel="0" collapsed="false">
      <c r="A818" s="19"/>
      <c r="B818" s="20"/>
      <c r="C818" s="19"/>
      <c r="D818" s="23"/>
      <c r="E818" s="19"/>
      <c r="F818" s="23"/>
      <c r="G818" s="23"/>
      <c r="H818" s="23"/>
      <c r="I818" s="22" t="str">
        <f aca="false">IF($B818="","",$B818*(IsverenPayiOrani+IssizlikOrani))</f>
        <v/>
      </c>
    </row>
    <row r="819" customFormat="false" ht="15" hidden="false" customHeight="false" outlineLevel="0" collapsed="false">
      <c r="A819" s="19"/>
      <c r="B819" s="20"/>
      <c r="C819" s="19"/>
      <c r="D819" s="23"/>
      <c r="E819" s="19"/>
      <c r="F819" s="23"/>
      <c r="G819" s="23"/>
      <c r="H819" s="23"/>
      <c r="I819" s="22" t="str">
        <f aca="false">IF($B819="","",$B819*(IsverenPayiOrani+IssizlikOrani))</f>
        <v/>
      </c>
    </row>
    <row r="820" customFormat="false" ht="15" hidden="false" customHeight="false" outlineLevel="0" collapsed="false">
      <c r="A820" s="19"/>
      <c r="B820" s="20"/>
      <c r="C820" s="19"/>
      <c r="D820" s="23"/>
      <c r="E820" s="19"/>
      <c r="F820" s="23"/>
      <c r="G820" s="23"/>
      <c r="H820" s="23"/>
      <c r="I820" s="22" t="str">
        <f aca="false">IF($B820="","",$B820*(IsverenPayiOrani+IssizlikOrani))</f>
        <v/>
      </c>
    </row>
    <row r="821" customFormat="false" ht="15" hidden="false" customHeight="false" outlineLevel="0" collapsed="false">
      <c r="A821" s="19"/>
      <c r="B821" s="20"/>
      <c r="C821" s="19"/>
      <c r="D821" s="23"/>
      <c r="E821" s="19"/>
      <c r="F821" s="23"/>
      <c r="G821" s="23"/>
      <c r="H821" s="23"/>
      <c r="I821" s="22" t="str">
        <f aca="false">IF($B821="","",$B821*(IsverenPayiOrani+IssizlikOrani))</f>
        <v/>
      </c>
    </row>
    <row r="822" customFormat="false" ht="15" hidden="false" customHeight="false" outlineLevel="0" collapsed="false">
      <c r="A822" s="19"/>
      <c r="B822" s="20"/>
      <c r="C822" s="19"/>
      <c r="D822" s="23"/>
      <c r="E822" s="19"/>
      <c r="F822" s="23"/>
      <c r="G822" s="23"/>
      <c r="H822" s="23"/>
      <c r="I822" s="22" t="str">
        <f aca="false">IF($B822="","",$B822*(IsverenPayiOrani+IssizlikOrani))</f>
        <v/>
      </c>
    </row>
    <row r="823" customFormat="false" ht="15" hidden="false" customHeight="false" outlineLevel="0" collapsed="false">
      <c r="A823" s="19"/>
      <c r="B823" s="20"/>
      <c r="C823" s="19"/>
      <c r="D823" s="23"/>
      <c r="E823" s="19"/>
      <c r="F823" s="23"/>
      <c r="G823" s="23"/>
      <c r="H823" s="23"/>
      <c r="I823" s="22" t="str">
        <f aca="false">IF($B823="","",$B823*(IsverenPayiOrani+IssizlikOrani))</f>
        <v/>
      </c>
    </row>
    <row r="824" customFormat="false" ht="15" hidden="false" customHeight="false" outlineLevel="0" collapsed="false">
      <c r="A824" s="19"/>
      <c r="B824" s="20"/>
      <c r="C824" s="19"/>
      <c r="D824" s="23"/>
      <c r="E824" s="19"/>
      <c r="F824" s="23"/>
      <c r="G824" s="23"/>
      <c r="H824" s="23"/>
      <c r="I824" s="22" t="str">
        <f aca="false">IF($B824="","",$B824*(IsverenPayiOrani+IssizlikOrani))</f>
        <v/>
      </c>
    </row>
    <row r="825" customFormat="false" ht="15" hidden="false" customHeight="false" outlineLevel="0" collapsed="false">
      <c r="A825" s="19"/>
      <c r="B825" s="20"/>
      <c r="C825" s="19"/>
      <c r="D825" s="23"/>
      <c r="E825" s="19"/>
      <c r="F825" s="23"/>
      <c r="G825" s="23"/>
      <c r="H825" s="23"/>
      <c r="I825" s="22" t="str">
        <f aca="false">IF($B825="","",$B825*(IsverenPayiOrani+IssizlikOrani))</f>
        <v/>
      </c>
    </row>
    <row r="826" customFormat="false" ht="15" hidden="false" customHeight="false" outlineLevel="0" collapsed="false">
      <c r="A826" s="19"/>
      <c r="B826" s="20"/>
      <c r="C826" s="19"/>
      <c r="D826" s="23"/>
      <c r="E826" s="19"/>
      <c r="F826" s="23"/>
      <c r="G826" s="23"/>
      <c r="H826" s="23"/>
      <c r="I826" s="22" t="str">
        <f aca="false">IF($B826="","",$B826*(IsverenPayiOrani+IssizlikOrani))</f>
        <v/>
      </c>
    </row>
    <row r="827" customFormat="false" ht="15" hidden="false" customHeight="false" outlineLevel="0" collapsed="false">
      <c r="A827" s="19"/>
      <c r="B827" s="20"/>
      <c r="C827" s="19"/>
      <c r="D827" s="23"/>
      <c r="E827" s="19"/>
      <c r="F827" s="23"/>
      <c r="G827" s="23"/>
      <c r="H827" s="23"/>
      <c r="I827" s="22" t="str">
        <f aca="false">IF($B827="","",$B827*(IsverenPayiOrani+IssizlikOrani))</f>
        <v/>
      </c>
    </row>
    <row r="828" customFormat="false" ht="15" hidden="false" customHeight="false" outlineLevel="0" collapsed="false">
      <c r="A828" s="19"/>
      <c r="B828" s="20"/>
      <c r="C828" s="19"/>
      <c r="D828" s="23"/>
      <c r="E828" s="19"/>
      <c r="F828" s="23"/>
      <c r="G828" s="23"/>
      <c r="H828" s="23"/>
      <c r="I828" s="22" t="str">
        <f aca="false">IF($B828="","",$B828*(IsverenPayiOrani+IssizlikOrani))</f>
        <v/>
      </c>
    </row>
    <row r="829" customFormat="false" ht="15" hidden="false" customHeight="false" outlineLevel="0" collapsed="false">
      <c r="A829" s="19"/>
      <c r="B829" s="20"/>
      <c r="C829" s="19"/>
      <c r="D829" s="23"/>
      <c r="E829" s="19"/>
      <c r="F829" s="23"/>
      <c r="G829" s="23"/>
      <c r="H829" s="23"/>
      <c r="I829" s="22" t="str">
        <f aca="false">IF($B829="","",$B829*(IsverenPayiOrani+IssizlikOrani))</f>
        <v/>
      </c>
    </row>
    <row r="830" customFormat="false" ht="15" hidden="false" customHeight="false" outlineLevel="0" collapsed="false">
      <c r="A830" s="19"/>
      <c r="B830" s="20"/>
      <c r="C830" s="19"/>
      <c r="D830" s="23"/>
      <c r="E830" s="19"/>
      <c r="F830" s="23"/>
      <c r="G830" s="23"/>
      <c r="H830" s="23"/>
      <c r="I830" s="22" t="str">
        <f aca="false">IF($B830="","",$B830*(IsverenPayiOrani+IssizlikOrani))</f>
        <v/>
      </c>
    </row>
    <row r="831" customFormat="false" ht="15" hidden="false" customHeight="false" outlineLevel="0" collapsed="false">
      <c r="A831" s="19"/>
      <c r="B831" s="20"/>
      <c r="C831" s="19"/>
      <c r="D831" s="23"/>
      <c r="E831" s="19"/>
      <c r="F831" s="23"/>
      <c r="G831" s="23"/>
      <c r="H831" s="23"/>
      <c r="I831" s="22" t="str">
        <f aca="false">IF($B831="","",$B831*(IsverenPayiOrani+IssizlikOrani))</f>
        <v/>
      </c>
    </row>
    <row r="832" customFormat="false" ht="15" hidden="false" customHeight="false" outlineLevel="0" collapsed="false">
      <c r="A832" s="19"/>
      <c r="B832" s="20"/>
      <c r="C832" s="19"/>
      <c r="D832" s="23"/>
      <c r="E832" s="19"/>
      <c r="F832" s="23"/>
      <c r="G832" s="23"/>
      <c r="H832" s="23"/>
      <c r="I832" s="22" t="str">
        <f aca="false">IF($B832="","",$B832*(IsverenPayiOrani+IssizlikOrani))</f>
        <v/>
      </c>
    </row>
    <row r="833" customFormat="false" ht="15" hidden="false" customHeight="false" outlineLevel="0" collapsed="false">
      <c r="A833" s="19"/>
      <c r="B833" s="20"/>
      <c r="C833" s="19"/>
      <c r="D833" s="23"/>
      <c r="E833" s="19"/>
      <c r="F833" s="23"/>
      <c r="G833" s="23"/>
      <c r="H833" s="23"/>
      <c r="I833" s="22" t="str">
        <f aca="false">IF($B833="","",$B833*(IsverenPayiOrani+IssizlikOrani))</f>
        <v/>
      </c>
    </row>
    <row r="834" customFormat="false" ht="15" hidden="false" customHeight="false" outlineLevel="0" collapsed="false">
      <c r="A834" s="19"/>
      <c r="B834" s="20"/>
      <c r="C834" s="19"/>
      <c r="D834" s="23"/>
      <c r="E834" s="19"/>
      <c r="F834" s="23"/>
      <c r="G834" s="23"/>
      <c r="H834" s="23"/>
      <c r="I834" s="22" t="str">
        <f aca="false">IF($B834="","",$B834*(IsverenPayiOrani+IssizlikOrani))</f>
        <v/>
      </c>
    </row>
    <row r="835" customFormat="false" ht="15" hidden="false" customHeight="false" outlineLevel="0" collapsed="false">
      <c r="A835" s="19"/>
      <c r="B835" s="20"/>
      <c r="C835" s="19"/>
      <c r="D835" s="23"/>
      <c r="E835" s="19"/>
      <c r="F835" s="23"/>
      <c r="G835" s="23"/>
      <c r="H835" s="23"/>
      <c r="I835" s="22" t="str">
        <f aca="false">IF($B835="","",$B835*(IsverenPayiOrani+IssizlikOrani))</f>
        <v/>
      </c>
    </row>
    <row r="836" customFormat="false" ht="15" hidden="false" customHeight="false" outlineLevel="0" collapsed="false">
      <c r="A836" s="19"/>
      <c r="B836" s="20"/>
      <c r="C836" s="19"/>
      <c r="D836" s="23"/>
      <c r="E836" s="19"/>
      <c r="F836" s="23"/>
      <c r="G836" s="23"/>
      <c r="H836" s="23"/>
      <c r="I836" s="22" t="str">
        <f aca="false">IF($B836="","",$B836*(IsverenPayiOrani+IssizlikOrani))</f>
        <v/>
      </c>
    </row>
    <row r="837" customFormat="false" ht="15" hidden="false" customHeight="false" outlineLevel="0" collapsed="false">
      <c r="A837" s="19"/>
      <c r="B837" s="20"/>
      <c r="C837" s="19"/>
      <c r="D837" s="23"/>
      <c r="E837" s="19"/>
      <c r="F837" s="23"/>
      <c r="G837" s="23"/>
      <c r="H837" s="23"/>
      <c r="I837" s="22" t="str">
        <f aca="false">IF($B837="","",$B837*(IsverenPayiOrani+IssizlikOrani))</f>
        <v/>
      </c>
    </row>
    <row r="838" customFormat="false" ht="15" hidden="false" customHeight="false" outlineLevel="0" collapsed="false">
      <c r="A838" s="19"/>
      <c r="B838" s="20"/>
      <c r="C838" s="19"/>
      <c r="D838" s="23"/>
      <c r="E838" s="19"/>
      <c r="F838" s="23"/>
      <c r="G838" s="23"/>
      <c r="H838" s="23"/>
      <c r="I838" s="22" t="str">
        <f aca="false">IF($B838="","",$B838*(IsverenPayiOrani+IssizlikOrani))</f>
        <v/>
      </c>
    </row>
    <row r="839" customFormat="false" ht="15" hidden="false" customHeight="false" outlineLevel="0" collapsed="false">
      <c r="A839" s="19"/>
      <c r="B839" s="20"/>
      <c r="C839" s="19"/>
      <c r="D839" s="23"/>
      <c r="E839" s="19"/>
      <c r="F839" s="23"/>
      <c r="G839" s="23"/>
      <c r="H839" s="23"/>
      <c r="I839" s="22" t="str">
        <f aca="false">IF($B839="","",$B839*(IsverenPayiOrani+IssizlikOrani))</f>
        <v/>
      </c>
    </row>
    <row r="840" customFormat="false" ht="15" hidden="false" customHeight="false" outlineLevel="0" collapsed="false">
      <c r="A840" s="19"/>
      <c r="B840" s="20"/>
      <c r="C840" s="19"/>
      <c r="D840" s="23"/>
      <c r="E840" s="19"/>
      <c r="F840" s="23"/>
      <c r="G840" s="23"/>
      <c r="H840" s="23"/>
      <c r="I840" s="22" t="str">
        <f aca="false">IF($B840="","",$B840*(IsverenPayiOrani+IssizlikOrani))</f>
        <v/>
      </c>
    </row>
    <row r="841" customFormat="false" ht="15" hidden="false" customHeight="false" outlineLevel="0" collapsed="false">
      <c r="A841" s="19"/>
      <c r="B841" s="20"/>
      <c r="C841" s="19"/>
      <c r="D841" s="23"/>
      <c r="E841" s="19"/>
      <c r="F841" s="23"/>
      <c r="G841" s="23"/>
      <c r="H841" s="23"/>
      <c r="I841" s="22" t="str">
        <f aca="false">IF($B841="","",$B841*(IsverenPayiOrani+IssizlikOrani))</f>
        <v/>
      </c>
    </row>
    <row r="842" customFormat="false" ht="15" hidden="false" customHeight="false" outlineLevel="0" collapsed="false">
      <c r="A842" s="19"/>
      <c r="B842" s="20"/>
      <c r="C842" s="19"/>
      <c r="D842" s="23"/>
      <c r="E842" s="19"/>
      <c r="F842" s="23"/>
      <c r="G842" s="23"/>
      <c r="H842" s="23"/>
      <c r="I842" s="22" t="str">
        <f aca="false">IF($B842="","",$B842*(IsverenPayiOrani+IssizlikOrani))</f>
        <v/>
      </c>
    </row>
    <row r="843" customFormat="false" ht="15" hidden="false" customHeight="false" outlineLevel="0" collapsed="false">
      <c r="A843" s="19"/>
      <c r="B843" s="20"/>
      <c r="C843" s="19"/>
      <c r="D843" s="23"/>
      <c r="E843" s="19"/>
      <c r="F843" s="23"/>
      <c r="G843" s="23"/>
      <c r="H843" s="23"/>
      <c r="I843" s="22" t="str">
        <f aca="false">IF($B843="","",$B843*(IsverenPayiOrani+IssizlikOrani))</f>
        <v/>
      </c>
    </row>
    <row r="844" customFormat="false" ht="15" hidden="false" customHeight="false" outlineLevel="0" collapsed="false">
      <c r="A844" s="19"/>
      <c r="B844" s="20"/>
      <c r="C844" s="19"/>
      <c r="D844" s="23"/>
      <c r="E844" s="19"/>
      <c r="F844" s="23"/>
      <c r="G844" s="23"/>
      <c r="H844" s="23"/>
      <c r="I844" s="22" t="str">
        <f aca="false">IF($B844="","",$B844*(IsverenPayiOrani+IssizlikOrani))</f>
        <v/>
      </c>
    </row>
    <row r="845" customFormat="false" ht="15" hidden="false" customHeight="false" outlineLevel="0" collapsed="false">
      <c r="A845" s="19"/>
      <c r="B845" s="20"/>
      <c r="C845" s="19"/>
      <c r="D845" s="23"/>
      <c r="E845" s="19"/>
      <c r="F845" s="23"/>
      <c r="G845" s="23"/>
      <c r="H845" s="23"/>
      <c r="I845" s="22" t="str">
        <f aca="false">IF($B845="","",$B845*(IsverenPayiOrani+IssizlikOrani))</f>
        <v/>
      </c>
    </row>
    <row r="846" customFormat="false" ht="15" hidden="false" customHeight="false" outlineLevel="0" collapsed="false">
      <c r="A846" s="19"/>
      <c r="B846" s="20"/>
      <c r="C846" s="19"/>
      <c r="D846" s="23"/>
      <c r="E846" s="19"/>
      <c r="F846" s="23"/>
      <c r="G846" s="23"/>
      <c r="H846" s="23"/>
      <c r="I846" s="22" t="str">
        <f aca="false">IF($B846="","",$B846*(IsverenPayiOrani+IssizlikOrani))</f>
        <v/>
      </c>
    </row>
    <row r="847" customFormat="false" ht="15" hidden="false" customHeight="false" outlineLevel="0" collapsed="false">
      <c r="A847" s="19"/>
      <c r="B847" s="20"/>
      <c r="C847" s="19"/>
      <c r="D847" s="23"/>
      <c r="E847" s="19"/>
      <c r="F847" s="23"/>
      <c r="G847" s="23"/>
      <c r="H847" s="23"/>
      <c r="I847" s="22" t="str">
        <f aca="false">IF($B847="","",$B847*(IsverenPayiOrani+IssizlikOrani))</f>
        <v/>
      </c>
    </row>
    <row r="848" customFormat="false" ht="15" hidden="false" customHeight="false" outlineLevel="0" collapsed="false">
      <c r="A848" s="19"/>
      <c r="B848" s="20"/>
      <c r="C848" s="19"/>
      <c r="D848" s="23"/>
      <c r="E848" s="19"/>
      <c r="F848" s="23"/>
      <c r="G848" s="23"/>
      <c r="H848" s="23"/>
      <c r="I848" s="22" t="str">
        <f aca="false">IF($B848="","",$B848*(IsverenPayiOrani+IssizlikOrani))</f>
        <v/>
      </c>
    </row>
    <row r="849" customFormat="false" ht="15" hidden="false" customHeight="false" outlineLevel="0" collapsed="false">
      <c r="A849" s="19"/>
      <c r="B849" s="20"/>
      <c r="C849" s="19"/>
      <c r="D849" s="23"/>
      <c r="E849" s="19"/>
      <c r="F849" s="23"/>
      <c r="G849" s="23"/>
      <c r="H849" s="23"/>
      <c r="I849" s="22" t="str">
        <f aca="false">IF($B849="","",$B849*(IsverenPayiOrani+IssizlikOrani))</f>
        <v/>
      </c>
    </row>
    <row r="850" customFormat="false" ht="15" hidden="false" customHeight="false" outlineLevel="0" collapsed="false">
      <c r="A850" s="19"/>
      <c r="B850" s="20"/>
      <c r="C850" s="19"/>
      <c r="D850" s="23"/>
      <c r="E850" s="19"/>
      <c r="F850" s="23"/>
      <c r="G850" s="23"/>
      <c r="H850" s="23"/>
      <c r="I850" s="22" t="str">
        <f aca="false">IF($B850="","",$B850*(IsverenPayiOrani+IssizlikOrani))</f>
        <v/>
      </c>
    </row>
    <row r="851" customFormat="false" ht="15" hidden="false" customHeight="false" outlineLevel="0" collapsed="false">
      <c r="A851" s="19"/>
      <c r="B851" s="20"/>
      <c r="C851" s="19"/>
      <c r="D851" s="23"/>
      <c r="E851" s="19"/>
      <c r="F851" s="23"/>
      <c r="G851" s="23"/>
      <c r="H851" s="23"/>
      <c r="I851" s="22" t="str">
        <f aca="false">IF($B851="","",$B851*(IsverenPayiOrani+IssizlikOrani))</f>
        <v/>
      </c>
    </row>
    <row r="852" customFormat="false" ht="15" hidden="false" customHeight="false" outlineLevel="0" collapsed="false">
      <c r="A852" s="19"/>
      <c r="B852" s="20"/>
      <c r="C852" s="19"/>
      <c r="D852" s="23"/>
      <c r="E852" s="19"/>
      <c r="F852" s="23"/>
      <c r="G852" s="23"/>
      <c r="H852" s="23"/>
      <c r="I852" s="22" t="str">
        <f aca="false">IF($B852="","",$B852*(IsverenPayiOrani+IssizlikOrani))</f>
        <v/>
      </c>
    </row>
    <row r="853" customFormat="false" ht="15" hidden="false" customHeight="false" outlineLevel="0" collapsed="false">
      <c r="A853" s="19"/>
      <c r="B853" s="20"/>
      <c r="C853" s="19"/>
      <c r="D853" s="23"/>
      <c r="E853" s="19"/>
      <c r="F853" s="23"/>
      <c r="G853" s="23"/>
      <c r="H853" s="23"/>
      <c r="I853" s="22" t="str">
        <f aca="false">IF($B853="","",$B853*(IsverenPayiOrani+IssizlikOrani))</f>
        <v/>
      </c>
    </row>
    <row r="854" customFormat="false" ht="15" hidden="false" customHeight="false" outlineLevel="0" collapsed="false">
      <c r="A854" s="19"/>
      <c r="B854" s="20"/>
      <c r="C854" s="19"/>
      <c r="D854" s="23"/>
      <c r="E854" s="19"/>
      <c r="F854" s="23"/>
      <c r="G854" s="23"/>
      <c r="H854" s="23"/>
      <c r="I854" s="22" t="str">
        <f aca="false">IF($B854="","",$B854*(IsverenPayiOrani+IssizlikOrani))</f>
        <v/>
      </c>
    </row>
    <row r="855" customFormat="false" ht="15" hidden="false" customHeight="false" outlineLevel="0" collapsed="false">
      <c r="A855" s="19"/>
      <c r="B855" s="20"/>
      <c r="C855" s="19"/>
      <c r="D855" s="23"/>
      <c r="E855" s="19"/>
      <c r="F855" s="23"/>
      <c r="G855" s="23"/>
      <c r="H855" s="23"/>
      <c r="I855" s="22" t="str">
        <f aca="false">IF($B855="","",$B855*(IsverenPayiOrani+IssizlikOrani))</f>
        <v/>
      </c>
    </row>
    <row r="856" customFormat="false" ht="15" hidden="false" customHeight="false" outlineLevel="0" collapsed="false">
      <c r="A856" s="19"/>
      <c r="B856" s="20"/>
      <c r="C856" s="19"/>
      <c r="D856" s="23"/>
      <c r="E856" s="19"/>
      <c r="F856" s="23"/>
      <c r="G856" s="23"/>
      <c r="H856" s="23"/>
      <c r="I856" s="22" t="str">
        <f aca="false">IF($B856="","",$B856*(IsverenPayiOrani+IssizlikOrani))</f>
        <v/>
      </c>
    </row>
    <row r="857" customFormat="false" ht="15" hidden="false" customHeight="false" outlineLevel="0" collapsed="false">
      <c r="A857" s="19"/>
      <c r="B857" s="20"/>
      <c r="C857" s="19"/>
      <c r="D857" s="23"/>
      <c r="E857" s="19"/>
      <c r="F857" s="23"/>
      <c r="G857" s="23"/>
      <c r="H857" s="23"/>
      <c r="I857" s="22" t="str">
        <f aca="false">IF($B857="","",$B857*(IsverenPayiOrani+IssizlikOrani))</f>
        <v/>
      </c>
    </row>
    <row r="858" customFormat="false" ht="15" hidden="false" customHeight="false" outlineLevel="0" collapsed="false">
      <c r="A858" s="19"/>
      <c r="B858" s="20"/>
      <c r="C858" s="19"/>
      <c r="D858" s="23"/>
      <c r="E858" s="19"/>
      <c r="F858" s="23"/>
      <c r="G858" s="23"/>
      <c r="H858" s="23"/>
      <c r="I858" s="22" t="str">
        <f aca="false">IF($B858="","",$B858*(IsverenPayiOrani+IssizlikOrani))</f>
        <v/>
      </c>
    </row>
    <row r="859" customFormat="false" ht="15" hidden="false" customHeight="false" outlineLevel="0" collapsed="false">
      <c r="A859" s="19"/>
      <c r="B859" s="20"/>
      <c r="C859" s="19"/>
      <c r="D859" s="23"/>
      <c r="E859" s="19"/>
      <c r="F859" s="23"/>
      <c r="G859" s="23"/>
      <c r="H859" s="23"/>
      <c r="I859" s="22" t="str">
        <f aca="false">IF($B859="","",$B859*(IsverenPayiOrani+IssizlikOrani))</f>
        <v/>
      </c>
    </row>
    <row r="860" customFormat="false" ht="15" hidden="false" customHeight="false" outlineLevel="0" collapsed="false">
      <c r="A860" s="19"/>
      <c r="B860" s="20"/>
      <c r="C860" s="19"/>
      <c r="D860" s="23"/>
      <c r="E860" s="19"/>
      <c r="F860" s="23"/>
      <c r="G860" s="23"/>
      <c r="H860" s="23"/>
      <c r="I860" s="22" t="str">
        <f aca="false">IF($B860="","",$B860*(IsverenPayiOrani+IssizlikOrani))</f>
        <v/>
      </c>
    </row>
    <row r="861" customFormat="false" ht="15" hidden="false" customHeight="false" outlineLevel="0" collapsed="false">
      <c r="A861" s="19"/>
      <c r="B861" s="20"/>
      <c r="C861" s="19"/>
      <c r="D861" s="23"/>
      <c r="E861" s="19"/>
      <c r="F861" s="23"/>
      <c r="G861" s="23"/>
      <c r="H861" s="23"/>
      <c r="I861" s="22" t="str">
        <f aca="false">IF($B861="","",$B861*(IsverenPayiOrani+IssizlikOrani))</f>
        <v/>
      </c>
    </row>
    <row r="862" customFormat="false" ht="15" hidden="false" customHeight="false" outlineLevel="0" collapsed="false">
      <c r="A862" s="19"/>
      <c r="B862" s="20"/>
      <c r="C862" s="19"/>
      <c r="D862" s="23"/>
      <c r="E862" s="19"/>
      <c r="F862" s="23"/>
      <c r="G862" s="23"/>
      <c r="H862" s="23"/>
      <c r="I862" s="22" t="str">
        <f aca="false">IF($B862="","",$B862*(IsverenPayiOrani+IssizlikOrani))</f>
        <v/>
      </c>
    </row>
    <row r="863" customFormat="false" ht="15" hidden="false" customHeight="false" outlineLevel="0" collapsed="false">
      <c r="A863" s="19"/>
      <c r="B863" s="20"/>
      <c r="C863" s="19"/>
      <c r="D863" s="23"/>
      <c r="E863" s="19"/>
      <c r="F863" s="23"/>
      <c r="G863" s="23"/>
      <c r="H863" s="23"/>
      <c r="I863" s="22" t="str">
        <f aca="false">IF($B863="","",$B863*(IsverenPayiOrani+IssizlikOrani))</f>
        <v/>
      </c>
    </row>
    <row r="864" customFormat="false" ht="15" hidden="false" customHeight="false" outlineLevel="0" collapsed="false">
      <c r="A864" s="19"/>
      <c r="B864" s="20"/>
      <c r="C864" s="19"/>
      <c r="D864" s="23"/>
      <c r="E864" s="19"/>
      <c r="F864" s="23"/>
      <c r="G864" s="23"/>
      <c r="H864" s="23"/>
      <c r="I864" s="22" t="str">
        <f aca="false">IF($B864="","",$B864*(IsverenPayiOrani+IssizlikOrani))</f>
        <v/>
      </c>
    </row>
    <row r="865" customFormat="false" ht="15" hidden="false" customHeight="false" outlineLevel="0" collapsed="false">
      <c r="A865" s="19"/>
      <c r="B865" s="20"/>
      <c r="C865" s="19"/>
      <c r="D865" s="23"/>
      <c r="E865" s="19"/>
      <c r="F865" s="23"/>
      <c r="G865" s="23"/>
      <c r="H865" s="23"/>
      <c r="I865" s="22" t="str">
        <f aca="false">IF($B865="","",$B865*(IsverenPayiOrani+IssizlikOrani))</f>
        <v/>
      </c>
    </row>
    <row r="866" customFormat="false" ht="15" hidden="false" customHeight="false" outlineLevel="0" collapsed="false">
      <c r="A866" s="19"/>
      <c r="B866" s="20"/>
      <c r="C866" s="19"/>
      <c r="D866" s="23"/>
      <c r="E866" s="19"/>
      <c r="F866" s="23"/>
      <c r="G866" s="23"/>
      <c r="H866" s="23"/>
      <c r="I866" s="22" t="str">
        <f aca="false">IF($B866="","",$B866*(IsverenPayiOrani+IssizlikOrani))</f>
        <v/>
      </c>
    </row>
    <row r="867" customFormat="false" ht="15" hidden="false" customHeight="false" outlineLevel="0" collapsed="false">
      <c r="A867" s="19"/>
      <c r="B867" s="20"/>
      <c r="C867" s="19"/>
      <c r="D867" s="23"/>
      <c r="E867" s="19"/>
      <c r="F867" s="23"/>
      <c r="G867" s="23"/>
      <c r="H867" s="23"/>
      <c r="I867" s="22" t="str">
        <f aca="false">IF($B867="","",$B867*(IsverenPayiOrani+IssizlikOrani))</f>
        <v/>
      </c>
    </row>
    <row r="868" customFormat="false" ht="15" hidden="false" customHeight="false" outlineLevel="0" collapsed="false">
      <c r="A868" s="19"/>
      <c r="B868" s="20"/>
      <c r="C868" s="19"/>
      <c r="D868" s="23"/>
      <c r="E868" s="19"/>
      <c r="F868" s="23"/>
      <c r="G868" s="23"/>
      <c r="H868" s="23"/>
      <c r="I868" s="22" t="str">
        <f aca="false">IF($B868="","",$B868*(IsverenPayiOrani+IssizlikOrani))</f>
        <v/>
      </c>
    </row>
    <row r="869" customFormat="false" ht="15" hidden="false" customHeight="false" outlineLevel="0" collapsed="false">
      <c r="A869" s="19"/>
      <c r="B869" s="20"/>
      <c r="C869" s="19"/>
      <c r="D869" s="23"/>
      <c r="E869" s="19"/>
      <c r="F869" s="23"/>
      <c r="G869" s="23"/>
      <c r="H869" s="23"/>
      <c r="I869" s="22" t="str">
        <f aca="false">IF($B869="","",$B869*(IsverenPayiOrani+IssizlikOrani))</f>
        <v/>
      </c>
    </row>
    <row r="870" customFormat="false" ht="15" hidden="false" customHeight="false" outlineLevel="0" collapsed="false">
      <c r="A870" s="19"/>
      <c r="B870" s="20"/>
      <c r="C870" s="19"/>
      <c r="D870" s="23"/>
      <c r="E870" s="19"/>
      <c r="F870" s="23"/>
      <c r="G870" s="23"/>
      <c r="H870" s="23"/>
      <c r="I870" s="22" t="str">
        <f aca="false">IF($B870="","",$B870*(IsverenPayiOrani+IssizlikOrani))</f>
        <v/>
      </c>
    </row>
    <row r="871" customFormat="false" ht="15" hidden="false" customHeight="false" outlineLevel="0" collapsed="false">
      <c r="A871" s="19"/>
      <c r="B871" s="20"/>
      <c r="C871" s="19"/>
      <c r="D871" s="23"/>
      <c r="E871" s="19"/>
      <c r="F871" s="23"/>
      <c r="G871" s="23"/>
      <c r="H871" s="23"/>
      <c r="I871" s="22" t="str">
        <f aca="false">IF($B871="","",$B871*(IsverenPayiOrani+IssizlikOrani))</f>
        <v/>
      </c>
    </row>
    <row r="872" customFormat="false" ht="15" hidden="false" customHeight="false" outlineLevel="0" collapsed="false">
      <c r="A872" s="19"/>
      <c r="B872" s="20"/>
      <c r="C872" s="19"/>
      <c r="D872" s="23"/>
      <c r="E872" s="19"/>
      <c r="F872" s="23"/>
      <c r="G872" s="23"/>
      <c r="H872" s="23"/>
      <c r="I872" s="22" t="str">
        <f aca="false">IF($B872="","",$B872*(IsverenPayiOrani+IssizlikOrani))</f>
        <v/>
      </c>
    </row>
    <row r="873" customFormat="false" ht="15" hidden="false" customHeight="false" outlineLevel="0" collapsed="false">
      <c r="A873" s="19"/>
      <c r="B873" s="20"/>
      <c r="C873" s="19"/>
      <c r="D873" s="23"/>
      <c r="E873" s="19"/>
      <c r="F873" s="23"/>
      <c r="G873" s="23"/>
      <c r="H873" s="23"/>
      <c r="I873" s="22" t="str">
        <f aca="false">IF($B873="","",$B873*(IsverenPayiOrani+IssizlikOrani))</f>
        <v/>
      </c>
    </row>
    <row r="874" customFormat="false" ht="15" hidden="false" customHeight="false" outlineLevel="0" collapsed="false">
      <c r="A874" s="19"/>
      <c r="B874" s="20"/>
      <c r="C874" s="19"/>
      <c r="D874" s="23"/>
      <c r="E874" s="19"/>
      <c r="F874" s="23"/>
      <c r="G874" s="23"/>
      <c r="H874" s="23"/>
      <c r="I874" s="22" t="str">
        <f aca="false">IF($B874="","",$B874*(IsverenPayiOrani+IssizlikOrani))</f>
        <v/>
      </c>
    </row>
    <row r="875" customFormat="false" ht="15" hidden="false" customHeight="false" outlineLevel="0" collapsed="false">
      <c r="A875" s="19"/>
      <c r="B875" s="20"/>
      <c r="C875" s="19"/>
      <c r="D875" s="23"/>
      <c r="E875" s="19"/>
      <c r="F875" s="23"/>
      <c r="G875" s="23"/>
      <c r="H875" s="23"/>
      <c r="I875" s="22" t="str">
        <f aca="false">IF($B875="","",$B875*(IsverenPayiOrani+IssizlikOrani))</f>
        <v/>
      </c>
    </row>
    <row r="876" customFormat="false" ht="15" hidden="false" customHeight="false" outlineLevel="0" collapsed="false">
      <c r="A876" s="19"/>
      <c r="B876" s="20"/>
      <c r="C876" s="19"/>
      <c r="D876" s="23"/>
      <c r="E876" s="19"/>
      <c r="F876" s="23"/>
      <c r="G876" s="23"/>
      <c r="H876" s="23"/>
      <c r="I876" s="22" t="str">
        <f aca="false">IF($B876="","",$B876*(IsverenPayiOrani+IssizlikOrani))</f>
        <v/>
      </c>
    </row>
    <row r="877" customFormat="false" ht="15" hidden="false" customHeight="false" outlineLevel="0" collapsed="false">
      <c r="A877" s="19"/>
      <c r="B877" s="20"/>
      <c r="C877" s="19"/>
      <c r="D877" s="23"/>
      <c r="E877" s="19"/>
      <c r="F877" s="23"/>
      <c r="G877" s="23"/>
      <c r="H877" s="23"/>
      <c r="I877" s="22" t="str">
        <f aca="false">IF($B877="","",$B877*(IsverenPayiOrani+IssizlikOrani))</f>
        <v/>
      </c>
    </row>
    <row r="878" customFormat="false" ht="15" hidden="false" customHeight="false" outlineLevel="0" collapsed="false">
      <c r="A878" s="19"/>
      <c r="B878" s="20"/>
      <c r="C878" s="19"/>
      <c r="D878" s="23"/>
      <c r="E878" s="19"/>
      <c r="F878" s="23"/>
      <c r="G878" s="23"/>
      <c r="H878" s="23"/>
      <c r="I878" s="22" t="str">
        <f aca="false">IF($B878="","",$B878*(IsverenPayiOrani+IssizlikOrani))</f>
        <v/>
      </c>
    </row>
    <row r="879" customFormat="false" ht="15" hidden="false" customHeight="false" outlineLevel="0" collapsed="false">
      <c r="A879" s="19"/>
      <c r="B879" s="20"/>
      <c r="C879" s="19"/>
      <c r="D879" s="23"/>
      <c r="E879" s="19"/>
      <c r="F879" s="23"/>
      <c r="G879" s="23"/>
      <c r="H879" s="23"/>
      <c r="I879" s="22" t="str">
        <f aca="false">IF($B879="","",$B879*(IsverenPayiOrani+IssizlikOrani))</f>
        <v/>
      </c>
    </row>
    <row r="880" customFormat="false" ht="15" hidden="false" customHeight="false" outlineLevel="0" collapsed="false">
      <c r="A880" s="19"/>
      <c r="B880" s="20"/>
      <c r="C880" s="19"/>
      <c r="D880" s="23"/>
      <c r="E880" s="19"/>
      <c r="F880" s="23"/>
      <c r="G880" s="23"/>
      <c r="H880" s="23"/>
      <c r="I880" s="22" t="str">
        <f aca="false">IF($B880="","",$B880*(IsverenPayiOrani+IssizlikOrani))</f>
        <v/>
      </c>
    </row>
    <row r="881" customFormat="false" ht="15" hidden="false" customHeight="false" outlineLevel="0" collapsed="false">
      <c r="A881" s="19"/>
      <c r="B881" s="20"/>
      <c r="C881" s="19"/>
      <c r="D881" s="23"/>
      <c r="E881" s="19"/>
      <c r="F881" s="23"/>
      <c r="G881" s="23"/>
      <c r="H881" s="23"/>
      <c r="I881" s="22" t="str">
        <f aca="false">IF($B881="","",$B881*(IsverenPayiOrani+IssizlikOrani))</f>
        <v/>
      </c>
    </row>
    <row r="882" customFormat="false" ht="15" hidden="false" customHeight="false" outlineLevel="0" collapsed="false">
      <c r="A882" s="19"/>
      <c r="B882" s="20"/>
      <c r="C882" s="19"/>
      <c r="D882" s="23"/>
      <c r="E882" s="19"/>
      <c r="F882" s="23"/>
      <c r="G882" s="23"/>
      <c r="H882" s="23"/>
      <c r="I882" s="22" t="str">
        <f aca="false">IF($B882="","",$B882*(IsverenPayiOrani+IssizlikOrani))</f>
        <v/>
      </c>
    </row>
    <row r="883" customFormat="false" ht="15" hidden="false" customHeight="false" outlineLevel="0" collapsed="false">
      <c r="A883" s="19"/>
      <c r="B883" s="20"/>
      <c r="C883" s="19"/>
      <c r="D883" s="23"/>
      <c r="E883" s="19"/>
      <c r="F883" s="23"/>
      <c r="G883" s="23"/>
      <c r="H883" s="23"/>
      <c r="I883" s="22" t="str">
        <f aca="false">IF($B883="","",$B883*(IsverenPayiOrani+IssizlikOrani))</f>
        <v/>
      </c>
    </row>
    <row r="884" customFormat="false" ht="15" hidden="false" customHeight="false" outlineLevel="0" collapsed="false">
      <c r="A884" s="19"/>
      <c r="B884" s="20"/>
      <c r="C884" s="19"/>
      <c r="D884" s="23"/>
      <c r="E884" s="19"/>
      <c r="F884" s="23"/>
      <c r="G884" s="23"/>
      <c r="H884" s="23"/>
      <c r="I884" s="22" t="str">
        <f aca="false">IF($B884="","",$B884*(IsverenPayiOrani+IssizlikOrani))</f>
        <v/>
      </c>
    </row>
    <row r="885" customFormat="false" ht="15" hidden="false" customHeight="false" outlineLevel="0" collapsed="false">
      <c r="A885" s="19"/>
      <c r="B885" s="20"/>
      <c r="C885" s="19"/>
      <c r="D885" s="23"/>
      <c r="E885" s="19"/>
      <c r="F885" s="23"/>
      <c r="G885" s="23"/>
      <c r="H885" s="23"/>
      <c r="I885" s="22" t="str">
        <f aca="false">IF($B885="","",$B885*(IsverenPayiOrani+IssizlikOrani))</f>
        <v/>
      </c>
    </row>
    <row r="886" customFormat="false" ht="15" hidden="false" customHeight="false" outlineLevel="0" collapsed="false">
      <c r="A886" s="19"/>
      <c r="B886" s="20"/>
      <c r="C886" s="19"/>
      <c r="D886" s="23"/>
      <c r="E886" s="19"/>
      <c r="F886" s="23"/>
      <c r="G886" s="23"/>
      <c r="H886" s="23"/>
      <c r="I886" s="22" t="str">
        <f aca="false">IF($B886="","",$B886*(IsverenPayiOrani+IssizlikOrani))</f>
        <v/>
      </c>
    </row>
    <row r="887" customFormat="false" ht="15" hidden="false" customHeight="false" outlineLevel="0" collapsed="false">
      <c r="A887" s="19"/>
      <c r="B887" s="20"/>
      <c r="C887" s="19"/>
      <c r="D887" s="23"/>
      <c r="E887" s="19"/>
      <c r="F887" s="23"/>
      <c r="G887" s="23"/>
      <c r="H887" s="23"/>
      <c r="I887" s="22" t="str">
        <f aca="false">IF($B887="","",$B887*(IsverenPayiOrani+IssizlikOrani))</f>
        <v/>
      </c>
    </row>
    <row r="888" customFormat="false" ht="15" hidden="false" customHeight="false" outlineLevel="0" collapsed="false">
      <c r="A888" s="19"/>
      <c r="B888" s="20"/>
      <c r="C888" s="19"/>
      <c r="D888" s="23"/>
      <c r="E888" s="19"/>
      <c r="F888" s="23"/>
      <c r="G888" s="23"/>
      <c r="H888" s="23"/>
      <c r="I888" s="22" t="str">
        <f aca="false">IF($B888="","",$B888*(IsverenPayiOrani+IssizlikOrani))</f>
        <v/>
      </c>
    </row>
    <row r="889" customFormat="false" ht="15" hidden="false" customHeight="false" outlineLevel="0" collapsed="false">
      <c r="A889" s="19"/>
      <c r="B889" s="20"/>
      <c r="C889" s="19"/>
      <c r="D889" s="23"/>
      <c r="E889" s="19"/>
      <c r="F889" s="23"/>
      <c r="G889" s="23"/>
      <c r="H889" s="23"/>
      <c r="I889" s="22" t="str">
        <f aca="false">IF($B889="","",$B889*(IsverenPayiOrani+IssizlikOrani))</f>
        <v/>
      </c>
    </row>
    <row r="890" customFormat="false" ht="15" hidden="false" customHeight="false" outlineLevel="0" collapsed="false">
      <c r="A890" s="19"/>
      <c r="B890" s="20"/>
      <c r="C890" s="19"/>
      <c r="D890" s="23"/>
      <c r="E890" s="19"/>
      <c r="F890" s="23"/>
      <c r="G890" s="23"/>
      <c r="H890" s="23"/>
      <c r="I890" s="22" t="str">
        <f aca="false">IF($B890="","",$B890*(IsverenPayiOrani+IssizlikOrani))</f>
        <v/>
      </c>
    </row>
    <row r="891" customFormat="false" ht="15" hidden="false" customHeight="false" outlineLevel="0" collapsed="false">
      <c r="A891" s="19"/>
      <c r="B891" s="20"/>
      <c r="C891" s="19"/>
      <c r="D891" s="23"/>
      <c r="E891" s="19"/>
      <c r="F891" s="23"/>
      <c r="G891" s="23"/>
      <c r="H891" s="23"/>
      <c r="I891" s="22" t="str">
        <f aca="false">IF($B891="","",$B891*(IsverenPayiOrani+IssizlikOrani))</f>
        <v/>
      </c>
    </row>
    <row r="892" customFormat="false" ht="15" hidden="false" customHeight="false" outlineLevel="0" collapsed="false">
      <c r="A892" s="19"/>
      <c r="B892" s="20"/>
      <c r="C892" s="19"/>
      <c r="D892" s="23"/>
      <c r="E892" s="19"/>
      <c r="F892" s="23"/>
      <c r="G892" s="23"/>
      <c r="H892" s="23"/>
      <c r="I892" s="22" t="str">
        <f aca="false">IF($B892="","",$B892*(IsverenPayiOrani+IssizlikOrani))</f>
        <v/>
      </c>
    </row>
    <row r="893" customFormat="false" ht="15" hidden="false" customHeight="false" outlineLevel="0" collapsed="false">
      <c r="A893" s="19"/>
      <c r="B893" s="20"/>
      <c r="C893" s="19"/>
      <c r="D893" s="23"/>
      <c r="E893" s="19"/>
      <c r="F893" s="23"/>
      <c r="G893" s="23"/>
      <c r="H893" s="23"/>
      <c r="I893" s="22" t="str">
        <f aca="false">IF($B893="","",$B893*(IsverenPayiOrani+IssizlikOrani))</f>
        <v/>
      </c>
    </row>
    <row r="894" customFormat="false" ht="15" hidden="false" customHeight="false" outlineLevel="0" collapsed="false">
      <c r="A894" s="19"/>
      <c r="B894" s="20"/>
      <c r="C894" s="19"/>
      <c r="D894" s="23"/>
      <c r="E894" s="19"/>
      <c r="F894" s="23"/>
      <c r="G894" s="23"/>
      <c r="H894" s="23"/>
      <c r="I894" s="22" t="str">
        <f aca="false">IF($B894="","",$B894*(IsverenPayiOrani+IssizlikOrani))</f>
        <v/>
      </c>
    </row>
    <row r="895" customFormat="false" ht="15" hidden="false" customHeight="false" outlineLevel="0" collapsed="false">
      <c r="A895" s="19"/>
      <c r="B895" s="20"/>
      <c r="C895" s="19"/>
      <c r="D895" s="23"/>
      <c r="E895" s="19"/>
      <c r="F895" s="23"/>
      <c r="G895" s="23"/>
      <c r="H895" s="23"/>
      <c r="I895" s="22" t="str">
        <f aca="false">IF($B895="","",$B895*(IsverenPayiOrani+IssizlikOrani))</f>
        <v/>
      </c>
    </row>
    <row r="896" customFormat="false" ht="15" hidden="false" customHeight="false" outlineLevel="0" collapsed="false">
      <c r="A896" s="19"/>
      <c r="B896" s="20"/>
      <c r="C896" s="19"/>
      <c r="D896" s="23"/>
      <c r="E896" s="19"/>
      <c r="F896" s="23"/>
      <c r="G896" s="23"/>
      <c r="H896" s="23"/>
      <c r="I896" s="22" t="str">
        <f aca="false">IF($B896="","",$B896*(IsverenPayiOrani+IssizlikOrani))</f>
        <v/>
      </c>
    </row>
    <row r="897" customFormat="false" ht="15" hidden="false" customHeight="false" outlineLevel="0" collapsed="false">
      <c r="A897" s="19"/>
      <c r="B897" s="20"/>
      <c r="C897" s="19"/>
      <c r="D897" s="23"/>
      <c r="E897" s="19"/>
      <c r="F897" s="23"/>
      <c r="G897" s="23"/>
      <c r="H897" s="23"/>
      <c r="I897" s="22" t="str">
        <f aca="false">IF($B897="","",$B897*(IsverenPayiOrani+IssizlikOrani))</f>
        <v/>
      </c>
    </row>
    <row r="898" customFormat="false" ht="15" hidden="false" customHeight="false" outlineLevel="0" collapsed="false">
      <c r="A898" s="19"/>
      <c r="B898" s="20"/>
      <c r="C898" s="19"/>
      <c r="D898" s="23"/>
      <c r="E898" s="19"/>
      <c r="F898" s="23"/>
      <c r="G898" s="23"/>
      <c r="H898" s="23"/>
      <c r="I898" s="22" t="str">
        <f aca="false">IF($B898="","",$B898*(IsverenPayiOrani+IssizlikOrani))</f>
        <v/>
      </c>
    </row>
    <row r="899" customFormat="false" ht="15" hidden="false" customHeight="false" outlineLevel="0" collapsed="false">
      <c r="A899" s="19"/>
      <c r="B899" s="20"/>
      <c r="C899" s="19"/>
      <c r="D899" s="23"/>
      <c r="E899" s="19"/>
      <c r="F899" s="23"/>
      <c r="G899" s="23"/>
      <c r="H899" s="23"/>
      <c r="I899" s="22" t="str">
        <f aca="false">IF($B899="","",$B899*(IsverenPayiOrani+IssizlikOrani))</f>
        <v/>
      </c>
    </row>
    <row r="900" customFormat="false" ht="15" hidden="false" customHeight="false" outlineLevel="0" collapsed="false">
      <c r="A900" s="19"/>
      <c r="B900" s="20"/>
      <c r="C900" s="19"/>
      <c r="D900" s="23"/>
      <c r="E900" s="19"/>
      <c r="F900" s="23"/>
      <c r="G900" s="23"/>
      <c r="H900" s="23"/>
      <c r="I900" s="22" t="str">
        <f aca="false">IF($B900="","",$B900*(IsverenPayiOrani+IssizlikOrani))</f>
        <v/>
      </c>
    </row>
    <row r="901" customFormat="false" ht="15" hidden="false" customHeight="false" outlineLevel="0" collapsed="false">
      <c r="A901" s="19"/>
      <c r="B901" s="20"/>
      <c r="C901" s="19"/>
      <c r="D901" s="23"/>
      <c r="E901" s="19"/>
      <c r="F901" s="23"/>
      <c r="G901" s="23"/>
      <c r="H901" s="23"/>
      <c r="I901" s="22" t="str">
        <f aca="false">IF($B901="","",$B901*(IsverenPayiOrani+IssizlikOrani))</f>
        <v/>
      </c>
    </row>
    <row r="902" customFormat="false" ht="15" hidden="false" customHeight="false" outlineLevel="0" collapsed="false">
      <c r="A902" s="19"/>
      <c r="B902" s="20"/>
      <c r="C902" s="19"/>
      <c r="D902" s="23"/>
      <c r="E902" s="19"/>
      <c r="F902" s="23"/>
      <c r="G902" s="23"/>
      <c r="H902" s="23"/>
      <c r="I902" s="22" t="str">
        <f aca="false">IF($B902="","",$B902*(IsverenPayiOrani+IssizlikOrani))</f>
        <v/>
      </c>
    </row>
    <row r="903" customFormat="false" ht="15" hidden="false" customHeight="false" outlineLevel="0" collapsed="false">
      <c r="A903" s="19"/>
      <c r="B903" s="20"/>
      <c r="C903" s="19"/>
      <c r="D903" s="23"/>
      <c r="E903" s="19"/>
      <c r="F903" s="23"/>
      <c r="G903" s="23"/>
      <c r="H903" s="23"/>
      <c r="I903" s="22" t="str">
        <f aca="false">IF($B903="","",$B903*(IsverenPayiOrani+IssizlikOrani))</f>
        <v/>
      </c>
    </row>
    <row r="904" customFormat="false" ht="15" hidden="false" customHeight="false" outlineLevel="0" collapsed="false">
      <c r="A904" s="19"/>
      <c r="B904" s="20"/>
      <c r="C904" s="19"/>
      <c r="D904" s="23"/>
      <c r="E904" s="19"/>
      <c r="F904" s="23"/>
      <c r="G904" s="23"/>
      <c r="H904" s="23"/>
      <c r="I904" s="22" t="str">
        <f aca="false">IF($B904="","",$B904*(IsverenPayiOrani+IssizlikOrani))</f>
        <v/>
      </c>
    </row>
    <row r="905" customFormat="false" ht="15" hidden="false" customHeight="false" outlineLevel="0" collapsed="false">
      <c r="A905" s="19"/>
      <c r="B905" s="20"/>
      <c r="C905" s="19"/>
      <c r="D905" s="23"/>
      <c r="E905" s="19"/>
      <c r="F905" s="23"/>
      <c r="G905" s="23"/>
      <c r="H905" s="23"/>
      <c r="I905" s="22" t="str">
        <f aca="false">IF($B905="","",$B905*(IsverenPayiOrani+IssizlikOrani))</f>
        <v/>
      </c>
    </row>
    <row r="906" customFormat="false" ht="15" hidden="false" customHeight="false" outlineLevel="0" collapsed="false">
      <c r="A906" s="19"/>
      <c r="B906" s="20"/>
      <c r="C906" s="19"/>
      <c r="D906" s="23"/>
      <c r="E906" s="19"/>
      <c r="F906" s="23"/>
      <c r="G906" s="23"/>
      <c r="H906" s="23"/>
      <c r="I906" s="22" t="str">
        <f aca="false">IF($B906="","",$B906*(IsverenPayiOrani+IssizlikOrani))</f>
        <v/>
      </c>
    </row>
    <row r="907" customFormat="false" ht="15" hidden="false" customHeight="false" outlineLevel="0" collapsed="false">
      <c r="A907" s="19"/>
      <c r="B907" s="20"/>
      <c r="C907" s="19"/>
      <c r="D907" s="23"/>
      <c r="E907" s="19"/>
      <c r="F907" s="23"/>
      <c r="G907" s="23"/>
      <c r="H907" s="23"/>
      <c r="I907" s="22" t="str">
        <f aca="false">IF($B907="","",$B907*(IsverenPayiOrani+IssizlikOrani))</f>
        <v/>
      </c>
    </row>
    <row r="908" customFormat="false" ht="15" hidden="false" customHeight="false" outlineLevel="0" collapsed="false">
      <c r="A908" s="19"/>
      <c r="B908" s="20"/>
      <c r="C908" s="19"/>
      <c r="D908" s="23"/>
      <c r="E908" s="19"/>
      <c r="F908" s="23"/>
      <c r="G908" s="23"/>
      <c r="H908" s="23"/>
      <c r="I908" s="22" t="str">
        <f aca="false">IF($B908="","",$B908*(IsverenPayiOrani+IssizlikOrani))</f>
        <v/>
      </c>
    </row>
    <row r="909" customFormat="false" ht="15" hidden="false" customHeight="false" outlineLevel="0" collapsed="false">
      <c r="A909" s="19"/>
      <c r="B909" s="20"/>
      <c r="C909" s="19"/>
      <c r="D909" s="23"/>
      <c r="E909" s="19"/>
      <c r="F909" s="23"/>
      <c r="G909" s="23"/>
      <c r="H909" s="23"/>
      <c r="I909" s="22" t="str">
        <f aca="false">IF($B909="","",$B909*(IsverenPayiOrani+IssizlikOrani))</f>
        <v/>
      </c>
    </row>
    <row r="910" customFormat="false" ht="15" hidden="false" customHeight="false" outlineLevel="0" collapsed="false">
      <c r="A910" s="19"/>
      <c r="B910" s="20"/>
      <c r="C910" s="19"/>
      <c r="D910" s="23"/>
      <c r="E910" s="19"/>
      <c r="F910" s="23"/>
      <c r="G910" s="23"/>
      <c r="H910" s="23"/>
      <c r="I910" s="22" t="str">
        <f aca="false">IF($B910="","",$B910*(IsverenPayiOrani+IssizlikOrani))</f>
        <v/>
      </c>
    </row>
    <row r="911" customFormat="false" ht="15" hidden="false" customHeight="false" outlineLevel="0" collapsed="false">
      <c r="A911" s="19"/>
      <c r="B911" s="20"/>
      <c r="C911" s="19"/>
      <c r="D911" s="23"/>
      <c r="E911" s="19"/>
      <c r="F911" s="23"/>
      <c r="G911" s="23"/>
      <c r="H911" s="23"/>
      <c r="I911" s="22" t="str">
        <f aca="false">IF($B911="","",$B911*(IsverenPayiOrani+IssizlikOrani))</f>
        <v/>
      </c>
    </row>
    <row r="912" customFormat="false" ht="15" hidden="false" customHeight="false" outlineLevel="0" collapsed="false">
      <c r="A912" s="19"/>
      <c r="B912" s="20"/>
      <c r="C912" s="19"/>
      <c r="D912" s="23"/>
      <c r="E912" s="19"/>
      <c r="F912" s="23"/>
      <c r="G912" s="23"/>
      <c r="H912" s="23"/>
      <c r="I912" s="22" t="str">
        <f aca="false">IF($B912="","",$B912*(IsverenPayiOrani+IssizlikOrani))</f>
        <v/>
      </c>
    </row>
    <row r="913" customFormat="false" ht="15" hidden="false" customHeight="false" outlineLevel="0" collapsed="false">
      <c r="A913" s="19"/>
      <c r="B913" s="20"/>
      <c r="C913" s="19"/>
      <c r="D913" s="23"/>
      <c r="E913" s="19"/>
      <c r="F913" s="23"/>
      <c r="G913" s="23"/>
      <c r="H913" s="23"/>
      <c r="I913" s="22" t="str">
        <f aca="false">IF($B913="","",$B913*(IsverenPayiOrani+IssizlikOrani))</f>
        <v/>
      </c>
    </row>
    <row r="914" customFormat="false" ht="15" hidden="false" customHeight="false" outlineLevel="0" collapsed="false">
      <c r="A914" s="19"/>
      <c r="B914" s="20"/>
      <c r="C914" s="19"/>
      <c r="D914" s="23"/>
      <c r="E914" s="19"/>
      <c r="F914" s="23"/>
      <c r="G914" s="23"/>
      <c r="H914" s="23"/>
      <c r="I914" s="22" t="str">
        <f aca="false">IF($B914="","",$B914*(IsverenPayiOrani+IssizlikOrani))</f>
        <v/>
      </c>
    </row>
    <row r="915" customFormat="false" ht="15" hidden="false" customHeight="false" outlineLevel="0" collapsed="false">
      <c r="A915" s="19"/>
      <c r="B915" s="20"/>
      <c r="C915" s="19"/>
      <c r="D915" s="23"/>
      <c r="E915" s="19"/>
      <c r="F915" s="23"/>
      <c r="G915" s="23"/>
      <c r="H915" s="23"/>
      <c r="I915" s="22" t="str">
        <f aca="false">IF($B915="","",$B915*(IsverenPayiOrani+IssizlikOrani))</f>
        <v/>
      </c>
    </row>
    <row r="916" customFormat="false" ht="15" hidden="false" customHeight="false" outlineLevel="0" collapsed="false">
      <c r="A916" s="19"/>
      <c r="B916" s="20"/>
      <c r="C916" s="19"/>
      <c r="D916" s="23"/>
      <c r="E916" s="19"/>
      <c r="F916" s="23"/>
      <c r="G916" s="23"/>
      <c r="H916" s="23"/>
      <c r="I916" s="22" t="str">
        <f aca="false">IF($B916="","",$B916*(IsverenPayiOrani+IssizlikOrani))</f>
        <v/>
      </c>
    </row>
    <row r="917" customFormat="false" ht="15" hidden="false" customHeight="false" outlineLevel="0" collapsed="false">
      <c r="A917" s="19"/>
      <c r="B917" s="20"/>
      <c r="C917" s="19"/>
      <c r="D917" s="23"/>
      <c r="E917" s="19"/>
      <c r="F917" s="23"/>
      <c r="G917" s="23"/>
      <c r="H917" s="23"/>
      <c r="I917" s="22" t="str">
        <f aca="false">IF($B917="","",$B917*(IsverenPayiOrani+IssizlikOrani))</f>
        <v/>
      </c>
    </row>
    <row r="918" customFormat="false" ht="15" hidden="false" customHeight="false" outlineLevel="0" collapsed="false">
      <c r="A918" s="19"/>
      <c r="B918" s="20"/>
      <c r="C918" s="19"/>
      <c r="D918" s="23"/>
      <c r="E918" s="19"/>
      <c r="F918" s="23"/>
      <c r="G918" s="23"/>
      <c r="H918" s="23"/>
      <c r="I918" s="22" t="str">
        <f aca="false">IF($B918="","",$B918*(IsverenPayiOrani+IssizlikOrani))</f>
        <v/>
      </c>
    </row>
    <row r="919" customFormat="false" ht="15" hidden="false" customHeight="false" outlineLevel="0" collapsed="false">
      <c r="A919" s="19"/>
      <c r="B919" s="20"/>
      <c r="C919" s="19"/>
      <c r="D919" s="23"/>
      <c r="E919" s="19"/>
      <c r="F919" s="23"/>
      <c r="G919" s="23"/>
      <c r="H919" s="23"/>
      <c r="I919" s="22" t="str">
        <f aca="false">IF($B919="","",$B919*(IsverenPayiOrani+IssizlikOrani))</f>
        <v/>
      </c>
    </row>
    <row r="920" customFormat="false" ht="15" hidden="false" customHeight="false" outlineLevel="0" collapsed="false">
      <c r="A920" s="19"/>
      <c r="B920" s="20"/>
      <c r="C920" s="19"/>
      <c r="D920" s="23"/>
      <c r="E920" s="19"/>
      <c r="F920" s="23"/>
      <c r="G920" s="23"/>
      <c r="H920" s="23"/>
      <c r="I920" s="22" t="str">
        <f aca="false">IF($B920="","",$B920*(IsverenPayiOrani+IssizlikOrani))</f>
        <v/>
      </c>
    </row>
    <row r="921" customFormat="false" ht="15" hidden="false" customHeight="false" outlineLevel="0" collapsed="false">
      <c r="A921" s="19"/>
      <c r="B921" s="20"/>
      <c r="C921" s="19"/>
      <c r="D921" s="23"/>
      <c r="E921" s="19"/>
      <c r="F921" s="23"/>
      <c r="G921" s="23"/>
      <c r="H921" s="23"/>
      <c r="I921" s="22" t="str">
        <f aca="false">IF($B921="","",$B921*(IsverenPayiOrani+IssizlikOrani))</f>
        <v/>
      </c>
    </row>
    <row r="922" customFormat="false" ht="15" hidden="false" customHeight="false" outlineLevel="0" collapsed="false">
      <c r="A922" s="19"/>
      <c r="B922" s="20"/>
      <c r="C922" s="19"/>
      <c r="D922" s="23"/>
      <c r="E922" s="19"/>
      <c r="F922" s="23"/>
      <c r="G922" s="23"/>
      <c r="H922" s="23"/>
      <c r="I922" s="22" t="str">
        <f aca="false">IF($B922="","",$B922*(IsverenPayiOrani+IssizlikOrani))</f>
        <v/>
      </c>
    </row>
    <row r="923" customFormat="false" ht="15" hidden="false" customHeight="false" outlineLevel="0" collapsed="false">
      <c r="A923" s="19"/>
      <c r="B923" s="20"/>
      <c r="C923" s="19"/>
      <c r="D923" s="23"/>
      <c r="E923" s="19"/>
      <c r="F923" s="23"/>
      <c r="G923" s="23"/>
      <c r="H923" s="23"/>
      <c r="I923" s="22" t="str">
        <f aca="false">IF($B923="","",$B923*(IsverenPayiOrani+IssizlikOrani))</f>
        <v/>
      </c>
    </row>
    <row r="924" customFormat="false" ht="15" hidden="false" customHeight="false" outlineLevel="0" collapsed="false">
      <c r="A924" s="19"/>
      <c r="B924" s="20"/>
      <c r="C924" s="19"/>
      <c r="D924" s="23"/>
      <c r="E924" s="19"/>
      <c r="F924" s="23"/>
      <c r="G924" s="23"/>
      <c r="H924" s="23"/>
      <c r="I924" s="22" t="str">
        <f aca="false">IF($B924="","",$B924*(IsverenPayiOrani+IssizlikOrani))</f>
        <v/>
      </c>
    </row>
    <row r="925" customFormat="false" ht="15" hidden="false" customHeight="false" outlineLevel="0" collapsed="false">
      <c r="A925" s="19"/>
      <c r="B925" s="20"/>
      <c r="C925" s="19"/>
      <c r="D925" s="23"/>
      <c r="E925" s="19"/>
      <c r="F925" s="23"/>
      <c r="G925" s="23"/>
      <c r="H925" s="23"/>
      <c r="I925" s="22" t="str">
        <f aca="false">IF($B925="","",$B925*(IsverenPayiOrani+IssizlikOrani))</f>
        <v/>
      </c>
    </row>
    <row r="926" customFormat="false" ht="15" hidden="false" customHeight="false" outlineLevel="0" collapsed="false">
      <c r="A926" s="19"/>
      <c r="B926" s="20"/>
      <c r="C926" s="19"/>
      <c r="D926" s="23"/>
      <c r="E926" s="19"/>
      <c r="F926" s="23"/>
      <c r="G926" s="23"/>
      <c r="H926" s="23"/>
      <c r="I926" s="22" t="str">
        <f aca="false">IF($B926="","",$B926*(IsverenPayiOrani+IssizlikOrani))</f>
        <v/>
      </c>
    </row>
    <row r="927" customFormat="false" ht="15" hidden="false" customHeight="false" outlineLevel="0" collapsed="false">
      <c r="A927" s="19"/>
      <c r="B927" s="20"/>
      <c r="C927" s="19"/>
      <c r="D927" s="23"/>
      <c r="E927" s="19"/>
      <c r="F927" s="23"/>
      <c r="G927" s="23"/>
      <c r="H927" s="23"/>
      <c r="I927" s="22" t="str">
        <f aca="false">IF($B927="","",$B927*(IsverenPayiOrani+IssizlikOrani))</f>
        <v/>
      </c>
    </row>
    <row r="928" customFormat="false" ht="15" hidden="false" customHeight="false" outlineLevel="0" collapsed="false">
      <c r="A928" s="19"/>
      <c r="B928" s="20"/>
      <c r="C928" s="19"/>
      <c r="D928" s="23"/>
      <c r="E928" s="19"/>
      <c r="F928" s="23"/>
      <c r="G928" s="23"/>
      <c r="H928" s="23"/>
      <c r="I928" s="22" t="str">
        <f aca="false">IF($B928="","",$B928*(IsverenPayiOrani+IssizlikOrani))</f>
        <v/>
      </c>
    </row>
    <row r="929" customFormat="false" ht="15" hidden="false" customHeight="false" outlineLevel="0" collapsed="false">
      <c r="A929" s="19"/>
      <c r="B929" s="20"/>
      <c r="C929" s="19"/>
      <c r="D929" s="23"/>
      <c r="E929" s="19"/>
      <c r="F929" s="23"/>
      <c r="G929" s="23"/>
      <c r="H929" s="23"/>
      <c r="I929" s="22" t="str">
        <f aca="false">IF($B929="","",$B929*(IsverenPayiOrani+IssizlikOrani))</f>
        <v/>
      </c>
    </row>
    <row r="930" customFormat="false" ht="15" hidden="false" customHeight="false" outlineLevel="0" collapsed="false">
      <c r="A930" s="19"/>
      <c r="B930" s="20"/>
      <c r="C930" s="19"/>
      <c r="D930" s="23"/>
      <c r="E930" s="19"/>
      <c r="F930" s="23"/>
      <c r="G930" s="23"/>
      <c r="H930" s="23"/>
      <c r="I930" s="22" t="str">
        <f aca="false">IF($B930="","",$B930*(IsverenPayiOrani+IssizlikOrani))</f>
        <v/>
      </c>
    </row>
    <row r="931" customFormat="false" ht="15" hidden="false" customHeight="false" outlineLevel="0" collapsed="false">
      <c r="A931" s="19"/>
      <c r="B931" s="20"/>
      <c r="C931" s="19"/>
      <c r="D931" s="23"/>
      <c r="E931" s="19"/>
      <c r="F931" s="23"/>
      <c r="G931" s="23"/>
      <c r="H931" s="23"/>
      <c r="I931" s="22" t="str">
        <f aca="false">IF($B931="","",$B931*(IsverenPayiOrani+IssizlikOrani))</f>
        <v/>
      </c>
    </row>
    <row r="932" customFormat="false" ht="15" hidden="false" customHeight="false" outlineLevel="0" collapsed="false">
      <c r="A932" s="19"/>
      <c r="B932" s="20"/>
      <c r="C932" s="19"/>
      <c r="D932" s="23"/>
      <c r="E932" s="19"/>
      <c r="F932" s="23"/>
      <c r="G932" s="23"/>
      <c r="H932" s="23"/>
      <c r="I932" s="22" t="str">
        <f aca="false">IF($B932="","",$B932*(IsverenPayiOrani+IssizlikOrani))</f>
        <v/>
      </c>
    </row>
    <row r="933" customFormat="false" ht="15" hidden="false" customHeight="false" outlineLevel="0" collapsed="false">
      <c r="A933" s="19"/>
      <c r="B933" s="20"/>
      <c r="C933" s="19"/>
      <c r="D933" s="23"/>
      <c r="E933" s="19"/>
      <c r="F933" s="23"/>
      <c r="G933" s="23"/>
      <c r="H933" s="23"/>
      <c r="I933" s="22" t="str">
        <f aca="false">IF($B933="","",$B933*(IsverenPayiOrani+IssizlikOrani))</f>
        <v/>
      </c>
    </row>
    <row r="934" customFormat="false" ht="15" hidden="false" customHeight="false" outlineLevel="0" collapsed="false">
      <c r="A934" s="19"/>
      <c r="B934" s="20"/>
      <c r="C934" s="19"/>
      <c r="D934" s="23"/>
      <c r="E934" s="19"/>
      <c r="F934" s="23"/>
      <c r="G934" s="23"/>
      <c r="H934" s="23"/>
      <c r="I934" s="22" t="str">
        <f aca="false">IF($B934="","",$B934*(IsverenPayiOrani+IssizlikOrani))</f>
        <v/>
      </c>
    </row>
    <row r="935" customFormat="false" ht="15" hidden="false" customHeight="false" outlineLevel="0" collapsed="false">
      <c r="A935" s="19"/>
      <c r="B935" s="20"/>
      <c r="C935" s="19"/>
      <c r="D935" s="23"/>
      <c r="E935" s="19"/>
      <c r="F935" s="23"/>
      <c r="G935" s="23"/>
      <c r="H935" s="23"/>
      <c r="I935" s="22" t="str">
        <f aca="false">IF($B935="","",$B935*(IsverenPayiOrani+IssizlikOrani))</f>
        <v/>
      </c>
    </row>
    <row r="936" customFormat="false" ht="15" hidden="false" customHeight="false" outlineLevel="0" collapsed="false">
      <c r="A936" s="19"/>
      <c r="B936" s="20"/>
      <c r="C936" s="19"/>
      <c r="D936" s="23"/>
      <c r="E936" s="19"/>
      <c r="F936" s="23"/>
      <c r="G936" s="23"/>
      <c r="H936" s="23"/>
      <c r="I936" s="22" t="str">
        <f aca="false">IF($B936="","",$B936*(IsverenPayiOrani+IssizlikOrani))</f>
        <v/>
      </c>
    </row>
    <row r="937" customFormat="false" ht="15" hidden="false" customHeight="false" outlineLevel="0" collapsed="false">
      <c r="A937" s="19"/>
      <c r="B937" s="20"/>
      <c r="C937" s="19"/>
      <c r="D937" s="23"/>
      <c r="E937" s="19"/>
      <c r="F937" s="23"/>
      <c r="G937" s="23"/>
      <c r="H937" s="23"/>
      <c r="I937" s="22" t="str">
        <f aca="false">IF($B937="","",$B937*(IsverenPayiOrani+IssizlikOrani))</f>
        <v/>
      </c>
    </row>
    <row r="938" customFormat="false" ht="15" hidden="false" customHeight="false" outlineLevel="0" collapsed="false">
      <c r="A938" s="19"/>
      <c r="B938" s="20"/>
      <c r="C938" s="19"/>
      <c r="D938" s="23"/>
      <c r="E938" s="19"/>
      <c r="F938" s="23"/>
      <c r="G938" s="23"/>
      <c r="H938" s="23"/>
      <c r="I938" s="22" t="str">
        <f aca="false">IF($B938="","",$B938*(IsverenPayiOrani+IssizlikOrani))</f>
        <v/>
      </c>
    </row>
    <row r="939" customFormat="false" ht="15" hidden="false" customHeight="false" outlineLevel="0" collapsed="false">
      <c r="A939" s="19"/>
      <c r="B939" s="20"/>
      <c r="C939" s="19"/>
      <c r="D939" s="23"/>
      <c r="E939" s="19"/>
      <c r="F939" s="23"/>
      <c r="G939" s="23"/>
      <c r="H939" s="23"/>
      <c r="I939" s="22" t="str">
        <f aca="false">IF($B939="","",$B939*(IsverenPayiOrani+IssizlikOrani))</f>
        <v/>
      </c>
    </row>
    <row r="940" customFormat="false" ht="15" hidden="false" customHeight="false" outlineLevel="0" collapsed="false">
      <c r="A940" s="19"/>
      <c r="B940" s="20"/>
      <c r="C940" s="19"/>
      <c r="D940" s="23"/>
      <c r="E940" s="19"/>
      <c r="F940" s="23"/>
      <c r="G940" s="23"/>
      <c r="H940" s="23"/>
      <c r="I940" s="22" t="str">
        <f aca="false">IF($B940="","",$B940*(IsverenPayiOrani+IssizlikOrani))</f>
        <v/>
      </c>
    </row>
    <row r="941" customFormat="false" ht="15" hidden="false" customHeight="false" outlineLevel="0" collapsed="false">
      <c r="A941" s="19"/>
      <c r="B941" s="20"/>
      <c r="C941" s="19"/>
      <c r="D941" s="23"/>
      <c r="E941" s="19"/>
      <c r="F941" s="23"/>
      <c r="G941" s="23"/>
      <c r="H941" s="23"/>
      <c r="I941" s="22" t="str">
        <f aca="false">IF($B941="","",$B941*(IsverenPayiOrani+IssizlikOrani))</f>
        <v/>
      </c>
    </row>
    <row r="942" customFormat="false" ht="15" hidden="false" customHeight="false" outlineLevel="0" collapsed="false">
      <c r="A942" s="19"/>
      <c r="B942" s="20"/>
      <c r="C942" s="19"/>
      <c r="D942" s="23"/>
      <c r="E942" s="19"/>
      <c r="F942" s="23"/>
      <c r="G942" s="23"/>
      <c r="H942" s="23"/>
      <c r="I942" s="22" t="str">
        <f aca="false">IF($B942="","",$B942*(IsverenPayiOrani+IssizlikOrani))</f>
        <v/>
      </c>
    </row>
    <row r="943" customFormat="false" ht="15" hidden="false" customHeight="false" outlineLevel="0" collapsed="false">
      <c r="A943" s="19"/>
      <c r="B943" s="20"/>
      <c r="C943" s="19"/>
      <c r="D943" s="23"/>
      <c r="E943" s="19"/>
      <c r="F943" s="23"/>
      <c r="G943" s="23"/>
      <c r="H943" s="23"/>
      <c r="I943" s="22" t="str">
        <f aca="false">IF($B943="","",$B943*(IsverenPayiOrani+IssizlikOrani))</f>
        <v/>
      </c>
    </row>
    <row r="944" customFormat="false" ht="15" hidden="false" customHeight="false" outlineLevel="0" collapsed="false">
      <c r="A944" s="19"/>
      <c r="B944" s="20"/>
      <c r="C944" s="19"/>
      <c r="D944" s="23"/>
      <c r="E944" s="19"/>
      <c r="F944" s="23"/>
      <c r="G944" s="23"/>
      <c r="H944" s="23"/>
      <c r="I944" s="22" t="str">
        <f aca="false">IF($B944="","",$B944*(IsverenPayiOrani+IssizlikOrani))</f>
        <v/>
      </c>
    </row>
    <row r="945" customFormat="false" ht="15" hidden="false" customHeight="false" outlineLevel="0" collapsed="false">
      <c r="A945" s="19"/>
      <c r="B945" s="20"/>
      <c r="C945" s="19"/>
      <c r="D945" s="23"/>
      <c r="E945" s="19"/>
      <c r="F945" s="23"/>
      <c r="G945" s="23"/>
      <c r="H945" s="23"/>
      <c r="I945" s="22" t="str">
        <f aca="false">IF($B945="","",$B945*(IsverenPayiOrani+IssizlikOrani))</f>
        <v/>
      </c>
    </row>
    <row r="946" customFormat="false" ht="15" hidden="false" customHeight="false" outlineLevel="0" collapsed="false">
      <c r="A946" s="19"/>
      <c r="B946" s="20"/>
      <c r="C946" s="19"/>
      <c r="D946" s="23"/>
      <c r="E946" s="19"/>
      <c r="F946" s="23"/>
      <c r="G946" s="23"/>
      <c r="H946" s="23"/>
      <c r="I946" s="22" t="str">
        <f aca="false">IF($B946="","",$B946*(IsverenPayiOrani+IssizlikOrani))</f>
        <v/>
      </c>
    </row>
    <row r="947" customFormat="false" ht="15" hidden="false" customHeight="false" outlineLevel="0" collapsed="false">
      <c r="A947" s="19"/>
      <c r="B947" s="20"/>
      <c r="C947" s="19"/>
      <c r="D947" s="23"/>
      <c r="E947" s="19"/>
      <c r="F947" s="23"/>
      <c r="G947" s="23"/>
      <c r="H947" s="23"/>
      <c r="I947" s="22" t="str">
        <f aca="false">IF($B947="","",$B947*(IsverenPayiOrani+IssizlikOrani))</f>
        <v/>
      </c>
    </row>
    <row r="948" customFormat="false" ht="15" hidden="false" customHeight="false" outlineLevel="0" collapsed="false">
      <c r="A948" s="19"/>
      <c r="B948" s="20"/>
      <c r="C948" s="19"/>
      <c r="D948" s="23"/>
      <c r="E948" s="19"/>
      <c r="F948" s="23"/>
      <c r="G948" s="23"/>
      <c r="H948" s="23"/>
      <c r="I948" s="22" t="str">
        <f aca="false">IF($B948="","",$B948*(IsverenPayiOrani+IssizlikOrani))</f>
        <v/>
      </c>
    </row>
    <row r="949" customFormat="false" ht="15" hidden="false" customHeight="false" outlineLevel="0" collapsed="false">
      <c r="A949" s="19"/>
      <c r="B949" s="20"/>
      <c r="C949" s="19"/>
      <c r="D949" s="23"/>
      <c r="E949" s="19"/>
      <c r="F949" s="23"/>
      <c r="G949" s="23"/>
      <c r="H949" s="23"/>
      <c r="I949" s="22" t="str">
        <f aca="false">IF($B949="","",$B949*(IsverenPayiOrani+IssizlikOrani))</f>
        <v/>
      </c>
    </row>
    <row r="950" customFormat="false" ht="15" hidden="false" customHeight="false" outlineLevel="0" collapsed="false">
      <c r="A950" s="19"/>
      <c r="B950" s="20"/>
      <c r="C950" s="19"/>
      <c r="D950" s="23"/>
      <c r="E950" s="19"/>
      <c r="F950" s="23"/>
      <c r="G950" s="23"/>
      <c r="H950" s="23"/>
      <c r="I950" s="22" t="str">
        <f aca="false">IF($B950="","",$B950*(IsverenPayiOrani+IssizlikOrani))</f>
        <v/>
      </c>
    </row>
    <row r="951" customFormat="false" ht="15" hidden="false" customHeight="false" outlineLevel="0" collapsed="false">
      <c r="A951" s="19"/>
      <c r="B951" s="20"/>
      <c r="C951" s="19"/>
      <c r="D951" s="23"/>
      <c r="E951" s="19"/>
      <c r="F951" s="23"/>
      <c r="G951" s="23"/>
      <c r="H951" s="23"/>
      <c r="I951" s="22" t="str">
        <f aca="false">IF($B951="","",$B951*(IsverenPayiOrani+IssizlikOrani))</f>
        <v/>
      </c>
    </row>
    <row r="952" customFormat="false" ht="15" hidden="false" customHeight="false" outlineLevel="0" collapsed="false">
      <c r="A952" s="19"/>
      <c r="B952" s="20"/>
      <c r="C952" s="19"/>
      <c r="D952" s="23"/>
      <c r="E952" s="19"/>
      <c r="F952" s="23"/>
      <c r="G952" s="23"/>
      <c r="H952" s="23"/>
      <c r="I952" s="22" t="str">
        <f aca="false">IF($B952="","",$B952*(IsverenPayiOrani+IssizlikOrani))</f>
        <v/>
      </c>
    </row>
    <row r="953" customFormat="false" ht="15" hidden="false" customHeight="false" outlineLevel="0" collapsed="false">
      <c r="A953" s="19"/>
      <c r="B953" s="20"/>
      <c r="C953" s="19"/>
      <c r="D953" s="23"/>
      <c r="E953" s="19"/>
      <c r="F953" s="23"/>
      <c r="G953" s="23"/>
      <c r="H953" s="23"/>
      <c r="I953" s="22" t="str">
        <f aca="false">IF($B953="","",$B953*(IsverenPayiOrani+IssizlikOrani))</f>
        <v/>
      </c>
    </row>
    <row r="954" customFormat="false" ht="15" hidden="false" customHeight="false" outlineLevel="0" collapsed="false">
      <c r="A954" s="19"/>
      <c r="B954" s="20"/>
      <c r="C954" s="19"/>
      <c r="D954" s="23"/>
      <c r="E954" s="19"/>
      <c r="F954" s="23"/>
      <c r="G954" s="23"/>
      <c r="H954" s="23"/>
      <c r="I954" s="22" t="str">
        <f aca="false">IF($B954="","",$B954*(IsverenPayiOrani+IssizlikOrani))</f>
        <v/>
      </c>
    </row>
    <row r="955" customFormat="false" ht="15" hidden="false" customHeight="false" outlineLevel="0" collapsed="false">
      <c r="A955" s="19"/>
      <c r="B955" s="20"/>
      <c r="C955" s="19"/>
      <c r="D955" s="23"/>
      <c r="E955" s="19"/>
      <c r="F955" s="23"/>
      <c r="G955" s="23"/>
      <c r="H955" s="23"/>
      <c r="I955" s="22" t="str">
        <f aca="false">IF($B955="","",$B955*(IsverenPayiOrani+IssizlikOrani))</f>
        <v/>
      </c>
    </row>
    <row r="956" customFormat="false" ht="15" hidden="false" customHeight="false" outlineLevel="0" collapsed="false">
      <c r="A956" s="19"/>
      <c r="B956" s="20"/>
      <c r="C956" s="19"/>
      <c r="D956" s="23"/>
      <c r="E956" s="19"/>
      <c r="F956" s="23"/>
      <c r="G956" s="23"/>
      <c r="H956" s="23"/>
      <c r="I956" s="22" t="str">
        <f aca="false">IF($B956="","",$B956*(IsverenPayiOrani+IssizlikOrani))</f>
        <v/>
      </c>
    </row>
    <row r="957" customFormat="false" ht="15" hidden="false" customHeight="false" outlineLevel="0" collapsed="false">
      <c r="A957" s="19"/>
      <c r="B957" s="20"/>
      <c r="C957" s="19"/>
      <c r="D957" s="23"/>
      <c r="E957" s="19"/>
      <c r="F957" s="23"/>
      <c r="G957" s="23"/>
      <c r="H957" s="23"/>
      <c r="I957" s="22" t="str">
        <f aca="false">IF($B957="","",$B957*(IsverenPayiOrani+IssizlikOrani))</f>
        <v/>
      </c>
    </row>
    <row r="958" customFormat="false" ht="15" hidden="false" customHeight="false" outlineLevel="0" collapsed="false">
      <c r="A958" s="19"/>
      <c r="B958" s="20"/>
      <c r="C958" s="19"/>
      <c r="D958" s="23"/>
      <c r="E958" s="19"/>
      <c r="F958" s="23"/>
      <c r="G958" s="23"/>
      <c r="H958" s="23"/>
      <c r="I958" s="22" t="str">
        <f aca="false">IF($B958="","",$B958*(IsverenPayiOrani+IssizlikOrani))</f>
        <v/>
      </c>
    </row>
    <row r="959" customFormat="false" ht="15" hidden="false" customHeight="false" outlineLevel="0" collapsed="false">
      <c r="A959" s="19"/>
      <c r="B959" s="20"/>
      <c r="C959" s="19"/>
      <c r="D959" s="23"/>
      <c r="E959" s="19"/>
      <c r="F959" s="23"/>
      <c r="G959" s="23"/>
      <c r="H959" s="23"/>
      <c r="I959" s="22" t="str">
        <f aca="false">IF($B959="","",$B959*(IsverenPayiOrani+IssizlikOrani))</f>
        <v/>
      </c>
    </row>
    <row r="960" customFormat="false" ht="15" hidden="false" customHeight="false" outlineLevel="0" collapsed="false">
      <c r="A960" s="19"/>
      <c r="B960" s="20"/>
      <c r="C960" s="19"/>
      <c r="D960" s="23"/>
      <c r="E960" s="19"/>
      <c r="F960" s="23"/>
      <c r="G960" s="23"/>
      <c r="H960" s="23"/>
      <c r="I960" s="22" t="str">
        <f aca="false">IF($B960="","",$B960*(IsverenPayiOrani+IssizlikOrani))</f>
        <v/>
      </c>
    </row>
    <row r="961" customFormat="false" ht="15" hidden="false" customHeight="false" outlineLevel="0" collapsed="false">
      <c r="A961" s="19"/>
      <c r="B961" s="20"/>
      <c r="C961" s="19"/>
      <c r="D961" s="23"/>
      <c r="E961" s="19"/>
      <c r="F961" s="23"/>
      <c r="G961" s="23"/>
      <c r="H961" s="23"/>
      <c r="I961" s="22" t="str">
        <f aca="false">IF($B961="","",$B961*(IsverenPayiOrani+IssizlikOrani))</f>
        <v/>
      </c>
    </row>
    <row r="962" customFormat="false" ht="15" hidden="false" customHeight="false" outlineLevel="0" collapsed="false">
      <c r="A962" s="19"/>
      <c r="B962" s="20"/>
      <c r="C962" s="19"/>
      <c r="D962" s="23"/>
      <c r="E962" s="19"/>
      <c r="F962" s="23"/>
      <c r="G962" s="23"/>
      <c r="H962" s="23"/>
      <c r="I962" s="22" t="str">
        <f aca="false">IF($B962="","",$B962*(IsverenPayiOrani+IssizlikOrani))</f>
        <v/>
      </c>
    </row>
    <row r="963" customFormat="false" ht="15" hidden="false" customHeight="false" outlineLevel="0" collapsed="false">
      <c r="A963" s="19"/>
      <c r="B963" s="20"/>
      <c r="C963" s="19"/>
      <c r="D963" s="23"/>
      <c r="E963" s="19"/>
      <c r="F963" s="23"/>
      <c r="G963" s="23"/>
      <c r="H963" s="23"/>
      <c r="I963" s="22" t="str">
        <f aca="false">IF($B963="","",$B963*(IsverenPayiOrani+IssizlikOrani))</f>
        <v/>
      </c>
    </row>
    <row r="964" customFormat="false" ht="15" hidden="false" customHeight="false" outlineLevel="0" collapsed="false">
      <c r="A964" s="19"/>
      <c r="B964" s="20"/>
      <c r="C964" s="19"/>
      <c r="D964" s="23"/>
      <c r="E964" s="19"/>
      <c r="F964" s="23"/>
      <c r="G964" s="23"/>
      <c r="H964" s="23"/>
      <c r="I964" s="22" t="str">
        <f aca="false">IF($B964="","",$B964*(IsverenPayiOrani+IssizlikOrani))</f>
        <v/>
      </c>
    </row>
    <row r="965" customFormat="false" ht="15" hidden="false" customHeight="false" outlineLevel="0" collapsed="false">
      <c r="A965" s="19"/>
      <c r="B965" s="20"/>
      <c r="C965" s="19"/>
      <c r="D965" s="23"/>
      <c r="E965" s="19"/>
      <c r="F965" s="23"/>
      <c r="G965" s="23"/>
      <c r="H965" s="23"/>
      <c r="I965" s="22" t="str">
        <f aca="false">IF($B965="","",$B965*(IsverenPayiOrani+IssizlikOrani))</f>
        <v/>
      </c>
    </row>
    <row r="966" customFormat="false" ht="15" hidden="false" customHeight="false" outlineLevel="0" collapsed="false">
      <c r="A966" s="19"/>
      <c r="B966" s="20"/>
      <c r="C966" s="19"/>
      <c r="D966" s="23"/>
      <c r="E966" s="19"/>
      <c r="F966" s="23"/>
      <c r="G966" s="23"/>
      <c r="H966" s="23"/>
      <c r="I966" s="22" t="str">
        <f aca="false">IF($B966="","",$B966*(IsverenPayiOrani+IssizlikOrani))</f>
        <v/>
      </c>
    </row>
    <row r="967" customFormat="false" ht="15" hidden="false" customHeight="false" outlineLevel="0" collapsed="false">
      <c r="A967" s="19"/>
      <c r="B967" s="20"/>
      <c r="C967" s="19"/>
      <c r="D967" s="23"/>
      <c r="E967" s="19"/>
      <c r="F967" s="23"/>
      <c r="G967" s="23"/>
      <c r="H967" s="23"/>
      <c r="I967" s="22" t="str">
        <f aca="false">IF($B967="","",$B967*(IsverenPayiOrani+IssizlikOrani))</f>
        <v/>
      </c>
    </row>
    <row r="968" customFormat="false" ht="15" hidden="false" customHeight="false" outlineLevel="0" collapsed="false">
      <c r="A968" s="19"/>
      <c r="B968" s="20"/>
      <c r="C968" s="19"/>
      <c r="D968" s="23"/>
      <c r="E968" s="19"/>
      <c r="F968" s="23"/>
      <c r="G968" s="23"/>
      <c r="H968" s="23"/>
      <c r="I968" s="22" t="str">
        <f aca="false">IF($B968="","",$B968*(IsverenPayiOrani+IssizlikOrani))</f>
        <v/>
      </c>
    </row>
    <row r="969" customFormat="false" ht="15" hidden="false" customHeight="false" outlineLevel="0" collapsed="false">
      <c r="A969" s="19"/>
      <c r="B969" s="20"/>
      <c r="C969" s="19"/>
      <c r="D969" s="23"/>
      <c r="E969" s="19"/>
      <c r="F969" s="23"/>
      <c r="G969" s="23"/>
      <c r="H969" s="23"/>
      <c r="I969" s="22" t="str">
        <f aca="false">IF($B969="","",$B969*(IsverenPayiOrani+IssizlikOrani))</f>
        <v/>
      </c>
    </row>
    <row r="970" customFormat="false" ht="15" hidden="false" customHeight="false" outlineLevel="0" collapsed="false">
      <c r="A970" s="19"/>
      <c r="B970" s="20"/>
      <c r="C970" s="19"/>
      <c r="D970" s="23"/>
      <c r="E970" s="19"/>
      <c r="F970" s="23"/>
      <c r="G970" s="23"/>
      <c r="H970" s="23"/>
      <c r="I970" s="22" t="str">
        <f aca="false">IF($B970="","",$B970*(IsverenPayiOrani+IssizlikOrani))</f>
        <v/>
      </c>
    </row>
    <row r="971" customFormat="false" ht="15" hidden="false" customHeight="false" outlineLevel="0" collapsed="false">
      <c r="A971" s="19"/>
      <c r="B971" s="20"/>
      <c r="C971" s="19"/>
      <c r="D971" s="23"/>
      <c r="E971" s="19"/>
      <c r="F971" s="23"/>
      <c r="G971" s="23"/>
      <c r="H971" s="23"/>
      <c r="I971" s="22" t="str">
        <f aca="false">IF($B971="","",$B971*(IsverenPayiOrani+IssizlikOrani))</f>
        <v/>
      </c>
    </row>
    <row r="972" customFormat="false" ht="15" hidden="false" customHeight="false" outlineLevel="0" collapsed="false">
      <c r="A972" s="19"/>
      <c r="B972" s="20"/>
      <c r="C972" s="19"/>
      <c r="D972" s="23"/>
      <c r="E972" s="19"/>
      <c r="F972" s="23"/>
      <c r="G972" s="23"/>
      <c r="H972" s="23"/>
      <c r="I972" s="22" t="str">
        <f aca="false">IF($B972="","",$B972*(IsverenPayiOrani+IssizlikOrani))</f>
        <v/>
      </c>
    </row>
    <row r="973" customFormat="false" ht="15" hidden="false" customHeight="false" outlineLevel="0" collapsed="false">
      <c r="A973" s="19"/>
      <c r="B973" s="20"/>
      <c r="C973" s="19"/>
      <c r="D973" s="23"/>
      <c r="E973" s="19"/>
      <c r="F973" s="23"/>
      <c r="G973" s="23"/>
      <c r="H973" s="23"/>
      <c r="I973" s="22" t="str">
        <f aca="false">IF($B973="","",$B973*(IsverenPayiOrani+IssizlikOrani))</f>
        <v/>
      </c>
    </row>
    <row r="974" customFormat="false" ht="15" hidden="false" customHeight="false" outlineLevel="0" collapsed="false">
      <c r="A974" s="19"/>
      <c r="B974" s="20"/>
      <c r="C974" s="19"/>
      <c r="D974" s="23"/>
      <c r="E974" s="19"/>
      <c r="F974" s="23"/>
      <c r="G974" s="23"/>
      <c r="H974" s="23"/>
      <c r="I974" s="22" t="str">
        <f aca="false">IF($B974="","",$B974*(IsverenPayiOrani+IssizlikOrani))</f>
        <v/>
      </c>
    </row>
    <row r="975" customFormat="false" ht="15" hidden="false" customHeight="false" outlineLevel="0" collapsed="false">
      <c r="A975" s="19"/>
      <c r="B975" s="20"/>
      <c r="C975" s="19"/>
      <c r="D975" s="23"/>
      <c r="E975" s="19"/>
      <c r="F975" s="23"/>
      <c r="G975" s="23"/>
      <c r="H975" s="23"/>
      <c r="I975" s="22" t="str">
        <f aca="false">IF($B975="","",$B975*(IsverenPayiOrani+IssizlikOrani))</f>
        <v/>
      </c>
    </row>
    <row r="976" customFormat="false" ht="15" hidden="false" customHeight="false" outlineLevel="0" collapsed="false">
      <c r="A976" s="19"/>
      <c r="B976" s="20"/>
      <c r="C976" s="19"/>
      <c r="D976" s="23"/>
      <c r="E976" s="19"/>
      <c r="F976" s="23"/>
      <c r="G976" s="23"/>
      <c r="H976" s="23"/>
      <c r="I976" s="22" t="str">
        <f aca="false">IF($B976="","",$B976*(IsverenPayiOrani+IssizlikOrani))</f>
        <v/>
      </c>
    </row>
    <row r="977" customFormat="false" ht="15" hidden="false" customHeight="false" outlineLevel="0" collapsed="false">
      <c r="A977" s="19"/>
      <c r="B977" s="20"/>
      <c r="C977" s="19"/>
      <c r="D977" s="23"/>
      <c r="E977" s="19"/>
      <c r="F977" s="23"/>
      <c r="G977" s="23"/>
      <c r="H977" s="23"/>
      <c r="I977" s="22" t="str">
        <f aca="false">IF($B977="","",$B977*(IsverenPayiOrani+IssizlikOrani))</f>
        <v/>
      </c>
    </row>
    <row r="978" customFormat="false" ht="15" hidden="false" customHeight="false" outlineLevel="0" collapsed="false">
      <c r="A978" s="19"/>
      <c r="B978" s="20"/>
      <c r="C978" s="19"/>
      <c r="D978" s="23"/>
      <c r="E978" s="19"/>
      <c r="F978" s="23"/>
      <c r="G978" s="23"/>
      <c r="H978" s="23"/>
      <c r="I978" s="22" t="str">
        <f aca="false">IF($B978="","",$B978*(IsverenPayiOrani+IssizlikOrani))</f>
        <v/>
      </c>
    </row>
    <row r="979" customFormat="false" ht="15" hidden="false" customHeight="false" outlineLevel="0" collapsed="false">
      <c r="A979" s="19"/>
      <c r="B979" s="20"/>
      <c r="C979" s="19"/>
      <c r="D979" s="23"/>
      <c r="E979" s="19"/>
      <c r="F979" s="23"/>
      <c r="G979" s="23"/>
      <c r="H979" s="23"/>
      <c r="I979" s="22" t="str">
        <f aca="false">IF($B979="","",$B979*(IsverenPayiOrani+IssizlikOrani))</f>
        <v/>
      </c>
    </row>
    <row r="980" customFormat="false" ht="15" hidden="false" customHeight="false" outlineLevel="0" collapsed="false">
      <c r="A980" s="19"/>
      <c r="B980" s="20"/>
      <c r="C980" s="19"/>
      <c r="D980" s="23"/>
      <c r="E980" s="19"/>
      <c r="F980" s="23"/>
      <c r="G980" s="23"/>
      <c r="H980" s="23"/>
      <c r="I980" s="22" t="str">
        <f aca="false">IF($B980="","",$B980*(IsverenPayiOrani+IssizlikOrani))</f>
        <v/>
      </c>
    </row>
    <row r="981" customFormat="false" ht="15" hidden="false" customHeight="false" outlineLevel="0" collapsed="false">
      <c r="A981" s="19"/>
      <c r="B981" s="20"/>
      <c r="C981" s="19"/>
      <c r="D981" s="23"/>
      <c r="E981" s="19"/>
      <c r="F981" s="23"/>
      <c r="G981" s="23"/>
      <c r="H981" s="23"/>
      <c r="I981" s="22" t="str">
        <f aca="false">IF($B981="","",$B981*(IsverenPayiOrani+IssizlikOrani))</f>
        <v/>
      </c>
    </row>
    <row r="982" customFormat="false" ht="15" hidden="false" customHeight="false" outlineLevel="0" collapsed="false">
      <c r="A982" s="19"/>
      <c r="B982" s="20"/>
      <c r="C982" s="19"/>
      <c r="D982" s="23"/>
      <c r="E982" s="19"/>
      <c r="F982" s="23"/>
      <c r="G982" s="23"/>
      <c r="H982" s="23"/>
      <c r="I982" s="22" t="str">
        <f aca="false">IF($B982="","",$B982*(IsverenPayiOrani+IssizlikOrani))</f>
        <v/>
      </c>
    </row>
    <row r="983" customFormat="false" ht="15" hidden="false" customHeight="false" outlineLevel="0" collapsed="false">
      <c r="A983" s="19"/>
      <c r="B983" s="20"/>
      <c r="C983" s="19"/>
      <c r="D983" s="23"/>
      <c r="E983" s="19"/>
      <c r="F983" s="23"/>
      <c r="G983" s="23"/>
      <c r="H983" s="23"/>
      <c r="I983" s="22" t="str">
        <f aca="false">IF($B983="","",$B983*(IsverenPayiOrani+IssizlikOrani))</f>
        <v/>
      </c>
    </row>
    <row r="984" customFormat="false" ht="15" hidden="false" customHeight="false" outlineLevel="0" collapsed="false">
      <c r="A984" s="19"/>
      <c r="B984" s="20"/>
      <c r="C984" s="19"/>
      <c r="D984" s="23"/>
      <c r="E984" s="19"/>
      <c r="F984" s="23"/>
      <c r="G984" s="23"/>
      <c r="H984" s="23"/>
      <c r="I984" s="22" t="str">
        <f aca="false">IF($B984="","",$B984*(IsverenPayiOrani+IssizlikOrani))</f>
        <v/>
      </c>
    </row>
    <row r="985" customFormat="false" ht="15" hidden="false" customHeight="false" outlineLevel="0" collapsed="false">
      <c r="A985" s="19"/>
      <c r="B985" s="20"/>
      <c r="C985" s="19"/>
      <c r="D985" s="23"/>
      <c r="E985" s="19"/>
      <c r="F985" s="23"/>
      <c r="G985" s="23"/>
      <c r="H985" s="23"/>
      <c r="I985" s="22" t="str">
        <f aca="false">IF($B985="","",$B985*(IsverenPayiOrani+IssizlikOrani))</f>
        <v/>
      </c>
    </row>
    <row r="986" customFormat="false" ht="15" hidden="false" customHeight="false" outlineLevel="0" collapsed="false">
      <c r="A986" s="19"/>
      <c r="B986" s="20"/>
      <c r="C986" s="19"/>
      <c r="D986" s="23"/>
      <c r="E986" s="19"/>
      <c r="F986" s="23"/>
      <c r="G986" s="23"/>
      <c r="H986" s="23"/>
      <c r="I986" s="22" t="str">
        <f aca="false">IF($B986="","",$B986*(IsverenPayiOrani+IssizlikOrani))</f>
        <v/>
      </c>
    </row>
    <row r="987" customFormat="false" ht="15" hidden="false" customHeight="false" outlineLevel="0" collapsed="false">
      <c r="A987" s="19"/>
      <c r="B987" s="20"/>
      <c r="C987" s="19"/>
      <c r="D987" s="23"/>
      <c r="E987" s="19"/>
      <c r="F987" s="23"/>
      <c r="G987" s="23"/>
      <c r="H987" s="23"/>
      <c r="I987" s="22" t="str">
        <f aca="false">IF($B987="","",$B987*(IsverenPayiOrani+IssizlikOrani))</f>
        <v/>
      </c>
    </row>
    <row r="988" customFormat="false" ht="15" hidden="false" customHeight="false" outlineLevel="0" collapsed="false">
      <c r="A988" s="19"/>
      <c r="B988" s="20"/>
      <c r="C988" s="19"/>
      <c r="D988" s="23"/>
      <c r="E988" s="19"/>
      <c r="F988" s="23"/>
      <c r="G988" s="23"/>
      <c r="H988" s="23"/>
      <c r="I988" s="22" t="str">
        <f aca="false">IF($B988="","",$B988*(IsverenPayiOrani+IssizlikOrani))</f>
        <v/>
      </c>
    </row>
    <row r="989" customFormat="false" ht="15" hidden="false" customHeight="false" outlineLevel="0" collapsed="false">
      <c r="A989" s="19"/>
      <c r="B989" s="20"/>
      <c r="C989" s="19"/>
      <c r="D989" s="23"/>
      <c r="E989" s="19"/>
      <c r="F989" s="23"/>
      <c r="G989" s="23"/>
      <c r="H989" s="23"/>
      <c r="I989" s="22" t="str">
        <f aca="false">IF($B989="","",$B989*(IsverenPayiOrani+IssizlikOrani))</f>
        <v/>
      </c>
    </row>
    <row r="990" customFormat="false" ht="15" hidden="false" customHeight="false" outlineLevel="0" collapsed="false">
      <c r="A990" s="19"/>
      <c r="B990" s="20"/>
      <c r="C990" s="19"/>
      <c r="D990" s="23"/>
      <c r="E990" s="19"/>
      <c r="F990" s="23"/>
      <c r="G990" s="23"/>
      <c r="H990" s="23"/>
      <c r="I990" s="22" t="str">
        <f aca="false">IF($B990="","",$B990*(IsverenPayiOrani+IssizlikOrani))</f>
        <v/>
      </c>
    </row>
    <row r="991" customFormat="false" ht="15" hidden="false" customHeight="false" outlineLevel="0" collapsed="false">
      <c r="A991" s="19"/>
      <c r="B991" s="20"/>
      <c r="C991" s="19"/>
      <c r="D991" s="23"/>
      <c r="E991" s="19"/>
      <c r="F991" s="23"/>
      <c r="G991" s="23"/>
      <c r="H991" s="23"/>
      <c r="I991" s="22" t="str">
        <f aca="false">IF($B991="","",$B991*(IsverenPayiOrani+IssizlikOrani))</f>
        <v/>
      </c>
    </row>
    <row r="992" customFormat="false" ht="15" hidden="false" customHeight="false" outlineLevel="0" collapsed="false">
      <c r="A992" s="19"/>
      <c r="B992" s="20"/>
      <c r="C992" s="19"/>
      <c r="D992" s="23"/>
      <c r="E992" s="19"/>
      <c r="F992" s="23"/>
      <c r="G992" s="23"/>
      <c r="H992" s="23"/>
      <c r="I992" s="22" t="str">
        <f aca="false">IF($B992="","",$B992*(IsverenPayiOrani+IssizlikOrani))</f>
        <v/>
      </c>
    </row>
    <row r="993" customFormat="false" ht="15" hidden="false" customHeight="false" outlineLevel="0" collapsed="false">
      <c r="A993" s="19"/>
      <c r="B993" s="20"/>
      <c r="C993" s="19"/>
      <c r="D993" s="23"/>
      <c r="E993" s="19"/>
      <c r="F993" s="23"/>
      <c r="G993" s="23"/>
      <c r="H993" s="23"/>
      <c r="I993" s="22" t="str">
        <f aca="false">IF($B993="","",$B993*(IsverenPayiOrani+IssizlikOrani))</f>
        <v/>
      </c>
    </row>
    <row r="994" customFormat="false" ht="15" hidden="false" customHeight="false" outlineLevel="0" collapsed="false">
      <c r="A994" s="19"/>
      <c r="B994" s="20"/>
      <c r="C994" s="19"/>
      <c r="D994" s="23"/>
      <c r="E994" s="19"/>
      <c r="F994" s="23"/>
      <c r="G994" s="23"/>
      <c r="H994" s="23"/>
      <c r="I994" s="22" t="str">
        <f aca="false">IF($B994="","",$B994*(IsverenPayiOrani+IssizlikOrani))</f>
        <v/>
      </c>
    </row>
    <row r="995" customFormat="false" ht="15" hidden="false" customHeight="false" outlineLevel="0" collapsed="false">
      <c r="A995" s="19"/>
      <c r="B995" s="20"/>
      <c r="C995" s="19"/>
      <c r="D995" s="23"/>
      <c r="E995" s="19"/>
      <c r="F995" s="23"/>
      <c r="G995" s="23"/>
      <c r="H995" s="23"/>
      <c r="I995" s="22" t="str">
        <f aca="false">IF($B995="","",$B995*(IsverenPayiOrani+IssizlikOrani))</f>
        <v/>
      </c>
    </row>
    <row r="996" customFormat="false" ht="15" hidden="false" customHeight="false" outlineLevel="0" collapsed="false">
      <c r="A996" s="19"/>
      <c r="B996" s="20"/>
      <c r="C996" s="19"/>
      <c r="D996" s="23"/>
      <c r="E996" s="19"/>
      <c r="F996" s="23"/>
      <c r="G996" s="23"/>
      <c r="H996" s="23"/>
      <c r="I996" s="22" t="str">
        <f aca="false">IF($B996="","",$B996*(IsverenPayiOrani+IssizlikOrani))</f>
        <v/>
      </c>
    </row>
    <row r="997" customFormat="false" ht="15" hidden="false" customHeight="false" outlineLevel="0" collapsed="false">
      <c r="A997" s="19"/>
      <c r="B997" s="20"/>
      <c r="C997" s="19"/>
      <c r="D997" s="23"/>
      <c r="E997" s="19"/>
      <c r="F997" s="23"/>
      <c r="G997" s="23"/>
      <c r="H997" s="23"/>
      <c r="I997" s="22" t="str">
        <f aca="false">IF($B997="","",$B997*(IsverenPayiOrani+IssizlikOrani))</f>
        <v/>
      </c>
    </row>
    <row r="998" customFormat="false" ht="15" hidden="false" customHeight="false" outlineLevel="0" collapsed="false">
      <c r="A998" s="19"/>
      <c r="B998" s="20"/>
      <c r="C998" s="19"/>
      <c r="D998" s="23"/>
      <c r="E998" s="19"/>
      <c r="F998" s="23"/>
      <c r="G998" s="23"/>
      <c r="H998" s="23"/>
      <c r="I998" s="22" t="str">
        <f aca="false">IF($B998="","",$B998*(IsverenPayiOrani+IssizlikOrani))</f>
        <v/>
      </c>
    </row>
    <row r="999" customFormat="false" ht="15" hidden="false" customHeight="false" outlineLevel="0" collapsed="false">
      <c r="A999" s="19"/>
      <c r="B999" s="20"/>
      <c r="C999" s="19"/>
      <c r="D999" s="23"/>
      <c r="E999" s="19"/>
      <c r="F999" s="23"/>
      <c r="G999" s="23"/>
      <c r="H999" s="23"/>
      <c r="I999" s="22" t="str">
        <f aca="false">IF($B999="","",$B999*(IsverenPayiOrani+IssizlikOrani))</f>
        <v/>
      </c>
    </row>
    <row r="1000" customFormat="false" ht="15" hidden="false" customHeight="false" outlineLevel="0" collapsed="false">
      <c r="A1000" s="19"/>
      <c r="B1000" s="20"/>
      <c r="C1000" s="19"/>
      <c r="D1000" s="23"/>
      <c r="E1000" s="19"/>
      <c r="F1000" s="23"/>
      <c r="G1000" s="23"/>
      <c r="H1000" s="23"/>
      <c r="I1000" s="22" t="str">
        <f aca="false">IF($B1000="","",$B1000*(IsverenPayiOrani+IssizlikOrani))</f>
        <v/>
      </c>
    </row>
    <row r="1001" customFormat="false" ht="15" hidden="false" customHeight="false" outlineLevel="0" collapsed="false">
      <c r="A1001" s="19"/>
      <c r="B1001" s="20"/>
      <c r="C1001" s="19"/>
      <c r="D1001" s="23"/>
      <c r="E1001" s="19"/>
      <c r="F1001" s="23"/>
      <c r="G1001" s="23"/>
      <c r="H1001" s="23"/>
      <c r="I1001" s="22" t="str">
        <f aca="false">IF($B1001="","",$B1001*(IsverenPayiOrani+IssizlikOrani))</f>
        <v/>
      </c>
    </row>
    <row r="1002" customFormat="false" ht="15" hidden="false" customHeight="false" outlineLevel="0" collapsed="false">
      <c r="A1002" s="19"/>
      <c r="B1002" s="20"/>
      <c r="C1002" s="19"/>
      <c r="D1002" s="23"/>
      <c r="E1002" s="19"/>
      <c r="F1002" s="23"/>
      <c r="G1002" s="23"/>
      <c r="H1002" s="23"/>
      <c r="I1002" s="22" t="str">
        <f aca="false">IF($B1002="","",$B1002*(IsverenPayiOrani+IssizlikOrani))</f>
        <v/>
      </c>
    </row>
    <row r="1003" customFormat="false" ht="19.5" hidden="false" customHeight="true" outlineLevel="0" collapsed="false">
      <c r="A1003" s="24" t="s">
        <v>59</v>
      </c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</row>
    <row r="1004" customFormat="false" ht="15" hidden="false" customHeight="false" outlineLevel="0" collapsed="false">
      <c r="A1004" s="19"/>
      <c r="B1004" s="20"/>
      <c r="C1004" s="19"/>
      <c r="D1004" s="23"/>
      <c r="E1004" s="19"/>
      <c r="F1004" s="23"/>
      <c r="G1004" s="23"/>
      <c r="H1004" s="23"/>
      <c r="I1004" s="22" t="str">
        <f aca="false">IF($B1004="","",$B1004*(IsverenPayiOrani+IssizlikOrani))</f>
        <v/>
      </c>
    </row>
    <row r="1005" customFormat="false" ht="15" hidden="false" customHeight="false" outlineLevel="0" collapsed="false">
      <c r="A1005" s="19"/>
      <c r="B1005" s="20"/>
      <c r="C1005" s="19"/>
      <c r="D1005" s="23"/>
      <c r="E1005" s="19"/>
      <c r="F1005" s="23"/>
      <c r="G1005" s="23"/>
      <c r="H1005" s="23"/>
      <c r="I1005" s="22" t="str">
        <f aca="false">IF($B1005="","",$B1005*(IsverenPayiOrani+IssizlikOrani))</f>
        <v/>
      </c>
    </row>
    <row r="1006" customFormat="false" ht="15" hidden="false" customHeight="false" outlineLevel="0" collapsed="false">
      <c r="A1006" s="19"/>
      <c r="B1006" s="20"/>
      <c r="C1006" s="19"/>
      <c r="D1006" s="23"/>
      <c r="E1006" s="19"/>
      <c r="F1006" s="23"/>
      <c r="G1006" s="23"/>
      <c r="H1006" s="23"/>
      <c r="I1006" s="22" t="str">
        <f aca="false">IF($B1006="","",$B1006*(IsverenPayiOrani+IssizlikOrani))</f>
        <v/>
      </c>
    </row>
    <row r="1007" customFormat="false" ht="15" hidden="false" customHeight="false" outlineLevel="0" collapsed="false">
      <c r="A1007" s="19"/>
      <c r="B1007" s="20"/>
      <c r="C1007" s="19"/>
      <c r="D1007" s="23"/>
      <c r="E1007" s="19"/>
      <c r="F1007" s="23"/>
      <c r="G1007" s="23"/>
      <c r="H1007" s="23"/>
      <c r="I1007" s="22" t="str">
        <f aca="false">IF($B1007="","",$B1007*(IsverenPayiOrani+IssizlikOrani))</f>
        <v/>
      </c>
    </row>
    <row r="1008" customFormat="false" ht="15" hidden="false" customHeight="false" outlineLevel="0" collapsed="false">
      <c r="A1008" s="19"/>
      <c r="B1008" s="20"/>
      <c r="C1008" s="19"/>
      <c r="D1008" s="23"/>
      <c r="E1008" s="19"/>
      <c r="F1008" s="23"/>
      <c r="G1008" s="23"/>
      <c r="H1008" s="23"/>
      <c r="I1008" s="22" t="str">
        <f aca="false">IF($B1008="","",$B1008*(IsverenPayiOrani+IssizlikOrani))</f>
        <v/>
      </c>
    </row>
    <row r="1009" customFormat="false" ht="15" hidden="false" customHeight="false" outlineLevel="0" collapsed="false">
      <c r="A1009" s="19"/>
      <c r="B1009" s="20"/>
      <c r="C1009" s="19"/>
      <c r="D1009" s="23"/>
      <c r="E1009" s="19"/>
      <c r="F1009" s="23"/>
      <c r="G1009" s="23"/>
      <c r="H1009" s="23"/>
      <c r="I1009" s="22" t="str">
        <f aca="false">IF($B1009="","",$B1009*(IsverenPayiOrani+IssizlikOrani))</f>
        <v/>
      </c>
    </row>
    <row r="1010" customFormat="false" ht="15" hidden="false" customHeight="false" outlineLevel="0" collapsed="false">
      <c r="A1010" s="19"/>
      <c r="B1010" s="20"/>
      <c r="C1010" s="19"/>
      <c r="D1010" s="23"/>
      <c r="E1010" s="19"/>
      <c r="F1010" s="23"/>
      <c r="G1010" s="23"/>
      <c r="H1010" s="23"/>
      <c r="I1010" s="22" t="str">
        <f aca="false">IF($B1010="","",$B1010*(IsverenPayiOrani+IssizlikOrani))</f>
        <v/>
      </c>
    </row>
  </sheetData>
  <sheetProtection sheet="true" password="cc3d" objects="true" scenarios="true" deleteColumns="false" deleteRows="false"/>
  <mergeCells count="2">
    <mergeCell ref="A1:AD1"/>
    <mergeCell ref="A1003:AN1003"/>
  </mergeCells>
  <conditionalFormatting sqref="B11">
    <cfRule type="cellIs" priority="2" operator="greaterThan" aboveAverage="0" equalAverage="0" bottom="0" percent="0" rank="0" text="" dxfId="8">
      <formula>0</formula>
    </cfRule>
    <cfRule type="cellIs" priority="3" operator="lessThan" aboveAverage="0" equalAverage="0" bottom="0" percent="0" rank="0" text="" dxfId="9">
      <formula>MaliyetEsik</formula>
    </cfRule>
  </conditionalFormatting>
  <conditionalFormatting sqref="D11">
    <cfRule type="cellIs" priority="4" operator="lessThan" aboveAverage="0" equalAverage="0" bottom="0" percent="0" rank="0" text="" dxfId="10">
      <formula>18</formula>
    </cfRule>
  </conditionalFormatting>
  <conditionalFormatting sqref="B12">
    <cfRule type="cellIs" priority="5" operator="greaterThan" aboveAverage="0" equalAverage="0" bottom="0" percent="0" rank="0" text="" dxfId="8">
      <formula>0</formula>
    </cfRule>
    <cfRule type="cellIs" priority="6" operator="lessThan" aboveAverage="0" equalAverage="0" bottom="0" percent="0" rank="0" text="" dxfId="9">
      <formula>MaliyetEsik</formula>
    </cfRule>
  </conditionalFormatting>
  <conditionalFormatting sqref="D12">
    <cfRule type="cellIs" priority="7" operator="lessThan" aboveAverage="0" equalAverage="0" bottom="0" percent="0" rank="0" text="" dxfId="10">
      <formula>18</formula>
    </cfRule>
  </conditionalFormatting>
  <conditionalFormatting sqref="B13">
    <cfRule type="cellIs" priority="8" operator="greaterThan" aboveAverage="0" equalAverage="0" bottom="0" percent="0" rank="0" text="" dxfId="8">
      <formula>0</formula>
    </cfRule>
    <cfRule type="cellIs" priority="9" operator="lessThan" aboveAverage="0" equalAverage="0" bottom="0" percent="0" rank="0" text="" dxfId="9">
      <formula>MaliyetEsik</formula>
    </cfRule>
  </conditionalFormatting>
  <conditionalFormatting sqref="D13">
    <cfRule type="cellIs" priority="10" operator="lessThan" aboveAverage="0" equalAverage="0" bottom="0" percent="0" rank="0" text="" dxfId="10">
      <formula>18</formula>
    </cfRule>
  </conditionalFormatting>
  <conditionalFormatting sqref="B14">
    <cfRule type="cellIs" priority="11" operator="greaterThan" aboveAverage="0" equalAverage="0" bottom="0" percent="0" rank="0" text="" dxfId="8">
      <formula>0</formula>
    </cfRule>
    <cfRule type="cellIs" priority="12" operator="lessThan" aboveAverage="0" equalAverage="0" bottom="0" percent="0" rank="0" text="" dxfId="9">
      <formula>MaliyetEsik</formula>
    </cfRule>
  </conditionalFormatting>
  <conditionalFormatting sqref="D14">
    <cfRule type="cellIs" priority="13" operator="lessThan" aboveAverage="0" equalAverage="0" bottom="0" percent="0" rank="0" text="" dxfId="10">
      <formula>18</formula>
    </cfRule>
  </conditionalFormatting>
  <conditionalFormatting sqref="B15">
    <cfRule type="cellIs" priority="14" operator="greaterThan" aboveAverage="0" equalAverage="0" bottom="0" percent="0" rank="0" text="" dxfId="8">
      <formula>0</formula>
    </cfRule>
    <cfRule type="cellIs" priority="15" operator="lessThan" aboveAverage="0" equalAverage="0" bottom="0" percent="0" rank="0" text="" dxfId="9">
      <formula>MaliyetEsik</formula>
    </cfRule>
  </conditionalFormatting>
  <conditionalFormatting sqref="D15">
    <cfRule type="cellIs" priority="16" operator="lessThan" aboveAverage="0" equalAverage="0" bottom="0" percent="0" rank="0" text="" dxfId="10">
      <formula>18</formula>
    </cfRule>
  </conditionalFormatting>
  <conditionalFormatting sqref="B16">
    <cfRule type="cellIs" priority="17" operator="greaterThan" aboveAverage="0" equalAverage="0" bottom="0" percent="0" rank="0" text="" dxfId="8">
      <formula>0</formula>
    </cfRule>
    <cfRule type="cellIs" priority="18" operator="lessThan" aboveAverage="0" equalAverage="0" bottom="0" percent="0" rank="0" text="" dxfId="9">
      <formula>MaliyetEsik</formula>
    </cfRule>
  </conditionalFormatting>
  <conditionalFormatting sqref="D16">
    <cfRule type="cellIs" priority="19" operator="lessThan" aboveAverage="0" equalAverage="0" bottom="0" percent="0" rank="0" text="" dxfId="10">
      <formula>18</formula>
    </cfRule>
  </conditionalFormatting>
  <conditionalFormatting sqref="B17">
    <cfRule type="cellIs" priority="20" operator="greaterThan" aboveAverage="0" equalAverage="0" bottom="0" percent="0" rank="0" text="" dxfId="8">
      <formula>0</formula>
    </cfRule>
    <cfRule type="cellIs" priority="21" operator="lessThan" aboveAverage="0" equalAverage="0" bottom="0" percent="0" rank="0" text="" dxfId="9">
      <formula>MaliyetEsik</formula>
    </cfRule>
  </conditionalFormatting>
  <conditionalFormatting sqref="D17">
    <cfRule type="cellIs" priority="22" operator="lessThan" aboveAverage="0" equalAverage="0" bottom="0" percent="0" rank="0" text="" dxfId="10">
      <formula>18</formula>
    </cfRule>
  </conditionalFormatting>
  <conditionalFormatting sqref="B18">
    <cfRule type="cellIs" priority="23" operator="greaterThan" aboveAverage="0" equalAverage="0" bottom="0" percent="0" rank="0" text="" dxfId="8">
      <formula>0</formula>
    </cfRule>
    <cfRule type="cellIs" priority="24" operator="lessThan" aboveAverage="0" equalAverage="0" bottom="0" percent="0" rank="0" text="" dxfId="9">
      <formula>MaliyetEsik</formula>
    </cfRule>
  </conditionalFormatting>
  <conditionalFormatting sqref="D18">
    <cfRule type="cellIs" priority="25" operator="lessThan" aboveAverage="0" equalAverage="0" bottom="0" percent="0" rank="0" text="" dxfId="10">
      <formula>18</formula>
    </cfRule>
  </conditionalFormatting>
  <conditionalFormatting sqref="B19">
    <cfRule type="cellIs" priority="26" operator="greaterThan" aboveAverage="0" equalAverage="0" bottom="0" percent="0" rank="0" text="" dxfId="8">
      <formula>0</formula>
    </cfRule>
    <cfRule type="cellIs" priority="27" operator="lessThan" aboveAverage="0" equalAverage="0" bottom="0" percent="0" rank="0" text="" dxfId="9">
      <formula>MaliyetEsik</formula>
    </cfRule>
  </conditionalFormatting>
  <conditionalFormatting sqref="D19">
    <cfRule type="cellIs" priority="28" operator="lessThan" aboveAverage="0" equalAverage="0" bottom="0" percent="0" rank="0" text="" dxfId="10">
      <formula>18</formula>
    </cfRule>
  </conditionalFormatting>
  <conditionalFormatting sqref="B20">
    <cfRule type="cellIs" priority="29" operator="greaterThan" aboveAverage="0" equalAverage="0" bottom="0" percent="0" rank="0" text="" dxfId="8">
      <formula>0</formula>
    </cfRule>
    <cfRule type="cellIs" priority="30" operator="lessThan" aboveAverage="0" equalAverage="0" bottom="0" percent="0" rank="0" text="" dxfId="9">
      <formula>MaliyetEsik</formula>
    </cfRule>
  </conditionalFormatting>
  <conditionalFormatting sqref="D20">
    <cfRule type="cellIs" priority="31" operator="lessThan" aboveAverage="0" equalAverage="0" bottom="0" percent="0" rank="0" text="" dxfId="10">
      <formula>18</formula>
    </cfRule>
  </conditionalFormatting>
  <conditionalFormatting sqref="B21">
    <cfRule type="cellIs" priority="32" operator="greaterThan" aboveAverage="0" equalAverage="0" bottom="0" percent="0" rank="0" text="" dxfId="8">
      <formula>0</formula>
    </cfRule>
    <cfRule type="cellIs" priority="33" operator="lessThan" aboveAverage="0" equalAverage="0" bottom="0" percent="0" rank="0" text="" dxfId="9">
      <formula>MaliyetEsik</formula>
    </cfRule>
  </conditionalFormatting>
  <conditionalFormatting sqref="D21">
    <cfRule type="cellIs" priority="34" operator="lessThan" aboveAverage="0" equalAverage="0" bottom="0" percent="0" rank="0" text="" dxfId="10">
      <formula>18</formula>
    </cfRule>
  </conditionalFormatting>
  <conditionalFormatting sqref="B22">
    <cfRule type="cellIs" priority="35" operator="greaterThan" aboveAverage="0" equalAverage="0" bottom="0" percent="0" rank="0" text="" dxfId="8">
      <formula>0</formula>
    </cfRule>
    <cfRule type="cellIs" priority="36" operator="lessThan" aboveAverage="0" equalAverage="0" bottom="0" percent="0" rank="0" text="" dxfId="9">
      <formula>MaliyetEsik</formula>
    </cfRule>
  </conditionalFormatting>
  <conditionalFormatting sqref="D22">
    <cfRule type="cellIs" priority="37" operator="lessThan" aboveAverage="0" equalAverage="0" bottom="0" percent="0" rank="0" text="" dxfId="10">
      <formula>18</formula>
    </cfRule>
  </conditionalFormatting>
  <conditionalFormatting sqref="B23">
    <cfRule type="cellIs" priority="38" operator="greaterThan" aboveAverage="0" equalAverage="0" bottom="0" percent="0" rank="0" text="" dxfId="8">
      <formula>0</formula>
    </cfRule>
    <cfRule type="cellIs" priority="39" operator="lessThan" aboveAverage="0" equalAverage="0" bottom="0" percent="0" rank="0" text="" dxfId="9">
      <formula>MaliyetEsik</formula>
    </cfRule>
  </conditionalFormatting>
  <conditionalFormatting sqref="D23">
    <cfRule type="cellIs" priority="40" operator="lessThan" aboveAverage="0" equalAverage="0" bottom="0" percent="0" rank="0" text="" dxfId="10">
      <formula>18</formula>
    </cfRule>
  </conditionalFormatting>
  <conditionalFormatting sqref="B24">
    <cfRule type="cellIs" priority="41" operator="greaterThan" aboveAverage="0" equalAverage="0" bottom="0" percent="0" rank="0" text="" dxfId="8">
      <formula>0</formula>
    </cfRule>
    <cfRule type="cellIs" priority="42" operator="lessThan" aboveAverage="0" equalAverage="0" bottom="0" percent="0" rank="0" text="" dxfId="9">
      <formula>MaliyetEsik</formula>
    </cfRule>
  </conditionalFormatting>
  <conditionalFormatting sqref="D24">
    <cfRule type="cellIs" priority="43" operator="lessThan" aboveAverage="0" equalAverage="0" bottom="0" percent="0" rank="0" text="" dxfId="10">
      <formula>18</formula>
    </cfRule>
  </conditionalFormatting>
  <conditionalFormatting sqref="B25">
    <cfRule type="cellIs" priority="44" operator="greaterThan" aboveAverage="0" equalAverage="0" bottom="0" percent="0" rank="0" text="" dxfId="8">
      <formula>0</formula>
    </cfRule>
    <cfRule type="cellIs" priority="45" operator="lessThan" aboveAverage="0" equalAverage="0" bottom="0" percent="0" rank="0" text="" dxfId="9">
      <formula>MaliyetEsik</formula>
    </cfRule>
  </conditionalFormatting>
  <conditionalFormatting sqref="D25">
    <cfRule type="cellIs" priority="46" operator="lessThan" aboveAverage="0" equalAverage="0" bottom="0" percent="0" rank="0" text="" dxfId="10">
      <formula>18</formula>
    </cfRule>
  </conditionalFormatting>
  <conditionalFormatting sqref="B26">
    <cfRule type="cellIs" priority="47" operator="greaterThan" aboveAverage="0" equalAverage="0" bottom="0" percent="0" rank="0" text="" dxfId="8">
      <formula>0</formula>
    </cfRule>
    <cfRule type="cellIs" priority="48" operator="lessThan" aboveAverage="0" equalAverage="0" bottom="0" percent="0" rank="0" text="" dxfId="9">
      <formula>MaliyetEsik</formula>
    </cfRule>
  </conditionalFormatting>
  <conditionalFormatting sqref="D26">
    <cfRule type="cellIs" priority="49" operator="lessThan" aboveAverage="0" equalAverage="0" bottom="0" percent="0" rank="0" text="" dxfId="10">
      <formula>18</formula>
    </cfRule>
  </conditionalFormatting>
  <conditionalFormatting sqref="B27">
    <cfRule type="cellIs" priority="50" operator="greaterThan" aboveAverage="0" equalAverage="0" bottom="0" percent="0" rank="0" text="" dxfId="8">
      <formula>0</formula>
    </cfRule>
    <cfRule type="cellIs" priority="51" operator="lessThan" aboveAverage="0" equalAverage="0" bottom="0" percent="0" rank="0" text="" dxfId="9">
      <formula>MaliyetEsik</formula>
    </cfRule>
  </conditionalFormatting>
  <conditionalFormatting sqref="D27">
    <cfRule type="cellIs" priority="52" operator="lessThan" aboveAverage="0" equalAverage="0" bottom="0" percent="0" rank="0" text="" dxfId="10">
      <formula>18</formula>
    </cfRule>
  </conditionalFormatting>
  <conditionalFormatting sqref="B28">
    <cfRule type="cellIs" priority="53" operator="greaterThan" aboveAverage="0" equalAverage="0" bottom="0" percent="0" rank="0" text="" dxfId="8">
      <formula>0</formula>
    </cfRule>
    <cfRule type="cellIs" priority="54" operator="lessThan" aboveAverage="0" equalAverage="0" bottom="0" percent="0" rank="0" text="" dxfId="9">
      <formula>MaliyetEsik</formula>
    </cfRule>
  </conditionalFormatting>
  <conditionalFormatting sqref="D28">
    <cfRule type="cellIs" priority="55" operator="lessThan" aboveAverage="0" equalAverage="0" bottom="0" percent="0" rank="0" text="" dxfId="10">
      <formula>18</formula>
    </cfRule>
  </conditionalFormatting>
  <conditionalFormatting sqref="B29">
    <cfRule type="cellIs" priority="56" operator="greaterThan" aboveAverage="0" equalAverage="0" bottom="0" percent="0" rank="0" text="" dxfId="8">
      <formula>0</formula>
    </cfRule>
    <cfRule type="cellIs" priority="57" operator="lessThan" aboveAverage="0" equalAverage="0" bottom="0" percent="0" rank="0" text="" dxfId="9">
      <formula>MaliyetEsik</formula>
    </cfRule>
  </conditionalFormatting>
  <conditionalFormatting sqref="D29">
    <cfRule type="cellIs" priority="58" operator="lessThan" aboveAverage="0" equalAverage="0" bottom="0" percent="0" rank="0" text="" dxfId="10">
      <formula>18</formula>
    </cfRule>
  </conditionalFormatting>
  <conditionalFormatting sqref="B30">
    <cfRule type="cellIs" priority="59" operator="greaterThan" aboveAverage="0" equalAverage="0" bottom="0" percent="0" rank="0" text="" dxfId="8">
      <formula>0</formula>
    </cfRule>
    <cfRule type="cellIs" priority="60" operator="lessThan" aboveAverage="0" equalAverage="0" bottom="0" percent="0" rank="0" text="" dxfId="9">
      <formula>MaliyetEsik</formula>
    </cfRule>
  </conditionalFormatting>
  <conditionalFormatting sqref="D30">
    <cfRule type="cellIs" priority="61" operator="lessThan" aboveAverage="0" equalAverage="0" bottom="0" percent="0" rank="0" text="" dxfId="10">
      <formula>18</formula>
    </cfRule>
  </conditionalFormatting>
  <conditionalFormatting sqref="B31">
    <cfRule type="cellIs" priority="62" operator="greaterThan" aboveAverage="0" equalAverage="0" bottom="0" percent="0" rank="0" text="" dxfId="8">
      <formula>0</formula>
    </cfRule>
    <cfRule type="cellIs" priority="63" operator="lessThan" aboveAverage="0" equalAverage="0" bottom="0" percent="0" rank="0" text="" dxfId="9">
      <formula>MaliyetEsik</formula>
    </cfRule>
  </conditionalFormatting>
  <conditionalFormatting sqref="D31">
    <cfRule type="cellIs" priority="64" operator="lessThan" aboveAverage="0" equalAverage="0" bottom="0" percent="0" rank="0" text="" dxfId="10">
      <formula>18</formula>
    </cfRule>
  </conditionalFormatting>
  <conditionalFormatting sqref="B32">
    <cfRule type="cellIs" priority="65" operator="greaterThan" aboveAverage="0" equalAverage="0" bottom="0" percent="0" rank="0" text="" dxfId="8">
      <formula>0</formula>
    </cfRule>
    <cfRule type="cellIs" priority="66" operator="lessThan" aboveAverage="0" equalAverage="0" bottom="0" percent="0" rank="0" text="" dxfId="9">
      <formula>MaliyetEsik</formula>
    </cfRule>
  </conditionalFormatting>
  <conditionalFormatting sqref="D32">
    <cfRule type="cellIs" priority="67" operator="lessThan" aboveAverage="0" equalAverage="0" bottom="0" percent="0" rank="0" text="" dxfId="10">
      <formula>18</formula>
    </cfRule>
  </conditionalFormatting>
  <conditionalFormatting sqref="B33">
    <cfRule type="cellIs" priority="68" operator="greaterThan" aboveAverage="0" equalAverage="0" bottom="0" percent="0" rank="0" text="" dxfId="8">
      <formula>0</formula>
    </cfRule>
    <cfRule type="cellIs" priority="69" operator="lessThan" aboveAverage="0" equalAverage="0" bottom="0" percent="0" rank="0" text="" dxfId="9">
      <formula>MaliyetEsik</formula>
    </cfRule>
  </conditionalFormatting>
  <conditionalFormatting sqref="D33">
    <cfRule type="cellIs" priority="70" operator="lessThan" aboveAverage="0" equalAverage="0" bottom="0" percent="0" rank="0" text="" dxfId="10">
      <formula>18</formula>
    </cfRule>
  </conditionalFormatting>
  <conditionalFormatting sqref="B34">
    <cfRule type="cellIs" priority="71" operator="greaterThan" aboveAverage="0" equalAverage="0" bottom="0" percent="0" rank="0" text="" dxfId="8">
      <formula>0</formula>
    </cfRule>
    <cfRule type="cellIs" priority="72" operator="lessThan" aboveAverage="0" equalAverage="0" bottom="0" percent="0" rank="0" text="" dxfId="9">
      <formula>MaliyetEsik</formula>
    </cfRule>
  </conditionalFormatting>
  <conditionalFormatting sqref="D34">
    <cfRule type="cellIs" priority="73" operator="lessThan" aboveAverage="0" equalAverage="0" bottom="0" percent="0" rank="0" text="" dxfId="10">
      <formula>18</formula>
    </cfRule>
  </conditionalFormatting>
  <conditionalFormatting sqref="B35">
    <cfRule type="cellIs" priority="74" operator="greaterThan" aboveAverage="0" equalAverage="0" bottom="0" percent="0" rank="0" text="" dxfId="8">
      <formula>0</formula>
    </cfRule>
    <cfRule type="cellIs" priority="75" operator="lessThan" aboveAverage="0" equalAverage="0" bottom="0" percent="0" rank="0" text="" dxfId="9">
      <formula>MaliyetEsik</formula>
    </cfRule>
  </conditionalFormatting>
  <conditionalFormatting sqref="D35">
    <cfRule type="cellIs" priority="76" operator="lessThan" aboveAverage="0" equalAverage="0" bottom="0" percent="0" rank="0" text="" dxfId="10">
      <formula>18</formula>
    </cfRule>
  </conditionalFormatting>
  <conditionalFormatting sqref="B36">
    <cfRule type="cellIs" priority="77" operator="greaterThan" aboveAverage="0" equalAverage="0" bottom="0" percent="0" rank="0" text="" dxfId="8">
      <formula>0</formula>
    </cfRule>
    <cfRule type="cellIs" priority="78" operator="lessThan" aboveAverage="0" equalAverage="0" bottom="0" percent="0" rank="0" text="" dxfId="9">
      <formula>MaliyetEsik</formula>
    </cfRule>
  </conditionalFormatting>
  <conditionalFormatting sqref="D36">
    <cfRule type="cellIs" priority="79" operator="lessThan" aboveAverage="0" equalAverage="0" bottom="0" percent="0" rank="0" text="" dxfId="10">
      <formula>18</formula>
    </cfRule>
  </conditionalFormatting>
  <conditionalFormatting sqref="B37">
    <cfRule type="cellIs" priority="80" operator="greaterThan" aboveAverage="0" equalAverage="0" bottom="0" percent="0" rank="0" text="" dxfId="8">
      <formula>0</formula>
    </cfRule>
    <cfRule type="cellIs" priority="81" operator="lessThan" aboveAverage="0" equalAverage="0" bottom="0" percent="0" rank="0" text="" dxfId="9">
      <formula>MaliyetEsik</formula>
    </cfRule>
  </conditionalFormatting>
  <conditionalFormatting sqref="D37">
    <cfRule type="cellIs" priority="82" operator="lessThan" aboveAverage="0" equalAverage="0" bottom="0" percent="0" rank="0" text="" dxfId="10">
      <formula>18</formula>
    </cfRule>
  </conditionalFormatting>
  <conditionalFormatting sqref="B38">
    <cfRule type="cellIs" priority="83" operator="greaterThan" aboveAverage="0" equalAverage="0" bottom="0" percent="0" rank="0" text="" dxfId="8">
      <formula>0</formula>
    </cfRule>
    <cfRule type="cellIs" priority="84" operator="lessThan" aboveAverage="0" equalAverage="0" bottom="0" percent="0" rank="0" text="" dxfId="9">
      <formula>MaliyetEsik</formula>
    </cfRule>
  </conditionalFormatting>
  <conditionalFormatting sqref="D38">
    <cfRule type="cellIs" priority="85" operator="lessThan" aboveAverage="0" equalAverage="0" bottom="0" percent="0" rank="0" text="" dxfId="10">
      <formula>18</formula>
    </cfRule>
  </conditionalFormatting>
  <conditionalFormatting sqref="B39">
    <cfRule type="cellIs" priority="86" operator="greaterThan" aboveAverage="0" equalAverage="0" bottom="0" percent="0" rank="0" text="" dxfId="8">
      <formula>0</formula>
    </cfRule>
    <cfRule type="cellIs" priority="87" operator="lessThan" aboveAverage="0" equalAverage="0" bottom="0" percent="0" rank="0" text="" dxfId="9">
      <formula>MaliyetEsik</formula>
    </cfRule>
  </conditionalFormatting>
  <conditionalFormatting sqref="D39">
    <cfRule type="cellIs" priority="88" operator="lessThan" aboveAverage="0" equalAverage="0" bottom="0" percent="0" rank="0" text="" dxfId="10">
      <formula>18</formula>
    </cfRule>
  </conditionalFormatting>
  <conditionalFormatting sqref="B40">
    <cfRule type="cellIs" priority="89" operator="greaterThan" aboveAverage="0" equalAverage="0" bottom="0" percent="0" rank="0" text="" dxfId="8">
      <formula>0</formula>
    </cfRule>
    <cfRule type="cellIs" priority="90" operator="lessThan" aboveAverage="0" equalAverage="0" bottom="0" percent="0" rank="0" text="" dxfId="9">
      <formula>MaliyetEsik</formula>
    </cfRule>
  </conditionalFormatting>
  <conditionalFormatting sqref="D40">
    <cfRule type="cellIs" priority="91" operator="lessThan" aboveAverage="0" equalAverage="0" bottom="0" percent="0" rank="0" text="" dxfId="10">
      <formula>18</formula>
    </cfRule>
  </conditionalFormatting>
  <conditionalFormatting sqref="B41">
    <cfRule type="cellIs" priority="92" operator="greaterThan" aboveAverage="0" equalAverage="0" bottom="0" percent="0" rank="0" text="" dxfId="8">
      <formula>0</formula>
    </cfRule>
    <cfRule type="cellIs" priority="93" operator="lessThan" aboveAverage="0" equalAverage="0" bottom="0" percent="0" rank="0" text="" dxfId="9">
      <formula>MaliyetEsik</formula>
    </cfRule>
  </conditionalFormatting>
  <conditionalFormatting sqref="D41">
    <cfRule type="cellIs" priority="94" operator="lessThan" aboveAverage="0" equalAverage="0" bottom="0" percent="0" rank="0" text="" dxfId="10">
      <formula>18</formula>
    </cfRule>
  </conditionalFormatting>
  <conditionalFormatting sqref="B42">
    <cfRule type="cellIs" priority="95" operator="greaterThan" aboveAverage="0" equalAverage="0" bottom="0" percent="0" rank="0" text="" dxfId="8">
      <formula>0</formula>
    </cfRule>
    <cfRule type="cellIs" priority="96" operator="lessThan" aboveAverage="0" equalAverage="0" bottom="0" percent="0" rank="0" text="" dxfId="9">
      <formula>MaliyetEsik</formula>
    </cfRule>
  </conditionalFormatting>
  <conditionalFormatting sqref="D42">
    <cfRule type="cellIs" priority="97" operator="lessThan" aboveAverage="0" equalAverage="0" bottom="0" percent="0" rank="0" text="" dxfId="10">
      <formula>18</formula>
    </cfRule>
  </conditionalFormatting>
  <conditionalFormatting sqref="B43">
    <cfRule type="cellIs" priority="98" operator="greaterThan" aboveAverage="0" equalAverage="0" bottom="0" percent="0" rank="0" text="" dxfId="8">
      <formula>0</formula>
    </cfRule>
    <cfRule type="cellIs" priority="99" operator="lessThan" aboveAverage="0" equalAverage="0" bottom="0" percent="0" rank="0" text="" dxfId="9">
      <formula>MaliyetEsik</formula>
    </cfRule>
  </conditionalFormatting>
  <conditionalFormatting sqref="D43">
    <cfRule type="cellIs" priority="100" operator="lessThan" aboveAverage="0" equalAverage="0" bottom="0" percent="0" rank="0" text="" dxfId="10">
      <formula>18</formula>
    </cfRule>
  </conditionalFormatting>
  <conditionalFormatting sqref="B44">
    <cfRule type="cellIs" priority="101" operator="greaterThan" aboveAverage="0" equalAverage="0" bottom="0" percent="0" rank="0" text="" dxfId="8">
      <formula>0</formula>
    </cfRule>
    <cfRule type="cellIs" priority="102" operator="lessThan" aboveAverage="0" equalAverage="0" bottom="0" percent="0" rank="0" text="" dxfId="9">
      <formula>MaliyetEsik</formula>
    </cfRule>
  </conditionalFormatting>
  <conditionalFormatting sqref="D44">
    <cfRule type="cellIs" priority="103" operator="lessThan" aboveAverage="0" equalAverage="0" bottom="0" percent="0" rank="0" text="" dxfId="10">
      <formula>18</formula>
    </cfRule>
  </conditionalFormatting>
  <conditionalFormatting sqref="B45">
    <cfRule type="cellIs" priority="104" operator="greaterThan" aboveAverage="0" equalAverage="0" bottom="0" percent="0" rank="0" text="" dxfId="8">
      <formula>0</formula>
    </cfRule>
    <cfRule type="cellIs" priority="105" operator="lessThan" aboveAverage="0" equalAverage="0" bottom="0" percent="0" rank="0" text="" dxfId="9">
      <formula>MaliyetEsik</formula>
    </cfRule>
  </conditionalFormatting>
  <conditionalFormatting sqref="D45">
    <cfRule type="cellIs" priority="106" operator="lessThan" aboveAverage="0" equalAverage="0" bottom="0" percent="0" rank="0" text="" dxfId="10">
      <formula>18</formula>
    </cfRule>
  </conditionalFormatting>
  <conditionalFormatting sqref="B46">
    <cfRule type="cellIs" priority="107" operator="greaterThan" aboveAverage="0" equalAverage="0" bottom="0" percent="0" rank="0" text="" dxfId="8">
      <formula>0</formula>
    </cfRule>
    <cfRule type="cellIs" priority="108" operator="lessThan" aboveAverage="0" equalAverage="0" bottom="0" percent="0" rank="0" text="" dxfId="9">
      <formula>MaliyetEsik</formula>
    </cfRule>
  </conditionalFormatting>
  <conditionalFormatting sqref="D46">
    <cfRule type="cellIs" priority="109" operator="lessThan" aboveAverage="0" equalAverage="0" bottom="0" percent="0" rank="0" text="" dxfId="10">
      <formula>18</formula>
    </cfRule>
  </conditionalFormatting>
  <conditionalFormatting sqref="B47">
    <cfRule type="cellIs" priority="110" operator="greaterThan" aboveAverage="0" equalAverage="0" bottom="0" percent="0" rank="0" text="" dxfId="8">
      <formula>0</formula>
    </cfRule>
    <cfRule type="cellIs" priority="111" operator="lessThan" aboveAverage="0" equalAverage="0" bottom="0" percent="0" rank="0" text="" dxfId="9">
      <formula>MaliyetEsik</formula>
    </cfRule>
  </conditionalFormatting>
  <conditionalFormatting sqref="D47">
    <cfRule type="cellIs" priority="112" operator="lessThan" aboveAverage="0" equalAverage="0" bottom="0" percent="0" rank="0" text="" dxfId="10">
      <formula>18</formula>
    </cfRule>
  </conditionalFormatting>
  <conditionalFormatting sqref="B48">
    <cfRule type="cellIs" priority="113" operator="greaterThan" aboveAverage="0" equalAverage="0" bottom="0" percent="0" rank="0" text="" dxfId="8">
      <formula>0</formula>
    </cfRule>
    <cfRule type="cellIs" priority="114" operator="lessThan" aboveAverage="0" equalAverage="0" bottom="0" percent="0" rank="0" text="" dxfId="9">
      <formula>MaliyetEsik</formula>
    </cfRule>
  </conditionalFormatting>
  <conditionalFormatting sqref="D48">
    <cfRule type="cellIs" priority="115" operator="lessThan" aboveAverage="0" equalAverage="0" bottom="0" percent="0" rank="0" text="" dxfId="10">
      <formula>18</formula>
    </cfRule>
  </conditionalFormatting>
  <conditionalFormatting sqref="B49">
    <cfRule type="cellIs" priority="116" operator="greaterThan" aboveAverage="0" equalAverage="0" bottom="0" percent="0" rank="0" text="" dxfId="8">
      <formula>0</formula>
    </cfRule>
    <cfRule type="cellIs" priority="117" operator="lessThan" aboveAverage="0" equalAverage="0" bottom="0" percent="0" rank="0" text="" dxfId="9">
      <formula>MaliyetEsik</formula>
    </cfRule>
  </conditionalFormatting>
  <conditionalFormatting sqref="D49">
    <cfRule type="cellIs" priority="118" operator="lessThan" aboveAverage="0" equalAverage="0" bottom="0" percent="0" rank="0" text="" dxfId="10">
      <formula>18</formula>
    </cfRule>
  </conditionalFormatting>
  <conditionalFormatting sqref="B50">
    <cfRule type="cellIs" priority="119" operator="greaterThan" aboveAverage="0" equalAverage="0" bottom="0" percent="0" rank="0" text="" dxfId="8">
      <formula>0</formula>
    </cfRule>
    <cfRule type="cellIs" priority="120" operator="lessThan" aboveAverage="0" equalAverage="0" bottom="0" percent="0" rank="0" text="" dxfId="9">
      <formula>MaliyetEsik</formula>
    </cfRule>
  </conditionalFormatting>
  <conditionalFormatting sqref="D50">
    <cfRule type="cellIs" priority="121" operator="lessThan" aboveAverage="0" equalAverage="0" bottom="0" percent="0" rank="0" text="" dxfId="10">
      <formula>18</formula>
    </cfRule>
  </conditionalFormatting>
  <conditionalFormatting sqref="B51">
    <cfRule type="cellIs" priority="122" operator="greaterThan" aboveAverage="0" equalAverage="0" bottom="0" percent="0" rank="0" text="" dxfId="8">
      <formula>0</formula>
    </cfRule>
    <cfRule type="cellIs" priority="123" operator="lessThan" aboveAverage="0" equalAverage="0" bottom="0" percent="0" rank="0" text="" dxfId="9">
      <formula>MaliyetEsik</formula>
    </cfRule>
  </conditionalFormatting>
  <conditionalFormatting sqref="D51">
    <cfRule type="cellIs" priority="124" operator="lessThan" aboveAverage="0" equalAverage="0" bottom="0" percent="0" rank="0" text="" dxfId="10">
      <formula>18</formula>
    </cfRule>
  </conditionalFormatting>
  <conditionalFormatting sqref="B52">
    <cfRule type="cellIs" priority="125" operator="greaterThan" aboveAverage="0" equalAverage="0" bottom="0" percent="0" rank="0" text="" dxfId="8">
      <formula>0</formula>
    </cfRule>
    <cfRule type="cellIs" priority="126" operator="lessThan" aboveAverage="0" equalAverage="0" bottom="0" percent="0" rank="0" text="" dxfId="9">
      <formula>MaliyetEsik</formula>
    </cfRule>
  </conditionalFormatting>
  <conditionalFormatting sqref="D52">
    <cfRule type="cellIs" priority="127" operator="lessThan" aboveAverage="0" equalAverage="0" bottom="0" percent="0" rank="0" text="" dxfId="10">
      <formula>18</formula>
    </cfRule>
  </conditionalFormatting>
  <conditionalFormatting sqref="B53">
    <cfRule type="cellIs" priority="128" operator="greaterThan" aboveAverage="0" equalAverage="0" bottom="0" percent="0" rank="0" text="" dxfId="8">
      <formula>0</formula>
    </cfRule>
    <cfRule type="cellIs" priority="129" operator="lessThan" aboveAverage="0" equalAverage="0" bottom="0" percent="0" rank="0" text="" dxfId="9">
      <formula>MaliyetEsik</formula>
    </cfRule>
  </conditionalFormatting>
  <conditionalFormatting sqref="D53">
    <cfRule type="cellIs" priority="130" operator="lessThan" aboveAverage="0" equalAverage="0" bottom="0" percent="0" rank="0" text="" dxfId="10">
      <formula>18</formula>
    </cfRule>
  </conditionalFormatting>
  <conditionalFormatting sqref="B54">
    <cfRule type="cellIs" priority="131" operator="greaterThan" aboveAverage="0" equalAverage="0" bottom="0" percent="0" rank="0" text="" dxfId="8">
      <formula>0</formula>
    </cfRule>
    <cfRule type="cellIs" priority="132" operator="lessThan" aboveAverage="0" equalAverage="0" bottom="0" percent="0" rank="0" text="" dxfId="9">
      <formula>MaliyetEsik</formula>
    </cfRule>
  </conditionalFormatting>
  <conditionalFormatting sqref="D54">
    <cfRule type="cellIs" priority="133" operator="lessThan" aboveAverage="0" equalAverage="0" bottom="0" percent="0" rank="0" text="" dxfId="10">
      <formula>18</formula>
    </cfRule>
  </conditionalFormatting>
  <conditionalFormatting sqref="B55">
    <cfRule type="cellIs" priority="134" operator="greaterThan" aboveAverage="0" equalAverage="0" bottom="0" percent="0" rank="0" text="" dxfId="8">
      <formula>0</formula>
    </cfRule>
    <cfRule type="cellIs" priority="135" operator="lessThan" aboveAverage="0" equalAverage="0" bottom="0" percent="0" rank="0" text="" dxfId="9">
      <formula>MaliyetEsik</formula>
    </cfRule>
  </conditionalFormatting>
  <conditionalFormatting sqref="D55">
    <cfRule type="cellIs" priority="136" operator="lessThan" aboveAverage="0" equalAverage="0" bottom="0" percent="0" rank="0" text="" dxfId="10">
      <formula>18</formula>
    </cfRule>
  </conditionalFormatting>
  <conditionalFormatting sqref="B56">
    <cfRule type="cellIs" priority="137" operator="greaterThan" aboveAverage="0" equalAverage="0" bottom="0" percent="0" rank="0" text="" dxfId="8">
      <formula>0</formula>
    </cfRule>
    <cfRule type="cellIs" priority="138" operator="lessThan" aboveAverage="0" equalAverage="0" bottom="0" percent="0" rank="0" text="" dxfId="9">
      <formula>MaliyetEsik</formula>
    </cfRule>
  </conditionalFormatting>
  <conditionalFormatting sqref="D56">
    <cfRule type="cellIs" priority="139" operator="lessThan" aboveAverage="0" equalAverage="0" bottom="0" percent="0" rank="0" text="" dxfId="10">
      <formula>18</formula>
    </cfRule>
  </conditionalFormatting>
  <conditionalFormatting sqref="B57">
    <cfRule type="cellIs" priority="140" operator="greaterThan" aboveAverage="0" equalAverage="0" bottom="0" percent="0" rank="0" text="" dxfId="8">
      <formula>0</formula>
    </cfRule>
    <cfRule type="cellIs" priority="141" operator="lessThan" aboveAverage="0" equalAverage="0" bottom="0" percent="0" rank="0" text="" dxfId="9">
      <formula>MaliyetEsik</formula>
    </cfRule>
  </conditionalFormatting>
  <conditionalFormatting sqref="D57">
    <cfRule type="cellIs" priority="142" operator="lessThan" aboveAverage="0" equalAverage="0" bottom="0" percent="0" rank="0" text="" dxfId="10">
      <formula>18</formula>
    </cfRule>
  </conditionalFormatting>
  <conditionalFormatting sqref="B58">
    <cfRule type="cellIs" priority="143" operator="greaterThan" aboveAverage="0" equalAverage="0" bottom="0" percent="0" rank="0" text="" dxfId="8">
      <formula>0</formula>
    </cfRule>
    <cfRule type="cellIs" priority="144" operator="lessThan" aboveAverage="0" equalAverage="0" bottom="0" percent="0" rank="0" text="" dxfId="9">
      <formula>MaliyetEsik</formula>
    </cfRule>
  </conditionalFormatting>
  <conditionalFormatting sqref="D58">
    <cfRule type="cellIs" priority="145" operator="lessThan" aboveAverage="0" equalAverage="0" bottom="0" percent="0" rank="0" text="" dxfId="10">
      <formula>18</formula>
    </cfRule>
  </conditionalFormatting>
  <conditionalFormatting sqref="B59">
    <cfRule type="cellIs" priority="146" operator="greaterThan" aboveAverage="0" equalAverage="0" bottom="0" percent="0" rank="0" text="" dxfId="8">
      <formula>0</formula>
    </cfRule>
    <cfRule type="cellIs" priority="147" operator="lessThan" aboveAverage="0" equalAverage="0" bottom="0" percent="0" rank="0" text="" dxfId="9">
      <formula>MaliyetEsik</formula>
    </cfRule>
  </conditionalFormatting>
  <conditionalFormatting sqref="D59">
    <cfRule type="cellIs" priority="148" operator="lessThan" aboveAverage="0" equalAverage="0" bottom="0" percent="0" rank="0" text="" dxfId="10">
      <formula>18</formula>
    </cfRule>
  </conditionalFormatting>
  <conditionalFormatting sqref="B60">
    <cfRule type="cellIs" priority="149" operator="greaterThan" aboveAverage="0" equalAverage="0" bottom="0" percent="0" rank="0" text="" dxfId="8">
      <formula>0</formula>
    </cfRule>
    <cfRule type="cellIs" priority="150" operator="lessThan" aboveAverage="0" equalAverage="0" bottom="0" percent="0" rank="0" text="" dxfId="9">
      <formula>MaliyetEsik</formula>
    </cfRule>
  </conditionalFormatting>
  <conditionalFormatting sqref="D60">
    <cfRule type="cellIs" priority="151" operator="lessThan" aboveAverage="0" equalAverage="0" bottom="0" percent="0" rank="0" text="" dxfId="10">
      <formula>18</formula>
    </cfRule>
  </conditionalFormatting>
  <conditionalFormatting sqref="B61">
    <cfRule type="cellIs" priority="152" operator="greaterThan" aboveAverage="0" equalAverage="0" bottom="0" percent="0" rank="0" text="" dxfId="8">
      <formula>0</formula>
    </cfRule>
    <cfRule type="cellIs" priority="153" operator="lessThan" aboveAverage="0" equalAverage="0" bottom="0" percent="0" rank="0" text="" dxfId="9">
      <formula>MaliyetEsik</formula>
    </cfRule>
  </conditionalFormatting>
  <conditionalFormatting sqref="D61">
    <cfRule type="cellIs" priority="154" operator="lessThan" aboveAverage="0" equalAverage="0" bottom="0" percent="0" rank="0" text="" dxfId="10">
      <formula>18</formula>
    </cfRule>
  </conditionalFormatting>
  <conditionalFormatting sqref="B62">
    <cfRule type="cellIs" priority="155" operator="greaterThan" aboveAverage="0" equalAverage="0" bottom="0" percent="0" rank="0" text="" dxfId="8">
      <formula>0</formula>
    </cfRule>
    <cfRule type="cellIs" priority="156" operator="lessThan" aboveAverage="0" equalAverage="0" bottom="0" percent="0" rank="0" text="" dxfId="9">
      <formula>MaliyetEsik</formula>
    </cfRule>
  </conditionalFormatting>
  <conditionalFormatting sqref="D62">
    <cfRule type="cellIs" priority="157" operator="lessThan" aboveAverage="0" equalAverage="0" bottom="0" percent="0" rank="0" text="" dxfId="10">
      <formula>18</formula>
    </cfRule>
  </conditionalFormatting>
  <conditionalFormatting sqref="B63">
    <cfRule type="cellIs" priority="158" operator="greaterThan" aboveAverage="0" equalAverage="0" bottom="0" percent="0" rank="0" text="" dxfId="8">
      <formula>0</formula>
    </cfRule>
    <cfRule type="cellIs" priority="159" operator="lessThan" aboveAverage="0" equalAverage="0" bottom="0" percent="0" rank="0" text="" dxfId="9">
      <formula>MaliyetEsik</formula>
    </cfRule>
  </conditionalFormatting>
  <conditionalFormatting sqref="D63">
    <cfRule type="cellIs" priority="160" operator="lessThan" aboveAverage="0" equalAverage="0" bottom="0" percent="0" rank="0" text="" dxfId="10">
      <formula>18</formula>
    </cfRule>
  </conditionalFormatting>
  <conditionalFormatting sqref="B64">
    <cfRule type="cellIs" priority="161" operator="greaterThan" aboveAverage="0" equalAverage="0" bottom="0" percent="0" rank="0" text="" dxfId="8">
      <formula>0</formula>
    </cfRule>
    <cfRule type="cellIs" priority="162" operator="lessThan" aboveAverage="0" equalAverage="0" bottom="0" percent="0" rank="0" text="" dxfId="9">
      <formula>MaliyetEsik</formula>
    </cfRule>
  </conditionalFormatting>
  <conditionalFormatting sqref="D64">
    <cfRule type="cellIs" priority="163" operator="lessThan" aboveAverage="0" equalAverage="0" bottom="0" percent="0" rank="0" text="" dxfId="10">
      <formula>18</formula>
    </cfRule>
  </conditionalFormatting>
  <conditionalFormatting sqref="B65">
    <cfRule type="cellIs" priority="164" operator="greaterThan" aboveAverage="0" equalAverage="0" bottom="0" percent="0" rank="0" text="" dxfId="8">
      <formula>0</formula>
    </cfRule>
    <cfRule type="cellIs" priority="165" operator="lessThan" aboveAverage="0" equalAverage="0" bottom="0" percent="0" rank="0" text="" dxfId="9">
      <formula>MaliyetEsik</formula>
    </cfRule>
  </conditionalFormatting>
  <conditionalFormatting sqref="D65">
    <cfRule type="cellIs" priority="166" operator="lessThan" aboveAverage="0" equalAverage="0" bottom="0" percent="0" rank="0" text="" dxfId="10">
      <formula>18</formula>
    </cfRule>
  </conditionalFormatting>
  <conditionalFormatting sqref="B66">
    <cfRule type="cellIs" priority="167" operator="greaterThan" aboveAverage="0" equalAverage="0" bottom="0" percent="0" rank="0" text="" dxfId="8">
      <formula>0</formula>
    </cfRule>
    <cfRule type="cellIs" priority="168" operator="lessThan" aboveAverage="0" equalAverage="0" bottom="0" percent="0" rank="0" text="" dxfId="9">
      <formula>MaliyetEsik</formula>
    </cfRule>
  </conditionalFormatting>
  <conditionalFormatting sqref="D66">
    <cfRule type="cellIs" priority="169" operator="lessThan" aboveAverage="0" equalAverage="0" bottom="0" percent="0" rank="0" text="" dxfId="10">
      <formula>18</formula>
    </cfRule>
  </conditionalFormatting>
  <conditionalFormatting sqref="B67">
    <cfRule type="cellIs" priority="170" operator="greaterThan" aboveAverage="0" equalAverage="0" bottom="0" percent="0" rank="0" text="" dxfId="8">
      <formula>0</formula>
    </cfRule>
    <cfRule type="cellIs" priority="171" operator="lessThan" aboveAverage="0" equalAverage="0" bottom="0" percent="0" rank="0" text="" dxfId="9">
      <formula>MaliyetEsik</formula>
    </cfRule>
  </conditionalFormatting>
  <conditionalFormatting sqref="D67">
    <cfRule type="cellIs" priority="172" operator="lessThan" aboveAverage="0" equalAverage="0" bottom="0" percent="0" rank="0" text="" dxfId="10">
      <formula>18</formula>
    </cfRule>
  </conditionalFormatting>
  <conditionalFormatting sqref="B68">
    <cfRule type="cellIs" priority="173" operator="greaterThan" aboveAverage="0" equalAverage="0" bottom="0" percent="0" rank="0" text="" dxfId="8">
      <formula>0</formula>
    </cfRule>
    <cfRule type="cellIs" priority="174" operator="lessThan" aboveAverage="0" equalAverage="0" bottom="0" percent="0" rank="0" text="" dxfId="9">
      <formula>MaliyetEsik</formula>
    </cfRule>
  </conditionalFormatting>
  <conditionalFormatting sqref="D68">
    <cfRule type="cellIs" priority="175" operator="lessThan" aboveAverage="0" equalAverage="0" bottom="0" percent="0" rank="0" text="" dxfId="10">
      <formula>18</formula>
    </cfRule>
  </conditionalFormatting>
  <conditionalFormatting sqref="B69">
    <cfRule type="cellIs" priority="176" operator="greaterThan" aboveAverage="0" equalAverage="0" bottom="0" percent="0" rank="0" text="" dxfId="8">
      <formula>0</formula>
    </cfRule>
    <cfRule type="cellIs" priority="177" operator="lessThan" aboveAverage="0" equalAverage="0" bottom="0" percent="0" rank="0" text="" dxfId="9">
      <formula>MaliyetEsik</formula>
    </cfRule>
  </conditionalFormatting>
  <conditionalFormatting sqref="D69">
    <cfRule type="cellIs" priority="178" operator="lessThan" aboveAverage="0" equalAverage="0" bottom="0" percent="0" rank="0" text="" dxfId="10">
      <formula>18</formula>
    </cfRule>
  </conditionalFormatting>
  <conditionalFormatting sqref="B70">
    <cfRule type="cellIs" priority="179" operator="greaterThan" aboveAverage="0" equalAverage="0" bottom="0" percent="0" rank="0" text="" dxfId="8">
      <formula>0</formula>
    </cfRule>
    <cfRule type="cellIs" priority="180" operator="lessThan" aboveAverage="0" equalAverage="0" bottom="0" percent="0" rank="0" text="" dxfId="9">
      <formula>MaliyetEsik</formula>
    </cfRule>
  </conditionalFormatting>
  <conditionalFormatting sqref="D70">
    <cfRule type="cellIs" priority="181" operator="lessThan" aboveAverage="0" equalAverage="0" bottom="0" percent="0" rank="0" text="" dxfId="10">
      <formula>18</formula>
    </cfRule>
  </conditionalFormatting>
  <conditionalFormatting sqref="B71">
    <cfRule type="cellIs" priority="182" operator="greaterThan" aboveAverage="0" equalAverage="0" bottom="0" percent="0" rank="0" text="" dxfId="8">
      <formula>0</formula>
    </cfRule>
    <cfRule type="cellIs" priority="183" operator="lessThan" aboveAverage="0" equalAverage="0" bottom="0" percent="0" rank="0" text="" dxfId="9">
      <formula>MaliyetEsik</formula>
    </cfRule>
  </conditionalFormatting>
  <conditionalFormatting sqref="D71">
    <cfRule type="cellIs" priority="184" operator="lessThan" aboveAverage="0" equalAverage="0" bottom="0" percent="0" rank="0" text="" dxfId="10">
      <formula>18</formula>
    </cfRule>
  </conditionalFormatting>
  <conditionalFormatting sqref="B72">
    <cfRule type="cellIs" priority="185" operator="greaterThan" aboveAverage="0" equalAverage="0" bottom="0" percent="0" rank="0" text="" dxfId="8">
      <formula>0</formula>
    </cfRule>
    <cfRule type="cellIs" priority="186" operator="lessThan" aboveAverage="0" equalAverage="0" bottom="0" percent="0" rank="0" text="" dxfId="9">
      <formula>MaliyetEsik</formula>
    </cfRule>
  </conditionalFormatting>
  <conditionalFormatting sqref="D72">
    <cfRule type="cellIs" priority="187" operator="lessThan" aboveAverage="0" equalAverage="0" bottom="0" percent="0" rank="0" text="" dxfId="10">
      <formula>18</formula>
    </cfRule>
  </conditionalFormatting>
  <conditionalFormatting sqref="B73">
    <cfRule type="cellIs" priority="188" operator="greaterThan" aboveAverage="0" equalAverage="0" bottom="0" percent="0" rank="0" text="" dxfId="8">
      <formula>0</formula>
    </cfRule>
    <cfRule type="cellIs" priority="189" operator="lessThan" aboveAverage="0" equalAverage="0" bottom="0" percent="0" rank="0" text="" dxfId="9">
      <formula>MaliyetEsik</formula>
    </cfRule>
  </conditionalFormatting>
  <conditionalFormatting sqref="D73">
    <cfRule type="cellIs" priority="190" operator="lessThan" aboveAverage="0" equalAverage="0" bottom="0" percent="0" rank="0" text="" dxfId="10">
      <formula>18</formula>
    </cfRule>
  </conditionalFormatting>
  <conditionalFormatting sqref="B74">
    <cfRule type="cellIs" priority="191" operator="greaterThan" aboveAverage="0" equalAverage="0" bottom="0" percent="0" rank="0" text="" dxfId="8">
      <formula>0</formula>
    </cfRule>
    <cfRule type="cellIs" priority="192" operator="lessThan" aboveAverage="0" equalAverage="0" bottom="0" percent="0" rank="0" text="" dxfId="9">
      <formula>MaliyetEsik</formula>
    </cfRule>
  </conditionalFormatting>
  <conditionalFormatting sqref="D74">
    <cfRule type="cellIs" priority="193" operator="lessThan" aboveAverage="0" equalAverage="0" bottom="0" percent="0" rank="0" text="" dxfId="10">
      <formula>18</formula>
    </cfRule>
  </conditionalFormatting>
  <conditionalFormatting sqref="B75">
    <cfRule type="cellIs" priority="194" operator="greaterThan" aboveAverage="0" equalAverage="0" bottom="0" percent="0" rank="0" text="" dxfId="8">
      <formula>0</formula>
    </cfRule>
    <cfRule type="cellIs" priority="195" operator="lessThan" aboveAverage="0" equalAverage="0" bottom="0" percent="0" rank="0" text="" dxfId="9">
      <formula>MaliyetEsik</formula>
    </cfRule>
  </conditionalFormatting>
  <conditionalFormatting sqref="D75">
    <cfRule type="cellIs" priority="196" operator="lessThan" aboveAverage="0" equalAverage="0" bottom="0" percent="0" rank="0" text="" dxfId="10">
      <formula>18</formula>
    </cfRule>
  </conditionalFormatting>
  <conditionalFormatting sqref="B76">
    <cfRule type="cellIs" priority="197" operator="greaterThan" aboveAverage="0" equalAverage="0" bottom="0" percent="0" rank="0" text="" dxfId="8">
      <formula>0</formula>
    </cfRule>
    <cfRule type="cellIs" priority="198" operator="lessThan" aboveAverage="0" equalAverage="0" bottom="0" percent="0" rank="0" text="" dxfId="9">
      <formula>MaliyetEsik</formula>
    </cfRule>
  </conditionalFormatting>
  <conditionalFormatting sqref="D76">
    <cfRule type="cellIs" priority="199" operator="lessThan" aboveAverage="0" equalAverage="0" bottom="0" percent="0" rank="0" text="" dxfId="10">
      <formula>18</formula>
    </cfRule>
  </conditionalFormatting>
  <conditionalFormatting sqref="B77">
    <cfRule type="cellIs" priority="200" operator="greaterThan" aboveAverage="0" equalAverage="0" bottom="0" percent="0" rank="0" text="" dxfId="8">
      <formula>0</formula>
    </cfRule>
    <cfRule type="cellIs" priority="201" operator="lessThan" aboveAverage="0" equalAverage="0" bottom="0" percent="0" rank="0" text="" dxfId="9">
      <formula>MaliyetEsik</formula>
    </cfRule>
  </conditionalFormatting>
  <conditionalFormatting sqref="D77">
    <cfRule type="cellIs" priority="202" operator="lessThan" aboveAverage="0" equalAverage="0" bottom="0" percent="0" rank="0" text="" dxfId="10">
      <formula>18</formula>
    </cfRule>
  </conditionalFormatting>
  <conditionalFormatting sqref="B78">
    <cfRule type="cellIs" priority="203" operator="greaterThan" aboveAverage="0" equalAverage="0" bottom="0" percent="0" rank="0" text="" dxfId="8">
      <formula>0</formula>
    </cfRule>
    <cfRule type="cellIs" priority="204" operator="lessThan" aboveAverage="0" equalAverage="0" bottom="0" percent="0" rank="0" text="" dxfId="9">
      <formula>MaliyetEsik</formula>
    </cfRule>
  </conditionalFormatting>
  <conditionalFormatting sqref="D78">
    <cfRule type="cellIs" priority="205" operator="lessThan" aboveAverage="0" equalAverage="0" bottom="0" percent="0" rank="0" text="" dxfId="10">
      <formula>18</formula>
    </cfRule>
  </conditionalFormatting>
  <conditionalFormatting sqref="B79">
    <cfRule type="cellIs" priority="206" operator="greaterThan" aboveAverage="0" equalAverage="0" bottom="0" percent="0" rank="0" text="" dxfId="8">
      <formula>0</formula>
    </cfRule>
    <cfRule type="cellIs" priority="207" operator="lessThan" aboveAverage="0" equalAverage="0" bottom="0" percent="0" rank="0" text="" dxfId="9">
      <formula>MaliyetEsik</formula>
    </cfRule>
  </conditionalFormatting>
  <conditionalFormatting sqref="D79">
    <cfRule type="cellIs" priority="208" operator="lessThan" aboveAverage="0" equalAverage="0" bottom="0" percent="0" rank="0" text="" dxfId="10">
      <formula>18</formula>
    </cfRule>
  </conditionalFormatting>
  <conditionalFormatting sqref="B80">
    <cfRule type="cellIs" priority="209" operator="greaterThan" aboveAverage="0" equalAverage="0" bottom="0" percent="0" rank="0" text="" dxfId="8">
      <formula>0</formula>
    </cfRule>
    <cfRule type="cellIs" priority="210" operator="lessThan" aboveAverage="0" equalAverage="0" bottom="0" percent="0" rank="0" text="" dxfId="9">
      <formula>MaliyetEsik</formula>
    </cfRule>
  </conditionalFormatting>
  <conditionalFormatting sqref="D80">
    <cfRule type="cellIs" priority="211" operator="lessThan" aboveAverage="0" equalAverage="0" bottom="0" percent="0" rank="0" text="" dxfId="10">
      <formula>18</formula>
    </cfRule>
  </conditionalFormatting>
  <conditionalFormatting sqref="B81">
    <cfRule type="cellIs" priority="212" operator="greaterThan" aboveAverage="0" equalAverage="0" bottom="0" percent="0" rank="0" text="" dxfId="8">
      <formula>0</formula>
    </cfRule>
    <cfRule type="cellIs" priority="213" operator="lessThan" aboveAverage="0" equalAverage="0" bottom="0" percent="0" rank="0" text="" dxfId="9">
      <formula>MaliyetEsik</formula>
    </cfRule>
  </conditionalFormatting>
  <conditionalFormatting sqref="D81">
    <cfRule type="cellIs" priority="214" operator="lessThan" aboveAverage="0" equalAverage="0" bottom="0" percent="0" rank="0" text="" dxfId="10">
      <formula>18</formula>
    </cfRule>
  </conditionalFormatting>
  <conditionalFormatting sqref="B82">
    <cfRule type="cellIs" priority="215" operator="greaterThan" aboveAverage="0" equalAverage="0" bottom="0" percent="0" rank="0" text="" dxfId="8">
      <formula>0</formula>
    </cfRule>
    <cfRule type="cellIs" priority="216" operator="lessThan" aboveAverage="0" equalAverage="0" bottom="0" percent="0" rank="0" text="" dxfId="9">
      <formula>MaliyetEsik</formula>
    </cfRule>
  </conditionalFormatting>
  <conditionalFormatting sqref="D82">
    <cfRule type="cellIs" priority="217" operator="lessThan" aboveAverage="0" equalAverage="0" bottom="0" percent="0" rank="0" text="" dxfId="10">
      <formula>18</formula>
    </cfRule>
  </conditionalFormatting>
  <conditionalFormatting sqref="B83">
    <cfRule type="cellIs" priority="218" operator="greaterThan" aboveAverage="0" equalAverage="0" bottom="0" percent="0" rank="0" text="" dxfId="8">
      <formula>0</formula>
    </cfRule>
    <cfRule type="cellIs" priority="219" operator="lessThan" aboveAverage="0" equalAverage="0" bottom="0" percent="0" rank="0" text="" dxfId="9">
      <formula>MaliyetEsik</formula>
    </cfRule>
  </conditionalFormatting>
  <conditionalFormatting sqref="D83">
    <cfRule type="cellIs" priority="220" operator="lessThan" aboveAverage="0" equalAverage="0" bottom="0" percent="0" rank="0" text="" dxfId="10">
      <formula>18</formula>
    </cfRule>
  </conditionalFormatting>
  <conditionalFormatting sqref="B84">
    <cfRule type="cellIs" priority="221" operator="greaterThan" aboveAverage="0" equalAverage="0" bottom="0" percent="0" rank="0" text="" dxfId="8">
      <formula>0</formula>
    </cfRule>
    <cfRule type="cellIs" priority="222" operator="lessThan" aboveAverage="0" equalAverage="0" bottom="0" percent="0" rank="0" text="" dxfId="9">
      <formula>MaliyetEsik</formula>
    </cfRule>
  </conditionalFormatting>
  <conditionalFormatting sqref="D84">
    <cfRule type="cellIs" priority="223" operator="lessThan" aboveAverage="0" equalAverage="0" bottom="0" percent="0" rank="0" text="" dxfId="10">
      <formula>18</formula>
    </cfRule>
  </conditionalFormatting>
  <conditionalFormatting sqref="B85">
    <cfRule type="cellIs" priority="224" operator="greaterThan" aboveAverage="0" equalAverage="0" bottom="0" percent="0" rank="0" text="" dxfId="8">
      <formula>0</formula>
    </cfRule>
    <cfRule type="cellIs" priority="225" operator="lessThan" aboveAverage="0" equalAverage="0" bottom="0" percent="0" rank="0" text="" dxfId="9">
      <formula>MaliyetEsik</formula>
    </cfRule>
  </conditionalFormatting>
  <conditionalFormatting sqref="D85">
    <cfRule type="cellIs" priority="226" operator="lessThan" aboveAverage="0" equalAverage="0" bottom="0" percent="0" rank="0" text="" dxfId="10">
      <formula>18</formula>
    </cfRule>
  </conditionalFormatting>
  <conditionalFormatting sqref="B86">
    <cfRule type="cellIs" priority="227" operator="greaterThan" aboveAverage="0" equalAverage="0" bottom="0" percent="0" rank="0" text="" dxfId="8">
      <formula>0</formula>
    </cfRule>
    <cfRule type="cellIs" priority="228" operator="lessThan" aboveAverage="0" equalAverage="0" bottom="0" percent="0" rank="0" text="" dxfId="9">
      <formula>MaliyetEsik</formula>
    </cfRule>
  </conditionalFormatting>
  <conditionalFormatting sqref="D86">
    <cfRule type="cellIs" priority="229" operator="lessThan" aboveAverage="0" equalAverage="0" bottom="0" percent="0" rank="0" text="" dxfId="10">
      <formula>18</formula>
    </cfRule>
  </conditionalFormatting>
  <conditionalFormatting sqref="B87">
    <cfRule type="cellIs" priority="230" operator="greaterThan" aboveAverage="0" equalAverage="0" bottom="0" percent="0" rank="0" text="" dxfId="8">
      <formula>0</formula>
    </cfRule>
    <cfRule type="cellIs" priority="231" operator="lessThan" aboveAverage="0" equalAverage="0" bottom="0" percent="0" rank="0" text="" dxfId="9">
      <formula>MaliyetEsik</formula>
    </cfRule>
  </conditionalFormatting>
  <conditionalFormatting sqref="D87">
    <cfRule type="cellIs" priority="232" operator="lessThan" aboveAverage="0" equalAverage="0" bottom="0" percent="0" rank="0" text="" dxfId="10">
      <formula>18</formula>
    </cfRule>
  </conditionalFormatting>
  <conditionalFormatting sqref="B88">
    <cfRule type="cellIs" priority="233" operator="greaterThan" aboveAverage="0" equalAverage="0" bottom="0" percent="0" rank="0" text="" dxfId="8">
      <formula>0</formula>
    </cfRule>
    <cfRule type="cellIs" priority="234" operator="lessThan" aboveAverage="0" equalAverage="0" bottom="0" percent="0" rank="0" text="" dxfId="9">
      <formula>MaliyetEsik</formula>
    </cfRule>
  </conditionalFormatting>
  <conditionalFormatting sqref="D88">
    <cfRule type="cellIs" priority="235" operator="lessThan" aboveAverage="0" equalAverage="0" bottom="0" percent="0" rank="0" text="" dxfId="10">
      <formula>18</formula>
    </cfRule>
  </conditionalFormatting>
  <conditionalFormatting sqref="B89">
    <cfRule type="cellIs" priority="236" operator="greaterThan" aboveAverage="0" equalAverage="0" bottom="0" percent="0" rank="0" text="" dxfId="8">
      <formula>0</formula>
    </cfRule>
    <cfRule type="cellIs" priority="237" operator="lessThan" aboveAverage="0" equalAverage="0" bottom="0" percent="0" rank="0" text="" dxfId="9">
      <formula>MaliyetEsik</formula>
    </cfRule>
  </conditionalFormatting>
  <conditionalFormatting sqref="D89">
    <cfRule type="cellIs" priority="238" operator="lessThan" aboveAverage="0" equalAverage="0" bottom="0" percent="0" rank="0" text="" dxfId="10">
      <formula>18</formula>
    </cfRule>
  </conditionalFormatting>
  <conditionalFormatting sqref="B90">
    <cfRule type="cellIs" priority="239" operator="greaterThan" aboveAverage="0" equalAverage="0" bottom="0" percent="0" rank="0" text="" dxfId="8">
      <formula>0</formula>
    </cfRule>
    <cfRule type="cellIs" priority="240" operator="lessThan" aboveAverage="0" equalAverage="0" bottom="0" percent="0" rank="0" text="" dxfId="9">
      <formula>MaliyetEsik</formula>
    </cfRule>
  </conditionalFormatting>
  <conditionalFormatting sqref="D90">
    <cfRule type="cellIs" priority="241" operator="lessThan" aboveAverage="0" equalAverage="0" bottom="0" percent="0" rank="0" text="" dxfId="10">
      <formula>18</formula>
    </cfRule>
  </conditionalFormatting>
  <conditionalFormatting sqref="B91">
    <cfRule type="cellIs" priority="242" operator="greaterThan" aboveAverage="0" equalAverage="0" bottom="0" percent="0" rank="0" text="" dxfId="8">
      <formula>0</formula>
    </cfRule>
    <cfRule type="cellIs" priority="243" operator="lessThan" aboveAverage="0" equalAverage="0" bottom="0" percent="0" rank="0" text="" dxfId="9">
      <formula>MaliyetEsik</formula>
    </cfRule>
  </conditionalFormatting>
  <conditionalFormatting sqref="D91">
    <cfRule type="cellIs" priority="244" operator="lessThan" aboveAverage="0" equalAverage="0" bottom="0" percent="0" rank="0" text="" dxfId="10">
      <formula>18</formula>
    </cfRule>
  </conditionalFormatting>
  <conditionalFormatting sqref="B92">
    <cfRule type="cellIs" priority="245" operator="greaterThan" aboveAverage="0" equalAverage="0" bottom="0" percent="0" rank="0" text="" dxfId="8">
      <formula>0</formula>
    </cfRule>
    <cfRule type="cellIs" priority="246" operator="lessThan" aboveAverage="0" equalAverage="0" bottom="0" percent="0" rank="0" text="" dxfId="9">
      <formula>MaliyetEsik</formula>
    </cfRule>
  </conditionalFormatting>
  <conditionalFormatting sqref="D92">
    <cfRule type="cellIs" priority="247" operator="lessThan" aboveAverage="0" equalAverage="0" bottom="0" percent="0" rank="0" text="" dxfId="10">
      <formula>18</formula>
    </cfRule>
  </conditionalFormatting>
  <conditionalFormatting sqref="B93">
    <cfRule type="cellIs" priority="248" operator="greaterThan" aboveAverage="0" equalAverage="0" bottom="0" percent="0" rank="0" text="" dxfId="8">
      <formula>0</formula>
    </cfRule>
    <cfRule type="cellIs" priority="249" operator="lessThan" aboveAverage="0" equalAverage="0" bottom="0" percent="0" rank="0" text="" dxfId="9">
      <formula>MaliyetEsik</formula>
    </cfRule>
  </conditionalFormatting>
  <conditionalFormatting sqref="D93">
    <cfRule type="cellIs" priority="250" operator="lessThan" aboveAverage="0" equalAverage="0" bottom="0" percent="0" rank="0" text="" dxfId="10">
      <formula>18</formula>
    </cfRule>
  </conditionalFormatting>
  <conditionalFormatting sqref="B94">
    <cfRule type="cellIs" priority="251" operator="greaterThan" aboveAverage="0" equalAverage="0" bottom="0" percent="0" rank="0" text="" dxfId="8">
      <formula>0</formula>
    </cfRule>
    <cfRule type="cellIs" priority="252" operator="lessThan" aboveAverage="0" equalAverage="0" bottom="0" percent="0" rank="0" text="" dxfId="9">
      <formula>MaliyetEsik</formula>
    </cfRule>
  </conditionalFormatting>
  <conditionalFormatting sqref="D94">
    <cfRule type="cellIs" priority="253" operator="lessThan" aboveAverage="0" equalAverage="0" bottom="0" percent="0" rank="0" text="" dxfId="10">
      <formula>18</formula>
    </cfRule>
  </conditionalFormatting>
  <conditionalFormatting sqref="B95">
    <cfRule type="cellIs" priority="254" operator="greaterThan" aboveAverage="0" equalAverage="0" bottom="0" percent="0" rank="0" text="" dxfId="8">
      <formula>0</formula>
    </cfRule>
    <cfRule type="cellIs" priority="255" operator="lessThan" aboveAverage="0" equalAverage="0" bottom="0" percent="0" rank="0" text="" dxfId="9">
      <formula>MaliyetEsik</formula>
    </cfRule>
  </conditionalFormatting>
  <conditionalFormatting sqref="D95">
    <cfRule type="cellIs" priority="256" operator="lessThan" aboveAverage="0" equalAverage="0" bottom="0" percent="0" rank="0" text="" dxfId="10">
      <formula>18</formula>
    </cfRule>
  </conditionalFormatting>
  <conditionalFormatting sqref="B96">
    <cfRule type="cellIs" priority="257" operator="greaterThan" aboveAverage="0" equalAverage="0" bottom="0" percent="0" rank="0" text="" dxfId="8">
      <formula>0</formula>
    </cfRule>
    <cfRule type="cellIs" priority="258" operator="lessThan" aboveAverage="0" equalAverage="0" bottom="0" percent="0" rank="0" text="" dxfId="9">
      <formula>MaliyetEsik</formula>
    </cfRule>
  </conditionalFormatting>
  <conditionalFormatting sqref="D96">
    <cfRule type="cellIs" priority="259" operator="lessThan" aboveAverage="0" equalAverage="0" bottom="0" percent="0" rank="0" text="" dxfId="10">
      <formula>18</formula>
    </cfRule>
  </conditionalFormatting>
  <conditionalFormatting sqref="B97">
    <cfRule type="cellIs" priority="260" operator="greaterThan" aboveAverage="0" equalAverage="0" bottom="0" percent="0" rank="0" text="" dxfId="8">
      <formula>0</formula>
    </cfRule>
    <cfRule type="cellIs" priority="261" operator="lessThan" aboveAverage="0" equalAverage="0" bottom="0" percent="0" rank="0" text="" dxfId="9">
      <formula>MaliyetEsik</formula>
    </cfRule>
  </conditionalFormatting>
  <conditionalFormatting sqref="D97">
    <cfRule type="cellIs" priority="262" operator="lessThan" aboveAverage="0" equalAverage="0" bottom="0" percent="0" rank="0" text="" dxfId="10">
      <formula>18</formula>
    </cfRule>
  </conditionalFormatting>
  <conditionalFormatting sqref="B98">
    <cfRule type="cellIs" priority="263" operator="greaterThan" aboveAverage="0" equalAverage="0" bottom="0" percent="0" rank="0" text="" dxfId="8">
      <formula>0</formula>
    </cfRule>
    <cfRule type="cellIs" priority="264" operator="lessThan" aboveAverage="0" equalAverage="0" bottom="0" percent="0" rank="0" text="" dxfId="9">
      <formula>MaliyetEsik</formula>
    </cfRule>
  </conditionalFormatting>
  <conditionalFormatting sqref="D98">
    <cfRule type="cellIs" priority="265" operator="lessThan" aboveAverage="0" equalAverage="0" bottom="0" percent="0" rank="0" text="" dxfId="10">
      <formula>18</formula>
    </cfRule>
  </conditionalFormatting>
  <conditionalFormatting sqref="B99">
    <cfRule type="cellIs" priority="266" operator="greaterThan" aboveAverage="0" equalAverage="0" bottom="0" percent="0" rank="0" text="" dxfId="8">
      <formula>0</formula>
    </cfRule>
    <cfRule type="cellIs" priority="267" operator="lessThan" aboveAverage="0" equalAverage="0" bottom="0" percent="0" rank="0" text="" dxfId="9">
      <formula>MaliyetEsik</formula>
    </cfRule>
  </conditionalFormatting>
  <conditionalFormatting sqref="D99">
    <cfRule type="cellIs" priority="268" operator="lessThan" aboveAverage="0" equalAverage="0" bottom="0" percent="0" rank="0" text="" dxfId="10">
      <formula>18</formula>
    </cfRule>
  </conditionalFormatting>
  <conditionalFormatting sqref="B100">
    <cfRule type="cellIs" priority="269" operator="greaterThan" aboveAverage="0" equalAverage="0" bottom="0" percent="0" rank="0" text="" dxfId="8">
      <formula>0</formula>
    </cfRule>
    <cfRule type="cellIs" priority="270" operator="lessThan" aboveAverage="0" equalAverage="0" bottom="0" percent="0" rank="0" text="" dxfId="9">
      <formula>MaliyetEsik</formula>
    </cfRule>
  </conditionalFormatting>
  <conditionalFormatting sqref="D100">
    <cfRule type="cellIs" priority="271" operator="lessThan" aboveAverage="0" equalAverage="0" bottom="0" percent="0" rank="0" text="" dxfId="10">
      <formula>18</formula>
    </cfRule>
  </conditionalFormatting>
  <conditionalFormatting sqref="B101">
    <cfRule type="cellIs" priority="272" operator="greaterThan" aboveAverage="0" equalAverage="0" bottom="0" percent="0" rank="0" text="" dxfId="8">
      <formula>0</formula>
    </cfRule>
    <cfRule type="cellIs" priority="273" operator="lessThan" aboveAverage="0" equalAverage="0" bottom="0" percent="0" rank="0" text="" dxfId="9">
      <formula>MaliyetEsik</formula>
    </cfRule>
  </conditionalFormatting>
  <conditionalFormatting sqref="D101">
    <cfRule type="cellIs" priority="274" operator="lessThan" aboveAverage="0" equalAverage="0" bottom="0" percent="0" rank="0" text="" dxfId="10">
      <formula>18</formula>
    </cfRule>
  </conditionalFormatting>
  <conditionalFormatting sqref="B102">
    <cfRule type="cellIs" priority="275" operator="greaterThan" aboveAverage="0" equalAverage="0" bottom="0" percent="0" rank="0" text="" dxfId="8">
      <formula>0</formula>
    </cfRule>
    <cfRule type="cellIs" priority="276" operator="lessThan" aboveAverage="0" equalAverage="0" bottom="0" percent="0" rank="0" text="" dxfId="9">
      <formula>MaliyetEsik</formula>
    </cfRule>
  </conditionalFormatting>
  <conditionalFormatting sqref="D102">
    <cfRule type="cellIs" priority="277" operator="lessThan" aboveAverage="0" equalAverage="0" bottom="0" percent="0" rank="0" text="" dxfId="10">
      <formula>18</formula>
    </cfRule>
  </conditionalFormatting>
  <conditionalFormatting sqref="B103">
    <cfRule type="cellIs" priority="278" operator="greaterThan" aboveAverage="0" equalAverage="0" bottom="0" percent="0" rank="0" text="" dxfId="8">
      <formula>0</formula>
    </cfRule>
    <cfRule type="cellIs" priority="279" operator="lessThan" aboveAverage="0" equalAverage="0" bottom="0" percent="0" rank="0" text="" dxfId="9">
      <formula>MaliyetEsik</formula>
    </cfRule>
  </conditionalFormatting>
  <conditionalFormatting sqref="D103">
    <cfRule type="cellIs" priority="280" operator="lessThan" aboveAverage="0" equalAverage="0" bottom="0" percent="0" rank="0" text="" dxfId="10">
      <formula>18</formula>
    </cfRule>
  </conditionalFormatting>
  <conditionalFormatting sqref="B104">
    <cfRule type="cellIs" priority="281" operator="greaterThan" aboveAverage="0" equalAverage="0" bottom="0" percent="0" rank="0" text="" dxfId="8">
      <formula>0</formula>
    </cfRule>
    <cfRule type="cellIs" priority="282" operator="lessThan" aboveAverage="0" equalAverage="0" bottom="0" percent="0" rank="0" text="" dxfId="9">
      <formula>MaliyetEsik</formula>
    </cfRule>
  </conditionalFormatting>
  <conditionalFormatting sqref="D104">
    <cfRule type="cellIs" priority="283" operator="lessThan" aboveAverage="0" equalAverage="0" bottom="0" percent="0" rank="0" text="" dxfId="10">
      <formula>18</formula>
    </cfRule>
  </conditionalFormatting>
  <conditionalFormatting sqref="B105">
    <cfRule type="cellIs" priority="284" operator="greaterThan" aboveAverage="0" equalAverage="0" bottom="0" percent="0" rank="0" text="" dxfId="8">
      <formula>0</formula>
    </cfRule>
    <cfRule type="cellIs" priority="285" operator="lessThan" aboveAverage="0" equalAverage="0" bottom="0" percent="0" rank="0" text="" dxfId="9">
      <formula>MaliyetEsik</formula>
    </cfRule>
  </conditionalFormatting>
  <conditionalFormatting sqref="D105">
    <cfRule type="cellIs" priority="286" operator="lessThan" aboveAverage="0" equalAverage="0" bottom="0" percent="0" rank="0" text="" dxfId="10">
      <formula>18</formula>
    </cfRule>
  </conditionalFormatting>
  <conditionalFormatting sqref="B106">
    <cfRule type="cellIs" priority="287" operator="greaterThan" aboveAverage="0" equalAverage="0" bottom="0" percent="0" rank="0" text="" dxfId="8">
      <formula>0</formula>
    </cfRule>
    <cfRule type="cellIs" priority="288" operator="lessThan" aboveAverage="0" equalAverage="0" bottom="0" percent="0" rank="0" text="" dxfId="9">
      <formula>MaliyetEsik</formula>
    </cfRule>
  </conditionalFormatting>
  <conditionalFormatting sqref="D106">
    <cfRule type="cellIs" priority="289" operator="lessThan" aboveAverage="0" equalAverage="0" bottom="0" percent="0" rank="0" text="" dxfId="10">
      <formula>18</formula>
    </cfRule>
  </conditionalFormatting>
  <conditionalFormatting sqref="B107">
    <cfRule type="cellIs" priority="290" operator="greaterThan" aboveAverage="0" equalAverage="0" bottom="0" percent="0" rank="0" text="" dxfId="8">
      <formula>0</formula>
    </cfRule>
    <cfRule type="cellIs" priority="291" operator="lessThan" aboveAverage="0" equalAverage="0" bottom="0" percent="0" rank="0" text="" dxfId="9">
      <formula>MaliyetEsik</formula>
    </cfRule>
  </conditionalFormatting>
  <conditionalFormatting sqref="D107">
    <cfRule type="cellIs" priority="292" operator="lessThan" aboveAverage="0" equalAverage="0" bottom="0" percent="0" rank="0" text="" dxfId="10">
      <formula>18</formula>
    </cfRule>
  </conditionalFormatting>
  <conditionalFormatting sqref="B108">
    <cfRule type="cellIs" priority="293" operator="greaterThan" aboveAverage="0" equalAverage="0" bottom="0" percent="0" rank="0" text="" dxfId="8">
      <formula>0</formula>
    </cfRule>
    <cfRule type="cellIs" priority="294" operator="lessThan" aboveAverage="0" equalAverage="0" bottom="0" percent="0" rank="0" text="" dxfId="9">
      <formula>MaliyetEsik</formula>
    </cfRule>
  </conditionalFormatting>
  <conditionalFormatting sqref="D108">
    <cfRule type="cellIs" priority="295" operator="lessThan" aboveAverage="0" equalAverage="0" bottom="0" percent="0" rank="0" text="" dxfId="10">
      <formula>18</formula>
    </cfRule>
  </conditionalFormatting>
  <conditionalFormatting sqref="B109">
    <cfRule type="cellIs" priority="296" operator="greaterThan" aboveAverage="0" equalAverage="0" bottom="0" percent="0" rank="0" text="" dxfId="8">
      <formula>0</formula>
    </cfRule>
    <cfRule type="cellIs" priority="297" operator="lessThan" aboveAverage="0" equalAverage="0" bottom="0" percent="0" rank="0" text="" dxfId="9">
      <formula>MaliyetEsik</formula>
    </cfRule>
  </conditionalFormatting>
  <conditionalFormatting sqref="D109">
    <cfRule type="cellIs" priority="298" operator="lessThan" aboveAverage="0" equalAverage="0" bottom="0" percent="0" rank="0" text="" dxfId="10">
      <formula>18</formula>
    </cfRule>
  </conditionalFormatting>
  <conditionalFormatting sqref="B110">
    <cfRule type="cellIs" priority="299" operator="greaterThan" aboveAverage="0" equalAverage="0" bottom="0" percent="0" rank="0" text="" dxfId="8">
      <formula>0</formula>
    </cfRule>
    <cfRule type="cellIs" priority="300" operator="lessThan" aboveAverage="0" equalAverage="0" bottom="0" percent="0" rank="0" text="" dxfId="9">
      <formula>MaliyetEsik</formula>
    </cfRule>
  </conditionalFormatting>
  <conditionalFormatting sqref="D110">
    <cfRule type="cellIs" priority="301" operator="lessThan" aboveAverage="0" equalAverage="0" bottom="0" percent="0" rank="0" text="" dxfId="10">
      <formula>18</formula>
    </cfRule>
  </conditionalFormatting>
  <conditionalFormatting sqref="B111">
    <cfRule type="cellIs" priority="302" operator="greaterThan" aboveAverage="0" equalAverage="0" bottom="0" percent="0" rank="0" text="" dxfId="8">
      <formula>0</formula>
    </cfRule>
    <cfRule type="cellIs" priority="303" operator="lessThan" aboveAverage="0" equalAverage="0" bottom="0" percent="0" rank="0" text="" dxfId="9">
      <formula>MaliyetEsik</formula>
    </cfRule>
  </conditionalFormatting>
  <conditionalFormatting sqref="D111">
    <cfRule type="cellIs" priority="304" operator="lessThan" aboveAverage="0" equalAverage="0" bottom="0" percent="0" rank="0" text="" dxfId="10">
      <formula>18</formula>
    </cfRule>
  </conditionalFormatting>
  <conditionalFormatting sqref="B112">
    <cfRule type="cellIs" priority="305" operator="greaterThan" aboveAverage="0" equalAverage="0" bottom="0" percent="0" rank="0" text="" dxfId="8">
      <formula>0</formula>
    </cfRule>
    <cfRule type="cellIs" priority="306" operator="lessThan" aboveAverage="0" equalAverage="0" bottom="0" percent="0" rank="0" text="" dxfId="9">
      <formula>MaliyetEsik</formula>
    </cfRule>
  </conditionalFormatting>
  <conditionalFormatting sqref="D112">
    <cfRule type="cellIs" priority="307" operator="lessThan" aboveAverage="0" equalAverage="0" bottom="0" percent="0" rank="0" text="" dxfId="10">
      <formula>18</formula>
    </cfRule>
  </conditionalFormatting>
  <conditionalFormatting sqref="B113">
    <cfRule type="cellIs" priority="308" operator="greaterThan" aboveAverage="0" equalAverage="0" bottom="0" percent="0" rank="0" text="" dxfId="8">
      <formula>0</formula>
    </cfRule>
    <cfRule type="cellIs" priority="309" operator="lessThan" aboveAverage="0" equalAverage="0" bottom="0" percent="0" rank="0" text="" dxfId="9">
      <formula>MaliyetEsik</formula>
    </cfRule>
  </conditionalFormatting>
  <conditionalFormatting sqref="D113">
    <cfRule type="cellIs" priority="310" operator="lessThan" aboveAverage="0" equalAverage="0" bottom="0" percent="0" rank="0" text="" dxfId="10">
      <formula>18</formula>
    </cfRule>
  </conditionalFormatting>
  <conditionalFormatting sqref="B114">
    <cfRule type="cellIs" priority="311" operator="greaterThan" aboveAverage="0" equalAverage="0" bottom="0" percent="0" rank="0" text="" dxfId="8">
      <formula>0</formula>
    </cfRule>
    <cfRule type="cellIs" priority="312" operator="lessThan" aboveAverage="0" equalAverage="0" bottom="0" percent="0" rank="0" text="" dxfId="9">
      <formula>MaliyetEsik</formula>
    </cfRule>
  </conditionalFormatting>
  <conditionalFormatting sqref="D114">
    <cfRule type="cellIs" priority="313" operator="lessThan" aboveAverage="0" equalAverage="0" bottom="0" percent="0" rank="0" text="" dxfId="10">
      <formula>18</formula>
    </cfRule>
  </conditionalFormatting>
  <conditionalFormatting sqref="B115">
    <cfRule type="cellIs" priority="314" operator="greaterThan" aboveAverage="0" equalAverage="0" bottom="0" percent="0" rank="0" text="" dxfId="8">
      <formula>0</formula>
    </cfRule>
    <cfRule type="cellIs" priority="315" operator="lessThan" aboveAverage="0" equalAverage="0" bottom="0" percent="0" rank="0" text="" dxfId="9">
      <formula>MaliyetEsik</formula>
    </cfRule>
  </conditionalFormatting>
  <conditionalFormatting sqref="D115">
    <cfRule type="cellIs" priority="316" operator="lessThan" aboveAverage="0" equalAverage="0" bottom="0" percent="0" rank="0" text="" dxfId="10">
      <formula>18</formula>
    </cfRule>
  </conditionalFormatting>
  <conditionalFormatting sqref="B116">
    <cfRule type="cellIs" priority="317" operator="greaterThan" aboveAverage="0" equalAverage="0" bottom="0" percent="0" rank="0" text="" dxfId="8">
      <formula>0</formula>
    </cfRule>
    <cfRule type="cellIs" priority="318" operator="lessThan" aboveAverage="0" equalAverage="0" bottom="0" percent="0" rank="0" text="" dxfId="9">
      <formula>MaliyetEsik</formula>
    </cfRule>
  </conditionalFormatting>
  <conditionalFormatting sqref="D116">
    <cfRule type="cellIs" priority="319" operator="lessThan" aboveAverage="0" equalAverage="0" bottom="0" percent="0" rank="0" text="" dxfId="10">
      <formula>18</formula>
    </cfRule>
  </conditionalFormatting>
  <conditionalFormatting sqref="B117">
    <cfRule type="cellIs" priority="320" operator="greaterThan" aboveAverage="0" equalAverage="0" bottom="0" percent="0" rank="0" text="" dxfId="8">
      <formula>0</formula>
    </cfRule>
    <cfRule type="cellIs" priority="321" operator="lessThan" aboveAverage="0" equalAverage="0" bottom="0" percent="0" rank="0" text="" dxfId="9">
      <formula>MaliyetEsik</formula>
    </cfRule>
  </conditionalFormatting>
  <conditionalFormatting sqref="D117">
    <cfRule type="cellIs" priority="322" operator="lessThan" aboveAverage="0" equalAverage="0" bottom="0" percent="0" rank="0" text="" dxfId="10">
      <formula>18</formula>
    </cfRule>
  </conditionalFormatting>
  <conditionalFormatting sqref="B118">
    <cfRule type="cellIs" priority="323" operator="greaterThan" aboveAverage="0" equalAverage="0" bottom="0" percent="0" rank="0" text="" dxfId="8">
      <formula>0</formula>
    </cfRule>
    <cfRule type="cellIs" priority="324" operator="lessThan" aboveAverage="0" equalAverage="0" bottom="0" percent="0" rank="0" text="" dxfId="9">
      <formula>MaliyetEsik</formula>
    </cfRule>
  </conditionalFormatting>
  <conditionalFormatting sqref="D118">
    <cfRule type="cellIs" priority="325" operator="lessThan" aboveAverage="0" equalAverage="0" bottom="0" percent="0" rank="0" text="" dxfId="10">
      <formula>18</formula>
    </cfRule>
  </conditionalFormatting>
  <conditionalFormatting sqref="B119">
    <cfRule type="cellIs" priority="326" operator="greaterThan" aboveAverage="0" equalAverage="0" bottom="0" percent="0" rank="0" text="" dxfId="8">
      <formula>0</formula>
    </cfRule>
    <cfRule type="cellIs" priority="327" operator="lessThan" aboveAverage="0" equalAverage="0" bottom="0" percent="0" rank="0" text="" dxfId="9">
      <formula>MaliyetEsik</formula>
    </cfRule>
  </conditionalFormatting>
  <conditionalFormatting sqref="D119">
    <cfRule type="cellIs" priority="328" operator="lessThan" aboveAverage="0" equalAverage="0" bottom="0" percent="0" rank="0" text="" dxfId="10">
      <formula>18</formula>
    </cfRule>
  </conditionalFormatting>
  <conditionalFormatting sqref="B120">
    <cfRule type="cellIs" priority="329" operator="greaterThan" aboveAverage="0" equalAverage="0" bottom="0" percent="0" rank="0" text="" dxfId="8">
      <formula>0</formula>
    </cfRule>
    <cfRule type="cellIs" priority="330" operator="lessThan" aboveAverage="0" equalAverage="0" bottom="0" percent="0" rank="0" text="" dxfId="9">
      <formula>MaliyetEsik</formula>
    </cfRule>
  </conditionalFormatting>
  <conditionalFormatting sqref="D120">
    <cfRule type="cellIs" priority="331" operator="lessThan" aboveAverage="0" equalAverage="0" bottom="0" percent="0" rank="0" text="" dxfId="10">
      <formula>18</formula>
    </cfRule>
  </conditionalFormatting>
  <conditionalFormatting sqref="B121">
    <cfRule type="cellIs" priority="332" operator="greaterThan" aboveAverage="0" equalAverage="0" bottom="0" percent="0" rank="0" text="" dxfId="8">
      <formula>0</formula>
    </cfRule>
    <cfRule type="cellIs" priority="333" operator="lessThan" aboveAverage="0" equalAverage="0" bottom="0" percent="0" rank="0" text="" dxfId="9">
      <formula>MaliyetEsik</formula>
    </cfRule>
  </conditionalFormatting>
  <conditionalFormatting sqref="D121">
    <cfRule type="cellIs" priority="334" operator="lessThan" aboveAverage="0" equalAverage="0" bottom="0" percent="0" rank="0" text="" dxfId="10">
      <formula>18</formula>
    </cfRule>
  </conditionalFormatting>
  <conditionalFormatting sqref="B122">
    <cfRule type="cellIs" priority="335" operator="greaterThan" aboveAverage="0" equalAverage="0" bottom="0" percent="0" rank="0" text="" dxfId="8">
      <formula>0</formula>
    </cfRule>
    <cfRule type="cellIs" priority="336" operator="lessThan" aboveAverage="0" equalAverage="0" bottom="0" percent="0" rank="0" text="" dxfId="9">
      <formula>MaliyetEsik</formula>
    </cfRule>
  </conditionalFormatting>
  <conditionalFormatting sqref="D122">
    <cfRule type="cellIs" priority="337" operator="lessThan" aboveAverage="0" equalAverage="0" bottom="0" percent="0" rank="0" text="" dxfId="10">
      <formula>18</formula>
    </cfRule>
  </conditionalFormatting>
  <conditionalFormatting sqref="B123">
    <cfRule type="cellIs" priority="338" operator="greaterThan" aboveAverage="0" equalAverage="0" bottom="0" percent="0" rank="0" text="" dxfId="8">
      <formula>0</formula>
    </cfRule>
    <cfRule type="cellIs" priority="339" operator="lessThan" aboveAverage="0" equalAverage="0" bottom="0" percent="0" rank="0" text="" dxfId="9">
      <formula>MaliyetEsik</formula>
    </cfRule>
  </conditionalFormatting>
  <conditionalFormatting sqref="D123">
    <cfRule type="cellIs" priority="340" operator="lessThan" aboveAverage="0" equalAverage="0" bottom="0" percent="0" rank="0" text="" dxfId="10">
      <formula>18</formula>
    </cfRule>
  </conditionalFormatting>
  <conditionalFormatting sqref="B124">
    <cfRule type="cellIs" priority="341" operator="greaterThan" aboveAverage="0" equalAverage="0" bottom="0" percent="0" rank="0" text="" dxfId="8">
      <formula>0</formula>
    </cfRule>
    <cfRule type="cellIs" priority="342" operator="lessThan" aboveAverage="0" equalAverage="0" bottom="0" percent="0" rank="0" text="" dxfId="9">
      <formula>MaliyetEsik</formula>
    </cfRule>
  </conditionalFormatting>
  <conditionalFormatting sqref="D124">
    <cfRule type="cellIs" priority="343" operator="lessThan" aboveAverage="0" equalAverage="0" bottom="0" percent="0" rank="0" text="" dxfId="10">
      <formula>18</formula>
    </cfRule>
  </conditionalFormatting>
  <conditionalFormatting sqref="B125">
    <cfRule type="cellIs" priority="344" operator="greaterThan" aboveAverage="0" equalAverage="0" bottom="0" percent="0" rank="0" text="" dxfId="8">
      <formula>0</formula>
    </cfRule>
    <cfRule type="cellIs" priority="345" operator="lessThan" aboveAverage="0" equalAverage="0" bottom="0" percent="0" rank="0" text="" dxfId="9">
      <formula>MaliyetEsik</formula>
    </cfRule>
  </conditionalFormatting>
  <conditionalFormatting sqref="D125">
    <cfRule type="cellIs" priority="346" operator="lessThan" aboveAverage="0" equalAverage="0" bottom="0" percent="0" rank="0" text="" dxfId="10">
      <formula>18</formula>
    </cfRule>
  </conditionalFormatting>
  <conditionalFormatting sqref="B126">
    <cfRule type="cellIs" priority="347" operator="greaterThan" aboveAverage="0" equalAverage="0" bottom="0" percent="0" rank="0" text="" dxfId="8">
      <formula>0</formula>
    </cfRule>
    <cfRule type="cellIs" priority="348" operator="lessThan" aboveAverage="0" equalAverage="0" bottom="0" percent="0" rank="0" text="" dxfId="9">
      <formula>MaliyetEsik</formula>
    </cfRule>
  </conditionalFormatting>
  <conditionalFormatting sqref="D126">
    <cfRule type="cellIs" priority="349" operator="lessThan" aboveAverage="0" equalAverage="0" bottom="0" percent="0" rank="0" text="" dxfId="10">
      <formula>18</formula>
    </cfRule>
  </conditionalFormatting>
  <conditionalFormatting sqref="B127">
    <cfRule type="cellIs" priority="350" operator="greaterThan" aboveAverage="0" equalAverage="0" bottom="0" percent="0" rank="0" text="" dxfId="8">
      <formula>0</formula>
    </cfRule>
    <cfRule type="cellIs" priority="351" operator="lessThan" aboveAverage="0" equalAverage="0" bottom="0" percent="0" rank="0" text="" dxfId="9">
      <formula>MaliyetEsik</formula>
    </cfRule>
  </conditionalFormatting>
  <conditionalFormatting sqref="D127">
    <cfRule type="cellIs" priority="352" operator="lessThan" aboveAverage="0" equalAverage="0" bottom="0" percent="0" rank="0" text="" dxfId="10">
      <formula>18</formula>
    </cfRule>
  </conditionalFormatting>
  <conditionalFormatting sqref="B128">
    <cfRule type="cellIs" priority="353" operator="greaterThan" aboveAverage="0" equalAverage="0" bottom="0" percent="0" rank="0" text="" dxfId="8">
      <formula>0</formula>
    </cfRule>
    <cfRule type="cellIs" priority="354" operator="lessThan" aboveAverage="0" equalAverage="0" bottom="0" percent="0" rank="0" text="" dxfId="9">
      <formula>MaliyetEsik</formula>
    </cfRule>
  </conditionalFormatting>
  <conditionalFormatting sqref="D128">
    <cfRule type="cellIs" priority="355" operator="lessThan" aboveAverage="0" equalAverage="0" bottom="0" percent="0" rank="0" text="" dxfId="10">
      <formula>18</formula>
    </cfRule>
  </conditionalFormatting>
  <conditionalFormatting sqref="B129">
    <cfRule type="cellIs" priority="356" operator="greaterThan" aboveAverage="0" equalAverage="0" bottom="0" percent="0" rank="0" text="" dxfId="8">
      <formula>0</formula>
    </cfRule>
    <cfRule type="cellIs" priority="357" operator="lessThan" aboveAverage="0" equalAverage="0" bottom="0" percent="0" rank="0" text="" dxfId="9">
      <formula>MaliyetEsik</formula>
    </cfRule>
  </conditionalFormatting>
  <conditionalFormatting sqref="D129">
    <cfRule type="cellIs" priority="358" operator="lessThan" aboveAverage="0" equalAverage="0" bottom="0" percent="0" rank="0" text="" dxfId="10">
      <formula>18</formula>
    </cfRule>
  </conditionalFormatting>
  <conditionalFormatting sqref="B130">
    <cfRule type="cellIs" priority="359" operator="greaterThan" aboveAverage="0" equalAverage="0" bottom="0" percent="0" rank="0" text="" dxfId="8">
      <formula>0</formula>
    </cfRule>
    <cfRule type="cellIs" priority="360" operator="lessThan" aboveAverage="0" equalAverage="0" bottom="0" percent="0" rank="0" text="" dxfId="9">
      <formula>MaliyetEsik</formula>
    </cfRule>
  </conditionalFormatting>
  <conditionalFormatting sqref="D130">
    <cfRule type="cellIs" priority="361" operator="lessThan" aboveAverage="0" equalAverage="0" bottom="0" percent="0" rank="0" text="" dxfId="10">
      <formula>18</formula>
    </cfRule>
  </conditionalFormatting>
  <conditionalFormatting sqref="B131">
    <cfRule type="cellIs" priority="362" operator="greaterThan" aboveAverage="0" equalAverage="0" bottom="0" percent="0" rank="0" text="" dxfId="8">
      <formula>0</formula>
    </cfRule>
    <cfRule type="cellIs" priority="363" operator="lessThan" aboveAverage="0" equalAverage="0" bottom="0" percent="0" rank="0" text="" dxfId="9">
      <formula>MaliyetEsik</formula>
    </cfRule>
  </conditionalFormatting>
  <conditionalFormatting sqref="D131">
    <cfRule type="cellIs" priority="364" operator="lessThan" aboveAverage="0" equalAverage="0" bottom="0" percent="0" rank="0" text="" dxfId="10">
      <formula>18</formula>
    </cfRule>
  </conditionalFormatting>
  <conditionalFormatting sqref="B132">
    <cfRule type="cellIs" priority="365" operator="greaterThan" aboveAverage="0" equalAverage="0" bottom="0" percent="0" rank="0" text="" dxfId="8">
      <formula>0</formula>
    </cfRule>
    <cfRule type="cellIs" priority="366" operator="lessThan" aboveAverage="0" equalAverage="0" bottom="0" percent="0" rank="0" text="" dxfId="9">
      <formula>MaliyetEsik</formula>
    </cfRule>
  </conditionalFormatting>
  <conditionalFormatting sqref="D132">
    <cfRule type="cellIs" priority="367" operator="lessThan" aboveAverage="0" equalAverage="0" bottom="0" percent="0" rank="0" text="" dxfId="10">
      <formula>18</formula>
    </cfRule>
  </conditionalFormatting>
  <conditionalFormatting sqref="B133">
    <cfRule type="cellIs" priority="368" operator="greaterThan" aboveAverage="0" equalAverage="0" bottom="0" percent="0" rank="0" text="" dxfId="8">
      <formula>0</formula>
    </cfRule>
    <cfRule type="cellIs" priority="369" operator="lessThan" aboveAverage="0" equalAverage="0" bottom="0" percent="0" rank="0" text="" dxfId="9">
      <formula>MaliyetEsik</formula>
    </cfRule>
  </conditionalFormatting>
  <conditionalFormatting sqref="D133">
    <cfRule type="cellIs" priority="370" operator="lessThan" aboveAverage="0" equalAverage="0" bottom="0" percent="0" rank="0" text="" dxfId="10">
      <formula>18</formula>
    </cfRule>
  </conditionalFormatting>
  <conditionalFormatting sqref="B134">
    <cfRule type="cellIs" priority="371" operator="greaterThan" aboveAverage="0" equalAverage="0" bottom="0" percent="0" rank="0" text="" dxfId="8">
      <formula>0</formula>
    </cfRule>
    <cfRule type="cellIs" priority="372" operator="lessThan" aboveAverage="0" equalAverage="0" bottom="0" percent="0" rank="0" text="" dxfId="9">
      <formula>MaliyetEsik</formula>
    </cfRule>
  </conditionalFormatting>
  <conditionalFormatting sqref="D134">
    <cfRule type="cellIs" priority="373" operator="lessThan" aboveAverage="0" equalAverage="0" bottom="0" percent="0" rank="0" text="" dxfId="10">
      <formula>18</formula>
    </cfRule>
  </conditionalFormatting>
  <conditionalFormatting sqref="B135">
    <cfRule type="cellIs" priority="374" operator="greaterThan" aboveAverage="0" equalAverage="0" bottom="0" percent="0" rank="0" text="" dxfId="8">
      <formula>0</formula>
    </cfRule>
    <cfRule type="cellIs" priority="375" operator="lessThan" aboveAverage="0" equalAverage="0" bottom="0" percent="0" rank="0" text="" dxfId="9">
      <formula>MaliyetEsik</formula>
    </cfRule>
  </conditionalFormatting>
  <conditionalFormatting sqref="D135">
    <cfRule type="cellIs" priority="376" operator="lessThan" aboveAverage="0" equalAverage="0" bottom="0" percent="0" rank="0" text="" dxfId="10">
      <formula>18</formula>
    </cfRule>
  </conditionalFormatting>
  <conditionalFormatting sqref="B136">
    <cfRule type="cellIs" priority="377" operator="greaterThan" aboveAverage="0" equalAverage="0" bottom="0" percent="0" rank="0" text="" dxfId="8">
      <formula>0</formula>
    </cfRule>
    <cfRule type="cellIs" priority="378" operator="lessThan" aboveAverage="0" equalAverage="0" bottom="0" percent="0" rank="0" text="" dxfId="9">
      <formula>MaliyetEsik</formula>
    </cfRule>
  </conditionalFormatting>
  <conditionalFormatting sqref="D136">
    <cfRule type="cellIs" priority="379" operator="lessThan" aboveAverage="0" equalAverage="0" bottom="0" percent="0" rank="0" text="" dxfId="10">
      <formula>18</formula>
    </cfRule>
  </conditionalFormatting>
  <conditionalFormatting sqref="B137">
    <cfRule type="cellIs" priority="380" operator="greaterThan" aboveAverage="0" equalAverage="0" bottom="0" percent="0" rank="0" text="" dxfId="8">
      <formula>0</formula>
    </cfRule>
    <cfRule type="cellIs" priority="381" operator="lessThan" aboveAverage="0" equalAverage="0" bottom="0" percent="0" rank="0" text="" dxfId="9">
      <formula>MaliyetEsik</formula>
    </cfRule>
  </conditionalFormatting>
  <conditionalFormatting sqref="D137">
    <cfRule type="cellIs" priority="382" operator="lessThan" aboveAverage="0" equalAverage="0" bottom="0" percent="0" rank="0" text="" dxfId="10">
      <formula>18</formula>
    </cfRule>
  </conditionalFormatting>
  <conditionalFormatting sqref="B138">
    <cfRule type="cellIs" priority="383" operator="greaterThan" aboveAverage="0" equalAverage="0" bottom="0" percent="0" rank="0" text="" dxfId="8">
      <formula>0</formula>
    </cfRule>
    <cfRule type="cellIs" priority="384" operator="lessThan" aboveAverage="0" equalAverage="0" bottom="0" percent="0" rank="0" text="" dxfId="9">
      <formula>MaliyetEsik</formula>
    </cfRule>
  </conditionalFormatting>
  <conditionalFormatting sqref="D138">
    <cfRule type="cellIs" priority="385" operator="lessThan" aboveAverage="0" equalAverage="0" bottom="0" percent="0" rank="0" text="" dxfId="10">
      <formula>18</formula>
    </cfRule>
  </conditionalFormatting>
  <conditionalFormatting sqref="B139">
    <cfRule type="cellIs" priority="386" operator="greaterThan" aboveAverage="0" equalAverage="0" bottom="0" percent="0" rank="0" text="" dxfId="8">
      <formula>0</formula>
    </cfRule>
    <cfRule type="cellIs" priority="387" operator="lessThan" aboveAverage="0" equalAverage="0" bottom="0" percent="0" rank="0" text="" dxfId="9">
      <formula>MaliyetEsik</formula>
    </cfRule>
  </conditionalFormatting>
  <conditionalFormatting sqref="D139">
    <cfRule type="cellIs" priority="388" operator="lessThan" aboveAverage="0" equalAverage="0" bottom="0" percent="0" rank="0" text="" dxfId="10">
      <formula>18</formula>
    </cfRule>
  </conditionalFormatting>
  <conditionalFormatting sqref="B140">
    <cfRule type="cellIs" priority="389" operator="greaterThan" aboveAverage="0" equalAverage="0" bottom="0" percent="0" rank="0" text="" dxfId="8">
      <formula>0</formula>
    </cfRule>
    <cfRule type="cellIs" priority="390" operator="lessThan" aboveAverage="0" equalAverage="0" bottom="0" percent="0" rank="0" text="" dxfId="9">
      <formula>MaliyetEsik</formula>
    </cfRule>
  </conditionalFormatting>
  <conditionalFormatting sqref="D140">
    <cfRule type="cellIs" priority="391" operator="lessThan" aboveAverage="0" equalAverage="0" bottom="0" percent="0" rank="0" text="" dxfId="10">
      <formula>18</formula>
    </cfRule>
  </conditionalFormatting>
  <conditionalFormatting sqref="B141">
    <cfRule type="cellIs" priority="392" operator="greaterThan" aboveAverage="0" equalAverage="0" bottom="0" percent="0" rank="0" text="" dxfId="8">
      <formula>0</formula>
    </cfRule>
    <cfRule type="cellIs" priority="393" operator="lessThan" aboveAverage="0" equalAverage="0" bottom="0" percent="0" rank="0" text="" dxfId="9">
      <formula>MaliyetEsik</formula>
    </cfRule>
  </conditionalFormatting>
  <conditionalFormatting sqref="D141">
    <cfRule type="cellIs" priority="394" operator="lessThan" aboveAverage="0" equalAverage="0" bottom="0" percent="0" rank="0" text="" dxfId="10">
      <formula>18</formula>
    </cfRule>
  </conditionalFormatting>
  <conditionalFormatting sqref="B142">
    <cfRule type="cellIs" priority="395" operator="greaterThan" aboveAverage="0" equalAverage="0" bottom="0" percent="0" rank="0" text="" dxfId="8">
      <formula>0</formula>
    </cfRule>
    <cfRule type="cellIs" priority="396" operator="lessThan" aboveAverage="0" equalAverage="0" bottom="0" percent="0" rank="0" text="" dxfId="9">
      <formula>MaliyetEsik</formula>
    </cfRule>
  </conditionalFormatting>
  <conditionalFormatting sqref="D142">
    <cfRule type="cellIs" priority="397" operator="lessThan" aboveAverage="0" equalAverage="0" bottom="0" percent="0" rank="0" text="" dxfId="10">
      <formula>18</formula>
    </cfRule>
  </conditionalFormatting>
  <conditionalFormatting sqref="B143">
    <cfRule type="cellIs" priority="398" operator="greaterThan" aboveAverage="0" equalAverage="0" bottom="0" percent="0" rank="0" text="" dxfId="8">
      <formula>0</formula>
    </cfRule>
    <cfRule type="cellIs" priority="399" operator="lessThan" aboveAverage="0" equalAverage="0" bottom="0" percent="0" rank="0" text="" dxfId="9">
      <formula>MaliyetEsik</formula>
    </cfRule>
  </conditionalFormatting>
  <conditionalFormatting sqref="D143">
    <cfRule type="cellIs" priority="400" operator="lessThan" aboveAverage="0" equalAverage="0" bottom="0" percent="0" rank="0" text="" dxfId="10">
      <formula>18</formula>
    </cfRule>
  </conditionalFormatting>
  <conditionalFormatting sqref="B144">
    <cfRule type="cellIs" priority="401" operator="greaterThan" aboveAverage="0" equalAverage="0" bottom="0" percent="0" rank="0" text="" dxfId="8">
      <formula>0</formula>
    </cfRule>
    <cfRule type="cellIs" priority="402" operator="lessThan" aboveAverage="0" equalAverage="0" bottom="0" percent="0" rank="0" text="" dxfId="9">
      <formula>MaliyetEsik</formula>
    </cfRule>
  </conditionalFormatting>
  <conditionalFormatting sqref="D144">
    <cfRule type="cellIs" priority="403" operator="lessThan" aboveAverage="0" equalAverage="0" bottom="0" percent="0" rank="0" text="" dxfId="10">
      <formula>18</formula>
    </cfRule>
  </conditionalFormatting>
  <conditionalFormatting sqref="B145">
    <cfRule type="cellIs" priority="404" operator="greaterThan" aboveAverage="0" equalAverage="0" bottom="0" percent="0" rank="0" text="" dxfId="8">
      <formula>0</formula>
    </cfRule>
    <cfRule type="cellIs" priority="405" operator="lessThan" aboveAverage="0" equalAverage="0" bottom="0" percent="0" rank="0" text="" dxfId="9">
      <formula>MaliyetEsik</formula>
    </cfRule>
  </conditionalFormatting>
  <conditionalFormatting sqref="D145">
    <cfRule type="cellIs" priority="406" operator="lessThan" aboveAverage="0" equalAverage="0" bottom="0" percent="0" rank="0" text="" dxfId="10">
      <formula>18</formula>
    </cfRule>
  </conditionalFormatting>
  <conditionalFormatting sqref="B146">
    <cfRule type="cellIs" priority="407" operator="greaterThan" aboveAverage="0" equalAverage="0" bottom="0" percent="0" rank="0" text="" dxfId="8">
      <formula>0</formula>
    </cfRule>
    <cfRule type="cellIs" priority="408" operator="lessThan" aboveAverage="0" equalAverage="0" bottom="0" percent="0" rank="0" text="" dxfId="9">
      <formula>MaliyetEsik</formula>
    </cfRule>
  </conditionalFormatting>
  <conditionalFormatting sqref="D146">
    <cfRule type="cellIs" priority="409" operator="lessThan" aboveAverage="0" equalAverage="0" bottom="0" percent="0" rank="0" text="" dxfId="10">
      <formula>18</formula>
    </cfRule>
  </conditionalFormatting>
  <conditionalFormatting sqref="B147">
    <cfRule type="cellIs" priority="410" operator="greaterThan" aboveAverage="0" equalAverage="0" bottom="0" percent="0" rank="0" text="" dxfId="8">
      <formula>0</formula>
    </cfRule>
    <cfRule type="cellIs" priority="411" operator="lessThan" aboveAverage="0" equalAverage="0" bottom="0" percent="0" rank="0" text="" dxfId="9">
      <formula>MaliyetEsik</formula>
    </cfRule>
  </conditionalFormatting>
  <conditionalFormatting sqref="D147">
    <cfRule type="cellIs" priority="412" operator="lessThan" aboveAverage="0" equalAverage="0" bottom="0" percent="0" rank="0" text="" dxfId="10">
      <formula>18</formula>
    </cfRule>
  </conditionalFormatting>
  <conditionalFormatting sqref="B148">
    <cfRule type="cellIs" priority="413" operator="greaterThan" aboveAverage="0" equalAverage="0" bottom="0" percent="0" rank="0" text="" dxfId="8">
      <formula>0</formula>
    </cfRule>
    <cfRule type="cellIs" priority="414" operator="lessThan" aboveAverage="0" equalAverage="0" bottom="0" percent="0" rank="0" text="" dxfId="9">
      <formula>MaliyetEsik</formula>
    </cfRule>
  </conditionalFormatting>
  <conditionalFormatting sqref="D148">
    <cfRule type="cellIs" priority="415" operator="lessThan" aboveAverage="0" equalAverage="0" bottom="0" percent="0" rank="0" text="" dxfId="10">
      <formula>18</formula>
    </cfRule>
  </conditionalFormatting>
  <conditionalFormatting sqref="B149">
    <cfRule type="cellIs" priority="416" operator="greaterThan" aboveAverage="0" equalAverage="0" bottom="0" percent="0" rank="0" text="" dxfId="8">
      <formula>0</formula>
    </cfRule>
    <cfRule type="cellIs" priority="417" operator="lessThan" aboveAverage="0" equalAverage="0" bottom="0" percent="0" rank="0" text="" dxfId="9">
      <formula>MaliyetEsik</formula>
    </cfRule>
  </conditionalFormatting>
  <conditionalFormatting sqref="D149">
    <cfRule type="cellIs" priority="418" operator="lessThan" aboveAverage="0" equalAverage="0" bottom="0" percent="0" rank="0" text="" dxfId="10">
      <formula>18</formula>
    </cfRule>
  </conditionalFormatting>
  <conditionalFormatting sqref="B150">
    <cfRule type="cellIs" priority="419" operator="greaterThan" aboveAverage="0" equalAverage="0" bottom="0" percent="0" rank="0" text="" dxfId="8">
      <formula>0</formula>
    </cfRule>
    <cfRule type="cellIs" priority="420" operator="lessThan" aboveAverage="0" equalAverage="0" bottom="0" percent="0" rank="0" text="" dxfId="9">
      <formula>MaliyetEsik</formula>
    </cfRule>
  </conditionalFormatting>
  <conditionalFormatting sqref="D150">
    <cfRule type="cellIs" priority="421" operator="lessThan" aboveAverage="0" equalAverage="0" bottom="0" percent="0" rank="0" text="" dxfId="10">
      <formula>18</formula>
    </cfRule>
  </conditionalFormatting>
  <conditionalFormatting sqref="B151">
    <cfRule type="cellIs" priority="422" operator="greaterThan" aboveAverage="0" equalAverage="0" bottom="0" percent="0" rank="0" text="" dxfId="8">
      <formula>0</formula>
    </cfRule>
    <cfRule type="cellIs" priority="423" operator="lessThan" aboveAverage="0" equalAverage="0" bottom="0" percent="0" rank="0" text="" dxfId="9">
      <formula>MaliyetEsik</formula>
    </cfRule>
  </conditionalFormatting>
  <conditionalFormatting sqref="D151">
    <cfRule type="cellIs" priority="424" operator="lessThan" aboveAverage="0" equalAverage="0" bottom="0" percent="0" rank="0" text="" dxfId="10">
      <formula>18</formula>
    </cfRule>
  </conditionalFormatting>
  <conditionalFormatting sqref="B152">
    <cfRule type="cellIs" priority="425" operator="greaterThan" aboveAverage="0" equalAverage="0" bottom="0" percent="0" rank="0" text="" dxfId="8">
      <formula>0</formula>
    </cfRule>
    <cfRule type="cellIs" priority="426" operator="lessThan" aboveAverage="0" equalAverage="0" bottom="0" percent="0" rank="0" text="" dxfId="9">
      <formula>MaliyetEsik</formula>
    </cfRule>
  </conditionalFormatting>
  <conditionalFormatting sqref="D152">
    <cfRule type="cellIs" priority="427" operator="lessThan" aboveAverage="0" equalAverage="0" bottom="0" percent="0" rank="0" text="" dxfId="10">
      <formula>18</formula>
    </cfRule>
  </conditionalFormatting>
  <conditionalFormatting sqref="B153">
    <cfRule type="cellIs" priority="428" operator="greaterThan" aboveAverage="0" equalAverage="0" bottom="0" percent="0" rank="0" text="" dxfId="8">
      <formula>0</formula>
    </cfRule>
    <cfRule type="cellIs" priority="429" operator="lessThan" aboveAverage="0" equalAverage="0" bottom="0" percent="0" rank="0" text="" dxfId="9">
      <formula>MaliyetEsik</formula>
    </cfRule>
  </conditionalFormatting>
  <conditionalFormatting sqref="D153">
    <cfRule type="cellIs" priority="430" operator="lessThan" aboveAverage="0" equalAverage="0" bottom="0" percent="0" rank="0" text="" dxfId="10">
      <formula>18</formula>
    </cfRule>
  </conditionalFormatting>
  <conditionalFormatting sqref="B154">
    <cfRule type="cellIs" priority="431" operator="greaterThan" aboveAverage="0" equalAverage="0" bottom="0" percent="0" rank="0" text="" dxfId="8">
      <formula>0</formula>
    </cfRule>
    <cfRule type="cellIs" priority="432" operator="lessThan" aboveAverage="0" equalAverage="0" bottom="0" percent="0" rank="0" text="" dxfId="9">
      <formula>MaliyetEsik</formula>
    </cfRule>
  </conditionalFormatting>
  <conditionalFormatting sqref="D154">
    <cfRule type="cellIs" priority="433" operator="lessThan" aboveAverage="0" equalAverage="0" bottom="0" percent="0" rank="0" text="" dxfId="10">
      <formula>18</formula>
    </cfRule>
  </conditionalFormatting>
  <conditionalFormatting sqref="B155">
    <cfRule type="cellIs" priority="434" operator="greaterThan" aboveAverage="0" equalAverage="0" bottom="0" percent="0" rank="0" text="" dxfId="8">
      <formula>0</formula>
    </cfRule>
    <cfRule type="cellIs" priority="435" operator="lessThan" aboveAverage="0" equalAverage="0" bottom="0" percent="0" rank="0" text="" dxfId="9">
      <formula>MaliyetEsik</formula>
    </cfRule>
  </conditionalFormatting>
  <conditionalFormatting sqref="D155">
    <cfRule type="cellIs" priority="436" operator="lessThan" aboveAverage="0" equalAverage="0" bottom="0" percent="0" rank="0" text="" dxfId="10">
      <formula>18</formula>
    </cfRule>
  </conditionalFormatting>
  <conditionalFormatting sqref="B156">
    <cfRule type="cellIs" priority="437" operator="greaterThan" aboveAverage="0" equalAverage="0" bottom="0" percent="0" rank="0" text="" dxfId="8">
      <formula>0</formula>
    </cfRule>
    <cfRule type="cellIs" priority="438" operator="lessThan" aboveAverage="0" equalAverage="0" bottom="0" percent="0" rank="0" text="" dxfId="9">
      <formula>MaliyetEsik</formula>
    </cfRule>
  </conditionalFormatting>
  <conditionalFormatting sqref="D156">
    <cfRule type="cellIs" priority="439" operator="lessThan" aboveAverage="0" equalAverage="0" bottom="0" percent="0" rank="0" text="" dxfId="10">
      <formula>18</formula>
    </cfRule>
  </conditionalFormatting>
  <conditionalFormatting sqref="B157">
    <cfRule type="cellIs" priority="440" operator="greaterThan" aboveAverage="0" equalAverage="0" bottom="0" percent="0" rank="0" text="" dxfId="8">
      <formula>0</formula>
    </cfRule>
    <cfRule type="cellIs" priority="441" operator="lessThan" aboveAverage="0" equalAverage="0" bottom="0" percent="0" rank="0" text="" dxfId="9">
      <formula>MaliyetEsik</formula>
    </cfRule>
  </conditionalFormatting>
  <conditionalFormatting sqref="D157">
    <cfRule type="cellIs" priority="442" operator="lessThan" aboveAverage="0" equalAverage="0" bottom="0" percent="0" rank="0" text="" dxfId="10">
      <formula>18</formula>
    </cfRule>
  </conditionalFormatting>
  <conditionalFormatting sqref="B158">
    <cfRule type="cellIs" priority="443" operator="greaterThan" aboveAverage="0" equalAverage="0" bottom="0" percent="0" rank="0" text="" dxfId="8">
      <formula>0</formula>
    </cfRule>
    <cfRule type="cellIs" priority="444" operator="lessThan" aboveAverage="0" equalAverage="0" bottom="0" percent="0" rank="0" text="" dxfId="9">
      <formula>MaliyetEsik</formula>
    </cfRule>
  </conditionalFormatting>
  <conditionalFormatting sqref="D158">
    <cfRule type="cellIs" priority="445" operator="lessThan" aboveAverage="0" equalAverage="0" bottom="0" percent="0" rank="0" text="" dxfId="10">
      <formula>18</formula>
    </cfRule>
  </conditionalFormatting>
  <conditionalFormatting sqref="B159">
    <cfRule type="cellIs" priority="446" operator="greaterThan" aboveAverage="0" equalAverage="0" bottom="0" percent="0" rank="0" text="" dxfId="8">
      <formula>0</formula>
    </cfRule>
    <cfRule type="cellIs" priority="447" operator="lessThan" aboveAverage="0" equalAverage="0" bottom="0" percent="0" rank="0" text="" dxfId="9">
      <formula>MaliyetEsik</formula>
    </cfRule>
  </conditionalFormatting>
  <conditionalFormatting sqref="D159">
    <cfRule type="cellIs" priority="448" operator="lessThan" aboveAverage="0" equalAverage="0" bottom="0" percent="0" rank="0" text="" dxfId="10">
      <formula>18</formula>
    </cfRule>
  </conditionalFormatting>
  <conditionalFormatting sqref="B160">
    <cfRule type="cellIs" priority="449" operator="greaterThan" aboveAverage="0" equalAverage="0" bottom="0" percent="0" rank="0" text="" dxfId="8">
      <formula>0</formula>
    </cfRule>
    <cfRule type="cellIs" priority="450" operator="lessThan" aboveAverage="0" equalAverage="0" bottom="0" percent="0" rank="0" text="" dxfId="9">
      <formula>MaliyetEsik</formula>
    </cfRule>
  </conditionalFormatting>
  <conditionalFormatting sqref="D160">
    <cfRule type="cellIs" priority="451" operator="lessThan" aboveAverage="0" equalAverage="0" bottom="0" percent="0" rank="0" text="" dxfId="10">
      <formula>18</formula>
    </cfRule>
  </conditionalFormatting>
  <conditionalFormatting sqref="B161">
    <cfRule type="cellIs" priority="452" operator="greaterThan" aboveAverage="0" equalAverage="0" bottom="0" percent="0" rank="0" text="" dxfId="8">
      <formula>0</formula>
    </cfRule>
    <cfRule type="cellIs" priority="453" operator="lessThan" aboveAverage="0" equalAverage="0" bottom="0" percent="0" rank="0" text="" dxfId="9">
      <formula>MaliyetEsik</formula>
    </cfRule>
  </conditionalFormatting>
  <conditionalFormatting sqref="D161">
    <cfRule type="cellIs" priority="454" operator="lessThan" aboveAverage="0" equalAverage="0" bottom="0" percent="0" rank="0" text="" dxfId="10">
      <formula>18</formula>
    </cfRule>
  </conditionalFormatting>
  <conditionalFormatting sqref="B162">
    <cfRule type="cellIs" priority="455" operator="greaterThan" aboveAverage="0" equalAverage="0" bottom="0" percent="0" rank="0" text="" dxfId="8">
      <formula>0</formula>
    </cfRule>
    <cfRule type="cellIs" priority="456" operator="lessThan" aboveAverage="0" equalAverage="0" bottom="0" percent="0" rank="0" text="" dxfId="9">
      <formula>MaliyetEsik</formula>
    </cfRule>
  </conditionalFormatting>
  <conditionalFormatting sqref="D162">
    <cfRule type="cellIs" priority="457" operator="lessThan" aboveAverage="0" equalAverage="0" bottom="0" percent="0" rank="0" text="" dxfId="10">
      <formula>18</formula>
    </cfRule>
  </conditionalFormatting>
  <conditionalFormatting sqref="B163">
    <cfRule type="cellIs" priority="458" operator="greaterThan" aboveAverage="0" equalAverage="0" bottom="0" percent="0" rank="0" text="" dxfId="8">
      <formula>0</formula>
    </cfRule>
    <cfRule type="cellIs" priority="459" operator="lessThan" aboveAverage="0" equalAverage="0" bottom="0" percent="0" rank="0" text="" dxfId="9">
      <formula>MaliyetEsik</formula>
    </cfRule>
  </conditionalFormatting>
  <conditionalFormatting sqref="D163">
    <cfRule type="cellIs" priority="460" operator="lessThan" aboveAverage="0" equalAverage="0" bottom="0" percent="0" rank="0" text="" dxfId="10">
      <formula>18</formula>
    </cfRule>
  </conditionalFormatting>
  <conditionalFormatting sqref="B164">
    <cfRule type="cellIs" priority="461" operator="greaterThan" aboveAverage="0" equalAverage="0" bottom="0" percent="0" rank="0" text="" dxfId="8">
      <formula>0</formula>
    </cfRule>
    <cfRule type="cellIs" priority="462" operator="lessThan" aboveAverage="0" equalAverage="0" bottom="0" percent="0" rank="0" text="" dxfId="9">
      <formula>MaliyetEsik</formula>
    </cfRule>
  </conditionalFormatting>
  <conditionalFormatting sqref="D164">
    <cfRule type="cellIs" priority="463" operator="lessThan" aboveAverage="0" equalAverage="0" bottom="0" percent="0" rank="0" text="" dxfId="10">
      <formula>18</formula>
    </cfRule>
  </conditionalFormatting>
  <conditionalFormatting sqref="B165">
    <cfRule type="cellIs" priority="464" operator="greaterThan" aboveAverage="0" equalAverage="0" bottom="0" percent="0" rank="0" text="" dxfId="8">
      <formula>0</formula>
    </cfRule>
    <cfRule type="cellIs" priority="465" operator="lessThan" aboveAverage="0" equalAverage="0" bottom="0" percent="0" rank="0" text="" dxfId="9">
      <formula>MaliyetEsik</formula>
    </cfRule>
  </conditionalFormatting>
  <conditionalFormatting sqref="D165">
    <cfRule type="cellIs" priority="466" operator="lessThan" aboveAverage="0" equalAverage="0" bottom="0" percent="0" rank="0" text="" dxfId="10">
      <formula>18</formula>
    </cfRule>
  </conditionalFormatting>
  <conditionalFormatting sqref="B166">
    <cfRule type="cellIs" priority="467" operator="greaterThan" aboveAverage="0" equalAverage="0" bottom="0" percent="0" rank="0" text="" dxfId="8">
      <formula>0</formula>
    </cfRule>
    <cfRule type="cellIs" priority="468" operator="lessThan" aboveAverage="0" equalAverage="0" bottom="0" percent="0" rank="0" text="" dxfId="9">
      <formula>MaliyetEsik</formula>
    </cfRule>
  </conditionalFormatting>
  <conditionalFormatting sqref="D166">
    <cfRule type="cellIs" priority="469" operator="lessThan" aboveAverage="0" equalAverage="0" bottom="0" percent="0" rank="0" text="" dxfId="10">
      <formula>18</formula>
    </cfRule>
  </conditionalFormatting>
  <conditionalFormatting sqref="B167">
    <cfRule type="cellIs" priority="470" operator="greaterThan" aboveAverage="0" equalAverage="0" bottom="0" percent="0" rank="0" text="" dxfId="8">
      <formula>0</formula>
    </cfRule>
    <cfRule type="cellIs" priority="471" operator="lessThan" aboveAverage="0" equalAverage="0" bottom="0" percent="0" rank="0" text="" dxfId="9">
      <formula>MaliyetEsik</formula>
    </cfRule>
  </conditionalFormatting>
  <conditionalFormatting sqref="D167">
    <cfRule type="cellIs" priority="472" operator="lessThan" aboveAverage="0" equalAverage="0" bottom="0" percent="0" rank="0" text="" dxfId="10">
      <formula>18</formula>
    </cfRule>
  </conditionalFormatting>
  <conditionalFormatting sqref="B168">
    <cfRule type="cellIs" priority="473" operator="greaterThan" aboveAverage="0" equalAverage="0" bottom="0" percent="0" rank="0" text="" dxfId="8">
      <formula>0</formula>
    </cfRule>
    <cfRule type="cellIs" priority="474" operator="lessThan" aboveAverage="0" equalAverage="0" bottom="0" percent="0" rank="0" text="" dxfId="9">
      <formula>MaliyetEsik</formula>
    </cfRule>
  </conditionalFormatting>
  <conditionalFormatting sqref="D168">
    <cfRule type="cellIs" priority="475" operator="lessThan" aboveAverage="0" equalAverage="0" bottom="0" percent="0" rank="0" text="" dxfId="10">
      <formula>18</formula>
    </cfRule>
  </conditionalFormatting>
  <conditionalFormatting sqref="B169">
    <cfRule type="cellIs" priority="476" operator="greaterThan" aboveAverage="0" equalAverage="0" bottom="0" percent="0" rank="0" text="" dxfId="8">
      <formula>0</formula>
    </cfRule>
    <cfRule type="cellIs" priority="477" operator="lessThan" aboveAverage="0" equalAverage="0" bottom="0" percent="0" rank="0" text="" dxfId="9">
      <formula>MaliyetEsik</formula>
    </cfRule>
  </conditionalFormatting>
  <conditionalFormatting sqref="D169">
    <cfRule type="cellIs" priority="478" operator="lessThan" aboveAverage="0" equalAverage="0" bottom="0" percent="0" rank="0" text="" dxfId="10">
      <formula>18</formula>
    </cfRule>
  </conditionalFormatting>
  <conditionalFormatting sqref="B170">
    <cfRule type="cellIs" priority="479" operator="greaterThan" aboveAverage="0" equalAverage="0" bottom="0" percent="0" rank="0" text="" dxfId="8">
      <formula>0</formula>
    </cfRule>
    <cfRule type="cellIs" priority="480" operator="lessThan" aboveAverage="0" equalAverage="0" bottom="0" percent="0" rank="0" text="" dxfId="9">
      <formula>MaliyetEsik</formula>
    </cfRule>
  </conditionalFormatting>
  <conditionalFormatting sqref="D170">
    <cfRule type="cellIs" priority="481" operator="lessThan" aboveAverage="0" equalAverage="0" bottom="0" percent="0" rank="0" text="" dxfId="10">
      <formula>18</formula>
    </cfRule>
  </conditionalFormatting>
  <conditionalFormatting sqref="B171">
    <cfRule type="cellIs" priority="482" operator="greaterThan" aboveAverage="0" equalAverage="0" bottom="0" percent="0" rank="0" text="" dxfId="8">
      <formula>0</formula>
    </cfRule>
    <cfRule type="cellIs" priority="483" operator="lessThan" aboveAverage="0" equalAverage="0" bottom="0" percent="0" rank="0" text="" dxfId="9">
      <formula>MaliyetEsik</formula>
    </cfRule>
  </conditionalFormatting>
  <conditionalFormatting sqref="D171">
    <cfRule type="cellIs" priority="484" operator="lessThan" aboveAverage="0" equalAverage="0" bottom="0" percent="0" rank="0" text="" dxfId="10">
      <formula>18</formula>
    </cfRule>
  </conditionalFormatting>
  <conditionalFormatting sqref="B172">
    <cfRule type="cellIs" priority="485" operator="greaterThan" aboveAverage="0" equalAverage="0" bottom="0" percent="0" rank="0" text="" dxfId="8">
      <formula>0</formula>
    </cfRule>
    <cfRule type="cellIs" priority="486" operator="lessThan" aboveAverage="0" equalAverage="0" bottom="0" percent="0" rank="0" text="" dxfId="9">
      <formula>MaliyetEsik</formula>
    </cfRule>
  </conditionalFormatting>
  <conditionalFormatting sqref="D172">
    <cfRule type="cellIs" priority="487" operator="lessThan" aboveAverage="0" equalAverage="0" bottom="0" percent="0" rank="0" text="" dxfId="10">
      <formula>18</formula>
    </cfRule>
  </conditionalFormatting>
  <conditionalFormatting sqref="B173">
    <cfRule type="cellIs" priority="488" operator="greaterThan" aboveAverage="0" equalAverage="0" bottom="0" percent="0" rank="0" text="" dxfId="8">
      <formula>0</formula>
    </cfRule>
    <cfRule type="cellIs" priority="489" operator="lessThan" aboveAverage="0" equalAverage="0" bottom="0" percent="0" rank="0" text="" dxfId="9">
      <formula>MaliyetEsik</formula>
    </cfRule>
  </conditionalFormatting>
  <conditionalFormatting sqref="D173">
    <cfRule type="cellIs" priority="490" operator="lessThan" aboveAverage="0" equalAverage="0" bottom="0" percent="0" rank="0" text="" dxfId="10">
      <formula>18</formula>
    </cfRule>
  </conditionalFormatting>
  <conditionalFormatting sqref="B174">
    <cfRule type="cellIs" priority="491" operator="greaterThan" aboveAverage="0" equalAverage="0" bottom="0" percent="0" rank="0" text="" dxfId="8">
      <formula>0</formula>
    </cfRule>
    <cfRule type="cellIs" priority="492" operator="lessThan" aboveAverage="0" equalAverage="0" bottom="0" percent="0" rank="0" text="" dxfId="9">
      <formula>MaliyetEsik</formula>
    </cfRule>
  </conditionalFormatting>
  <conditionalFormatting sqref="D174">
    <cfRule type="cellIs" priority="493" operator="lessThan" aboveAverage="0" equalAverage="0" bottom="0" percent="0" rank="0" text="" dxfId="10">
      <formula>18</formula>
    </cfRule>
  </conditionalFormatting>
  <conditionalFormatting sqref="B175">
    <cfRule type="cellIs" priority="494" operator="greaterThan" aboveAverage="0" equalAverage="0" bottom="0" percent="0" rank="0" text="" dxfId="8">
      <formula>0</formula>
    </cfRule>
    <cfRule type="cellIs" priority="495" operator="lessThan" aboveAverage="0" equalAverage="0" bottom="0" percent="0" rank="0" text="" dxfId="9">
      <formula>MaliyetEsik</formula>
    </cfRule>
  </conditionalFormatting>
  <conditionalFormatting sqref="D175">
    <cfRule type="cellIs" priority="496" operator="lessThan" aboveAverage="0" equalAverage="0" bottom="0" percent="0" rank="0" text="" dxfId="10">
      <formula>18</formula>
    </cfRule>
  </conditionalFormatting>
  <conditionalFormatting sqref="B176">
    <cfRule type="cellIs" priority="497" operator="greaterThan" aboveAverage="0" equalAverage="0" bottom="0" percent="0" rank="0" text="" dxfId="8">
      <formula>0</formula>
    </cfRule>
    <cfRule type="cellIs" priority="498" operator="lessThan" aboveAverage="0" equalAverage="0" bottom="0" percent="0" rank="0" text="" dxfId="9">
      <formula>MaliyetEsik</formula>
    </cfRule>
  </conditionalFormatting>
  <conditionalFormatting sqref="D176">
    <cfRule type="cellIs" priority="499" operator="lessThan" aboveAverage="0" equalAverage="0" bottom="0" percent="0" rank="0" text="" dxfId="10">
      <formula>18</formula>
    </cfRule>
  </conditionalFormatting>
  <conditionalFormatting sqref="B177">
    <cfRule type="cellIs" priority="500" operator="greaterThan" aboveAverage="0" equalAverage="0" bottom="0" percent="0" rank="0" text="" dxfId="8">
      <formula>0</formula>
    </cfRule>
    <cfRule type="cellIs" priority="501" operator="lessThan" aboveAverage="0" equalAverage="0" bottom="0" percent="0" rank="0" text="" dxfId="9">
      <formula>MaliyetEsik</formula>
    </cfRule>
  </conditionalFormatting>
  <conditionalFormatting sqref="D177">
    <cfRule type="cellIs" priority="502" operator="lessThan" aboveAverage="0" equalAverage="0" bottom="0" percent="0" rank="0" text="" dxfId="10">
      <formula>18</formula>
    </cfRule>
  </conditionalFormatting>
  <conditionalFormatting sqref="B178">
    <cfRule type="cellIs" priority="503" operator="greaterThan" aboveAverage="0" equalAverage="0" bottom="0" percent="0" rank="0" text="" dxfId="8">
      <formula>0</formula>
    </cfRule>
    <cfRule type="cellIs" priority="504" operator="lessThan" aboveAverage="0" equalAverage="0" bottom="0" percent="0" rank="0" text="" dxfId="9">
      <formula>MaliyetEsik</formula>
    </cfRule>
  </conditionalFormatting>
  <conditionalFormatting sqref="D178">
    <cfRule type="cellIs" priority="505" operator="lessThan" aboveAverage="0" equalAverage="0" bottom="0" percent="0" rank="0" text="" dxfId="10">
      <formula>18</formula>
    </cfRule>
  </conditionalFormatting>
  <conditionalFormatting sqref="B179">
    <cfRule type="cellIs" priority="506" operator="greaterThan" aboveAverage="0" equalAverage="0" bottom="0" percent="0" rank="0" text="" dxfId="8">
      <formula>0</formula>
    </cfRule>
    <cfRule type="cellIs" priority="507" operator="lessThan" aboveAverage="0" equalAverage="0" bottom="0" percent="0" rank="0" text="" dxfId="9">
      <formula>MaliyetEsik</formula>
    </cfRule>
  </conditionalFormatting>
  <conditionalFormatting sqref="D179">
    <cfRule type="cellIs" priority="508" operator="lessThan" aboveAverage="0" equalAverage="0" bottom="0" percent="0" rank="0" text="" dxfId="10">
      <formula>18</formula>
    </cfRule>
  </conditionalFormatting>
  <conditionalFormatting sqref="B180">
    <cfRule type="cellIs" priority="509" operator="greaterThan" aboveAverage="0" equalAverage="0" bottom="0" percent="0" rank="0" text="" dxfId="8">
      <formula>0</formula>
    </cfRule>
    <cfRule type="cellIs" priority="510" operator="lessThan" aboveAverage="0" equalAverage="0" bottom="0" percent="0" rank="0" text="" dxfId="9">
      <formula>MaliyetEsik</formula>
    </cfRule>
  </conditionalFormatting>
  <conditionalFormatting sqref="D180">
    <cfRule type="cellIs" priority="511" operator="lessThan" aboveAverage="0" equalAverage="0" bottom="0" percent="0" rank="0" text="" dxfId="10">
      <formula>18</formula>
    </cfRule>
  </conditionalFormatting>
  <conditionalFormatting sqref="B181">
    <cfRule type="cellIs" priority="512" operator="greaterThan" aboveAverage="0" equalAverage="0" bottom="0" percent="0" rank="0" text="" dxfId="8">
      <formula>0</formula>
    </cfRule>
    <cfRule type="cellIs" priority="513" operator="lessThan" aboveAverage="0" equalAverage="0" bottom="0" percent="0" rank="0" text="" dxfId="9">
      <formula>MaliyetEsik</formula>
    </cfRule>
  </conditionalFormatting>
  <conditionalFormatting sqref="D181">
    <cfRule type="cellIs" priority="514" operator="lessThan" aboveAverage="0" equalAverage="0" bottom="0" percent="0" rank="0" text="" dxfId="10">
      <formula>18</formula>
    </cfRule>
  </conditionalFormatting>
  <conditionalFormatting sqref="B182">
    <cfRule type="cellIs" priority="515" operator="greaterThan" aboveAverage="0" equalAverage="0" bottom="0" percent="0" rank="0" text="" dxfId="8">
      <formula>0</formula>
    </cfRule>
    <cfRule type="cellIs" priority="516" operator="lessThan" aboveAverage="0" equalAverage="0" bottom="0" percent="0" rank="0" text="" dxfId="9">
      <formula>MaliyetEsik</formula>
    </cfRule>
  </conditionalFormatting>
  <conditionalFormatting sqref="D182">
    <cfRule type="cellIs" priority="517" operator="lessThan" aboveAverage="0" equalAverage="0" bottom="0" percent="0" rank="0" text="" dxfId="10">
      <formula>18</formula>
    </cfRule>
  </conditionalFormatting>
  <conditionalFormatting sqref="B183">
    <cfRule type="cellIs" priority="518" operator="greaterThan" aboveAverage="0" equalAverage="0" bottom="0" percent="0" rank="0" text="" dxfId="8">
      <formula>0</formula>
    </cfRule>
    <cfRule type="cellIs" priority="519" operator="lessThan" aboveAverage="0" equalAverage="0" bottom="0" percent="0" rank="0" text="" dxfId="9">
      <formula>MaliyetEsik</formula>
    </cfRule>
  </conditionalFormatting>
  <conditionalFormatting sqref="D183">
    <cfRule type="cellIs" priority="520" operator="lessThan" aboveAverage="0" equalAverage="0" bottom="0" percent="0" rank="0" text="" dxfId="10">
      <formula>18</formula>
    </cfRule>
  </conditionalFormatting>
  <conditionalFormatting sqref="B184">
    <cfRule type="cellIs" priority="521" operator="greaterThan" aboveAverage="0" equalAverage="0" bottom="0" percent="0" rank="0" text="" dxfId="8">
      <formula>0</formula>
    </cfRule>
    <cfRule type="cellIs" priority="522" operator="lessThan" aboveAverage="0" equalAverage="0" bottom="0" percent="0" rank="0" text="" dxfId="9">
      <formula>MaliyetEsik</formula>
    </cfRule>
  </conditionalFormatting>
  <conditionalFormatting sqref="D184">
    <cfRule type="cellIs" priority="523" operator="lessThan" aboveAverage="0" equalAverage="0" bottom="0" percent="0" rank="0" text="" dxfId="10">
      <formula>18</formula>
    </cfRule>
  </conditionalFormatting>
  <conditionalFormatting sqref="B185">
    <cfRule type="cellIs" priority="524" operator="greaterThan" aboveAverage="0" equalAverage="0" bottom="0" percent="0" rank="0" text="" dxfId="8">
      <formula>0</formula>
    </cfRule>
    <cfRule type="cellIs" priority="525" operator="lessThan" aboveAverage="0" equalAverage="0" bottom="0" percent="0" rank="0" text="" dxfId="9">
      <formula>MaliyetEsik</formula>
    </cfRule>
  </conditionalFormatting>
  <conditionalFormatting sqref="D185">
    <cfRule type="cellIs" priority="526" operator="lessThan" aboveAverage="0" equalAverage="0" bottom="0" percent="0" rank="0" text="" dxfId="10">
      <formula>18</formula>
    </cfRule>
  </conditionalFormatting>
  <conditionalFormatting sqref="B186">
    <cfRule type="cellIs" priority="527" operator="greaterThan" aboveAverage="0" equalAverage="0" bottom="0" percent="0" rank="0" text="" dxfId="8">
      <formula>0</formula>
    </cfRule>
    <cfRule type="cellIs" priority="528" operator="lessThan" aboveAverage="0" equalAverage="0" bottom="0" percent="0" rank="0" text="" dxfId="9">
      <formula>MaliyetEsik</formula>
    </cfRule>
  </conditionalFormatting>
  <conditionalFormatting sqref="D186">
    <cfRule type="cellIs" priority="529" operator="lessThan" aboveAverage="0" equalAverage="0" bottom="0" percent="0" rank="0" text="" dxfId="10">
      <formula>18</formula>
    </cfRule>
  </conditionalFormatting>
  <conditionalFormatting sqref="B187">
    <cfRule type="cellIs" priority="530" operator="greaterThan" aboveAverage="0" equalAverage="0" bottom="0" percent="0" rank="0" text="" dxfId="8">
      <formula>0</formula>
    </cfRule>
    <cfRule type="cellIs" priority="531" operator="lessThan" aboveAverage="0" equalAverage="0" bottom="0" percent="0" rank="0" text="" dxfId="9">
      <formula>MaliyetEsik</formula>
    </cfRule>
  </conditionalFormatting>
  <conditionalFormatting sqref="D187">
    <cfRule type="cellIs" priority="532" operator="lessThan" aboveAverage="0" equalAverage="0" bottom="0" percent="0" rank="0" text="" dxfId="10">
      <formula>18</formula>
    </cfRule>
  </conditionalFormatting>
  <conditionalFormatting sqref="B188">
    <cfRule type="cellIs" priority="533" operator="greaterThan" aboveAverage="0" equalAverage="0" bottom="0" percent="0" rank="0" text="" dxfId="8">
      <formula>0</formula>
    </cfRule>
    <cfRule type="cellIs" priority="534" operator="lessThan" aboveAverage="0" equalAverage="0" bottom="0" percent="0" rank="0" text="" dxfId="9">
      <formula>MaliyetEsik</formula>
    </cfRule>
  </conditionalFormatting>
  <conditionalFormatting sqref="D188">
    <cfRule type="cellIs" priority="535" operator="lessThan" aboveAverage="0" equalAverage="0" bottom="0" percent="0" rank="0" text="" dxfId="10">
      <formula>18</formula>
    </cfRule>
  </conditionalFormatting>
  <conditionalFormatting sqref="B189">
    <cfRule type="cellIs" priority="536" operator="greaterThan" aboveAverage="0" equalAverage="0" bottom="0" percent="0" rank="0" text="" dxfId="8">
      <formula>0</formula>
    </cfRule>
    <cfRule type="cellIs" priority="537" operator="lessThan" aboveAverage="0" equalAverage="0" bottom="0" percent="0" rank="0" text="" dxfId="9">
      <formula>MaliyetEsik</formula>
    </cfRule>
  </conditionalFormatting>
  <conditionalFormatting sqref="D189">
    <cfRule type="cellIs" priority="538" operator="lessThan" aboveAverage="0" equalAverage="0" bottom="0" percent="0" rank="0" text="" dxfId="10">
      <formula>18</formula>
    </cfRule>
  </conditionalFormatting>
  <conditionalFormatting sqref="B190">
    <cfRule type="cellIs" priority="539" operator="greaterThan" aboveAverage="0" equalAverage="0" bottom="0" percent="0" rank="0" text="" dxfId="8">
      <formula>0</formula>
    </cfRule>
    <cfRule type="cellIs" priority="540" operator="lessThan" aboveAverage="0" equalAverage="0" bottom="0" percent="0" rank="0" text="" dxfId="9">
      <formula>MaliyetEsik</formula>
    </cfRule>
  </conditionalFormatting>
  <conditionalFormatting sqref="D190">
    <cfRule type="cellIs" priority="541" operator="lessThan" aboveAverage="0" equalAverage="0" bottom="0" percent="0" rank="0" text="" dxfId="10">
      <formula>18</formula>
    </cfRule>
  </conditionalFormatting>
  <conditionalFormatting sqref="B191">
    <cfRule type="cellIs" priority="542" operator="greaterThan" aboveAverage="0" equalAverage="0" bottom="0" percent="0" rank="0" text="" dxfId="8">
      <formula>0</formula>
    </cfRule>
    <cfRule type="cellIs" priority="543" operator="lessThan" aboveAverage="0" equalAverage="0" bottom="0" percent="0" rank="0" text="" dxfId="9">
      <formula>MaliyetEsik</formula>
    </cfRule>
  </conditionalFormatting>
  <conditionalFormatting sqref="D191">
    <cfRule type="cellIs" priority="544" operator="lessThan" aboveAverage="0" equalAverage="0" bottom="0" percent="0" rank="0" text="" dxfId="10">
      <formula>18</formula>
    </cfRule>
  </conditionalFormatting>
  <conditionalFormatting sqref="B192">
    <cfRule type="cellIs" priority="545" operator="greaterThan" aboveAverage="0" equalAverage="0" bottom="0" percent="0" rank="0" text="" dxfId="8">
      <formula>0</formula>
    </cfRule>
    <cfRule type="cellIs" priority="546" operator="lessThan" aboveAverage="0" equalAverage="0" bottom="0" percent="0" rank="0" text="" dxfId="9">
      <formula>MaliyetEsik</formula>
    </cfRule>
  </conditionalFormatting>
  <conditionalFormatting sqref="D192">
    <cfRule type="cellIs" priority="547" operator="lessThan" aboveAverage="0" equalAverage="0" bottom="0" percent="0" rank="0" text="" dxfId="10">
      <formula>18</formula>
    </cfRule>
  </conditionalFormatting>
  <conditionalFormatting sqref="B193">
    <cfRule type="cellIs" priority="548" operator="greaterThan" aboveAverage="0" equalAverage="0" bottom="0" percent="0" rank="0" text="" dxfId="8">
      <formula>0</formula>
    </cfRule>
    <cfRule type="cellIs" priority="549" operator="lessThan" aboveAverage="0" equalAverage="0" bottom="0" percent="0" rank="0" text="" dxfId="9">
      <formula>MaliyetEsik</formula>
    </cfRule>
  </conditionalFormatting>
  <conditionalFormatting sqref="D193">
    <cfRule type="cellIs" priority="550" operator="lessThan" aboveAverage="0" equalAverage="0" bottom="0" percent="0" rank="0" text="" dxfId="10">
      <formula>18</formula>
    </cfRule>
  </conditionalFormatting>
  <conditionalFormatting sqref="B194">
    <cfRule type="cellIs" priority="551" operator="greaterThan" aboveAverage="0" equalAverage="0" bottom="0" percent="0" rank="0" text="" dxfId="8">
      <formula>0</formula>
    </cfRule>
    <cfRule type="cellIs" priority="552" operator="lessThan" aboveAverage="0" equalAverage="0" bottom="0" percent="0" rank="0" text="" dxfId="9">
      <formula>MaliyetEsik</formula>
    </cfRule>
  </conditionalFormatting>
  <conditionalFormatting sqref="D194">
    <cfRule type="cellIs" priority="553" operator="lessThan" aboveAverage="0" equalAverage="0" bottom="0" percent="0" rank="0" text="" dxfId="10">
      <formula>18</formula>
    </cfRule>
  </conditionalFormatting>
  <conditionalFormatting sqref="B195">
    <cfRule type="cellIs" priority="554" operator="greaterThan" aboveAverage="0" equalAverage="0" bottom="0" percent="0" rank="0" text="" dxfId="8">
      <formula>0</formula>
    </cfRule>
    <cfRule type="cellIs" priority="555" operator="lessThan" aboveAverage="0" equalAverage="0" bottom="0" percent="0" rank="0" text="" dxfId="9">
      <formula>MaliyetEsik</formula>
    </cfRule>
  </conditionalFormatting>
  <conditionalFormatting sqref="D195">
    <cfRule type="cellIs" priority="556" operator="lessThan" aboveAverage="0" equalAverage="0" bottom="0" percent="0" rank="0" text="" dxfId="10">
      <formula>18</formula>
    </cfRule>
  </conditionalFormatting>
  <conditionalFormatting sqref="B196">
    <cfRule type="cellIs" priority="557" operator="greaterThan" aboveAverage="0" equalAverage="0" bottom="0" percent="0" rank="0" text="" dxfId="8">
      <formula>0</formula>
    </cfRule>
    <cfRule type="cellIs" priority="558" operator="lessThan" aboveAverage="0" equalAverage="0" bottom="0" percent="0" rank="0" text="" dxfId="9">
      <formula>MaliyetEsik</formula>
    </cfRule>
  </conditionalFormatting>
  <conditionalFormatting sqref="D196">
    <cfRule type="cellIs" priority="559" operator="lessThan" aboveAverage="0" equalAverage="0" bottom="0" percent="0" rank="0" text="" dxfId="10">
      <formula>18</formula>
    </cfRule>
  </conditionalFormatting>
  <conditionalFormatting sqref="B197">
    <cfRule type="cellIs" priority="560" operator="greaterThan" aboveAverage="0" equalAverage="0" bottom="0" percent="0" rank="0" text="" dxfId="8">
      <formula>0</formula>
    </cfRule>
    <cfRule type="cellIs" priority="561" operator="lessThan" aboveAverage="0" equalAverage="0" bottom="0" percent="0" rank="0" text="" dxfId="9">
      <formula>MaliyetEsik</formula>
    </cfRule>
  </conditionalFormatting>
  <conditionalFormatting sqref="D197">
    <cfRule type="cellIs" priority="562" operator="lessThan" aboveAverage="0" equalAverage="0" bottom="0" percent="0" rank="0" text="" dxfId="10">
      <formula>18</formula>
    </cfRule>
  </conditionalFormatting>
  <conditionalFormatting sqref="B198">
    <cfRule type="cellIs" priority="563" operator="greaterThan" aboveAverage="0" equalAverage="0" bottom="0" percent="0" rank="0" text="" dxfId="8">
      <formula>0</formula>
    </cfRule>
    <cfRule type="cellIs" priority="564" operator="lessThan" aboveAverage="0" equalAverage="0" bottom="0" percent="0" rank="0" text="" dxfId="9">
      <formula>MaliyetEsik</formula>
    </cfRule>
  </conditionalFormatting>
  <conditionalFormatting sqref="D198">
    <cfRule type="cellIs" priority="565" operator="lessThan" aboveAverage="0" equalAverage="0" bottom="0" percent="0" rank="0" text="" dxfId="10">
      <formula>18</formula>
    </cfRule>
  </conditionalFormatting>
  <conditionalFormatting sqref="B199">
    <cfRule type="cellIs" priority="566" operator="greaterThan" aboveAverage="0" equalAverage="0" bottom="0" percent="0" rank="0" text="" dxfId="8">
      <formula>0</formula>
    </cfRule>
    <cfRule type="cellIs" priority="567" operator="lessThan" aboveAverage="0" equalAverage="0" bottom="0" percent="0" rank="0" text="" dxfId="9">
      <formula>MaliyetEsik</formula>
    </cfRule>
  </conditionalFormatting>
  <conditionalFormatting sqref="D199">
    <cfRule type="cellIs" priority="568" operator="lessThan" aboveAverage="0" equalAverage="0" bottom="0" percent="0" rank="0" text="" dxfId="10">
      <formula>18</formula>
    </cfRule>
  </conditionalFormatting>
  <conditionalFormatting sqref="B200">
    <cfRule type="cellIs" priority="569" operator="greaterThan" aboveAverage="0" equalAverage="0" bottom="0" percent="0" rank="0" text="" dxfId="8">
      <formula>0</formula>
    </cfRule>
    <cfRule type="cellIs" priority="570" operator="lessThan" aboveAverage="0" equalAverage="0" bottom="0" percent="0" rank="0" text="" dxfId="9">
      <formula>MaliyetEsik</formula>
    </cfRule>
  </conditionalFormatting>
  <conditionalFormatting sqref="D200">
    <cfRule type="cellIs" priority="571" operator="lessThan" aboveAverage="0" equalAverage="0" bottom="0" percent="0" rank="0" text="" dxfId="10">
      <formula>18</formula>
    </cfRule>
  </conditionalFormatting>
  <conditionalFormatting sqref="B201">
    <cfRule type="cellIs" priority="572" operator="greaterThan" aboveAverage="0" equalAverage="0" bottom="0" percent="0" rank="0" text="" dxfId="8">
      <formula>0</formula>
    </cfRule>
    <cfRule type="cellIs" priority="573" operator="lessThan" aboveAverage="0" equalAverage="0" bottom="0" percent="0" rank="0" text="" dxfId="9">
      <formula>MaliyetEsik</formula>
    </cfRule>
  </conditionalFormatting>
  <conditionalFormatting sqref="D201">
    <cfRule type="cellIs" priority="574" operator="lessThan" aboveAverage="0" equalAverage="0" bottom="0" percent="0" rank="0" text="" dxfId="10">
      <formula>18</formula>
    </cfRule>
  </conditionalFormatting>
  <conditionalFormatting sqref="B202">
    <cfRule type="cellIs" priority="575" operator="greaterThan" aboveAverage="0" equalAverage="0" bottom="0" percent="0" rank="0" text="" dxfId="8">
      <formula>0</formula>
    </cfRule>
    <cfRule type="cellIs" priority="576" operator="lessThan" aboveAverage="0" equalAverage="0" bottom="0" percent="0" rank="0" text="" dxfId="9">
      <formula>MaliyetEsik</formula>
    </cfRule>
  </conditionalFormatting>
  <conditionalFormatting sqref="D202">
    <cfRule type="cellIs" priority="577" operator="lessThan" aboveAverage="0" equalAverage="0" bottom="0" percent="0" rank="0" text="" dxfId="10">
      <formula>18</formula>
    </cfRule>
  </conditionalFormatting>
  <conditionalFormatting sqref="B203">
    <cfRule type="cellIs" priority="578" operator="greaterThan" aboveAverage="0" equalAverage="0" bottom="0" percent="0" rank="0" text="" dxfId="8">
      <formula>0</formula>
    </cfRule>
    <cfRule type="cellIs" priority="579" operator="lessThan" aboveAverage="0" equalAverage="0" bottom="0" percent="0" rank="0" text="" dxfId="9">
      <formula>MaliyetEsik</formula>
    </cfRule>
  </conditionalFormatting>
  <conditionalFormatting sqref="D203">
    <cfRule type="cellIs" priority="580" operator="lessThan" aboveAverage="0" equalAverage="0" bottom="0" percent="0" rank="0" text="" dxfId="10">
      <formula>18</formula>
    </cfRule>
  </conditionalFormatting>
  <conditionalFormatting sqref="B204">
    <cfRule type="cellIs" priority="581" operator="greaterThan" aboveAverage="0" equalAverage="0" bottom="0" percent="0" rank="0" text="" dxfId="8">
      <formula>0</formula>
    </cfRule>
    <cfRule type="cellIs" priority="582" operator="lessThan" aboveAverage="0" equalAverage="0" bottom="0" percent="0" rank="0" text="" dxfId="9">
      <formula>MaliyetEsik</formula>
    </cfRule>
  </conditionalFormatting>
  <conditionalFormatting sqref="D204">
    <cfRule type="cellIs" priority="583" operator="lessThan" aboveAverage="0" equalAverage="0" bottom="0" percent="0" rank="0" text="" dxfId="10">
      <formula>18</formula>
    </cfRule>
  </conditionalFormatting>
  <conditionalFormatting sqref="B205">
    <cfRule type="cellIs" priority="584" operator="greaterThan" aboveAverage="0" equalAverage="0" bottom="0" percent="0" rank="0" text="" dxfId="8">
      <formula>0</formula>
    </cfRule>
    <cfRule type="cellIs" priority="585" operator="lessThan" aboveAverage="0" equalAverage="0" bottom="0" percent="0" rank="0" text="" dxfId="9">
      <formula>MaliyetEsik</formula>
    </cfRule>
  </conditionalFormatting>
  <conditionalFormatting sqref="D205">
    <cfRule type="cellIs" priority="586" operator="lessThan" aboveAverage="0" equalAverage="0" bottom="0" percent="0" rank="0" text="" dxfId="10">
      <formula>18</formula>
    </cfRule>
  </conditionalFormatting>
  <conditionalFormatting sqref="B206">
    <cfRule type="cellIs" priority="587" operator="greaterThan" aboveAverage="0" equalAverage="0" bottom="0" percent="0" rank="0" text="" dxfId="8">
      <formula>0</formula>
    </cfRule>
    <cfRule type="cellIs" priority="588" operator="lessThan" aboveAverage="0" equalAverage="0" bottom="0" percent="0" rank="0" text="" dxfId="9">
      <formula>MaliyetEsik</formula>
    </cfRule>
  </conditionalFormatting>
  <conditionalFormatting sqref="D206">
    <cfRule type="cellIs" priority="589" operator="lessThan" aboveAverage="0" equalAverage="0" bottom="0" percent="0" rank="0" text="" dxfId="10">
      <formula>18</formula>
    </cfRule>
  </conditionalFormatting>
  <conditionalFormatting sqref="B207">
    <cfRule type="cellIs" priority="590" operator="greaterThan" aboveAverage="0" equalAverage="0" bottom="0" percent="0" rank="0" text="" dxfId="8">
      <formula>0</formula>
    </cfRule>
    <cfRule type="cellIs" priority="591" operator="lessThan" aboveAverage="0" equalAverage="0" bottom="0" percent="0" rank="0" text="" dxfId="9">
      <formula>MaliyetEsik</formula>
    </cfRule>
  </conditionalFormatting>
  <conditionalFormatting sqref="D207">
    <cfRule type="cellIs" priority="592" operator="lessThan" aboveAverage="0" equalAverage="0" bottom="0" percent="0" rank="0" text="" dxfId="10">
      <formula>18</formula>
    </cfRule>
  </conditionalFormatting>
  <conditionalFormatting sqref="B208">
    <cfRule type="cellIs" priority="593" operator="greaterThan" aboveAverage="0" equalAverage="0" bottom="0" percent="0" rank="0" text="" dxfId="8">
      <formula>0</formula>
    </cfRule>
    <cfRule type="cellIs" priority="594" operator="lessThan" aboveAverage="0" equalAverage="0" bottom="0" percent="0" rank="0" text="" dxfId="9">
      <formula>MaliyetEsik</formula>
    </cfRule>
  </conditionalFormatting>
  <conditionalFormatting sqref="D208">
    <cfRule type="cellIs" priority="595" operator="lessThan" aboveAverage="0" equalAverage="0" bottom="0" percent="0" rank="0" text="" dxfId="10">
      <formula>18</formula>
    </cfRule>
  </conditionalFormatting>
  <conditionalFormatting sqref="B209">
    <cfRule type="cellIs" priority="596" operator="greaterThan" aboveAverage="0" equalAverage="0" bottom="0" percent="0" rank="0" text="" dxfId="8">
      <formula>0</formula>
    </cfRule>
    <cfRule type="cellIs" priority="597" operator="lessThan" aboveAverage="0" equalAverage="0" bottom="0" percent="0" rank="0" text="" dxfId="9">
      <formula>MaliyetEsik</formula>
    </cfRule>
  </conditionalFormatting>
  <conditionalFormatting sqref="D209">
    <cfRule type="cellIs" priority="598" operator="lessThan" aboveAverage="0" equalAverage="0" bottom="0" percent="0" rank="0" text="" dxfId="10">
      <formula>18</formula>
    </cfRule>
  </conditionalFormatting>
  <conditionalFormatting sqref="B210">
    <cfRule type="cellIs" priority="599" operator="greaterThan" aboveAverage="0" equalAverage="0" bottom="0" percent="0" rank="0" text="" dxfId="8">
      <formula>0</formula>
    </cfRule>
    <cfRule type="cellIs" priority="600" operator="lessThan" aboveAverage="0" equalAverage="0" bottom="0" percent="0" rank="0" text="" dxfId="9">
      <formula>MaliyetEsik</formula>
    </cfRule>
  </conditionalFormatting>
  <conditionalFormatting sqref="D210">
    <cfRule type="cellIs" priority="601" operator="lessThan" aboveAverage="0" equalAverage="0" bottom="0" percent="0" rank="0" text="" dxfId="10">
      <formula>18</formula>
    </cfRule>
  </conditionalFormatting>
  <conditionalFormatting sqref="B211">
    <cfRule type="cellIs" priority="602" operator="greaterThan" aboveAverage="0" equalAverage="0" bottom="0" percent="0" rank="0" text="" dxfId="8">
      <formula>0</formula>
    </cfRule>
    <cfRule type="cellIs" priority="603" operator="lessThan" aboveAverage="0" equalAverage="0" bottom="0" percent="0" rank="0" text="" dxfId="9">
      <formula>MaliyetEsik</formula>
    </cfRule>
  </conditionalFormatting>
  <conditionalFormatting sqref="D211">
    <cfRule type="cellIs" priority="604" operator="lessThan" aboveAverage="0" equalAverage="0" bottom="0" percent="0" rank="0" text="" dxfId="10">
      <formula>18</formula>
    </cfRule>
  </conditionalFormatting>
  <conditionalFormatting sqref="B212">
    <cfRule type="cellIs" priority="605" operator="greaterThan" aboveAverage="0" equalAverage="0" bottom="0" percent="0" rank="0" text="" dxfId="8">
      <formula>0</formula>
    </cfRule>
    <cfRule type="cellIs" priority="606" operator="lessThan" aboveAverage="0" equalAverage="0" bottom="0" percent="0" rank="0" text="" dxfId="9">
      <formula>MaliyetEsik</formula>
    </cfRule>
  </conditionalFormatting>
  <conditionalFormatting sqref="D212">
    <cfRule type="cellIs" priority="607" operator="lessThan" aboveAverage="0" equalAverage="0" bottom="0" percent="0" rank="0" text="" dxfId="10">
      <formula>18</formula>
    </cfRule>
  </conditionalFormatting>
  <conditionalFormatting sqref="B213">
    <cfRule type="cellIs" priority="608" operator="greaterThan" aboveAverage="0" equalAverage="0" bottom="0" percent="0" rank="0" text="" dxfId="8">
      <formula>0</formula>
    </cfRule>
    <cfRule type="cellIs" priority="609" operator="lessThan" aboveAverage="0" equalAverage="0" bottom="0" percent="0" rank="0" text="" dxfId="9">
      <formula>MaliyetEsik</formula>
    </cfRule>
  </conditionalFormatting>
  <conditionalFormatting sqref="D213">
    <cfRule type="cellIs" priority="610" operator="lessThan" aboveAverage="0" equalAverage="0" bottom="0" percent="0" rank="0" text="" dxfId="10">
      <formula>18</formula>
    </cfRule>
  </conditionalFormatting>
  <conditionalFormatting sqref="B214">
    <cfRule type="cellIs" priority="611" operator="greaterThan" aboveAverage="0" equalAverage="0" bottom="0" percent="0" rank="0" text="" dxfId="8">
      <formula>0</formula>
    </cfRule>
    <cfRule type="cellIs" priority="612" operator="lessThan" aboveAverage="0" equalAverage="0" bottom="0" percent="0" rank="0" text="" dxfId="9">
      <formula>MaliyetEsik</formula>
    </cfRule>
  </conditionalFormatting>
  <conditionalFormatting sqref="D214">
    <cfRule type="cellIs" priority="613" operator="lessThan" aboveAverage="0" equalAverage="0" bottom="0" percent="0" rank="0" text="" dxfId="10">
      <formula>18</formula>
    </cfRule>
  </conditionalFormatting>
  <conditionalFormatting sqref="B215">
    <cfRule type="cellIs" priority="614" operator="greaterThan" aboveAverage="0" equalAverage="0" bottom="0" percent="0" rank="0" text="" dxfId="8">
      <formula>0</formula>
    </cfRule>
    <cfRule type="cellIs" priority="615" operator="lessThan" aboveAverage="0" equalAverage="0" bottom="0" percent="0" rank="0" text="" dxfId="9">
      <formula>MaliyetEsik</formula>
    </cfRule>
  </conditionalFormatting>
  <conditionalFormatting sqref="D215">
    <cfRule type="cellIs" priority="616" operator="lessThan" aboveAverage="0" equalAverage="0" bottom="0" percent="0" rank="0" text="" dxfId="10">
      <formula>18</formula>
    </cfRule>
  </conditionalFormatting>
  <conditionalFormatting sqref="B216">
    <cfRule type="cellIs" priority="617" operator="greaterThan" aboveAverage="0" equalAverage="0" bottom="0" percent="0" rank="0" text="" dxfId="8">
      <formula>0</formula>
    </cfRule>
    <cfRule type="cellIs" priority="618" operator="lessThan" aboveAverage="0" equalAverage="0" bottom="0" percent="0" rank="0" text="" dxfId="9">
      <formula>MaliyetEsik</formula>
    </cfRule>
  </conditionalFormatting>
  <conditionalFormatting sqref="D216">
    <cfRule type="cellIs" priority="619" operator="lessThan" aboveAverage="0" equalAverage="0" bottom="0" percent="0" rank="0" text="" dxfId="10">
      <formula>18</formula>
    </cfRule>
  </conditionalFormatting>
  <conditionalFormatting sqref="B217">
    <cfRule type="cellIs" priority="620" operator="greaterThan" aboveAverage="0" equalAverage="0" bottom="0" percent="0" rank="0" text="" dxfId="8">
      <formula>0</formula>
    </cfRule>
    <cfRule type="cellIs" priority="621" operator="lessThan" aboveAverage="0" equalAverage="0" bottom="0" percent="0" rank="0" text="" dxfId="9">
      <formula>MaliyetEsik</formula>
    </cfRule>
  </conditionalFormatting>
  <conditionalFormatting sqref="D217">
    <cfRule type="cellIs" priority="622" operator="lessThan" aboveAverage="0" equalAverage="0" bottom="0" percent="0" rank="0" text="" dxfId="10">
      <formula>18</formula>
    </cfRule>
  </conditionalFormatting>
  <conditionalFormatting sqref="B218">
    <cfRule type="cellIs" priority="623" operator="greaterThan" aboveAverage="0" equalAverage="0" bottom="0" percent="0" rank="0" text="" dxfId="8">
      <formula>0</formula>
    </cfRule>
    <cfRule type="cellIs" priority="624" operator="lessThan" aboveAverage="0" equalAverage="0" bottom="0" percent="0" rank="0" text="" dxfId="9">
      <formula>MaliyetEsik</formula>
    </cfRule>
  </conditionalFormatting>
  <conditionalFormatting sqref="D218">
    <cfRule type="cellIs" priority="625" operator="lessThan" aboveAverage="0" equalAverage="0" bottom="0" percent="0" rank="0" text="" dxfId="10">
      <formula>18</formula>
    </cfRule>
  </conditionalFormatting>
  <conditionalFormatting sqref="B219">
    <cfRule type="cellIs" priority="626" operator="greaterThan" aboveAverage="0" equalAverage="0" bottom="0" percent="0" rank="0" text="" dxfId="8">
      <formula>0</formula>
    </cfRule>
    <cfRule type="cellIs" priority="627" operator="lessThan" aboveAverage="0" equalAverage="0" bottom="0" percent="0" rank="0" text="" dxfId="9">
      <formula>MaliyetEsik</formula>
    </cfRule>
  </conditionalFormatting>
  <conditionalFormatting sqref="D219">
    <cfRule type="cellIs" priority="628" operator="lessThan" aboveAverage="0" equalAverage="0" bottom="0" percent="0" rank="0" text="" dxfId="10">
      <formula>18</formula>
    </cfRule>
  </conditionalFormatting>
  <conditionalFormatting sqref="B220">
    <cfRule type="cellIs" priority="629" operator="greaterThan" aboveAverage="0" equalAverage="0" bottom="0" percent="0" rank="0" text="" dxfId="8">
      <formula>0</formula>
    </cfRule>
    <cfRule type="cellIs" priority="630" operator="lessThan" aboveAverage="0" equalAverage="0" bottom="0" percent="0" rank="0" text="" dxfId="9">
      <formula>MaliyetEsik</formula>
    </cfRule>
  </conditionalFormatting>
  <conditionalFormatting sqref="D220">
    <cfRule type="cellIs" priority="631" operator="lessThan" aboveAverage="0" equalAverage="0" bottom="0" percent="0" rank="0" text="" dxfId="10">
      <formula>18</formula>
    </cfRule>
  </conditionalFormatting>
  <conditionalFormatting sqref="B221">
    <cfRule type="cellIs" priority="632" operator="greaterThan" aboveAverage="0" equalAverage="0" bottom="0" percent="0" rank="0" text="" dxfId="8">
      <formula>0</formula>
    </cfRule>
    <cfRule type="cellIs" priority="633" operator="lessThan" aboveAverage="0" equalAverage="0" bottom="0" percent="0" rank="0" text="" dxfId="9">
      <formula>MaliyetEsik</formula>
    </cfRule>
  </conditionalFormatting>
  <conditionalFormatting sqref="D221">
    <cfRule type="cellIs" priority="634" operator="lessThan" aboveAverage="0" equalAverage="0" bottom="0" percent="0" rank="0" text="" dxfId="10">
      <formula>18</formula>
    </cfRule>
  </conditionalFormatting>
  <conditionalFormatting sqref="B222">
    <cfRule type="cellIs" priority="635" operator="greaterThan" aboveAverage="0" equalAverage="0" bottom="0" percent="0" rank="0" text="" dxfId="8">
      <formula>0</formula>
    </cfRule>
    <cfRule type="cellIs" priority="636" operator="lessThan" aboveAverage="0" equalAverage="0" bottom="0" percent="0" rank="0" text="" dxfId="9">
      <formula>MaliyetEsik</formula>
    </cfRule>
  </conditionalFormatting>
  <conditionalFormatting sqref="D222">
    <cfRule type="cellIs" priority="637" operator="lessThan" aboveAverage="0" equalAverage="0" bottom="0" percent="0" rank="0" text="" dxfId="10">
      <formula>18</formula>
    </cfRule>
  </conditionalFormatting>
  <conditionalFormatting sqref="B223">
    <cfRule type="cellIs" priority="638" operator="greaterThan" aboveAverage="0" equalAverage="0" bottom="0" percent="0" rank="0" text="" dxfId="8">
      <formula>0</formula>
    </cfRule>
    <cfRule type="cellIs" priority="639" operator="lessThan" aboveAverage="0" equalAverage="0" bottom="0" percent="0" rank="0" text="" dxfId="9">
      <formula>MaliyetEsik</formula>
    </cfRule>
  </conditionalFormatting>
  <conditionalFormatting sqref="D223">
    <cfRule type="cellIs" priority="640" operator="lessThan" aboveAverage="0" equalAverage="0" bottom="0" percent="0" rank="0" text="" dxfId="10">
      <formula>18</formula>
    </cfRule>
  </conditionalFormatting>
  <conditionalFormatting sqref="B224">
    <cfRule type="cellIs" priority="641" operator="greaterThan" aboveAverage="0" equalAverage="0" bottom="0" percent="0" rank="0" text="" dxfId="8">
      <formula>0</formula>
    </cfRule>
    <cfRule type="cellIs" priority="642" operator="lessThan" aboveAverage="0" equalAverage="0" bottom="0" percent="0" rank="0" text="" dxfId="9">
      <formula>MaliyetEsik</formula>
    </cfRule>
  </conditionalFormatting>
  <conditionalFormatting sqref="D224">
    <cfRule type="cellIs" priority="643" operator="lessThan" aboveAverage="0" equalAverage="0" bottom="0" percent="0" rank="0" text="" dxfId="10">
      <formula>18</formula>
    </cfRule>
  </conditionalFormatting>
  <conditionalFormatting sqref="B225">
    <cfRule type="cellIs" priority="644" operator="greaterThan" aboveAverage="0" equalAverage="0" bottom="0" percent="0" rank="0" text="" dxfId="8">
      <formula>0</formula>
    </cfRule>
    <cfRule type="cellIs" priority="645" operator="lessThan" aboveAverage="0" equalAverage="0" bottom="0" percent="0" rank="0" text="" dxfId="9">
      <formula>MaliyetEsik</formula>
    </cfRule>
  </conditionalFormatting>
  <conditionalFormatting sqref="D225">
    <cfRule type="cellIs" priority="646" operator="lessThan" aboveAverage="0" equalAverage="0" bottom="0" percent="0" rank="0" text="" dxfId="10">
      <formula>18</formula>
    </cfRule>
  </conditionalFormatting>
  <conditionalFormatting sqref="B226">
    <cfRule type="cellIs" priority="647" operator="greaterThan" aboveAverage="0" equalAverage="0" bottom="0" percent="0" rank="0" text="" dxfId="8">
      <formula>0</formula>
    </cfRule>
    <cfRule type="cellIs" priority="648" operator="lessThan" aboveAverage="0" equalAverage="0" bottom="0" percent="0" rank="0" text="" dxfId="9">
      <formula>MaliyetEsik</formula>
    </cfRule>
  </conditionalFormatting>
  <conditionalFormatting sqref="D226">
    <cfRule type="cellIs" priority="649" operator="lessThan" aboveAverage="0" equalAverage="0" bottom="0" percent="0" rank="0" text="" dxfId="10">
      <formula>18</formula>
    </cfRule>
  </conditionalFormatting>
  <conditionalFormatting sqref="B227">
    <cfRule type="cellIs" priority="650" operator="greaterThan" aboveAverage="0" equalAverage="0" bottom="0" percent="0" rank="0" text="" dxfId="8">
      <formula>0</formula>
    </cfRule>
    <cfRule type="cellIs" priority="651" operator="lessThan" aboveAverage="0" equalAverage="0" bottom="0" percent="0" rank="0" text="" dxfId="9">
      <formula>MaliyetEsik</formula>
    </cfRule>
  </conditionalFormatting>
  <conditionalFormatting sqref="D227">
    <cfRule type="cellIs" priority="652" operator="lessThan" aboveAverage="0" equalAverage="0" bottom="0" percent="0" rank="0" text="" dxfId="10">
      <formula>18</formula>
    </cfRule>
  </conditionalFormatting>
  <conditionalFormatting sqref="B228">
    <cfRule type="cellIs" priority="653" operator="greaterThan" aboveAverage="0" equalAverage="0" bottom="0" percent="0" rank="0" text="" dxfId="8">
      <formula>0</formula>
    </cfRule>
    <cfRule type="cellIs" priority="654" operator="lessThan" aboveAverage="0" equalAverage="0" bottom="0" percent="0" rank="0" text="" dxfId="9">
      <formula>MaliyetEsik</formula>
    </cfRule>
  </conditionalFormatting>
  <conditionalFormatting sqref="D228">
    <cfRule type="cellIs" priority="655" operator="lessThan" aboveAverage="0" equalAverage="0" bottom="0" percent="0" rank="0" text="" dxfId="10">
      <formula>18</formula>
    </cfRule>
  </conditionalFormatting>
  <conditionalFormatting sqref="B229">
    <cfRule type="cellIs" priority="656" operator="greaterThan" aboveAverage="0" equalAverage="0" bottom="0" percent="0" rank="0" text="" dxfId="8">
      <formula>0</formula>
    </cfRule>
    <cfRule type="cellIs" priority="657" operator="lessThan" aboveAverage="0" equalAverage="0" bottom="0" percent="0" rank="0" text="" dxfId="9">
      <formula>MaliyetEsik</formula>
    </cfRule>
  </conditionalFormatting>
  <conditionalFormatting sqref="D229">
    <cfRule type="cellIs" priority="658" operator="lessThan" aboveAverage="0" equalAverage="0" bottom="0" percent="0" rank="0" text="" dxfId="10">
      <formula>18</formula>
    </cfRule>
  </conditionalFormatting>
  <conditionalFormatting sqref="B230">
    <cfRule type="cellIs" priority="659" operator="greaterThan" aboveAverage="0" equalAverage="0" bottom="0" percent="0" rank="0" text="" dxfId="8">
      <formula>0</formula>
    </cfRule>
    <cfRule type="cellIs" priority="660" operator="lessThan" aboveAverage="0" equalAverage="0" bottom="0" percent="0" rank="0" text="" dxfId="9">
      <formula>MaliyetEsik</formula>
    </cfRule>
  </conditionalFormatting>
  <conditionalFormatting sqref="D230">
    <cfRule type="cellIs" priority="661" operator="lessThan" aboveAverage="0" equalAverage="0" bottom="0" percent="0" rank="0" text="" dxfId="10">
      <formula>18</formula>
    </cfRule>
  </conditionalFormatting>
  <conditionalFormatting sqref="B231">
    <cfRule type="cellIs" priority="662" operator="greaterThan" aboveAverage="0" equalAverage="0" bottom="0" percent="0" rank="0" text="" dxfId="8">
      <formula>0</formula>
    </cfRule>
    <cfRule type="cellIs" priority="663" operator="lessThan" aboveAverage="0" equalAverage="0" bottom="0" percent="0" rank="0" text="" dxfId="9">
      <formula>MaliyetEsik</formula>
    </cfRule>
  </conditionalFormatting>
  <conditionalFormatting sqref="D231">
    <cfRule type="cellIs" priority="664" operator="lessThan" aboveAverage="0" equalAverage="0" bottom="0" percent="0" rank="0" text="" dxfId="10">
      <formula>18</formula>
    </cfRule>
  </conditionalFormatting>
  <conditionalFormatting sqref="B232">
    <cfRule type="cellIs" priority="665" operator="greaterThan" aboveAverage="0" equalAverage="0" bottom="0" percent="0" rank="0" text="" dxfId="8">
      <formula>0</formula>
    </cfRule>
    <cfRule type="cellIs" priority="666" operator="lessThan" aboveAverage="0" equalAverage="0" bottom="0" percent="0" rank="0" text="" dxfId="9">
      <formula>MaliyetEsik</formula>
    </cfRule>
  </conditionalFormatting>
  <conditionalFormatting sqref="D232">
    <cfRule type="cellIs" priority="667" operator="lessThan" aboveAverage="0" equalAverage="0" bottom="0" percent="0" rank="0" text="" dxfId="10">
      <formula>18</formula>
    </cfRule>
  </conditionalFormatting>
  <conditionalFormatting sqref="B233">
    <cfRule type="cellIs" priority="668" operator="greaterThan" aboveAverage="0" equalAverage="0" bottom="0" percent="0" rank="0" text="" dxfId="8">
      <formula>0</formula>
    </cfRule>
    <cfRule type="cellIs" priority="669" operator="lessThan" aboveAverage="0" equalAverage="0" bottom="0" percent="0" rank="0" text="" dxfId="9">
      <formula>MaliyetEsik</formula>
    </cfRule>
  </conditionalFormatting>
  <conditionalFormatting sqref="D233">
    <cfRule type="cellIs" priority="670" operator="lessThan" aboveAverage="0" equalAverage="0" bottom="0" percent="0" rank="0" text="" dxfId="10">
      <formula>18</formula>
    </cfRule>
  </conditionalFormatting>
  <conditionalFormatting sqref="B234">
    <cfRule type="cellIs" priority="671" operator="greaterThan" aboveAverage="0" equalAverage="0" bottom="0" percent="0" rank="0" text="" dxfId="8">
      <formula>0</formula>
    </cfRule>
    <cfRule type="cellIs" priority="672" operator="lessThan" aboveAverage="0" equalAverage="0" bottom="0" percent="0" rank="0" text="" dxfId="9">
      <formula>MaliyetEsik</formula>
    </cfRule>
  </conditionalFormatting>
  <conditionalFormatting sqref="D234">
    <cfRule type="cellIs" priority="673" operator="lessThan" aboveAverage="0" equalAverage="0" bottom="0" percent="0" rank="0" text="" dxfId="10">
      <formula>18</formula>
    </cfRule>
  </conditionalFormatting>
  <conditionalFormatting sqref="B235">
    <cfRule type="cellIs" priority="674" operator="greaterThan" aboveAverage="0" equalAverage="0" bottom="0" percent="0" rank="0" text="" dxfId="8">
      <formula>0</formula>
    </cfRule>
    <cfRule type="cellIs" priority="675" operator="lessThan" aboveAverage="0" equalAverage="0" bottom="0" percent="0" rank="0" text="" dxfId="9">
      <formula>MaliyetEsik</formula>
    </cfRule>
  </conditionalFormatting>
  <conditionalFormatting sqref="D235">
    <cfRule type="cellIs" priority="676" operator="lessThan" aboveAverage="0" equalAverage="0" bottom="0" percent="0" rank="0" text="" dxfId="10">
      <formula>18</formula>
    </cfRule>
  </conditionalFormatting>
  <conditionalFormatting sqref="B236">
    <cfRule type="cellIs" priority="677" operator="greaterThan" aboveAverage="0" equalAverage="0" bottom="0" percent="0" rank="0" text="" dxfId="8">
      <formula>0</formula>
    </cfRule>
    <cfRule type="cellIs" priority="678" operator="lessThan" aboveAverage="0" equalAverage="0" bottom="0" percent="0" rank="0" text="" dxfId="9">
      <formula>MaliyetEsik</formula>
    </cfRule>
  </conditionalFormatting>
  <conditionalFormatting sqref="D236">
    <cfRule type="cellIs" priority="679" operator="lessThan" aboveAverage="0" equalAverage="0" bottom="0" percent="0" rank="0" text="" dxfId="10">
      <formula>18</formula>
    </cfRule>
  </conditionalFormatting>
  <conditionalFormatting sqref="B237">
    <cfRule type="cellIs" priority="680" operator="greaterThan" aboveAverage="0" equalAverage="0" bottom="0" percent="0" rank="0" text="" dxfId="8">
      <formula>0</formula>
    </cfRule>
    <cfRule type="cellIs" priority="681" operator="lessThan" aboveAverage="0" equalAverage="0" bottom="0" percent="0" rank="0" text="" dxfId="9">
      <formula>MaliyetEsik</formula>
    </cfRule>
  </conditionalFormatting>
  <conditionalFormatting sqref="D237">
    <cfRule type="cellIs" priority="682" operator="lessThan" aboveAverage="0" equalAverage="0" bottom="0" percent="0" rank="0" text="" dxfId="10">
      <formula>18</formula>
    </cfRule>
  </conditionalFormatting>
  <conditionalFormatting sqref="B238">
    <cfRule type="cellIs" priority="683" operator="greaterThan" aboveAverage="0" equalAverage="0" bottom="0" percent="0" rank="0" text="" dxfId="8">
      <formula>0</formula>
    </cfRule>
    <cfRule type="cellIs" priority="684" operator="lessThan" aboveAverage="0" equalAverage="0" bottom="0" percent="0" rank="0" text="" dxfId="9">
      <formula>MaliyetEsik</formula>
    </cfRule>
  </conditionalFormatting>
  <conditionalFormatting sqref="D238">
    <cfRule type="cellIs" priority="685" operator="lessThan" aboveAverage="0" equalAverage="0" bottom="0" percent="0" rank="0" text="" dxfId="10">
      <formula>18</formula>
    </cfRule>
  </conditionalFormatting>
  <conditionalFormatting sqref="B239">
    <cfRule type="cellIs" priority="686" operator="greaterThan" aboveAverage="0" equalAverage="0" bottom="0" percent="0" rank="0" text="" dxfId="8">
      <formula>0</formula>
    </cfRule>
    <cfRule type="cellIs" priority="687" operator="lessThan" aboveAverage="0" equalAverage="0" bottom="0" percent="0" rank="0" text="" dxfId="9">
      <formula>MaliyetEsik</formula>
    </cfRule>
  </conditionalFormatting>
  <conditionalFormatting sqref="D239">
    <cfRule type="cellIs" priority="688" operator="lessThan" aboveAverage="0" equalAverage="0" bottom="0" percent="0" rank="0" text="" dxfId="10">
      <formula>18</formula>
    </cfRule>
  </conditionalFormatting>
  <conditionalFormatting sqref="B240">
    <cfRule type="cellIs" priority="689" operator="greaterThan" aboveAverage="0" equalAverage="0" bottom="0" percent="0" rank="0" text="" dxfId="8">
      <formula>0</formula>
    </cfRule>
    <cfRule type="cellIs" priority="690" operator="lessThan" aboveAverage="0" equalAverage="0" bottom="0" percent="0" rank="0" text="" dxfId="9">
      <formula>MaliyetEsik</formula>
    </cfRule>
  </conditionalFormatting>
  <conditionalFormatting sqref="D240">
    <cfRule type="cellIs" priority="691" operator="lessThan" aboveAverage="0" equalAverage="0" bottom="0" percent="0" rank="0" text="" dxfId="10">
      <formula>18</formula>
    </cfRule>
  </conditionalFormatting>
  <conditionalFormatting sqref="B241">
    <cfRule type="cellIs" priority="692" operator="greaterThan" aboveAverage="0" equalAverage="0" bottom="0" percent="0" rank="0" text="" dxfId="8">
      <formula>0</formula>
    </cfRule>
    <cfRule type="cellIs" priority="693" operator="lessThan" aboveAverage="0" equalAverage="0" bottom="0" percent="0" rank="0" text="" dxfId="9">
      <formula>MaliyetEsik</formula>
    </cfRule>
  </conditionalFormatting>
  <conditionalFormatting sqref="D241">
    <cfRule type="cellIs" priority="694" operator="lessThan" aboveAverage="0" equalAverage="0" bottom="0" percent="0" rank="0" text="" dxfId="10">
      <formula>18</formula>
    </cfRule>
  </conditionalFormatting>
  <conditionalFormatting sqref="B242">
    <cfRule type="cellIs" priority="695" operator="greaterThan" aboveAverage="0" equalAverage="0" bottom="0" percent="0" rank="0" text="" dxfId="8">
      <formula>0</formula>
    </cfRule>
    <cfRule type="cellIs" priority="696" operator="lessThan" aboveAverage="0" equalAverage="0" bottom="0" percent="0" rank="0" text="" dxfId="9">
      <formula>MaliyetEsik</formula>
    </cfRule>
  </conditionalFormatting>
  <conditionalFormatting sqref="D242">
    <cfRule type="cellIs" priority="697" operator="lessThan" aboveAverage="0" equalAverage="0" bottom="0" percent="0" rank="0" text="" dxfId="10">
      <formula>18</formula>
    </cfRule>
  </conditionalFormatting>
  <conditionalFormatting sqref="B243">
    <cfRule type="cellIs" priority="698" operator="greaterThan" aboveAverage="0" equalAverage="0" bottom="0" percent="0" rank="0" text="" dxfId="8">
      <formula>0</formula>
    </cfRule>
    <cfRule type="cellIs" priority="699" operator="lessThan" aboveAverage="0" equalAverage="0" bottom="0" percent="0" rank="0" text="" dxfId="9">
      <formula>MaliyetEsik</formula>
    </cfRule>
  </conditionalFormatting>
  <conditionalFormatting sqref="D243">
    <cfRule type="cellIs" priority="700" operator="lessThan" aboveAverage="0" equalAverage="0" bottom="0" percent="0" rank="0" text="" dxfId="10">
      <formula>18</formula>
    </cfRule>
  </conditionalFormatting>
  <conditionalFormatting sqref="B244">
    <cfRule type="cellIs" priority="701" operator="greaterThan" aboveAverage="0" equalAverage="0" bottom="0" percent="0" rank="0" text="" dxfId="8">
      <formula>0</formula>
    </cfRule>
    <cfRule type="cellIs" priority="702" operator="lessThan" aboveAverage="0" equalAverage="0" bottom="0" percent="0" rank="0" text="" dxfId="9">
      <formula>MaliyetEsik</formula>
    </cfRule>
  </conditionalFormatting>
  <conditionalFormatting sqref="D244">
    <cfRule type="cellIs" priority="703" operator="lessThan" aboveAverage="0" equalAverage="0" bottom="0" percent="0" rank="0" text="" dxfId="10">
      <formula>18</formula>
    </cfRule>
  </conditionalFormatting>
  <conditionalFormatting sqref="B245">
    <cfRule type="cellIs" priority="704" operator="greaterThan" aboveAverage="0" equalAverage="0" bottom="0" percent="0" rank="0" text="" dxfId="8">
      <formula>0</formula>
    </cfRule>
    <cfRule type="cellIs" priority="705" operator="lessThan" aboveAverage="0" equalAverage="0" bottom="0" percent="0" rank="0" text="" dxfId="9">
      <formula>MaliyetEsik</formula>
    </cfRule>
  </conditionalFormatting>
  <conditionalFormatting sqref="D245">
    <cfRule type="cellIs" priority="706" operator="lessThan" aboveAverage="0" equalAverage="0" bottom="0" percent="0" rank="0" text="" dxfId="10">
      <formula>18</formula>
    </cfRule>
  </conditionalFormatting>
  <conditionalFormatting sqref="B246">
    <cfRule type="cellIs" priority="707" operator="greaterThan" aboveAverage="0" equalAverage="0" bottom="0" percent="0" rank="0" text="" dxfId="8">
      <formula>0</formula>
    </cfRule>
    <cfRule type="cellIs" priority="708" operator="lessThan" aboveAverage="0" equalAverage="0" bottom="0" percent="0" rank="0" text="" dxfId="9">
      <formula>MaliyetEsik</formula>
    </cfRule>
  </conditionalFormatting>
  <conditionalFormatting sqref="D246">
    <cfRule type="cellIs" priority="709" operator="lessThan" aboveAverage="0" equalAverage="0" bottom="0" percent="0" rank="0" text="" dxfId="10">
      <formula>18</formula>
    </cfRule>
  </conditionalFormatting>
  <conditionalFormatting sqref="B247">
    <cfRule type="cellIs" priority="710" operator="greaterThan" aboveAverage="0" equalAverage="0" bottom="0" percent="0" rank="0" text="" dxfId="8">
      <formula>0</formula>
    </cfRule>
    <cfRule type="cellIs" priority="711" operator="lessThan" aboveAverage="0" equalAverage="0" bottom="0" percent="0" rank="0" text="" dxfId="9">
      <formula>MaliyetEsik</formula>
    </cfRule>
  </conditionalFormatting>
  <conditionalFormatting sqref="D247">
    <cfRule type="cellIs" priority="712" operator="lessThan" aboveAverage="0" equalAverage="0" bottom="0" percent="0" rank="0" text="" dxfId="10">
      <formula>18</formula>
    </cfRule>
  </conditionalFormatting>
  <conditionalFormatting sqref="B248">
    <cfRule type="cellIs" priority="713" operator="greaterThan" aboveAverage="0" equalAverage="0" bottom="0" percent="0" rank="0" text="" dxfId="8">
      <formula>0</formula>
    </cfRule>
    <cfRule type="cellIs" priority="714" operator="lessThan" aboveAverage="0" equalAverage="0" bottom="0" percent="0" rank="0" text="" dxfId="9">
      <formula>MaliyetEsik</formula>
    </cfRule>
  </conditionalFormatting>
  <conditionalFormatting sqref="D248">
    <cfRule type="cellIs" priority="715" operator="lessThan" aboveAverage="0" equalAverage="0" bottom="0" percent="0" rank="0" text="" dxfId="10">
      <formula>18</formula>
    </cfRule>
  </conditionalFormatting>
  <conditionalFormatting sqref="B249">
    <cfRule type="cellIs" priority="716" operator="greaterThan" aboveAverage="0" equalAverage="0" bottom="0" percent="0" rank="0" text="" dxfId="8">
      <formula>0</formula>
    </cfRule>
    <cfRule type="cellIs" priority="717" operator="lessThan" aboveAverage="0" equalAverage="0" bottom="0" percent="0" rank="0" text="" dxfId="9">
      <formula>MaliyetEsik</formula>
    </cfRule>
  </conditionalFormatting>
  <conditionalFormatting sqref="D249">
    <cfRule type="cellIs" priority="718" operator="lessThan" aboveAverage="0" equalAverage="0" bottom="0" percent="0" rank="0" text="" dxfId="10">
      <formula>18</formula>
    </cfRule>
  </conditionalFormatting>
  <conditionalFormatting sqref="B250">
    <cfRule type="cellIs" priority="719" operator="greaterThan" aboveAverage="0" equalAverage="0" bottom="0" percent="0" rank="0" text="" dxfId="8">
      <formula>0</formula>
    </cfRule>
    <cfRule type="cellIs" priority="720" operator="lessThan" aboveAverage="0" equalAverage="0" bottom="0" percent="0" rank="0" text="" dxfId="9">
      <formula>MaliyetEsik</formula>
    </cfRule>
  </conditionalFormatting>
  <conditionalFormatting sqref="D250">
    <cfRule type="cellIs" priority="721" operator="lessThan" aboveAverage="0" equalAverage="0" bottom="0" percent="0" rank="0" text="" dxfId="10">
      <formula>18</formula>
    </cfRule>
  </conditionalFormatting>
  <conditionalFormatting sqref="B251">
    <cfRule type="cellIs" priority="722" operator="greaterThan" aboveAverage="0" equalAverage="0" bottom="0" percent="0" rank="0" text="" dxfId="8">
      <formula>0</formula>
    </cfRule>
    <cfRule type="cellIs" priority="723" operator="lessThan" aboveAverage="0" equalAverage="0" bottom="0" percent="0" rank="0" text="" dxfId="9">
      <formula>MaliyetEsik</formula>
    </cfRule>
  </conditionalFormatting>
  <conditionalFormatting sqref="D251">
    <cfRule type="cellIs" priority="724" operator="lessThan" aboveAverage="0" equalAverage="0" bottom="0" percent="0" rank="0" text="" dxfId="10">
      <formula>18</formula>
    </cfRule>
  </conditionalFormatting>
  <conditionalFormatting sqref="B252">
    <cfRule type="cellIs" priority="725" operator="greaterThan" aboveAverage="0" equalAverage="0" bottom="0" percent="0" rank="0" text="" dxfId="8">
      <formula>0</formula>
    </cfRule>
    <cfRule type="cellIs" priority="726" operator="lessThan" aboveAverage="0" equalAverage="0" bottom="0" percent="0" rank="0" text="" dxfId="9">
      <formula>MaliyetEsik</formula>
    </cfRule>
  </conditionalFormatting>
  <conditionalFormatting sqref="D252">
    <cfRule type="cellIs" priority="727" operator="lessThan" aboveAverage="0" equalAverage="0" bottom="0" percent="0" rank="0" text="" dxfId="10">
      <formula>18</formula>
    </cfRule>
  </conditionalFormatting>
  <conditionalFormatting sqref="B253">
    <cfRule type="cellIs" priority="728" operator="greaterThan" aboveAverage="0" equalAverage="0" bottom="0" percent="0" rank="0" text="" dxfId="8">
      <formula>0</formula>
    </cfRule>
    <cfRule type="cellIs" priority="729" operator="lessThan" aboveAverage="0" equalAverage="0" bottom="0" percent="0" rank="0" text="" dxfId="9">
      <formula>MaliyetEsik</formula>
    </cfRule>
  </conditionalFormatting>
  <conditionalFormatting sqref="D253">
    <cfRule type="cellIs" priority="730" operator="lessThan" aboveAverage="0" equalAverage="0" bottom="0" percent="0" rank="0" text="" dxfId="10">
      <formula>18</formula>
    </cfRule>
  </conditionalFormatting>
  <conditionalFormatting sqref="B254">
    <cfRule type="cellIs" priority="731" operator="greaterThan" aboveAverage="0" equalAverage="0" bottom="0" percent="0" rank="0" text="" dxfId="8">
      <formula>0</formula>
    </cfRule>
    <cfRule type="cellIs" priority="732" operator="lessThan" aboveAverage="0" equalAverage="0" bottom="0" percent="0" rank="0" text="" dxfId="9">
      <formula>MaliyetEsik</formula>
    </cfRule>
  </conditionalFormatting>
  <conditionalFormatting sqref="D254">
    <cfRule type="cellIs" priority="733" operator="lessThan" aboveAverage="0" equalAverage="0" bottom="0" percent="0" rank="0" text="" dxfId="10">
      <formula>18</formula>
    </cfRule>
  </conditionalFormatting>
  <conditionalFormatting sqref="B255">
    <cfRule type="cellIs" priority="734" operator="greaterThan" aboveAverage="0" equalAverage="0" bottom="0" percent="0" rank="0" text="" dxfId="8">
      <formula>0</formula>
    </cfRule>
    <cfRule type="cellIs" priority="735" operator="lessThan" aboveAverage="0" equalAverage="0" bottom="0" percent="0" rank="0" text="" dxfId="9">
      <formula>MaliyetEsik</formula>
    </cfRule>
  </conditionalFormatting>
  <conditionalFormatting sqref="D255">
    <cfRule type="cellIs" priority="736" operator="lessThan" aboveAverage="0" equalAverage="0" bottom="0" percent="0" rank="0" text="" dxfId="10">
      <formula>18</formula>
    </cfRule>
  </conditionalFormatting>
  <conditionalFormatting sqref="B256">
    <cfRule type="cellIs" priority="737" operator="greaterThan" aboveAverage="0" equalAverage="0" bottom="0" percent="0" rank="0" text="" dxfId="8">
      <formula>0</formula>
    </cfRule>
    <cfRule type="cellIs" priority="738" operator="lessThan" aboveAverage="0" equalAverage="0" bottom="0" percent="0" rank="0" text="" dxfId="9">
      <formula>MaliyetEsik</formula>
    </cfRule>
  </conditionalFormatting>
  <conditionalFormatting sqref="D256">
    <cfRule type="cellIs" priority="739" operator="lessThan" aboveAverage="0" equalAverage="0" bottom="0" percent="0" rank="0" text="" dxfId="10">
      <formula>18</formula>
    </cfRule>
  </conditionalFormatting>
  <conditionalFormatting sqref="B257">
    <cfRule type="cellIs" priority="740" operator="greaterThan" aboveAverage="0" equalAverage="0" bottom="0" percent="0" rank="0" text="" dxfId="8">
      <formula>0</formula>
    </cfRule>
    <cfRule type="cellIs" priority="741" operator="lessThan" aboveAverage="0" equalAverage="0" bottom="0" percent="0" rank="0" text="" dxfId="9">
      <formula>MaliyetEsik</formula>
    </cfRule>
  </conditionalFormatting>
  <conditionalFormatting sqref="D257">
    <cfRule type="cellIs" priority="742" operator="lessThan" aboveAverage="0" equalAverage="0" bottom="0" percent="0" rank="0" text="" dxfId="10">
      <formula>18</formula>
    </cfRule>
  </conditionalFormatting>
  <conditionalFormatting sqref="B258">
    <cfRule type="cellIs" priority="743" operator="greaterThan" aboveAverage="0" equalAverage="0" bottom="0" percent="0" rank="0" text="" dxfId="8">
      <formula>0</formula>
    </cfRule>
    <cfRule type="cellIs" priority="744" operator="lessThan" aboveAverage="0" equalAverage="0" bottom="0" percent="0" rank="0" text="" dxfId="9">
      <formula>MaliyetEsik</formula>
    </cfRule>
  </conditionalFormatting>
  <conditionalFormatting sqref="D258">
    <cfRule type="cellIs" priority="745" operator="lessThan" aboveAverage="0" equalAverage="0" bottom="0" percent="0" rank="0" text="" dxfId="10">
      <formula>18</formula>
    </cfRule>
  </conditionalFormatting>
  <conditionalFormatting sqref="B259">
    <cfRule type="cellIs" priority="746" operator="greaterThan" aboveAverage="0" equalAverage="0" bottom="0" percent="0" rank="0" text="" dxfId="8">
      <formula>0</formula>
    </cfRule>
    <cfRule type="cellIs" priority="747" operator="lessThan" aboveAverage="0" equalAverage="0" bottom="0" percent="0" rank="0" text="" dxfId="9">
      <formula>MaliyetEsik</formula>
    </cfRule>
  </conditionalFormatting>
  <conditionalFormatting sqref="D259">
    <cfRule type="cellIs" priority="748" operator="lessThan" aboveAverage="0" equalAverage="0" bottom="0" percent="0" rank="0" text="" dxfId="10">
      <formula>18</formula>
    </cfRule>
  </conditionalFormatting>
  <conditionalFormatting sqref="B260">
    <cfRule type="cellIs" priority="749" operator="greaterThan" aboveAverage="0" equalAverage="0" bottom="0" percent="0" rank="0" text="" dxfId="8">
      <formula>0</formula>
    </cfRule>
    <cfRule type="cellIs" priority="750" operator="lessThan" aboveAverage="0" equalAverage="0" bottom="0" percent="0" rank="0" text="" dxfId="9">
      <formula>MaliyetEsik</formula>
    </cfRule>
  </conditionalFormatting>
  <conditionalFormatting sqref="D260">
    <cfRule type="cellIs" priority="751" operator="lessThan" aboveAverage="0" equalAverage="0" bottom="0" percent="0" rank="0" text="" dxfId="10">
      <formula>18</formula>
    </cfRule>
  </conditionalFormatting>
  <conditionalFormatting sqref="B261">
    <cfRule type="cellIs" priority="752" operator="greaterThan" aboveAverage="0" equalAverage="0" bottom="0" percent="0" rank="0" text="" dxfId="8">
      <formula>0</formula>
    </cfRule>
    <cfRule type="cellIs" priority="753" operator="lessThan" aboveAverage="0" equalAverage="0" bottom="0" percent="0" rank="0" text="" dxfId="9">
      <formula>MaliyetEsik</formula>
    </cfRule>
  </conditionalFormatting>
  <conditionalFormatting sqref="D261">
    <cfRule type="cellIs" priority="754" operator="lessThan" aboveAverage="0" equalAverage="0" bottom="0" percent="0" rank="0" text="" dxfId="10">
      <formula>18</formula>
    </cfRule>
  </conditionalFormatting>
  <conditionalFormatting sqref="B262">
    <cfRule type="cellIs" priority="755" operator="greaterThan" aboveAverage="0" equalAverage="0" bottom="0" percent="0" rank="0" text="" dxfId="8">
      <formula>0</formula>
    </cfRule>
    <cfRule type="cellIs" priority="756" operator="lessThan" aboveAverage="0" equalAverage="0" bottom="0" percent="0" rank="0" text="" dxfId="9">
      <formula>MaliyetEsik</formula>
    </cfRule>
  </conditionalFormatting>
  <conditionalFormatting sqref="D262">
    <cfRule type="cellIs" priority="757" operator="lessThan" aboveAverage="0" equalAverage="0" bottom="0" percent="0" rank="0" text="" dxfId="10">
      <formula>18</formula>
    </cfRule>
  </conditionalFormatting>
  <conditionalFormatting sqref="B263">
    <cfRule type="cellIs" priority="758" operator="greaterThan" aboveAverage="0" equalAverage="0" bottom="0" percent="0" rank="0" text="" dxfId="8">
      <formula>0</formula>
    </cfRule>
    <cfRule type="cellIs" priority="759" operator="lessThan" aboveAverage="0" equalAverage="0" bottom="0" percent="0" rank="0" text="" dxfId="9">
      <formula>MaliyetEsik</formula>
    </cfRule>
  </conditionalFormatting>
  <conditionalFormatting sqref="D263">
    <cfRule type="cellIs" priority="760" operator="lessThan" aboveAverage="0" equalAverage="0" bottom="0" percent="0" rank="0" text="" dxfId="10">
      <formula>18</formula>
    </cfRule>
  </conditionalFormatting>
  <conditionalFormatting sqref="B264">
    <cfRule type="cellIs" priority="761" operator="greaterThan" aboveAverage="0" equalAverage="0" bottom="0" percent="0" rank="0" text="" dxfId="8">
      <formula>0</formula>
    </cfRule>
    <cfRule type="cellIs" priority="762" operator="lessThan" aboveAverage="0" equalAverage="0" bottom="0" percent="0" rank="0" text="" dxfId="9">
      <formula>MaliyetEsik</formula>
    </cfRule>
  </conditionalFormatting>
  <conditionalFormatting sqref="D264">
    <cfRule type="cellIs" priority="763" operator="lessThan" aboveAverage="0" equalAverage="0" bottom="0" percent="0" rank="0" text="" dxfId="10">
      <formula>18</formula>
    </cfRule>
  </conditionalFormatting>
  <conditionalFormatting sqref="B265">
    <cfRule type="cellIs" priority="764" operator="greaterThan" aboveAverage="0" equalAverage="0" bottom="0" percent="0" rank="0" text="" dxfId="8">
      <formula>0</formula>
    </cfRule>
    <cfRule type="cellIs" priority="765" operator="lessThan" aboveAverage="0" equalAverage="0" bottom="0" percent="0" rank="0" text="" dxfId="9">
      <formula>MaliyetEsik</formula>
    </cfRule>
  </conditionalFormatting>
  <conditionalFormatting sqref="D265">
    <cfRule type="cellIs" priority="766" operator="lessThan" aboveAverage="0" equalAverage="0" bottom="0" percent="0" rank="0" text="" dxfId="10">
      <formula>18</formula>
    </cfRule>
  </conditionalFormatting>
  <conditionalFormatting sqref="B266">
    <cfRule type="cellIs" priority="767" operator="greaterThan" aboveAverage="0" equalAverage="0" bottom="0" percent="0" rank="0" text="" dxfId="8">
      <formula>0</formula>
    </cfRule>
    <cfRule type="cellIs" priority="768" operator="lessThan" aboveAverage="0" equalAverage="0" bottom="0" percent="0" rank="0" text="" dxfId="9">
      <formula>MaliyetEsik</formula>
    </cfRule>
  </conditionalFormatting>
  <conditionalFormatting sqref="D266">
    <cfRule type="cellIs" priority="769" operator="lessThan" aboveAverage="0" equalAverage="0" bottom="0" percent="0" rank="0" text="" dxfId="10">
      <formula>18</formula>
    </cfRule>
  </conditionalFormatting>
  <conditionalFormatting sqref="B267">
    <cfRule type="cellIs" priority="770" operator="greaterThan" aboveAverage="0" equalAverage="0" bottom="0" percent="0" rank="0" text="" dxfId="8">
      <formula>0</formula>
    </cfRule>
    <cfRule type="cellIs" priority="771" operator="lessThan" aboveAverage="0" equalAverage="0" bottom="0" percent="0" rank="0" text="" dxfId="9">
      <formula>MaliyetEsik</formula>
    </cfRule>
  </conditionalFormatting>
  <conditionalFormatting sqref="D267">
    <cfRule type="cellIs" priority="772" operator="lessThan" aboveAverage="0" equalAverage="0" bottom="0" percent="0" rank="0" text="" dxfId="10">
      <formula>18</formula>
    </cfRule>
  </conditionalFormatting>
  <conditionalFormatting sqref="B268">
    <cfRule type="cellIs" priority="773" operator="greaterThan" aboveAverage="0" equalAverage="0" bottom="0" percent="0" rank="0" text="" dxfId="8">
      <formula>0</formula>
    </cfRule>
    <cfRule type="cellIs" priority="774" operator="lessThan" aboveAverage="0" equalAverage="0" bottom="0" percent="0" rank="0" text="" dxfId="9">
      <formula>MaliyetEsik</formula>
    </cfRule>
  </conditionalFormatting>
  <conditionalFormatting sqref="D268">
    <cfRule type="cellIs" priority="775" operator="lessThan" aboveAverage="0" equalAverage="0" bottom="0" percent="0" rank="0" text="" dxfId="10">
      <formula>18</formula>
    </cfRule>
  </conditionalFormatting>
  <conditionalFormatting sqref="B269">
    <cfRule type="cellIs" priority="776" operator="greaterThan" aboveAverage="0" equalAverage="0" bottom="0" percent="0" rank="0" text="" dxfId="8">
      <formula>0</formula>
    </cfRule>
    <cfRule type="cellIs" priority="777" operator="lessThan" aboveAverage="0" equalAverage="0" bottom="0" percent="0" rank="0" text="" dxfId="9">
      <formula>MaliyetEsik</formula>
    </cfRule>
  </conditionalFormatting>
  <conditionalFormatting sqref="D269">
    <cfRule type="cellIs" priority="778" operator="lessThan" aboveAverage="0" equalAverage="0" bottom="0" percent="0" rank="0" text="" dxfId="10">
      <formula>18</formula>
    </cfRule>
  </conditionalFormatting>
  <conditionalFormatting sqref="B270">
    <cfRule type="cellIs" priority="779" operator="greaterThan" aboveAverage="0" equalAverage="0" bottom="0" percent="0" rank="0" text="" dxfId="8">
      <formula>0</formula>
    </cfRule>
    <cfRule type="cellIs" priority="780" operator="lessThan" aboveAverage="0" equalAverage="0" bottom="0" percent="0" rank="0" text="" dxfId="9">
      <formula>MaliyetEsik</formula>
    </cfRule>
  </conditionalFormatting>
  <conditionalFormatting sqref="D270">
    <cfRule type="cellIs" priority="781" operator="lessThan" aboveAverage="0" equalAverage="0" bottom="0" percent="0" rank="0" text="" dxfId="10">
      <formula>18</formula>
    </cfRule>
  </conditionalFormatting>
  <conditionalFormatting sqref="B271">
    <cfRule type="cellIs" priority="782" operator="greaterThan" aboveAverage="0" equalAverage="0" bottom="0" percent="0" rank="0" text="" dxfId="8">
      <formula>0</formula>
    </cfRule>
    <cfRule type="cellIs" priority="783" operator="lessThan" aboveAverage="0" equalAverage="0" bottom="0" percent="0" rank="0" text="" dxfId="9">
      <formula>MaliyetEsik</formula>
    </cfRule>
  </conditionalFormatting>
  <conditionalFormatting sqref="D271">
    <cfRule type="cellIs" priority="784" operator="lessThan" aboveAverage="0" equalAverage="0" bottom="0" percent="0" rank="0" text="" dxfId="10">
      <formula>18</formula>
    </cfRule>
  </conditionalFormatting>
  <conditionalFormatting sqref="B272">
    <cfRule type="cellIs" priority="785" operator="greaterThan" aboveAverage="0" equalAverage="0" bottom="0" percent="0" rank="0" text="" dxfId="8">
      <formula>0</formula>
    </cfRule>
    <cfRule type="cellIs" priority="786" operator="lessThan" aboveAverage="0" equalAverage="0" bottom="0" percent="0" rank="0" text="" dxfId="9">
      <formula>MaliyetEsik</formula>
    </cfRule>
  </conditionalFormatting>
  <conditionalFormatting sqref="D272">
    <cfRule type="cellIs" priority="787" operator="lessThan" aboveAverage="0" equalAverage="0" bottom="0" percent="0" rank="0" text="" dxfId="10">
      <formula>18</formula>
    </cfRule>
  </conditionalFormatting>
  <conditionalFormatting sqref="B273">
    <cfRule type="cellIs" priority="788" operator="greaterThan" aboveAverage="0" equalAverage="0" bottom="0" percent="0" rank="0" text="" dxfId="8">
      <formula>0</formula>
    </cfRule>
    <cfRule type="cellIs" priority="789" operator="lessThan" aboveAverage="0" equalAverage="0" bottom="0" percent="0" rank="0" text="" dxfId="9">
      <formula>MaliyetEsik</formula>
    </cfRule>
  </conditionalFormatting>
  <conditionalFormatting sqref="D273">
    <cfRule type="cellIs" priority="790" operator="lessThan" aboveAverage="0" equalAverage="0" bottom="0" percent="0" rank="0" text="" dxfId="10">
      <formula>18</formula>
    </cfRule>
  </conditionalFormatting>
  <conditionalFormatting sqref="B274">
    <cfRule type="cellIs" priority="791" operator="greaterThan" aboveAverage="0" equalAverage="0" bottom="0" percent="0" rank="0" text="" dxfId="8">
      <formula>0</formula>
    </cfRule>
    <cfRule type="cellIs" priority="792" operator="lessThan" aboveAverage="0" equalAverage="0" bottom="0" percent="0" rank="0" text="" dxfId="9">
      <formula>MaliyetEsik</formula>
    </cfRule>
  </conditionalFormatting>
  <conditionalFormatting sqref="D274">
    <cfRule type="cellIs" priority="793" operator="lessThan" aboveAverage="0" equalAverage="0" bottom="0" percent="0" rank="0" text="" dxfId="10">
      <formula>18</formula>
    </cfRule>
  </conditionalFormatting>
  <conditionalFormatting sqref="B275">
    <cfRule type="cellIs" priority="794" operator="greaterThan" aboveAverage="0" equalAverage="0" bottom="0" percent="0" rank="0" text="" dxfId="8">
      <formula>0</formula>
    </cfRule>
    <cfRule type="cellIs" priority="795" operator="lessThan" aboveAverage="0" equalAverage="0" bottom="0" percent="0" rank="0" text="" dxfId="9">
      <formula>MaliyetEsik</formula>
    </cfRule>
  </conditionalFormatting>
  <conditionalFormatting sqref="D275">
    <cfRule type="cellIs" priority="796" operator="lessThan" aboveAverage="0" equalAverage="0" bottom="0" percent="0" rank="0" text="" dxfId="10">
      <formula>18</formula>
    </cfRule>
  </conditionalFormatting>
  <conditionalFormatting sqref="B276">
    <cfRule type="cellIs" priority="797" operator="greaterThan" aboveAverage="0" equalAverage="0" bottom="0" percent="0" rank="0" text="" dxfId="8">
      <formula>0</formula>
    </cfRule>
    <cfRule type="cellIs" priority="798" operator="lessThan" aboveAverage="0" equalAverage="0" bottom="0" percent="0" rank="0" text="" dxfId="9">
      <formula>MaliyetEsik</formula>
    </cfRule>
  </conditionalFormatting>
  <conditionalFormatting sqref="D276">
    <cfRule type="cellIs" priority="799" operator="lessThan" aboveAverage="0" equalAverage="0" bottom="0" percent="0" rank="0" text="" dxfId="10">
      <formula>18</formula>
    </cfRule>
  </conditionalFormatting>
  <conditionalFormatting sqref="B277">
    <cfRule type="cellIs" priority="800" operator="greaterThan" aboveAverage="0" equalAverage="0" bottom="0" percent="0" rank="0" text="" dxfId="8">
      <formula>0</formula>
    </cfRule>
    <cfRule type="cellIs" priority="801" operator="lessThan" aboveAverage="0" equalAverage="0" bottom="0" percent="0" rank="0" text="" dxfId="9">
      <formula>MaliyetEsik</formula>
    </cfRule>
  </conditionalFormatting>
  <conditionalFormatting sqref="D277">
    <cfRule type="cellIs" priority="802" operator="lessThan" aboveAverage="0" equalAverage="0" bottom="0" percent="0" rank="0" text="" dxfId="10">
      <formula>18</formula>
    </cfRule>
  </conditionalFormatting>
  <conditionalFormatting sqref="B278">
    <cfRule type="cellIs" priority="803" operator="greaterThan" aboveAverage="0" equalAverage="0" bottom="0" percent="0" rank="0" text="" dxfId="8">
      <formula>0</formula>
    </cfRule>
    <cfRule type="cellIs" priority="804" operator="lessThan" aboveAverage="0" equalAverage="0" bottom="0" percent="0" rank="0" text="" dxfId="9">
      <formula>MaliyetEsik</formula>
    </cfRule>
  </conditionalFormatting>
  <conditionalFormatting sqref="D278">
    <cfRule type="cellIs" priority="805" operator="lessThan" aboveAverage="0" equalAverage="0" bottom="0" percent="0" rank="0" text="" dxfId="10">
      <formula>18</formula>
    </cfRule>
  </conditionalFormatting>
  <conditionalFormatting sqref="B279">
    <cfRule type="cellIs" priority="806" operator="greaterThan" aboveAverage="0" equalAverage="0" bottom="0" percent="0" rank="0" text="" dxfId="8">
      <formula>0</formula>
    </cfRule>
    <cfRule type="cellIs" priority="807" operator="lessThan" aboveAverage="0" equalAverage="0" bottom="0" percent="0" rank="0" text="" dxfId="9">
      <formula>MaliyetEsik</formula>
    </cfRule>
  </conditionalFormatting>
  <conditionalFormatting sqref="D279">
    <cfRule type="cellIs" priority="808" operator="lessThan" aboveAverage="0" equalAverage="0" bottom="0" percent="0" rank="0" text="" dxfId="10">
      <formula>18</formula>
    </cfRule>
  </conditionalFormatting>
  <conditionalFormatting sqref="B280">
    <cfRule type="cellIs" priority="809" operator="greaterThan" aboveAverage="0" equalAverage="0" bottom="0" percent="0" rank="0" text="" dxfId="8">
      <formula>0</formula>
    </cfRule>
    <cfRule type="cellIs" priority="810" operator="lessThan" aboveAverage="0" equalAverage="0" bottom="0" percent="0" rank="0" text="" dxfId="9">
      <formula>MaliyetEsik</formula>
    </cfRule>
  </conditionalFormatting>
  <conditionalFormatting sqref="D280">
    <cfRule type="cellIs" priority="811" operator="lessThan" aboveAverage="0" equalAverage="0" bottom="0" percent="0" rank="0" text="" dxfId="10">
      <formula>18</formula>
    </cfRule>
  </conditionalFormatting>
  <conditionalFormatting sqref="B281">
    <cfRule type="cellIs" priority="812" operator="greaterThan" aboveAverage="0" equalAverage="0" bottom="0" percent="0" rank="0" text="" dxfId="8">
      <formula>0</formula>
    </cfRule>
    <cfRule type="cellIs" priority="813" operator="lessThan" aboveAverage="0" equalAverage="0" bottom="0" percent="0" rank="0" text="" dxfId="9">
      <formula>MaliyetEsik</formula>
    </cfRule>
  </conditionalFormatting>
  <conditionalFormatting sqref="D281">
    <cfRule type="cellIs" priority="814" operator="lessThan" aboveAverage="0" equalAverage="0" bottom="0" percent="0" rank="0" text="" dxfId="10">
      <formula>18</formula>
    </cfRule>
  </conditionalFormatting>
  <conditionalFormatting sqref="B282">
    <cfRule type="cellIs" priority="815" operator="greaterThan" aboveAverage="0" equalAverage="0" bottom="0" percent="0" rank="0" text="" dxfId="8">
      <formula>0</formula>
    </cfRule>
    <cfRule type="cellIs" priority="816" operator="lessThan" aboveAverage="0" equalAverage="0" bottom="0" percent="0" rank="0" text="" dxfId="9">
      <formula>MaliyetEsik</formula>
    </cfRule>
  </conditionalFormatting>
  <conditionalFormatting sqref="D282">
    <cfRule type="cellIs" priority="817" operator="lessThan" aboveAverage="0" equalAverage="0" bottom="0" percent="0" rank="0" text="" dxfId="10">
      <formula>18</formula>
    </cfRule>
  </conditionalFormatting>
  <conditionalFormatting sqref="B283">
    <cfRule type="cellIs" priority="818" operator="greaterThan" aboveAverage="0" equalAverage="0" bottom="0" percent="0" rank="0" text="" dxfId="8">
      <formula>0</formula>
    </cfRule>
    <cfRule type="cellIs" priority="819" operator="lessThan" aboveAverage="0" equalAverage="0" bottom="0" percent="0" rank="0" text="" dxfId="9">
      <formula>MaliyetEsik</formula>
    </cfRule>
  </conditionalFormatting>
  <conditionalFormatting sqref="D283">
    <cfRule type="cellIs" priority="820" operator="lessThan" aboveAverage="0" equalAverage="0" bottom="0" percent="0" rank="0" text="" dxfId="10">
      <formula>18</formula>
    </cfRule>
  </conditionalFormatting>
  <conditionalFormatting sqref="B284">
    <cfRule type="cellIs" priority="821" operator="greaterThan" aboveAverage="0" equalAverage="0" bottom="0" percent="0" rank="0" text="" dxfId="8">
      <formula>0</formula>
    </cfRule>
    <cfRule type="cellIs" priority="822" operator="lessThan" aboveAverage="0" equalAverage="0" bottom="0" percent="0" rank="0" text="" dxfId="9">
      <formula>MaliyetEsik</formula>
    </cfRule>
  </conditionalFormatting>
  <conditionalFormatting sqref="D284">
    <cfRule type="cellIs" priority="823" operator="lessThan" aboveAverage="0" equalAverage="0" bottom="0" percent="0" rank="0" text="" dxfId="10">
      <formula>18</formula>
    </cfRule>
  </conditionalFormatting>
  <conditionalFormatting sqref="B285">
    <cfRule type="cellIs" priority="824" operator="greaterThan" aboveAverage="0" equalAverage="0" bottom="0" percent="0" rank="0" text="" dxfId="8">
      <formula>0</formula>
    </cfRule>
    <cfRule type="cellIs" priority="825" operator="lessThan" aboveAverage="0" equalAverage="0" bottom="0" percent="0" rank="0" text="" dxfId="9">
      <formula>MaliyetEsik</formula>
    </cfRule>
  </conditionalFormatting>
  <conditionalFormatting sqref="D285">
    <cfRule type="cellIs" priority="826" operator="lessThan" aboveAverage="0" equalAverage="0" bottom="0" percent="0" rank="0" text="" dxfId="10">
      <formula>18</formula>
    </cfRule>
  </conditionalFormatting>
  <conditionalFormatting sqref="B286">
    <cfRule type="cellIs" priority="827" operator="greaterThan" aboveAverage="0" equalAverage="0" bottom="0" percent="0" rank="0" text="" dxfId="8">
      <formula>0</formula>
    </cfRule>
    <cfRule type="cellIs" priority="828" operator="lessThan" aboveAverage="0" equalAverage="0" bottom="0" percent="0" rank="0" text="" dxfId="9">
      <formula>MaliyetEsik</formula>
    </cfRule>
  </conditionalFormatting>
  <conditionalFormatting sqref="D286">
    <cfRule type="cellIs" priority="829" operator="lessThan" aboveAverage="0" equalAverage="0" bottom="0" percent="0" rank="0" text="" dxfId="10">
      <formula>18</formula>
    </cfRule>
  </conditionalFormatting>
  <conditionalFormatting sqref="B287">
    <cfRule type="cellIs" priority="830" operator="greaterThan" aboveAverage="0" equalAverage="0" bottom="0" percent="0" rank="0" text="" dxfId="8">
      <formula>0</formula>
    </cfRule>
    <cfRule type="cellIs" priority="831" operator="lessThan" aboveAverage="0" equalAverage="0" bottom="0" percent="0" rank="0" text="" dxfId="9">
      <formula>MaliyetEsik</formula>
    </cfRule>
  </conditionalFormatting>
  <conditionalFormatting sqref="D287">
    <cfRule type="cellIs" priority="832" operator="lessThan" aboveAverage="0" equalAverage="0" bottom="0" percent="0" rank="0" text="" dxfId="10">
      <formula>18</formula>
    </cfRule>
  </conditionalFormatting>
  <conditionalFormatting sqref="B288">
    <cfRule type="cellIs" priority="833" operator="greaterThan" aboveAverage="0" equalAverage="0" bottom="0" percent="0" rank="0" text="" dxfId="8">
      <formula>0</formula>
    </cfRule>
    <cfRule type="cellIs" priority="834" operator="lessThan" aboveAverage="0" equalAverage="0" bottom="0" percent="0" rank="0" text="" dxfId="9">
      <formula>MaliyetEsik</formula>
    </cfRule>
  </conditionalFormatting>
  <conditionalFormatting sqref="D288">
    <cfRule type="cellIs" priority="835" operator="lessThan" aboveAverage="0" equalAverage="0" bottom="0" percent="0" rank="0" text="" dxfId="10">
      <formula>18</formula>
    </cfRule>
  </conditionalFormatting>
  <conditionalFormatting sqref="B289">
    <cfRule type="cellIs" priority="836" operator="greaterThan" aboveAverage="0" equalAverage="0" bottom="0" percent="0" rank="0" text="" dxfId="8">
      <formula>0</formula>
    </cfRule>
    <cfRule type="cellIs" priority="837" operator="lessThan" aboveAverage="0" equalAverage="0" bottom="0" percent="0" rank="0" text="" dxfId="9">
      <formula>MaliyetEsik</formula>
    </cfRule>
  </conditionalFormatting>
  <conditionalFormatting sqref="D289">
    <cfRule type="cellIs" priority="838" operator="lessThan" aboveAverage="0" equalAverage="0" bottom="0" percent="0" rank="0" text="" dxfId="10">
      <formula>18</formula>
    </cfRule>
  </conditionalFormatting>
  <conditionalFormatting sqref="B290">
    <cfRule type="cellIs" priority="839" operator="greaterThan" aboveAverage="0" equalAverage="0" bottom="0" percent="0" rank="0" text="" dxfId="8">
      <formula>0</formula>
    </cfRule>
    <cfRule type="cellIs" priority="840" operator="lessThan" aboveAverage="0" equalAverage="0" bottom="0" percent="0" rank="0" text="" dxfId="9">
      <formula>MaliyetEsik</formula>
    </cfRule>
  </conditionalFormatting>
  <conditionalFormatting sqref="D290">
    <cfRule type="cellIs" priority="841" operator="lessThan" aboveAverage="0" equalAverage="0" bottom="0" percent="0" rank="0" text="" dxfId="10">
      <formula>18</formula>
    </cfRule>
  </conditionalFormatting>
  <conditionalFormatting sqref="B291">
    <cfRule type="cellIs" priority="842" operator="greaterThan" aboveAverage="0" equalAverage="0" bottom="0" percent="0" rank="0" text="" dxfId="8">
      <formula>0</formula>
    </cfRule>
    <cfRule type="cellIs" priority="843" operator="lessThan" aboveAverage="0" equalAverage="0" bottom="0" percent="0" rank="0" text="" dxfId="9">
      <formula>MaliyetEsik</formula>
    </cfRule>
  </conditionalFormatting>
  <conditionalFormatting sqref="D291">
    <cfRule type="cellIs" priority="844" operator="lessThan" aboveAverage="0" equalAverage="0" bottom="0" percent="0" rank="0" text="" dxfId="10">
      <formula>18</formula>
    </cfRule>
  </conditionalFormatting>
  <conditionalFormatting sqref="B292">
    <cfRule type="cellIs" priority="845" operator="greaterThan" aboveAverage="0" equalAverage="0" bottom="0" percent="0" rank="0" text="" dxfId="8">
      <formula>0</formula>
    </cfRule>
    <cfRule type="cellIs" priority="846" operator="lessThan" aboveAverage="0" equalAverage="0" bottom="0" percent="0" rank="0" text="" dxfId="9">
      <formula>MaliyetEsik</formula>
    </cfRule>
  </conditionalFormatting>
  <conditionalFormatting sqref="D292">
    <cfRule type="cellIs" priority="847" operator="lessThan" aboveAverage="0" equalAverage="0" bottom="0" percent="0" rank="0" text="" dxfId="10">
      <formula>18</formula>
    </cfRule>
  </conditionalFormatting>
  <conditionalFormatting sqref="B293">
    <cfRule type="cellIs" priority="848" operator="greaterThan" aboveAverage="0" equalAverage="0" bottom="0" percent="0" rank="0" text="" dxfId="8">
      <formula>0</formula>
    </cfRule>
    <cfRule type="cellIs" priority="849" operator="lessThan" aboveAverage="0" equalAverage="0" bottom="0" percent="0" rank="0" text="" dxfId="9">
      <formula>MaliyetEsik</formula>
    </cfRule>
  </conditionalFormatting>
  <conditionalFormatting sqref="D293">
    <cfRule type="cellIs" priority="850" operator="lessThan" aboveAverage="0" equalAverage="0" bottom="0" percent="0" rank="0" text="" dxfId="10">
      <formula>18</formula>
    </cfRule>
  </conditionalFormatting>
  <conditionalFormatting sqref="B294">
    <cfRule type="cellIs" priority="851" operator="greaterThan" aboveAverage="0" equalAverage="0" bottom="0" percent="0" rank="0" text="" dxfId="8">
      <formula>0</formula>
    </cfRule>
    <cfRule type="cellIs" priority="852" operator="lessThan" aboveAverage="0" equalAverage="0" bottom="0" percent="0" rank="0" text="" dxfId="9">
      <formula>MaliyetEsik</formula>
    </cfRule>
  </conditionalFormatting>
  <conditionalFormatting sqref="D294">
    <cfRule type="cellIs" priority="853" operator="lessThan" aboveAverage="0" equalAverage="0" bottom="0" percent="0" rank="0" text="" dxfId="10">
      <formula>18</formula>
    </cfRule>
  </conditionalFormatting>
  <conditionalFormatting sqref="B295">
    <cfRule type="cellIs" priority="854" operator="greaterThan" aboveAverage="0" equalAverage="0" bottom="0" percent="0" rank="0" text="" dxfId="8">
      <formula>0</formula>
    </cfRule>
    <cfRule type="cellIs" priority="855" operator="lessThan" aboveAverage="0" equalAverage="0" bottom="0" percent="0" rank="0" text="" dxfId="9">
      <formula>MaliyetEsik</formula>
    </cfRule>
  </conditionalFormatting>
  <conditionalFormatting sqref="D295">
    <cfRule type="cellIs" priority="856" operator="lessThan" aboveAverage="0" equalAverage="0" bottom="0" percent="0" rank="0" text="" dxfId="10">
      <formula>18</formula>
    </cfRule>
  </conditionalFormatting>
  <conditionalFormatting sqref="B296">
    <cfRule type="cellIs" priority="857" operator="greaterThan" aboveAverage="0" equalAverage="0" bottom="0" percent="0" rank="0" text="" dxfId="8">
      <formula>0</formula>
    </cfRule>
    <cfRule type="cellIs" priority="858" operator="lessThan" aboveAverage="0" equalAverage="0" bottom="0" percent="0" rank="0" text="" dxfId="9">
      <formula>MaliyetEsik</formula>
    </cfRule>
  </conditionalFormatting>
  <conditionalFormatting sqref="D296">
    <cfRule type="cellIs" priority="859" operator="lessThan" aboveAverage="0" equalAverage="0" bottom="0" percent="0" rank="0" text="" dxfId="10">
      <formula>18</formula>
    </cfRule>
  </conditionalFormatting>
  <conditionalFormatting sqref="B297">
    <cfRule type="cellIs" priority="860" operator="greaterThan" aboveAverage="0" equalAverage="0" bottom="0" percent="0" rank="0" text="" dxfId="8">
      <formula>0</formula>
    </cfRule>
    <cfRule type="cellIs" priority="861" operator="lessThan" aboveAverage="0" equalAverage="0" bottom="0" percent="0" rank="0" text="" dxfId="9">
      <formula>MaliyetEsik</formula>
    </cfRule>
  </conditionalFormatting>
  <conditionalFormatting sqref="D297">
    <cfRule type="cellIs" priority="862" operator="lessThan" aboveAverage="0" equalAverage="0" bottom="0" percent="0" rank="0" text="" dxfId="10">
      <formula>18</formula>
    </cfRule>
  </conditionalFormatting>
  <conditionalFormatting sqref="B298">
    <cfRule type="cellIs" priority="863" operator="greaterThan" aboveAverage="0" equalAverage="0" bottom="0" percent="0" rank="0" text="" dxfId="8">
      <formula>0</formula>
    </cfRule>
    <cfRule type="cellIs" priority="864" operator="lessThan" aboveAverage="0" equalAverage="0" bottom="0" percent="0" rank="0" text="" dxfId="9">
      <formula>MaliyetEsik</formula>
    </cfRule>
  </conditionalFormatting>
  <conditionalFormatting sqref="D298">
    <cfRule type="cellIs" priority="865" operator="lessThan" aboveAverage="0" equalAverage="0" bottom="0" percent="0" rank="0" text="" dxfId="10">
      <formula>18</formula>
    </cfRule>
  </conditionalFormatting>
  <conditionalFormatting sqref="B299">
    <cfRule type="cellIs" priority="866" operator="greaterThan" aboveAverage="0" equalAverage="0" bottom="0" percent="0" rank="0" text="" dxfId="8">
      <formula>0</formula>
    </cfRule>
    <cfRule type="cellIs" priority="867" operator="lessThan" aboveAverage="0" equalAverage="0" bottom="0" percent="0" rank="0" text="" dxfId="9">
      <formula>MaliyetEsik</formula>
    </cfRule>
  </conditionalFormatting>
  <conditionalFormatting sqref="D299">
    <cfRule type="cellIs" priority="868" operator="lessThan" aboveAverage="0" equalAverage="0" bottom="0" percent="0" rank="0" text="" dxfId="10">
      <formula>18</formula>
    </cfRule>
  </conditionalFormatting>
  <conditionalFormatting sqref="B300">
    <cfRule type="cellIs" priority="869" operator="greaterThan" aboveAverage="0" equalAverage="0" bottom="0" percent="0" rank="0" text="" dxfId="8">
      <formula>0</formula>
    </cfRule>
    <cfRule type="cellIs" priority="870" operator="lessThan" aboveAverage="0" equalAverage="0" bottom="0" percent="0" rank="0" text="" dxfId="9">
      <formula>MaliyetEsik</formula>
    </cfRule>
  </conditionalFormatting>
  <conditionalFormatting sqref="D300">
    <cfRule type="cellIs" priority="871" operator="lessThan" aboveAverage="0" equalAverage="0" bottom="0" percent="0" rank="0" text="" dxfId="10">
      <formula>18</formula>
    </cfRule>
  </conditionalFormatting>
  <conditionalFormatting sqref="B301">
    <cfRule type="cellIs" priority="872" operator="greaterThan" aboveAverage="0" equalAverage="0" bottom="0" percent="0" rank="0" text="" dxfId="8">
      <formula>0</formula>
    </cfRule>
    <cfRule type="cellIs" priority="873" operator="lessThan" aboveAverage="0" equalAverage="0" bottom="0" percent="0" rank="0" text="" dxfId="9">
      <formula>MaliyetEsik</formula>
    </cfRule>
  </conditionalFormatting>
  <conditionalFormatting sqref="D301">
    <cfRule type="cellIs" priority="874" operator="lessThan" aboveAverage="0" equalAverage="0" bottom="0" percent="0" rank="0" text="" dxfId="10">
      <formula>18</formula>
    </cfRule>
  </conditionalFormatting>
  <conditionalFormatting sqref="B302">
    <cfRule type="cellIs" priority="875" operator="greaterThan" aboveAverage="0" equalAverage="0" bottom="0" percent="0" rank="0" text="" dxfId="8">
      <formula>0</formula>
    </cfRule>
    <cfRule type="cellIs" priority="876" operator="lessThan" aboveAverage="0" equalAverage="0" bottom="0" percent="0" rank="0" text="" dxfId="9">
      <formula>MaliyetEsik</formula>
    </cfRule>
  </conditionalFormatting>
  <conditionalFormatting sqref="D302">
    <cfRule type="cellIs" priority="877" operator="lessThan" aboveAverage="0" equalAverage="0" bottom="0" percent="0" rank="0" text="" dxfId="10">
      <formula>18</formula>
    </cfRule>
  </conditionalFormatting>
  <conditionalFormatting sqref="B303">
    <cfRule type="cellIs" priority="878" operator="greaterThan" aboveAverage="0" equalAverage="0" bottom="0" percent="0" rank="0" text="" dxfId="8">
      <formula>0</formula>
    </cfRule>
    <cfRule type="cellIs" priority="879" operator="lessThan" aboveAverage="0" equalAverage="0" bottom="0" percent="0" rank="0" text="" dxfId="9">
      <formula>MaliyetEsik</formula>
    </cfRule>
  </conditionalFormatting>
  <conditionalFormatting sqref="D303">
    <cfRule type="cellIs" priority="880" operator="lessThan" aboveAverage="0" equalAverage="0" bottom="0" percent="0" rank="0" text="" dxfId="10">
      <formula>18</formula>
    </cfRule>
  </conditionalFormatting>
  <conditionalFormatting sqref="B304">
    <cfRule type="cellIs" priority="881" operator="greaterThan" aboveAverage="0" equalAverage="0" bottom="0" percent="0" rank="0" text="" dxfId="8">
      <formula>0</formula>
    </cfRule>
    <cfRule type="cellIs" priority="882" operator="lessThan" aboveAverage="0" equalAverage="0" bottom="0" percent="0" rank="0" text="" dxfId="9">
      <formula>MaliyetEsik</formula>
    </cfRule>
  </conditionalFormatting>
  <conditionalFormatting sqref="D304">
    <cfRule type="cellIs" priority="883" operator="lessThan" aboveAverage="0" equalAverage="0" bottom="0" percent="0" rank="0" text="" dxfId="10">
      <formula>18</formula>
    </cfRule>
  </conditionalFormatting>
  <conditionalFormatting sqref="B305">
    <cfRule type="cellIs" priority="884" operator="greaterThan" aboveAverage="0" equalAverage="0" bottom="0" percent="0" rank="0" text="" dxfId="8">
      <formula>0</formula>
    </cfRule>
    <cfRule type="cellIs" priority="885" operator="lessThan" aboveAverage="0" equalAverage="0" bottom="0" percent="0" rank="0" text="" dxfId="9">
      <formula>MaliyetEsik</formula>
    </cfRule>
  </conditionalFormatting>
  <conditionalFormatting sqref="D305">
    <cfRule type="cellIs" priority="886" operator="lessThan" aboveAverage="0" equalAverage="0" bottom="0" percent="0" rank="0" text="" dxfId="10">
      <formula>18</formula>
    </cfRule>
  </conditionalFormatting>
  <conditionalFormatting sqref="B306">
    <cfRule type="cellIs" priority="887" operator="greaterThan" aboveAverage="0" equalAverage="0" bottom="0" percent="0" rank="0" text="" dxfId="8">
      <formula>0</formula>
    </cfRule>
    <cfRule type="cellIs" priority="888" operator="lessThan" aboveAverage="0" equalAverage="0" bottom="0" percent="0" rank="0" text="" dxfId="9">
      <formula>MaliyetEsik</formula>
    </cfRule>
  </conditionalFormatting>
  <conditionalFormatting sqref="D306">
    <cfRule type="cellIs" priority="889" operator="lessThan" aboveAverage="0" equalAverage="0" bottom="0" percent="0" rank="0" text="" dxfId="10">
      <formula>18</formula>
    </cfRule>
  </conditionalFormatting>
  <conditionalFormatting sqref="B307">
    <cfRule type="cellIs" priority="890" operator="greaterThan" aboveAverage="0" equalAverage="0" bottom="0" percent="0" rank="0" text="" dxfId="8">
      <formula>0</formula>
    </cfRule>
    <cfRule type="cellIs" priority="891" operator="lessThan" aboveAverage="0" equalAverage="0" bottom="0" percent="0" rank="0" text="" dxfId="9">
      <formula>MaliyetEsik</formula>
    </cfRule>
  </conditionalFormatting>
  <conditionalFormatting sqref="D307">
    <cfRule type="cellIs" priority="892" operator="lessThan" aboveAverage="0" equalAverage="0" bottom="0" percent="0" rank="0" text="" dxfId="10">
      <formula>18</formula>
    </cfRule>
  </conditionalFormatting>
  <conditionalFormatting sqref="B308">
    <cfRule type="cellIs" priority="893" operator="greaterThan" aboveAverage="0" equalAverage="0" bottom="0" percent="0" rank="0" text="" dxfId="8">
      <formula>0</formula>
    </cfRule>
    <cfRule type="cellIs" priority="894" operator="lessThan" aboveAverage="0" equalAverage="0" bottom="0" percent="0" rank="0" text="" dxfId="9">
      <formula>MaliyetEsik</formula>
    </cfRule>
  </conditionalFormatting>
  <conditionalFormatting sqref="D308">
    <cfRule type="cellIs" priority="895" operator="lessThan" aboveAverage="0" equalAverage="0" bottom="0" percent="0" rank="0" text="" dxfId="10">
      <formula>18</formula>
    </cfRule>
  </conditionalFormatting>
  <conditionalFormatting sqref="B309">
    <cfRule type="cellIs" priority="896" operator="greaterThan" aboveAverage="0" equalAverage="0" bottom="0" percent="0" rank="0" text="" dxfId="8">
      <formula>0</formula>
    </cfRule>
    <cfRule type="cellIs" priority="897" operator="lessThan" aboveAverage="0" equalAverage="0" bottom="0" percent="0" rank="0" text="" dxfId="9">
      <formula>MaliyetEsik</formula>
    </cfRule>
  </conditionalFormatting>
  <conditionalFormatting sqref="D309">
    <cfRule type="cellIs" priority="898" operator="lessThan" aboveAverage="0" equalAverage="0" bottom="0" percent="0" rank="0" text="" dxfId="10">
      <formula>18</formula>
    </cfRule>
  </conditionalFormatting>
  <conditionalFormatting sqref="B310">
    <cfRule type="cellIs" priority="899" operator="greaterThan" aboveAverage="0" equalAverage="0" bottom="0" percent="0" rank="0" text="" dxfId="8">
      <formula>0</formula>
    </cfRule>
    <cfRule type="cellIs" priority="900" operator="lessThan" aboveAverage="0" equalAverage="0" bottom="0" percent="0" rank="0" text="" dxfId="9">
      <formula>MaliyetEsik</formula>
    </cfRule>
  </conditionalFormatting>
  <conditionalFormatting sqref="D310">
    <cfRule type="cellIs" priority="901" operator="lessThan" aboveAverage="0" equalAverage="0" bottom="0" percent="0" rank="0" text="" dxfId="10">
      <formula>18</formula>
    </cfRule>
  </conditionalFormatting>
  <conditionalFormatting sqref="B311">
    <cfRule type="cellIs" priority="902" operator="greaterThan" aboveAverage="0" equalAverage="0" bottom="0" percent="0" rank="0" text="" dxfId="8">
      <formula>0</formula>
    </cfRule>
    <cfRule type="cellIs" priority="903" operator="lessThan" aboveAverage="0" equalAverage="0" bottom="0" percent="0" rank="0" text="" dxfId="9">
      <formula>MaliyetEsik</formula>
    </cfRule>
  </conditionalFormatting>
  <conditionalFormatting sqref="D311">
    <cfRule type="cellIs" priority="904" operator="lessThan" aboveAverage="0" equalAverage="0" bottom="0" percent="0" rank="0" text="" dxfId="10">
      <formula>18</formula>
    </cfRule>
  </conditionalFormatting>
  <conditionalFormatting sqref="B312">
    <cfRule type="cellIs" priority="905" operator="greaterThan" aboveAverage="0" equalAverage="0" bottom="0" percent="0" rank="0" text="" dxfId="8">
      <formula>0</formula>
    </cfRule>
    <cfRule type="cellIs" priority="906" operator="lessThan" aboveAverage="0" equalAverage="0" bottom="0" percent="0" rank="0" text="" dxfId="9">
      <formula>MaliyetEsik</formula>
    </cfRule>
  </conditionalFormatting>
  <conditionalFormatting sqref="D312">
    <cfRule type="cellIs" priority="907" operator="lessThan" aboveAverage="0" equalAverage="0" bottom="0" percent="0" rank="0" text="" dxfId="10">
      <formula>18</formula>
    </cfRule>
  </conditionalFormatting>
  <conditionalFormatting sqref="B313">
    <cfRule type="cellIs" priority="908" operator="greaterThan" aboveAverage="0" equalAverage="0" bottom="0" percent="0" rank="0" text="" dxfId="8">
      <formula>0</formula>
    </cfRule>
    <cfRule type="cellIs" priority="909" operator="lessThan" aboveAverage="0" equalAverage="0" bottom="0" percent="0" rank="0" text="" dxfId="9">
      <formula>MaliyetEsik</formula>
    </cfRule>
  </conditionalFormatting>
  <conditionalFormatting sqref="D313">
    <cfRule type="cellIs" priority="910" operator="lessThan" aboveAverage="0" equalAverage="0" bottom="0" percent="0" rank="0" text="" dxfId="10">
      <formula>18</formula>
    </cfRule>
  </conditionalFormatting>
  <conditionalFormatting sqref="B314">
    <cfRule type="cellIs" priority="911" operator="greaterThan" aboveAverage="0" equalAverage="0" bottom="0" percent="0" rank="0" text="" dxfId="8">
      <formula>0</formula>
    </cfRule>
    <cfRule type="cellIs" priority="912" operator="lessThan" aboveAverage="0" equalAverage="0" bottom="0" percent="0" rank="0" text="" dxfId="9">
      <formula>MaliyetEsik</formula>
    </cfRule>
  </conditionalFormatting>
  <conditionalFormatting sqref="D314">
    <cfRule type="cellIs" priority="913" operator="lessThan" aboveAverage="0" equalAverage="0" bottom="0" percent="0" rank="0" text="" dxfId="10">
      <formula>18</formula>
    </cfRule>
  </conditionalFormatting>
  <conditionalFormatting sqref="B315">
    <cfRule type="cellIs" priority="914" operator="greaterThan" aboveAverage="0" equalAverage="0" bottom="0" percent="0" rank="0" text="" dxfId="8">
      <formula>0</formula>
    </cfRule>
    <cfRule type="cellIs" priority="915" operator="lessThan" aboveAverage="0" equalAverage="0" bottom="0" percent="0" rank="0" text="" dxfId="9">
      <formula>MaliyetEsik</formula>
    </cfRule>
  </conditionalFormatting>
  <conditionalFormatting sqref="D315">
    <cfRule type="cellIs" priority="916" operator="lessThan" aboveAverage="0" equalAverage="0" bottom="0" percent="0" rank="0" text="" dxfId="10">
      <formula>18</formula>
    </cfRule>
  </conditionalFormatting>
  <conditionalFormatting sqref="B316">
    <cfRule type="cellIs" priority="917" operator="greaterThan" aboveAverage="0" equalAverage="0" bottom="0" percent="0" rank="0" text="" dxfId="8">
      <formula>0</formula>
    </cfRule>
    <cfRule type="cellIs" priority="918" operator="lessThan" aboveAverage="0" equalAverage="0" bottom="0" percent="0" rank="0" text="" dxfId="9">
      <formula>MaliyetEsik</formula>
    </cfRule>
  </conditionalFormatting>
  <conditionalFormatting sqref="D316">
    <cfRule type="cellIs" priority="919" operator="lessThan" aboveAverage="0" equalAverage="0" bottom="0" percent="0" rank="0" text="" dxfId="10">
      <formula>18</formula>
    </cfRule>
  </conditionalFormatting>
  <conditionalFormatting sqref="B317">
    <cfRule type="cellIs" priority="920" operator="greaterThan" aboveAverage="0" equalAverage="0" bottom="0" percent="0" rank="0" text="" dxfId="8">
      <formula>0</formula>
    </cfRule>
    <cfRule type="cellIs" priority="921" operator="lessThan" aboveAverage="0" equalAverage="0" bottom="0" percent="0" rank="0" text="" dxfId="9">
      <formula>MaliyetEsik</formula>
    </cfRule>
  </conditionalFormatting>
  <conditionalFormatting sqref="D317">
    <cfRule type="cellIs" priority="922" operator="lessThan" aboveAverage="0" equalAverage="0" bottom="0" percent="0" rank="0" text="" dxfId="10">
      <formula>18</formula>
    </cfRule>
  </conditionalFormatting>
  <conditionalFormatting sqref="B318">
    <cfRule type="cellIs" priority="923" operator="greaterThan" aboveAverage="0" equalAverage="0" bottom="0" percent="0" rank="0" text="" dxfId="8">
      <formula>0</formula>
    </cfRule>
    <cfRule type="cellIs" priority="924" operator="lessThan" aboveAverage="0" equalAverage="0" bottom="0" percent="0" rank="0" text="" dxfId="9">
      <formula>MaliyetEsik</formula>
    </cfRule>
  </conditionalFormatting>
  <conditionalFormatting sqref="D318">
    <cfRule type="cellIs" priority="925" operator="lessThan" aboveAverage="0" equalAverage="0" bottom="0" percent="0" rank="0" text="" dxfId="10">
      <formula>18</formula>
    </cfRule>
  </conditionalFormatting>
  <conditionalFormatting sqref="B319">
    <cfRule type="cellIs" priority="926" operator="greaterThan" aboveAverage="0" equalAverage="0" bottom="0" percent="0" rank="0" text="" dxfId="8">
      <formula>0</formula>
    </cfRule>
    <cfRule type="cellIs" priority="927" operator="lessThan" aboveAverage="0" equalAverage="0" bottom="0" percent="0" rank="0" text="" dxfId="9">
      <formula>MaliyetEsik</formula>
    </cfRule>
  </conditionalFormatting>
  <conditionalFormatting sqref="D319">
    <cfRule type="cellIs" priority="928" operator="lessThan" aboveAverage="0" equalAverage="0" bottom="0" percent="0" rank="0" text="" dxfId="10">
      <formula>18</formula>
    </cfRule>
  </conditionalFormatting>
  <conditionalFormatting sqref="B320">
    <cfRule type="cellIs" priority="929" operator="greaterThan" aboveAverage="0" equalAverage="0" bottom="0" percent="0" rank="0" text="" dxfId="8">
      <formula>0</formula>
    </cfRule>
    <cfRule type="cellIs" priority="930" operator="lessThan" aboveAverage="0" equalAverage="0" bottom="0" percent="0" rank="0" text="" dxfId="9">
      <formula>MaliyetEsik</formula>
    </cfRule>
  </conditionalFormatting>
  <conditionalFormatting sqref="D320">
    <cfRule type="cellIs" priority="931" operator="lessThan" aboveAverage="0" equalAverage="0" bottom="0" percent="0" rank="0" text="" dxfId="10">
      <formula>18</formula>
    </cfRule>
  </conditionalFormatting>
  <conditionalFormatting sqref="B321">
    <cfRule type="cellIs" priority="932" operator="greaterThan" aboveAverage="0" equalAverage="0" bottom="0" percent="0" rank="0" text="" dxfId="8">
      <formula>0</formula>
    </cfRule>
    <cfRule type="cellIs" priority="933" operator="lessThan" aboveAverage="0" equalAverage="0" bottom="0" percent="0" rank="0" text="" dxfId="9">
      <formula>MaliyetEsik</formula>
    </cfRule>
  </conditionalFormatting>
  <conditionalFormatting sqref="D321">
    <cfRule type="cellIs" priority="934" operator="lessThan" aboveAverage="0" equalAverage="0" bottom="0" percent="0" rank="0" text="" dxfId="10">
      <formula>18</formula>
    </cfRule>
  </conditionalFormatting>
  <conditionalFormatting sqref="B322">
    <cfRule type="cellIs" priority="935" operator="greaterThan" aboveAverage="0" equalAverage="0" bottom="0" percent="0" rank="0" text="" dxfId="8">
      <formula>0</formula>
    </cfRule>
    <cfRule type="cellIs" priority="936" operator="lessThan" aboveAverage="0" equalAverage="0" bottom="0" percent="0" rank="0" text="" dxfId="9">
      <formula>MaliyetEsik</formula>
    </cfRule>
  </conditionalFormatting>
  <conditionalFormatting sqref="D322">
    <cfRule type="cellIs" priority="937" operator="lessThan" aboveAverage="0" equalAverage="0" bottom="0" percent="0" rank="0" text="" dxfId="10">
      <formula>18</formula>
    </cfRule>
  </conditionalFormatting>
  <conditionalFormatting sqref="B323">
    <cfRule type="cellIs" priority="938" operator="greaterThan" aboveAverage="0" equalAverage="0" bottom="0" percent="0" rank="0" text="" dxfId="8">
      <formula>0</formula>
    </cfRule>
    <cfRule type="cellIs" priority="939" operator="lessThan" aboveAverage="0" equalAverage="0" bottom="0" percent="0" rank="0" text="" dxfId="9">
      <formula>MaliyetEsik</formula>
    </cfRule>
  </conditionalFormatting>
  <conditionalFormatting sqref="D323">
    <cfRule type="cellIs" priority="940" operator="lessThan" aboveAverage="0" equalAverage="0" bottom="0" percent="0" rank="0" text="" dxfId="10">
      <formula>18</formula>
    </cfRule>
  </conditionalFormatting>
  <conditionalFormatting sqref="B324">
    <cfRule type="cellIs" priority="941" operator="greaterThan" aboveAverage="0" equalAverage="0" bottom="0" percent="0" rank="0" text="" dxfId="8">
      <formula>0</formula>
    </cfRule>
    <cfRule type="cellIs" priority="942" operator="lessThan" aboveAverage="0" equalAverage="0" bottom="0" percent="0" rank="0" text="" dxfId="9">
      <formula>MaliyetEsik</formula>
    </cfRule>
  </conditionalFormatting>
  <conditionalFormatting sqref="D324">
    <cfRule type="cellIs" priority="943" operator="lessThan" aboveAverage="0" equalAverage="0" bottom="0" percent="0" rank="0" text="" dxfId="10">
      <formula>18</formula>
    </cfRule>
  </conditionalFormatting>
  <conditionalFormatting sqref="B325">
    <cfRule type="cellIs" priority="944" operator="greaterThan" aboveAverage="0" equalAverage="0" bottom="0" percent="0" rank="0" text="" dxfId="8">
      <formula>0</formula>
    </cfRule>
    <cfRule type="cellIs" priority="945" operator="lessThan" aboveAverage="0" equalAverage="0" bottom="0" percent="0" rank="0" text="" dxfId="9">
      <formula>MaliyetEsik</formula>
    </cfRule>
  </conditionalFormatting>
  <conditionalFormatting sqref="D325">
    <cfRule type="cellIs" priority="946" operator="lessThan" aboveAverage="0" equalAverage="0" bottom="0" percent="0" rank="0" text="" dxfId="10">
      <formula>18</formula>
    </cfRule>
  </conditionalFormatting>
  <conditionalFormatting sqref="B326">
    <cfRule type="cellIs" priority="947" operator="greaterThan" aboveAverage="0" equalAverage="0" bottom="0" percent="0" rank="0" text="" dxfId="8">
      <formula>0</formula>
    </cfRule>
    <cfRule type="cellIs" priority="948" operator="lessThan" aboveAverage="0" equalAverage="0" bottom="0" percent="0" rank="0" text="" dxfId="9">
      <formula>MaliyetEsik</formula>
    </cfRule>
  </conditionalFormatting>
  <conditionalFormatting sqref="D326">
    <cfRule type="cellIs" priority="949" operator="lessThan" aboveAverage="0" equalAverage="0" bottom="0" percent="0" rank="0" text="" dxfId="10">
      <formula>18</formula>
    </cfRule>
  </conditionalFormatting>
  <conditionalFormatting sqref="B327">
    <cfRule type="cellIs" priority="950" operator="greaterThan" aboveAverage="0" equalAverage="0" bottom="0" percent="0" rank="0" text="" dxfId="8">
      <formula>0</formula>
    </cfRule>
    <cfRule type="cellIs" priority="951" operator="lessThan" aboveAverage="0" equalAverage="0" bottom="0" percent="0" rank="0" text="" dxfId="9">
      <formula>MaliyetEsik</formula>
    </cfRule>
  </conditionalFormatting>
  <conditionalFormatting sqref="D327">
    <cfRule type="cellIs" priority="952" operator="lessThan" aboveAverage="0" equalAverage="0" bottom="0" percent="0" rank="0" text="" dxfId="10">
      <formula>18</formula>
    </cfRule>
  </conditionalFormatting>
  <conditionalFormatting sqref="B328">
    <cfRule type="cellIs" priority="953" operator="greaterThan" aboveAverage="0" equalAverage="0" bottom="0" percent="0" rank="0" text="" dxfId="8">
      <formula>0</formula>
    </cfRule>
    <cfRule type="cellIs" priority="954" operator="lessThan" aboveAverage="0" equalAverage="0" bottom="0" percent="0" rank="0" text="" dxfId="9">
      <formula>MaliyetEsik</formula>
    </cfRule>
  </conditionalFormatting>
  <conditionalFormatting sqref="D328">
    <cfRule type="cellIs" priority="955" operator="lessThan" aboveAverage="0" equalAverage="0" bottom="0" percent="0" rank="0" text="" dxfId="10">
      <formula>18</formula>
    </cfRule>
  </conditionalFormatting>
  <conditionalFormatting sqref="B329">
    <cfRule type="cellIs" priority="956" operator="greaterThan" aboveAverage="0" equalAverage="0" bottom="0" percent="0" rank="0" text="" dxfId="8">
      <formula>0</formula>
    </cfRule>
    <cfRule type="cellIs" priority="957" operator="lessThan" aboveAverage="0" equalAverage="0" bottom="0" percent="0" rank="0" text="" dxfId="9">
      <formula>MaliyetEsik</formula>
    </cfRule>
  </conditionalFormatting>
  <conditionalFormatting sqref="D329">
    <cfRule type="cellIs" priority="958" operator="lessThan" aboveAverage="0" equalAverage="0" bottom="0" percent="0" rank="0" text="" dxfId="10">
      <formula>18</formula>
    </cfRule>
  </conditionalFormatting>
  <conditionalFormatting sqref="B330">
    <cfRule type="cellIs" priority="959" operator="greaterThan" aboveAverage="0" equalAverage="0" bottom="0" percent="0" rank="0" text="" dxfId="8">
      <formula>0</formula>
    </cfRule>
    <cfRule type="cellIs" priority="960" operator="lessThan" aboveAverage="0" equalAverage="0" bottom="0" percent="0" rank="0" text="" dxfId="9">
      <formula>MaliyetEsik</formula>
    </cfRule>
  </conditionalFormatting>
  <conditionalFormatting sqref="D330">
    <cfRule type="cellIs" priority="961" operator="lessThan" aboveAverage="0" equalAverage="0" bottom="0" percent="0" rank="0" text="" dxfId="10">
      <formula>18</formula>
    </cfRule>
  </conditionalFormatting>
  <conditionalFormatting sqref="B331">
    <cfRule type="cellIs" priority="962" operator="greaterThan" aboveAverage="0" equalAverage="0" bottom="0" percent="0" rank="0" text="" dxfId="8">
      <formula>0</formula>
    </cfRule>
    <cfRule type="cellIs" priority="963" operator="lessThan" aboveAverage="0" equalAverage="0" bottom="0" percent="0" rank="0" text="" dxfId="9">
      <formula>MaliyetEsik</formula>
    </cfRule>
  </conditionalFormatting>
  <conditionalFormatting sqref="D331">
    <cfRule type="cellIs" priority="964" operator="lessThan" aboveAverage="0" equalAverage="0" bottom="0" percent="0" rank="0" text="" dxfId="10">
      <formula>18</formula>
    </cfRule>
  </conditionalFormatting>
  <conditionalFormatting sqref="B332">
    <cfRule type="cellIs" priority="965" operator="greaterThan" aboveAverage="0" equalAverage="0" bottom="0" percent="0" rank="0" text="" dxfId="8">
      <formula>0</formula>
    </cfRule>
    <cfRule type="cellIs" priority="966" operator="lessThan" aboveAverage="0" equalAverage="0" bottom="0" percent="0" rank="0" text="" dxfId="9">
      <formula>MaliyetEsik</formula>
    </cfRule>
  </conditionalFormatting>
  <conditionalFormatting sqref="D332">
    <cfRule type="cellIs" priority="967" operator="lessThan" aboveAverage="0" equalAverage="0" bottom="0" percent="0" rank="0" text="" dxfId="10">
      <formula>18</formula>
    </cfRule>
  </conditionalFormatting>
  <conditionalFormatting sqref="B333">
    <cfRule type="cellIs" priority="968" operator="greaterThan" aboveAverage="0" equalAverage="0" bottom="0" percent="0" rank="0" text="" dxfId="8">
      <formula>0</formula>
    </cfRule>
    <cfRule type="cellIs" priority="969" operator="lessThan" aboveAverage="0" equalAverage="0" bottom="0" percent="0" rank="0" text="" dxfId="9">
      <formula>MaliyetEsik</formula>
    </cfRule>
  </conditionalFormatting>
  <conditionalFormatting sqref="D333">
    <cfRule type="cellIs" priority="970" operator="lessThan" aboveAverage="0" equalAverage="0" bottom="0" percent="0" rank="0" text="" dxfId="10">
      <formula>18</formula>
    </cfRule>
  </conditionalFormatting>
  <conditionalFormatting sqref="B334">
    <cfRule type="cellIs" priority="971" operator="greaterThan" aboveAverage="0" equalAverage="0" bottom="0" percent="0" rank="0" text="" dxfId="8">
      <formula>0</formula>
    </cfRule>
    <cfRule type="cellIs" priority="972" operator="lessThan" aboveAverage="0" equalAverage="0" bottom="0" percent="0" rank="0" text="" dxfId="9">
      <formula>MaliyetEsik</formula>
    </cfRule>
  </conditionalFormatting>
  <conditionalFormatting sqref="D334">
    <cfRule type="cellIs" priority="973" operator="lessThan" aboveAverage="0" equalAverage="0" bottom="0" percent="0" rank="0" text="" dxfId="10">
      <formula>18</formula>
    </cfRule>
  </conditionalFormatting>
  <conditionalFormatting sqref="B335">
    <cfRule type="cellIs" priority="974" operator="greaterThan" aboveAverage="0" equalAverage="0" bottom="0" percent="0" rank="0" text="" dxfId="8">
      <formula>0</formula>
    </cfRule>
    <cfRule type="cellIs" priority="975" operator="lessThan" aboveAverage="0" equalAverage="0" bottom="0" percent="0" rank="0" text="" dxfId="9">
      <formula>MaliyetEsik</formula>
    </cfRule>
  </conditionalFormatting>
  <conditionalFormatting sqref="D335">
    <cfRule type="cellIs" priority="976" operator="lessThan" aboveAverage="0" equalAverage="0" bottom="0" percent="0" rank="0" text="" dxfId="10">
      <formula>18</formula>
    </cfRule>
  </conditionalFormatting>
  <conditionalFormatting sqref="B336">
    <cfRule type="cellIs" priority="977" operator="greaterThan" aboveAverage="0" equalAverage="0" bottom="0" percent="0" rank="0" text="" dxfId="8">
      <formula>0</formula>
    </cfRule>
    <cfRule type="cellIs" priority="978" operator="lessThan" aboveAverage="0" equalAverage="0" bottom="0" percent="0" rank="0" text="" dxfId="9">
      <formula>MaliyetEsik</formula>
    </cfRule>
  </conditionalFormatting>
  <conditionalFormatting sqref="D336">
    <cfRule type="cellIs" priority="979" operator="lessThan" aboveAverage="0" equalAverage="0" bottom="0" percent="0" rank="0" text="" dxfId="10">
      <formula>18</formula>
    </cfRule>
  </conditionalFormatting>
  <conditionalFormatting sqref="B337">
    <cfRule type="cellIs" priority="980" operator="greaterThan" aboveAverage="0" equalAverage="0" bottom="0" percent="0" rank="0" text="" dxfId="8">
      <formula>0</formula>
    </cfRule>
    <cfRule type="cellIs" priority="981" operator="lessThan" aboveAverage="0" equalAverage="0" bottom="0" percent="0" rank="0" text="" dxfId="9">
      <formula>MaliyetEsik</formula>
    </cfRule>
  </conditionalFormatting>
  <conditionalFormatting sqref="D337">
    <cfRule type="cellIs" priority="982" operator="lessThan" aboveAverage="0" equalAverage="0" bottom="0" percent="0" rank="0" text="" dxfId="10">
      <formula>18</formula>
    </cfRule>
  </conditionalFormatting>
  <conditionalFormatting sqref="B338">
    <cfRule type="cellIs" priority="983" operator="greaterThan" aboveAverage="0" equalAverage="0" bottom="0" percent="0" rank="0" text="" dxfId="8">
      <formula>0</formula>
    </cfRule>
    <cfRule type="cellIs" priority="984" operator="lessThan" aboveAverage="0" equalAverage="0" bottom="0" percent="0" rank="0" text="" dxfId="9">
      <formula>MaliyetEsik</formula>
    </cfRule>
  </conditionalFormatting>
  <conditionalFormatting sqref="D338">
    <cfRule type="cellIs" priority="985" operator="lessThan" aboveAverage="0" equalAverage="0" bottom="0" percent="0" rank="0" text="" dxfId="10">
      <formula>18</formula>
    </cfRule>
  </conditionalFormatting>
  <conditionalFormatting sqref="B339">
    <cfRule type="cellIs" priority="986" operator="greaterThan" aboveAverage="0" equalAverage="0" bottom="0" percent="0" rank="0" text="" dxfId="8">
      <formula>0</formula>
    </cfRule>
    <cfRule type="cellIs" priority="987" operator="lessThan" aboveAverage="0" equalAverage="0" bottom="0" percent="0" rank="0" text="" dxfId="9">
      <formula>MaliyetEsik</formula>
    </cfRule>
  </conditionalFormatting>
  <conditionalFormatting sqref="D339">
    <cfRule type="cellIs" priority="988" operator="lessThan" aboveAverage="0" equalAverage="0" bottom="0" percent="0" rank="0" text="" dxfId="10">
      <formula>18</formula>
    </cfRule>
  </conditionalFormatting>
  <conditionalFormatting sqref="B340">
    <cfRule type="cellIs" priority="989" operator="greaterThan" aboveAverage="0" equalAverage="0" bottom="0" percent="0" rank="0" text="" dxfId="8">
      <formula>0</formula>
    </cfRule>
    <cfRule type="cellIs" priority="990" operator="lessThan" aboveAverage="0" equalAverage="0" bottom="0" percent="0" rank="0" text="" dxfId="9">
      <formula>MaliyetEsik</formula>
    </cfRule>
  </conditionalFormatting>
  <conditionalFormatting sqref="D340">
    <cfRule type="cellIs" priority="991" operator="lessThan" aboveAverage="0" equalAverage="0" bottom="0" percent="0" rank="0" text="" dxfId="10">
      <formula>18</formula>
    </cfRule>
  </conditionalFormatting>
  <conditionalFormatting sqref="B341">
    <cfRule type="cellIs" priority="992" operator="greaterThan" aboveAverage="0" equalAverage="0" bottom="0" percent="0" rank="0" text="" dxfId="8">
      <formula>0</formula>
    </cfRule>
    <cfRule type="cellIs" priority="993" operator="lessThan" aboveAverage="0" equalAverage="0" bottom="0" percent="0" rank="0" text="" dxfId="9">
      <formula>MaliyetEsik</formula>
    </cfRule>
  </conditionalFormatting>
  <conditionalFormatting sqref="D341">
    <cfRule type="cellIs" priority="994" operator="lessThan" aboveAverage="0" equalAverage="0" bottom="0" percent="0" rank="0" text="" dxfId="10">
      <formula>18</formula>
    </cfRule>
  </conditionalFormatting>
  <conditionalFormatting sqref="B342">
    <cfRule type="cellIs" priority="995" operator="greaterThan" aboveAverage="0" equalAverage="0" bottom="0" percent="0" rank="0" text="" dxfId="8">
      <formula>0</formula>
    </cfRule>
    <cfRule type="cellIs" priority="996" operator="lessThan" aboveAverage="0" equalAverage="0" bottom="0" percent="0" rank="0" text="" dxfId="9">
      <formula>MaliyetEsik</formula>
    </cfRule>
  </conditionalFormatting>
  <conditionalFormatting sqref="D342">
    <cfRule type="cellIs" priority="997" operator="lessThan" aboveAverage="0" equalAverage="0" bottom="0" percent="0" rank="0" text="" dxfId="10">
      <formula>18</formula>
    </cfRule>
  </conditionalFormatting>
  <conditionalFormatting sqref="B343">
    <cfRule type="cellIs" priority="998" operator="greaterThan" aboveAverage="0" equalAverage="0" bottom="0" percent="0" rank="0" text="" dxfId="8">
      <formula>0</formula>
    </cfRule>
    <cfRule type="cellIs" priority="999" operator="lessThan" aboveAverage="0" equalAverage="0" bottom="0" percent="0" rank="0" text="" dxfId="9">
      <formula>MaliyetEsik</formula>
    </cfRule>
  </conditionalFormatting>
  <conditionalFormatting sqref="D343">
    <cfRule type="cellIs" priority="1000" operator="lessThan" aboveAverage="0" equalAverage="0" bottom="0" percent="0" rank="0" text="" dxfId="10">
      <formula>18</formula>
    </cfRule>
  </conditionalFormatting>
  <conditionalFormatting sqref="B344">
    <cfRule type="cellIs" priority="1001" operator="greaterThan" aboveAverage="0" equalAverage="0" bottom="0" percent="0" rank="0" text="" dxfId="8">
      <formula>0</formula>
    </cfRule>
    <cfRule type="cellIs" priority="1002" operator="lessThan" aboveAverage="0" equalAverage="0" bottom="0" percent="0" rank="0" text="" dxfId="9">
      <formula>MaliyetEsik</formula>
    </cfRule>
  </conditionalFormatting>
  <conditionalFormatting sqref="D344">
    <cfRule type="cellIs" priority="1003" operator="lessThan" aboveAverage="0" equalAverage="0" bottom="0" percent="0" rank="0" text="" dxfId="10">
      <formula>18</formula>
    </cfRule>
  </conditionalFormatting>
  <conditionalFormatting sqref="B345">
    <cfRule type="cellIs" priority="1004" operator="greaterThan" aboveAverage="0" equalAverage="0" bottom="0" percent="0" rank="0" text="" dxfId="8">
      <formula>0</formula>
    </cfRule>
    <cfRule type="cellIs" priority="1005" operator="lessThan" aboveAverage="0" equalAverage="0" bottom="0" percent="0" rank="0" text="" dxfId="9">
      <formula>MaliyetEsik</formula>
    </cfRule>
  </conditionalFormatting>
  <conditionalFormatting sqref="D345">
    <cfRule type="cellIs" priority="1006" operator="lessThan" aboveAverage="0" equalAverage="0" bottom="0" percent="0" rank="0" text="" dxfId="10">
      <formula>18</formula>
    </cfRule>
  </conditionalFormatting>
  <conditionalFormatting sqref="B346">
    <cfRule type="cellIs" priority="1007" operator="greaterThan" aboveAverage="0" equalAverage="0" bottom="0" percent="0" rank="0" text="" dxfId="8">
      <formula>0</formula>
    </cfRule>
    <cfRule type="cellIs" priority="1008" operator="lessThan" aboveAverage="0" equalAverage="0" bottom="0" percent="0" rank="0" text="" dxfId="9">
      <formula>MaliyetEsik</formula>
    </cfRule>
  </conditionalFormatting>
  <conditionalFormatting sqref="D346">
    <cfRule type="cellIs" priority="1009" operator="lessThan" aboveAverage="0" equalAverage="0" bottom="0" percent="0" rank="0" text="" dxfId="10">
      <formula>18</formula>
    </cfRule>
  </conditionalFormatting>
  <conditionalFormatting sqref="B347">
    <cfRule type="cellIs" priority="1010" operator="greaterThan" aboveAverage="0" equalAverage="0" bottom="0" percent="0" rank="0" text="" dxfId="8">
      <formula>0</formula>
    </cfRule>
    <cfRule type="cellIs" priority="1011" operator="lessThan" aboveAverage="0" equalAverage="0" bottom="0" percent="0" rank="0" text="" dxfId="9">
      <formula>MaliyetEsik</formula>
    </cfRule>
  </conditionalFormatting>
  <conditionalFormatting sqref="D347">
    <cfRule type="cellIs" priority="1012" operator="lessThan" aboveAverage="0" equalAverage="0" bottom="0" percent="0" rank="0" text="" dxfId="10">
      <formula>18</formula>
    </cfRule>
  </conditionalFormatting>
  <conditionalFormatting sqref="B348">
    <cfRule type="cellIs" priority="1013" operator="greaterThan" aboveAverage="0" equalAverage="0" bottom="0" percent="0" rank="0" text="" dxfId="8">
      <formula>0</formula>
    </cfRule>
    <cfRule type="cellIs" priority="1014" operator="lessThan" aboveAverage="0" equalAverage="0" bottom="0" percent="0" rank="0" text="" dxfId="9">
      <formula>MaliyetEsik</formula>
    </cfRule>
  </conditionalFormatting>
  <conditionalFormatting sqref="D348">
    <cfRule type="cellIs" priority="1015" operator="lessThan" aboveAverage="0" equalAverage="0" bottom="0" percent="0" rank="0" text="" dxfId="10">
      <formula>18</formula>
    </cfRule>
  </conditionalFormatting>
  <conditionalFormatting sqref="B349">
    <cfRule type="cellIs" priority="1016" operator="greaterThan" aboveAverage="0" equalAverage="0" bottom="0" percent="0" rank="0" text="" dxfId="8">
      <formula>0</formula>
    </cfRule>
    <cfRule type="cellIs" priority="1017" operator="lessThan" aboveAverage="0" equalAverage="0" bottom="0" percent="0" rank="0" text="" dxfId="9">
      <formula>MaliyetEsik</formula>
    </cfRule>
  </conditionalFormatting>
  <conditionalFormatting sqref="D349">
    <cfRule type="cellIs" priority="1018" operator="lessThan" aboveAverage="0" equalAverage="0" bottom="0" percent="0" rank="0" text="" dxfId="10">
      <formula>18</formula>
    </cfRule>
  </conditionalFormatting>
  <conditionalFormatting sqref="B350">
    <cfRule type="cellIs" priority="1019" operator="greaterThan" aboveAverage="0" equalAverage="0" bottom="0" percent="0" rank="0" text="" dxfId="8">
      <formula>0</formula>
    </cfRule>
    <cfRule type="cellIs" priority="1020" operator="lessThan" aboveAverage="0" equalAverage="0" bottom="0" percent="0" rank="0" text="" dxfId="9">
      <formula>MaliyetEsik</formula>
    </cfRule>
  </conditionalFormatting>
  <conditionalFormatting sqref="D350">
    <cfRule type="cellIs" priority="1021" operator="lessThan" aboveAverage="0" equalAverage="0" bottom="0" percent="0" rank="0" text="" dxfId="10">
      <formula>18</formula>
    </cfRule>
  </conditionalFormatting>
  <conditionalFormatting sqref="B351">
    <cfRule type="cellIs" priority="1022" operator="greaterThan" aboveAverage="0" equalAverage="0" bottom="0" percent="0" rank="0" text="" dxfId="8">
      <formula>0</formula>
    </cfRule>
    <cfRule type="cellIs" priority="1023" operator="lessThan" aboveAverage="0" equalAverage="0" bottom="0" percent="0" rank="0" text="" dxfId="9">
      <formula>MaliyetEsik</formula>
    </cfRule>
  </conditionalFormatting>
  <conditionalFormatting sqref="D351">
    <cfRule type="cellIs" priority="1024" operator="lessThan" aboveAverage="0" equalAverage="0" bottom="0" percent="0" rank="0" text="" dxfId="10">
      <formula>18</formula>
    </cfRule>
  </conditionalFormatting>
  <conditionalFormatting sqref="B352">
    <cfRule type="cellIs" priority="1025" operator="greaterThan" aboveAverage="0" equalAverage="0" bottom="0" percent="0" rank="0" text="" dxfId="8">
      <formula>0</formula>
    </cfRule>
    <cfRule type="cellIs" priority="1026" operator="lessThan" aboveAverage="0" equalAverage="0" bottom="0" percent="0" rank="0" text="" dxfId="9">
      <formula>MaliyetEsik</formula>
    </cfRule>
  </conditionalFormatting>
  <conditionalFormatting sqref="D352">
    <cfRule type="cellIs" priority="1027" operator="lessThan" aboveAverage="0" equalAverage="0" bottom="0" percent="0" rank="0" text="" dxfId="10">
      <formula>18</formula>
    </cfRule>
  </conditionalFormatting>
  <conditionalFormatting sqref="B353">
    <cfRule type="cellIs" priority="1028" operator="greaterThan" aboveAverage="0" equalAverage="0" bottom="0" percent="0" rank="0" text="" dxfId="8">
      <formula>0</formula>
    </cfRule>
    <cfRule type="cellIs" priority="1029" operator="lessThan" aboveAverage="0" equalAverage="0" bottom="0" percent="0" rank="0" text="" dxfId="9">
      <formula>MaliyetEsik</formula>
    </cfRule>
  </conditionalFormatting>
  <conditionalFormatting sqref="D353">
    <cfRule type="cellIs" priority="1030" operator="lessThan" aboveAverage="0" equalAverage="0" bottom="0" percent="0" rank="0" text="" dxfId="10">
      <formula>18</formula>
    </cfRule>
  </conditionalFormatting>
  <conditionalFormatting sqref="B354">
    <cfRule type="cellIs" priority="1031" operator="greaterThan" aboveAverage="0" equalAverage="0" bottom="0" percent="0" rank="0" text="" dxfId="8">
      <formula>0</formula>
    </cfRule>
    <cfRule type="cellIs" priority="1032" operator="lessThan" aboveAverage="0" equalAverage="0" bottom="0" percent="0" rank="0" text="" dxfId="9">
      <formula>MaliyetEsik</formula>
    </cfRule>
  </conditionalFormatting>
  <conditionalFormatting sqref="D354">
    <cfRule type="cellIs" priority="1033" operator="lessThan" aboveAverage="0" equalAverage="0" bottom="0" percent="0" rank="0" text="" dxfId="10">
      <formula>18</formula>
    </cfRule>
  </conditionalFormatting>
  <conditionalFormatting sqref="B355">
    <cfRule type="cellIs" priority="1034" operator="greaterThan" aboveAverage="0" equalAverage="0" bottom="0" percent="0" rank="0" text="" dxfId="8">
      <formula>0</formula>
    </cfRule>
    <cfRule type="cellIs" priority="1035" operator="lessThan" aboveAverage="0" equalAverage="0" bottom="0" percent="0" rank="0" text="" dxfId="9">
      <formula>MaliyetEsik</formula>
    </cfRule>
  </conditionalFormatting>
  <conditionalFormatting sqref="D355">
    <cfRule type="cellIs" priority="1036" operator="lessThan" aboveAverage="0" equalAverage="0" bottom="0" percent="0" rank="0" text="" dxfId="10">
      <formula>18</formula>
    </cfRule>
  </conditionalFormatting>
  <conditionalFormatting sqref="B356">
    <cfRule type="cellIs" priority="1037" operator="greaterThan" aboveAverage="0" equalAverage="0" bottom="0" percent="0" rank="0" text="" dxfId="8">
      <formula>0</formula>
    </cfRule>
    <cfRule type="cellIs" priority="1038" operator="lessThan" aboveAverage="0" equalAverage="0" bottom="0" percent="0" rank="0" text="" dxfId="9">
      <formula>MaliyetEsik</formula>
    </cfRule>
  </conditionalFormatting>
  <conditionalFormatting sqref="D356">
    <cfRule type="cellIs" priority="1039" operator="lessThan" aboveAverage="0" equalAverage="0" bottom="0" percent="0" rank="0" text="" dxfId="10">
      <formula>18</formula>
    </cfRule>
  </conditionalFormatting>
  <conditionalFormatting sqref="B357">
    <cfRule type="cellIs" priority="1040" operator="greaterThan" aboveAverage="0" equalAverage="0" bottom="0" percent="0" rank="0" text="" dxfId="8">
      <formula>0</formula>
    </cfRule>
    <cfRule type="cellIs" priority="1041" operator="lessThan" aboveAverage="0" equalAverage="0" bottom="0" percent="0" rank="0" text="" dxfId="9">
      <formula>MaliyetEsik</formula>
    </cfRule>
  </conditionalFormatting>
  <conditionalFormatting sqref="D357">
    <cfRule type="cellIs" priority="1042" operator="lessThan" aboveAverage="0" equalAverage="0" bottom="0" percent="0" rank="0" text="" dxfId="10">
      <formula>18</formula>
    </cfRule>
  </conditionalFormatting>
  <conditionalFormatting sqref="B358">
    <cfRule type="cellIs" priority="1043" operator="greaterThan" aboveAverage="0" equalAverage="0" bottom="0" percent="0" rank="0" text="" dxfId="8">
      <formula>0</formula>
    </cfRule>
    <cfRule type="cellIs" priority="1044" operator="lessThan" aboveAverage="0" equalAverage="0" bottom="0" percent="0" rank="0" text="" dxfId="9">
      <formula>MaliyetEsik</formula>
    </cfRule>
  </conditionalFormatting>
  <conditionalFormatting sqref="D358">
    <cfRule type="cellIs" priority="1045" operator="lessThan" aboveAverage="0" equalAverage="0" bottom="0" percent="0" rank="0" text="" dxfId="10">
      <formula>18</formula>
    </cfRule>
  </conditionalFormatting>
  <conditionalFormatting sqref="B359">
    <cfRule type="cellIs" priority="1046" operator="greaterThan" aboveAverage="0" equalAverage="0" bottom="0" percent="0" rank="0" text="" dxfId="8">
      <formula>0</formula>
    </cfRule>
    <cfRule type="cellIs" priority="1047" operator="lessThan" aboveAverage="0" equalAverage="0" bottom="0" percent="0" rank="0" text="" dxfId="9">
      <formula>MaliyetEsik</formula>
    </cfRule>
  </conditionalFormatting>
  <conditionalFormatting sqref="D359">
    <cfRule type="cellIs" priority="1048" operator="lessThan" aboveAverage="0" equalAverage="0" bottom="0" percent="0" rank="0" text="" dxfId="10">
      <formula>18</formula>
    </cfRule>
  </conditionalFormatting>
  <conditionalFormatting sqref="B360">
    <cfRule type="cellIs" priority="1049" operator="greaterThan" aboveAverage="0" equalAverage="0" bottom="0" percent="0" rank="0" text="" dxfId="8">
      <formula>0</formula>
    </cfRule>
    <cfRule type="cellIs" priority="1050" operator="lessThan" aboveAverage="0" equalAverage="0" bottom="0" percent="0" rank="0" text="" dxfId="9">
      <formula>MaliyetEsik</formula>
    </cfRule>
  </conditionalFormatting>
  <conditionalFormatting sqref="D360">
    <cfRule type="cellIs" priority="1051" operator="lessThan" aboveAverage="0" equalAverage="0" bottom="0" percent="0" rank="0" text="" dxfId="10">
      <formula>18</formula>
    </cfRule>
  </conditionalFormatting>
  <conditionalFormatting sqref="B361">
    <cfRule type="cellIs" priority="1052" operator="greaterThan" aboveAverage="0" equalAverage="0" bottom="0" percent="0" rank="0" text="" dxfId="8">
      <formula>0</formula>
    </cfRule>
    <cfRule type="cellIs" priority="1053" operator="lessThan" aboveAverage="0" equalAverage="0" bottom="0" percent="0" rank="0" text="" dxfId="9">
      <formula>MaliyetEsik</formula>
    </cfRule>
  </conditionalFormatting>
  <conditionalFormatting sqref="D361">
    <cfRule type="cellIs" priority="1054" operator="lessThan" aboveAverage="0" equalAverage="0" bottom="0" percent="0" rank="0" text="" dxfId="10">
      <formula>18</formula>
    </cfRule>
  </conditionalFormatting>
  <conditionalFormatting sqref="B362">
    <cfRule type="cellIs" priority="1055" operator="greaterThan" aboveAverage="0" equalAverage="0" bottom="0" percent="0" rank="0" text="" dxfId="8">
      <formula>0</formula>
    </cfRule>
    <cfRule type="cellIs" priority="1056" operator="lessThan" aboveAverage="0" equalAverage="0" bottom="0" percent="0" rank="0" text="" dxfId="9">
      <formula>MaliyetEsik</formula>
    </cfRule>
  </conditionalFormatting>
  <conditionalFormatting sqref="D362">
    <cfRule type="cellIs" priority="1057" operator="lessThan" aboveAverage="0" equalAverage="0" bottom="0" percent="0" rank="0" text="" dxfId="10">
      <formula>18</formula>
    </cfRule>
  </conditionalFormatting>
  <conditionalFormatting sqref="B363">
    <cfRule type="cellIs" priority="1058" operator="greaterThan" aboveAverage="0" equalAverage="0" bottom="0" percent="0" rank="0" text="" dxfId="8">
      <formula>0</formula>
    </cfRule>
    <cfRule type="cellIs" priority="1059" operator="lessThan" aboveAverage="0" equalAverage="0" bottom="0" percent="0" rank="0" text="" dxfId="9">
      <formula>MaliyetEsik</formula>
    </cfRule>
  </conditionalFormatting>
  <conditionalFormatting sqref="D363">
    <cfRule type="cellIs" priority="1060" operator="lessThan" aboveAverage="0" equalAverage="0" bottom="0" percent="0" rank="0" text="" dxfId="10">
      <formula>18</formula>
    </cfRule>
  </conditionalFormatting>
  <conditionalFormatting sqref="B364">
    <cfRule type="cellIs" priority="1061" operator="greaterThan" aboveAverage="0" equalAverage="0" bottom="0" percent="0" rank="0" text="" dxfId="8">
      <formula>0</formula>
    </cfRule>
    <cfRule type="cellIs" priority="1062" operator="lessThan" aboveAverage="0" equalAverage="0" bottom="0" percent="0" rank="0" text="" dxfId="9">
      <formula>MaliyetEsik</formula>
    </cfRule>
  </conditionalFormatting>
  <conditionalFormatting sqref="D364">
    <cfRule type="cellIs" priority="1063" operator="lessThan" aboveAverage="0" equalAverage="0" bottom="0" percent="0" rank="0" text="" dxfId="10">
      <formula>18</formula>
    </cfRule>
  </conditionalFormatting>
  <conditionalFormatting sqref="B365">
    <cfRule type="cellIs" priority="1064" operator="greaterThan" aboveAverage="0" equalAverage="0" bottom="0" percent="0" rank="0" text="" dxfId="8">
      <formula>0</formula>
    </cfRule>
    <cfRule type="cellIs" priority="1065" operator="lessThan" aboveAverage="0" equalAverage="0" bottom="0" percent="0" rank="0" text="" dxfId="9">
      <formula>MaliyetEsik</formula>
    </cfRule>
  </conditionalFormatting>
  <conditionalFormatting sqref="D365">
    <cfRule type="cellIs" priority="1066" operator="lessThan" aboveAverage="0" equalAverage="0" bottom="0" percent="0" rank="0" text="" dxfId="10">
      <formula>18</formula>
    </cfRule>
  </conditionalFormatting>
  <conditionalFormatting sqref="B366">
    <cfRule type="cellIs" priority="1067" operator="greaterThan" aboveAverage="0" equalAverage="0" bottom="0" percent="0" rank="0" text="" dxfId="8">
      <formula>0</formula>
    </cfRule>
    <cfRule type="cellIs" priority="1068" operator="lessThan" aboveAverage="0" equalAverage="0" bottom="0" percent="0" rank="0" text="" dxfId="9">
      <formula>MaliyetEsik</formula>
    </cfRule>
  </conditionalFormatting>
  <conditionalFormatting sqref="D366">
    <cfRule type="cellIs" priority="1069" operator="lessThan" aboveAverage="0" equalAverage="0" bottom="0" percent="0" rank="0" text="" dxfId="10">
      <formula>18</formula>
    </cfRule>
  </conditionalFormatting>
  <conditionalFormatting sqref="B367">
    <cfRule type="cellIs" priority="1070" operator="greaterThan" aboveAverage="0" equalAverage="0" bottom="0" percent="0" rank="0" text="" dxfId="8">
      <formula>0</formula>
    </cfRule>
    <cfRule type="cellIs" priority="1071" operator="lessThan" aboveAverage="0" equalAverage="0" bottom="0" percent="0" rank="0" text="" dxfId="9">
      <formula>MaliyetEsik</formula>
    </cfRule>
  </conditionalFormatting>
  <conditionalFormatting sqref="D367">
    <cfRule type="cellIs" priority="1072" operator="lessThan" aboveAverage="0" equalAverage="0" bottom="0" percent="0" rank="0" text="" dxfId="10">
      <formula>18</formula>
    </cfRule>
  </conditionalFormatting>
  <conditionalFormatting sqref="B368">
    <cfRule type="cellIs" priority="1073" operator="greaterThan" aboveAverage="0" equalAverage="0" bottom="0" percent="0" rank="0" text="" dxfId="8">
      <formula>0</formula>
    </cfRule>
    <cfRule type="cellIs" priority="1074" operator="lessThan" aboveAverage="0" equalAverage="0" bottom="0" percent="0" rank="0" text="" dxfId="9">
      <formula>MaliyetEsik</formula>
    </cfRule>
  </conditionalFormatting>
  <conditionalFormatting sqref="D368">
    <cfRule type="cellIs" priority="1075" operator="lessThan" aboveAverage="0" equalAverage="0" bottom="0" percent="0" rank="0" text="" dxfId="10">
      <formula>18</formula>
    </cfRule>
  </conditionalFormatting>
  <conditionalFormatting sqref="B369">
    <cfRule type="cellIs" priority="1076" operator="greaterThan" aboveAverage="0" equalAverage="0" bottom="0" percent="0" rank="0" text="" dxfId="8">
      <formula>0</formula>
    </cfRule>
    <cfRule type="cellIs" priority="1077" operator="lessThan" aboveAverage="0" equalAverage="0" bottom="0" percent="0" rank="0" text="" dxfId="9">
      <formula>MaliyetEsik</formula>
    </cfRule>
  </conditionalFormatting>
  <conditionalFormatting sqref="D369">
    <cfRule type="cellIs" priority="1078" operator="lessThan" aboveAverage="0" equalAverage="0" bottom="0" percent="0" rank="0" text="" dxfId="10">
      <formula>18</formula>
    </cfRule>
  </conditionalFormatting>
  <conditionalFormatting sqref="B370">
    <cfRule type="cellIs" priority="1079" operator="greaterThan" aboveAverage="0" equalAverage="0" bottom="0" percent="0" rank="0" text="" dxfId="8">
      <formula>0</formula>
    </cfRule>
    <cfRule type="cellIs" priority="1080" operator="lessThan" aboveAverage="0" equalAverage="0" bottom="0" percent="0" rank="0" text="" dxfId="9">
      <formula>MaliyetEsik</formula>
    </cfRule>
  </conditionalFormatting>
  <conditionalFormatting sqref="D370">
    <cfRule type="cellIs" priority="1081" operator="lessThan" aboveAverage="0" equalAverage="0" bottom="0" percent="0" rank="0" text="" dxfId="10">
      <formula>18</formula>
    </cfRule>
  </conditionalFormatting>
  <conditionalFormatting sqref="B371">
    <cfRule type="cellIs" priority="1082" operator="greaterThan" aboveAverage="0" equalAverage="0" bottom="0" percent="0" rank="0" text="" dxfId="8">
      <formula>0</formula>
    </cfRule>
    <cfRule type="cellIs" priority="1083" operator="lessThan" aboveAverage="0" equalAverage="0" bottom="0" percent="0" rank="0" text="" dxfId="9">
      <formula>MaliyetEsik</formula>
    </cfRule>
  </conditionalFormatting>
  <conditionalFormatting sqref="D371">
    <cfRule type="cellIs" priority="1084" operator="lessThan" aboveAverage="0" equalAverage="0" bottom="0" percent="0" rank="0" text="" dxfId="10">
      <formula>18</formula>
    </cfRule>
  </conditionalFormatting>
  <conditionalFormatting sqref="B372">
    <cfRule type="cellIs" priority="1085" operator="greaterThan" aboveAverage="0" equalAverage="0" bottom="0" percent="0" rank="0" text="" dxfId="8">
      <formula>0</formula>
    </cfRule>
    <cfRule type="cellIs" priority="1086" operator="lessThan" aboveAverage="0" equalAverage="0" bottom="0" percent="0" rank="0" text="" dxfId="9">
      <formula>MaliyetEsik</formula>
    </cfRule>
  </conditionalFormatting>
  <conditionalFormatting sqref="D372">
    <cfRule type="cellIs" priority="1087" operator="lessThan" aboveAverage="0" equalAverage="0" bottom="0" percent="0" rank="0" text="" dxfId="10">
      <formula>18</formula>
    </cfRule>
  </conditionalFormatting>
  <conditionalFormatting sqref="B373">
    <cfRule type="cellIs" priority="1088" operator="greaterThan" aboveAverage="0" equalAverage="0" bottom="0" percent="0" rank="0" text="" dxfId="8">
      <formula>0</formula>
    </cfRule>
    <cfRule type="cellIs" priority="1089" operator="lessThan" aboveAverage="0" equalAverage="0" bottom="0" percent="0" rank="0" text="" dxfId="9">
      <formula>MaliyetEsik</formula>
    </cfRule>
  </conditionalFormatting>
  <conditionalFormatting sqref="D373">
    <cfRule type="cellIs" priority="1090" operator="lessThan" aboveAverage="0" equalAverage="0" bottom="0" percent="0" rank="0" text="" dxfId="10">
      <formula>18</formula>
    </cfRule>
  </conditionalFormatting>
  <conditionalFormatting sqref="B374">
    <cfRule type="cellIs" priority="1091" operator="greaterThan" aboveAverage="0" equalAverage="0" bottom="0" percent="0" rank="0" text="" dxfId="8">
      <formula>0</formula>
    </cfRule>
    <cfRule type="cellIs" priority="1092" operator="lessThan" aboveAverage="0" equalAverage="0" bottom="0" percent="0" rank="0" text="" dxfId="9">
      <formula>MaliyetEsik</formula>
    </cfRule>
  </conditionalFormatting>
  <conditionalFormatting sqref="D374">
    <cfRule type="cellIs" priority="1093" operator="lessThan" aboveAverage="0" equalAverage="0" bottom="0" percent="0" rank="0" text="" dxfId="10">
      <formula>18</formula>
    </cfRule>
  </conditionalFormatting>
  <conditionalFormatting sqref="B375">
    <cfRule type="cellIs" priority="1094" operator="greaterThan" aboveAverage="0" equalAverage="0" bottom="0" percent="0" rank="0" text="" dxfId="8">
      <formula>0</formula>
    </cfRule>
    <cfRule type="cellIs" priority="1095" operator="lessThan" aboveAverage="0" equalAverage="0" bottom="0" percent="0" rank="0" text="" dxfId="9">
      <formula>MaliyetEsik</formula>
    </cfRule>
  </conditionalFormatting>
  <conditionalFormatting sqref="D375">
    <cfRule type="cellIs" priority="1096" operator="lessThan" aboveAverage="0" equalAverage="0" bottom="0" percent="0" rank="0" text="" dxfId="10">
      <formula>18</formula>
    </cfRule>
  </conditionalFormatting>
  <conditionalFormatting sqref="B376">
    <cfRule type="cellIs" priority="1097" operator="greaterThan" aboveAverage="0" equalAverage="0" bottom="0" percent="0" rank="0" text="" dxfId="8">
      <formula>0</formula>
    </cfRule>
    <cfRule type="cellIs" priority="1098" operator="lessThan" aboveAverage="0" equalAverage="0" bottom="0" percent="0" rank="0" text="" dxfId="9">
      <formula>MaliyetEsik</formula>
    </cfRule>
  </conditionalFormatting>
  <conditionalFormatting sqref="D376">
    <cfRule type="cellIs" priority="1099" operator="lessThan" aboveAverage="0" equalAverage="0" bottom="0" percent="0" rank="0" text="" dxfId="10">
      <formula>18</formula>
    </cfRule>
  </conditionalFormatting>
  <conditionalFormatting sqref="B377">
    <cfRule type="cellIs" priority="1100" operator="greaterThan" aboveAverage="0" equalAverage="0" bottom="0" percent="0" rank="0" text="" dxfId="8">
      <formula>0</formula>
    </cfRule>
    <cfRule type="cellIs" priority="1101" operator="lessThan" aboveAverage="0" equalAverage="0" bottom="0" percent="0" rank="0" text="" dxfId="9">
      <formula>MaliyetEsik</formula>
    </cfRule>
  </conditionalFormatting>
  <conditionalFormatting sqref="D377">
    <cfRule type="cellIs" priority="1102" operator="lessThan" aboveAverage="0" equalAverage="0" bottom="0" percent="0" rank="0" text="" dxfId="10">
      <formula>18</formula>
    </cfRule>
  </conditionalFormatting>
  <conditionalFormatting sqref="B378">
    <cfRule type="cellIs" priority="1103" operator="greaterThan" aboveAverage="0" equalAverage="0" bottom="0" percent="0" rank="0" text="" dxfId="8">
      <formula>0</formula>
    </cfRule>
    <cfRule type="cellIs" priority="1104" operator="lessThan" aboveAverage="0" equalAverage="0" bottom="0" percent="0" rank="0" text="" dxfId="9">
      <formula>MaliyetEsik</formula>
    </cfRule>
  </conditionalFormatting>
  <conditionalFormatting sqref="D378">
    <cfRule type="cellIs" priority="1105" operator="lessThan" aboveAverage="0" equalAverage="0" bottom="0" percent="0" rank="0" text="" dxfId="10">
      <formula>18</formula>
    </cfRule>
  </conditionalFormatting>
  <conditionalFormatting sqref="B379">
    <cfRule type="cellIs" priority="1106" operator="greaterThan" aboveAverage="0" equalAverage="0" bottom="0" percent="0" rank="0" text="" dxfId="8">
      <formula>0</formula>
    </cfRule>
    <cfRule type="cellIs" priority="1107" operator="lessThan" aboveAverage="0" equalAverage="0" bottom="0" percent="0" rank="0" text="" dxfId="9">
      <formula>MaliyetEsik</formula>
    </cfRule>
  </conditionalFormatting>
  <conditionalFormatting sqref="D379">
    <cfRule type="cellIs" priority="1108" operator="lessThan" aboveAverage="0" equalAverage="0" bottom="0" percent="0" rank="0" text="" dxfId="10">
      <formula>18</formula>
    </cfRule>
  </conditionalFormatting>
  <conditionalFormatting sqref="B380">
    <cfRule type="cellIs" priority="1109" operator="greaterThan" aboveAverage="0" equalAverage="0" bottom="0" percent="0" rank="0" text="" dxfId="8">
      <formula>0</formula>
    </cfRule>
    <cfRule type="cellIs" priority="1110" operator="lessThan" aboveAverage="0" equalAverage="0" bottom="0" percent="0" rank="0" text="" dxfId="9">
      <formula>MaliyetEsik</formula>
    </cfRule>
  </conditionalFormatting>
  <conditionalFormatting sqref="D380">
    <cfRule type="cellIs" priority="1111" operator="lessThan" aboveAverage="0" equalAverage="0" bottom="0" percent="0" rank="0" text="" dxfId="10">
      <formula>18</formula>
    </cfRule>
  </conditionalFormatting>
  <conditionalFormatting sqref="B381">
    <cfRule type="cellIs" priority="1112" operator="greaterThan" aboveAverage="0" equalAverage="0" bottom="0" percent="0" rank="0" text="" dxfId="8">
      <formula>0</formula>
    </cfRule>
    <cfRule type="cellIs" priority="1113" operator="lessThan" aboveAverage="0" equalAverage="0" bottom="0" percent="0" rank="0" text="" dxfId="9">
      <formula>MaliyetEsik</formula>
    </cfRule>
  </conditionalFormatting>
  <conditionalFormatting sqref="D381">
    <cfRule type="cellIs" priority="1114" operator="lessThan" aboveAverage="0" equalAverage="0" bottom="0" percent="0" rank="0" text="" dxfId="10">
      <formula>18</formula>
    </cfRule>
  </conditionalFormatting>
  <conditionalFormatting sqref="B382">
    <cfRule type="cellIs" priority="1115" operator="greaterThan" aboveAverage="0" equalAverage="0" bottom="0" percent="0" rank="0" text="" dxfId="8">
      <formula>0</formula>
    </cfRule>
    <cfRule type="cellIs" priority="1116" operator="lessThan" aboveAverage="0" equalAverage="0" bottom="0" percent="0" rank="0" text="" dxfId="9">
      <formula>MaliyetEsik</formula>
    </cfRule>
  </conditionalFormatting>
  <conditionalFormatting sqref="D382">
    <cfRule type="cellIs" priority="1117" operator="lessThan" aboveAverage="0" equalAverage="0" bottom="0" percent="0" rank="0" text="" dxfId="10">
      <formula>18</formula>
    </cfRule>
  </conditionalFormatting>
  <conditionalFormatting sqref="B383">
    <cfRule type="cellIs" priority="1118" operator="greaterThan" aboveAverage="0" equalAverage="0" bottom="0" percent="0" rank="0" text="" dxfId="8">
      <formula>0</formula>
    </cfRule>
    <cfRule type="cellIs" priority="1119" operator="lessThan" aboveAverage="0" equalAverage="0" bottom="0" percent="0" rank="0" text="" dxfId="9">
      <formula>MaliyetEsik</formula>
    </cfRule>
  </conditionalFormatting>
  <conditionalFormatting sqref="D383">
    <cfRule type="cellIs" priority="1120" operator="lessThan" aboveAverage="0" equalAverage="0" bottom="0" percent="0" rank="0" text="" dxfId="10">
      <formula>18</formula>
    </cfRule>
  </conditionalFormatting>
  <conditionalFormatting sqref="B384">
    <cfRule type="cellIs" priority="1121" operator="greaterThan" aboveAverage="0" equalAverage="0" bottom="0" percent="0" rank="0" text="" dxfId="8">
      <formula>0</formula>
    </cfRule>
    <cfRule type="cellIs" priority="1122" operator="lessThan" aboveAverage="0" equalAverage="0" bottom="0" percent="0" rank="0" text="" dxfId="9">
      <formula>MaliyetEsik</formula>
    </cfRule>
  </conditionalFormatting>
  <conditionalFormatting sqref="D384">
    <cfRule type="cellIs" priority="1123" operator="lessThan" aboveAverage="0" equalAverage="0" bottom="0" percent="0" rank="0" text="" dxfId="10">
      <formula>18</formula>
    </cfRule>
  </conditionalFormatting>
  <conditionalFormatting sqref="B385">
    <cfRule type="cellIs" priority="1124" operator="greaterThan" aboveAverage="0" equalAverage="0" bottom="0" percent="0" rank="0" text="" dxfId="8">
      <formula>0</formula>
    </cfRule>
    <cfRule type="cellIs" priority="1125" operator="lessThan" aboveAverage="0" equalAverage="0" bottom="0" percent="0" rank="0" text="" dxfId="9">
      <formula>MaliyetEsik</formula>
    </cfRule>
  </conditionalFormatting>
  <conditionalFormatting sqref="D385">
    <cfRule type="cellIs" priority="1126" operator="lessThan" aboveAverage="0" equalAverage="0" bottom="0" percent="0" rank="0" text="" dxfId="10">
      <formula>18</formula>
    </cfRule>
  </conditionalFormatting>
  <conditionalFormatting sqref="B386">
    <cfRule type="cellIs" priority="1127" operator="greaterThan" aboveAverage="0" equalAverage="0" bottom="0" percent="0" rank="0" text="" dxfId="8">
      <formula>0</formula>
    </cfRule>
    <cfRule type="cellIs" priority="1128" operator="lessThan" aboveAverage="0" equalAverage="0" bottom="0" percent="0" rank="0" text="" dxfId="9">
      <formula>MaliyetEsik</formula>
    </cfRule>
  </conditionalFormatting>
  <conditionalFormatting sqref="D386">
    <cfRule type="cellIs" priority="1129" operator="lessThan" aboveAverage="0" equalAverage="0" bottom="0" percent="0" rank="0" text="" dxfId="10">
      <formula>18</formula>
    </cfRule>
  </conditionalFormatting>
  <conditionalFormatting sqref="B387">
    <cfRule type="cellIs" priority="1130" operator="greaterThan" aboveAverage="0" equalAverage="0" bottom="0" percent="0" rank="0" text="" dxfId="8">
      <formula>0</formula>
    </cfRule>
    <cfRule type="cellIs" priority="1131" operator="lessThan" aboveAverage="0" equalAverage="0" bottom="0" percent="0" rank="0" text="" dxfId="9">
      <formula>MaliyetEsik</formula>
    </cfRule>
  </conditionalFormatting>
  <conditionalFormatting sqref="D387">
    <cfRule type="cellIs" priority="1132" operator="lessThan" aboveAverage="0" equalAverage="0" bottom="0" percent="0" rank="0" text="" dxfId="10">
      <formula>18</formula>
    </cfRule>
  </conditionalFormatting>
  <conditionalFormatting sqref="B388">
    <cfRule type="cellIs" priority="1133" operator="greaterThan" aboveAverage="0" equalAverage="0" bottom="0" percent="0" rank="0" text="" dxfId="8">
      <formula>0</formula>
    </cfRule>
    <cfRule type="cellIs" priority="1134" operator="lessThan" aboveAverage="0" equalAverage="0" bottom="0" percent="0" rank="0" text="" dxfId="9">
      <formula>MaliyetEsik</formula>
    </cfRule>
  </conditionalFormatting>
  <conditionalFormatting sqref="D388">
    <cfRule type="cellIs" priority="1135" operator="lessThan" aboveAverage="0" equalAverage="0" bottom="0" percent="0" rank="0" text="" dxfId="10">
      <formula>18</formula>
    </cfRule>
  </conditionalFormatting>
  <conditionalFormatting sqref="B389">
    <cfRule type="cellIs" priority="1136" operator="greaterThan" aboveAverage="0" equalAverage="0" bottom="0" percent="0" rank="0" text="" dxfId="8">
      <formula>0</formula>
    </cfRule>
    <cfRule type="cellIs" priority="1137" operator="lessThan" aboveAverage="0" equalAverage="0" bottom="0" percent="0" rank="0" text="" dxfId="9">
      <formula>MaliyetEsik</formula>
    </cfRule>
  </conditionalFormatting>
  <conditionalFormatting sqref="D389">
    <cfRule type="cellIs" priority="1138" operator="lessThan" aboveAverage="0" equalAverage="0" bottom="0" percent="0" rank="0" text="" dxfId="10">
      <formula>18</formula>
    </cfRule>
  </conditionalFormatting>
  <conditionalFormatting sqref="B390">
    <cfRule type="cellIs" priority="1139" operator="greaterThan" aboveAverage="0" equalAverage="0" bottom="0" percent="0" rank="0" text="" dxfId="8">
      <formula>0</formula>
    </cfRule>
    <cfRule type="cellIs" priority="1140" operator="lessThan" aboveAverage="0" equalAverage="0" bottom="0" percent="0" rank="0" text="" dxfId="9">
      <formula>MaliyetEsik</formula>
    </cfRule>
  </conditionalFormatting>
  <conditionalFormatting sqref="D390">
    <cfRule type="cellIs" priority="1141" operator="lessThan" aboveAverage="0" equalAverage="0" bottom="0" percent="0" rank="0" text="" dxfId="10">
      <formula>18</formula>
    </cfRule>
  </conditionalFormatting>
  <conditionalFormatting sqref="B391">
    <cfRule type="cellIs" priority="1142" operator="greaterThan" aboveAverage="0" equalAverage="0" bottom="0" percent="0" rank="0" text="" dxfId="8">
      <formula>0</formula>
    </cfRule>
    <cfRule type="cellIs" priority="1143" operator="lessThan" aboveAverage="0" equalAverage="0" bottom="0" percent="0" rank="0" text="" dxfId="9">
      <formula>MaliyetEsik</formula>
    </cfRule>
  </conditionalFormatting>
  <conditionalFormatting sqref="D391">
    <cfRule type="cellIs" priority="1144" operator="lessThan" aboveAverage="0" equalAverage="0" bottom="0" percent="0" rank="0" text="" dxfId="10">
      <formula>18</formula>
    </cfRule>
  </conditionalFormatting>
  <conditionalFormatting sqref="B392">
    <cfRule type="cellIs" priority="1145" operator="greaterThan" aboveAverage="0" equalAverage="0" bottom="0" percent="0" rank="0" text="" dxfId="8">
      <formula>0</formula>
    </cfRule>
    <cfRule type="cellIs" priority="1146" operator="lessThan" aboveAverage="0" equalAverage="0" bottom="0" percent="0" rank="0" text="" dxfId="9">
      <formula>MaliyetEsik</formula>
    </cfRule>
  </conditionalFormatting>
  <conditionalFormatting sqref="D392">
    <cfRule type="cellIs" priority="1147" operator="lessThan" aboveAverage="0" equalAverage="0" bottom="0" percent="0" rank="0" text="" dxfId="10">
      <formula>18</formula>
    </cfRule>
  </conditionalFormatting>
  <conditionalFormatting sqref="B393">
    <cfRule type="cellIs" priority="1148" operator="greaterThan" aboveAverage="0" equalAverage="0" bottom="0" percent="0" rank="0" text="" dxfId="8">
      <formula>0</formula>
    </cfRule>
    <cfRule type="cellIs" priority="1149" operator="lessThan" aboveAverage="0" equalAverage="0" bottom="0" percent="0" rank="0" text="" dxfId="9">
      <formula>MaliyetEsik</formula>
    </cfRule>
  </conditionalFormatting>
  <conditionalFormatting sqref="D393">
    <cfRule type="cellIs" priority="1150" operator="lessThan" aboveAverage="0" equalAverage="0" bottom="0" percent="0" rank="0" text="" dxfId="10">
      <formula>18</formula>
    </cfRule>
  </conditionalFormatting>
  <conditionalFormatting sqref="B394">
    <cfRule type="cellIs" priority="1151" operator="greaterThan" aboveAverage="0" equalAverage="0" bottom="0" percent="0" rank="0" text="" dxfId="8">
      <formula>0</formula>
    </cfRule>
    <cfRule type="cellIs" priority="1152" operator="lessThan" aboveAverage="0" equalAverage="0" bottom="0" percent="0" rank="0" text="" dxfId="9">
      <formula>MaliyetEsik</formula>
    </cfRule>
  </conditionalFormatting>
  <conditionalFormatting sqref="D394">
    <cfRule type="cellIs" priority="1153" operator="lessThan" aboveAverage="0" equalAverage="0" bottom="0" percent="0" rank="0" text="" dxfId="10">
      <formula>18</formula>
    </cfRule>
  </conditionalFormatting>
  <conditionalFormatting sqref="B395">
    <cfRule type="cellIs" priority="1154" operator="greaterThan" aboveAverage="0" equalAverage="0" bottom="0" percent="0" rank="0" text="" dxfId="8">
      <formula>0</formula>
    </cfRule>
    <cfRule type="cellIs" priority="1155" operator="lessThan" aboveAverage="0" equalAverage="0" bottom="0" percent="0" rank="0" text="" dxfId="9">
      <formula>MaliyetEsik</formula>
    </cfRule>
  </conditionalFormatting>
  <conditionalFormatting sqref="D395">
    <cfRule type="cellIs" priority="1156" operator="lessThan" aboveAverage="0" equalAverage="0" bottom="0" percent="0" rank="0" text="" dxfId="10">
      <formula>18</formula>
    </cfRule>
  </conditionalFormatting>
  <conditionalFormatting sqref="B396">
    <cfRule type="cellIs" priority="1157" operator="greaterThan" aboveAverage="0" equalAverage="0" bottom="0" percent="0" rank="0" text="" dxfId="8">
      <formula>0</formula>
    </cfRule>
    <cfRule type="cellIs" priority="1158" operator="lessThan" aboveAverage="0" equalAverage="0" bottom="0" percent="0" rank="0" text="" dxfId="9">
      <formula>MaliyetEsik</formula>
    </cfRule>
  </conditionalFormatting>
  <conditionalFormatting sqref="D396">
    <cfRule type="cellIs" priority="1159" operator="lessThan" aboveAverage="0" equalAverage="0" bottom="0" percent="0" rank="0" text="" dxfId="10">
      <formula>18</formula>
    </cfRule>
  </conditionalFormatting>
  <conditionalFormatting sqref="B397">
    <cfRule type="cellIs" priority="1160" operator="greaterThan" aboveAverage="0" equalAverage="0" bottom="0" percent="0" rank="0" text="" dxfId="8">
      <formula>0</formula>
    </cfRule>
    <cfRule type="cellIs" priority="1161" operator="lessThan" aboveAverage="0" equalAverage="0" bottom="0" percent="0" rank="0" text="" dxfId="9">
      <formula>MaliyetEsik</formula>
    </cfRule>
  </conditionalFormatting>
  <conditionalFormatting sqref="D397">
    <cfRule type="cellIs" priority="1162" operator="lessThan" aboveAverage="0" equalAverage="0" bottom="0" percent="0" rank="0" text="" dxfId="10">
      <formula>18</formula>
    </cfRule>
  </conditionalFormatting>
  <conditionalFormatting sqref="B398">
    <cfRule type="cellIs" priority="1163" operator="greaterThan" aboveAverage="0" equalAverage="0" bottom="0" percent="0" rank="0" text="" dxfId="8">
      <formula>0</formula>
    </cfRule>
    <cfRule type="cellIs" priority="1164" operator="lessThan" aboveAverage="0" equalAverage="0" bottom="0" percent="0" rank="0" text="" dxfId="9">
      <formula>MaliyetEsik</formula>
    </cfRule>
  </conditionalFormatting>
  <conditionalFormatting sqref="D398">
    <cfRule type="cellIs" priority="1165" operator="lessThan" aboveAverage="0" equalAverage="0" bottom="0" percent="0" rank="0" text="" dxfId="10">
      <formula>18</formula>
    </cfRule>
  </conditionalFormatting>
  <conditionalFormatting sqref="B399">
    <cfRule type="cellIs" priority="1166" operator="greaterThan" aboveAverage="0" equalAverage="0" bottom="0" percent="0" rank="0" text="" dxfId="8">
      <formula>0</formula>
    </cfRule>
    <cfRule type="cellIs" priority="1167" operator="lessThan" aboveAverage="0" equalAverage="0" bottom="0" percent="0" rank="0" text="" dxfId="9">
      <formula>MaliyetEsik</formula>
    </cfRule>
  </conditionalFormatting>
  <conditionalFormatting sqref="D399">
    <cfRule type="cellIs" priority="1168" operator="lessThan" aboveAverage="0" equalAverage="0" bottom="0" percent="0" rank="0" text="" dxfId="10">
      <formula>18</formula>
    </cfRule>
  </conditionalFormatting>
  <conditionalFormatting sqref="B400">
    <cfRule type="cellIs" priority="1169" operator="greaterThan" aboveAverage="0" equalAverage="0" bottom="0" percent="0" rank="0" text="" dxfId="8">
      <formula>0</formula>
    </cfRule>
    <cfRule type="cellIs" priority="1170" operator="lessThan" aboveAverage="0" equalAverage="0" bottom="0" percent="0" rank="0" text="" dxfId="9">
      <formula>MaliyetEsik</formula>
    </cfRule>
  </conditionalFormatting>
  <conditionalFormatting sqref="D400">
    <cfRule type="cellIs" priority="1171" operator="lessThan" aboveAverage="0" equalAverage="0" bottom="0" percent="0" rank="0" text="" dxfId="10">
      <formula>18</formula>
    </cfRule>
  </conditionalFormatting>
  <conditionalFormatting sqref="B401">
    <cfRule type="cellIs" priority="1172" operator="greaterThan" aboveAverage="0" equalAverage="0" bottom="0" percent="0" rank="0" text="" dxfId="8">
      <formula>0</formula>
    </cfRule>
    <cfRule type="cellIs" priority="1173" operator="lessThan" aboveAverage="0" equalAverage="0" bottom="0" percent="0" rank="0" text="" dxfId="9">
      <formula>MaliyetEsik</formula>
    </cfRule>
  </conditionalFormatting>
  <conditionalFormatting sqref="D401">
    <cfRule type="cellIs" priority="1174" operator="lessThan" aboveAverage="0" equalAverage="0" bottom="0" percent="0" rank="0" text="" dxfId="10">
      <formula>18</formula>
    </cfRule>
  </conditionalFormatting>
  <conditionalFormatting sqref="B402">
    <cfRule type="cellIs" priority="1175" operator="greaterThan" aboveAverage="0" equalAverage="0" bottom="0" percent="0" rank="0" text="" dxfId="8">
      <formula>0</formula>
    </cfRule>
    <cfRule type="cellIs" priority="1176" operator="lessThan" aboveAverage="0" equalAverage="0" bottom="0" percent="0" rank="0" text="" dxfId="9">
      <formula>MaliyetEsik</formula>
    </cfRule>
  </conditionalFormatting>
  <conditionalFormatting sqref="D402">
    <cfRule type="cellIs" priority="1177" operator="lessThan" aboveAverage="0" equalAverage="0" bottom="0" percent="0" rank="0" text="" dxfId="10">
      <formula>18</formula>
    </cfRule>
  </conditionalFormatting>
  <conditionalFormatting sqref="B403">
    <cfRule type="cellIs" priority="1178" operator="greaterThan" aboveAverage="0" equalAverage="0" bottom="0" percent="0" rank="0" text="" dxfId="8">
      <formula>0</formula>
    </cfRule>
    <cfRule type="cellIs" priority="1179" operator="lessThan" aboveAverage="0" equalAverage="0" bottom="0" percent="0" rank="0" text="" dxfId="9">
      <formula>MaliyetEsik</formula>
    </cfRule>
  </conditionalFormatting>
  <conditionalFormatting sqref="D403">
    <cfRule type="cellIs" priority="1180" operator="lessThan" aboveAverage="0" equalAverage="0" bottom="0" percent="0" rank="0" text="" dxfId="10">
      <formula>18</formula>
    </cfRule>
  </conditionalFormatting>
  <conditionalFormatting sqref="B404">
    <cfRule type="cellIs" priority="1181" operator="greaterThan" aboveAverage="0" equalAverage="0" bottom="0" percent="0" rank="0" text="" dxfId="8">
      <formula>0</formula>
    </cfRule>
    <cfRule type="cellIs" priority="1182" operator="lessThan" aboveAverage="0" equalAverage="0" bottom="0" percent="0" rank="0" text="" dxfId="9">
      <formula>MaliyetEsik</formula>
    </cfRule>
  </conditionalFormatting>
  <conditionalFormatting sqref="D404">
    <cfRule type="cellIs" priority="1183" operator="lessThan" aboveAverage="0" equalAverage="0" bottom="0" percent="0" rank="0" text="" dxfId="10">
      <formula>18</formula>
    </cfRule>
  </conditionalFormatting>
  <conditionalFormatting sqref="B405">
    <cfRule type="cellIs" priority="1184" operator="greaterThan" aboveAverage="0" equalAverage="0" bottom="0" percent="0" rank="0" text="" dxfId="8">
      <formula>0</formula>
    </cfRule>
    <cfRule type="cellIs" priority="1185" operator="lessThan" aboveAverage="0" equalAverage="0" bottom="0" percent="0" rank="0" text="" dxfId="9">
      <formula>MaliyetEsik</formula>
    </cfRule>
  </conditionalFormatting>
  <conditionalFormatting sqref="D405">
    <cfRule type="cellIs" priority="1186" operator="lessThan" aboveAverage="0" equalAverage="0" bottom="0" percent="0" rank="0" text="" dxfId="10">
      <formula>18</formula>
    </cfRule>
  </conditionalFormatting>
  <conditionalFormatting sqref="B406">
    <cfRule type="cellIs" priority="1187" operator="greaterThan" aboveAverage="0" equalAverage="0" bottom="0" percent="0" rank="0" text="" dxfId="8">
      <formula>0</formula>
    </cfRule>
    <cfRule type="cellIs" priority="1188" operator="lessThan" aboveAverage="0" equalAverage="0" bottom="0" percent="0" rank="0" text="" dxfId="9">
      <formula>MaliyetEsik</formula>
    </cfRule>
  </conditionalFormatting>
  <conditionalFormatting sqref="D406">
    <cfRule type="cellIs" priority="1189" operator="lessThan" aboveAverage="0" equalAverage="0" bottom="0" percent="0" rank="0" text="" dxfId="10">
      <formula>18</formula>
    </cfRule>
  </conditionalFormatting>
  <conditionalFormatting sqref="B407">
    <cfRule type="cellIs" priority="1190" operator="greaterThan" aboveAverage="0" equalAverage="0" bottom="0" percent="0" rank="0" text="" dxfId="8">
      <formula>0</formula>
    </cfRule>
    <cfRule type="cellIs" priority="1191" operator="lessThan" aboveAverage="0" equalAverage="0" bottom="0" percent="0" rank="0" text="" dxfId="9">
      <formula>MaliyetEsik</formula>
    </cfRule>
  </conditionalFormatting>
  <conditionalFormatting sqref="D407">
    <cfRule type="cellIs" priority="1192" operator="lessThan" aboveAverage="0" equalAverage="0" bottom="0" percent="0" rank="0" text="" dxfId="10">
      <formula>18</formula>
    </cfRule>
  </conditionalFormatting>
  <conditionalFormatting sqref="B408">
    <cfRule type="cellIs" priority="1193" operator="greaterThan" aboveAverage="0" equalAverage="0" bottom="0" percent="0" rank="0" text="" dxfId="8">
      <formula>0</formula>
    </cfRule>
    <cfRule type="cellIs" priority="1194" operator="lessThan" aboveAverage="0" equalAverage="0" bottom="0" percent="0" rank="0" text="" dxfId="9">
      <formula>MaliyetEsik</formula>
    </cfRule>
  </conditionalFormatting>
  <conditionalFormatting sqref="D408">
    <cfRule type="cellIs" priority="1195" operator="lessThan" aboveAverage="0" equalAverage="0" bottom="0" percent="0" rank="0" text="" dxfId="10">
      <formula>18</formula>
    </cfRule>
  </conditionalFormatting>
  <conditionalFormatting sqref="B409">
    <cfRule type="cellIs" priority="1196" operator="greaterThan" aboveAverage="0" equalAverage="0" bottom="0" percent="0" rank="0" text="" dxfId="8">
      <formula>0</formula>
    </cfRule>
    <cfRule type="cellIs" priority="1197" operator="lessThan" aboveAverage="0" equalAverage="0" bottom="0" percent="0" rank="0" text="" dxfId="9">
      <formula>MaliyetEsik</formula>
    </cfRule>
  </conditionalFormatting>
  <conditionalFormatting sqref="D409">
    <cfRule type="cellIs" priority="1198" operator="lessThan" aboveAverage="0" equalAverage="0" bottom="0" percent="0" rank="0" text="" dxfId="10">
      <formula>18</formula>
    </cfRule>
  </conditionalFormatting>
  <conditionalFormatting sqref="B410">
    <cfRule type="cellIs" priority="1199" operator="greaterThan" aboveAverage="0" equalAverage="0" bottom="0" percent="0" rank="0" text="" dxfId="8">
      <formula>0</formula>
    </cfRule>
    <cfRule type="cellIs" priority="1200" operator="lessThan" aboveAverage="0" equalAverage="0" bottom="0" percent="0" rank="0" text="" dxfId="9">
      <formula>MaliyetEsik</formula>
    </cfRule>
  </conditionalFormatting>
  <conditionalFormatting sqref="D410">
    <cfRule type="cellIs" priority="1201" operator="lessThan" aboveAverage="0" equalAverage="0" bottom="0" percent="0" rank="0" text="" dxfId="10">
      <formula>18</formula>
    </cfRule>
  </conditionalFormatting>
  <conditionalFormatting sqref="B411">
    <cfRule type="cellIs" priority="1202" operator="greaterThan" aboveAverage="0" equalAverage="0" bottom="0" percent="0" rank="0" text="" dxfId="8">
      <formula>0</formula>
    </cfRule>
    <cfRule type="cellIs" priority="1203" operator="lessThan" aboveAverage="0" equalAverage="0" bottom="0" percent="0" rank="0" text="" dxfId="9">
      <formula>MaliyetEsik</formula>
    </cfRule>
  </conditionalFormatting>
  <conditionalFormatting sqref="D411">
    <cfRule type="cellIs" priority="1204" operator="lessThan" aboveAverage="0" equalAverage="0" bottom="0" percent="0" rank="0" text="" dxfId="10">
      <formula>18</formula>
    </cfRule>
  </conditionalFormatting>
  <conditionalFormatting sqref="B412">
    <cfRule type="cellIs" priority="1205" operator="greaterThan" aboveAverage="0" equalAverage="0" bottom="0" percent="0" rank="0" text="" dxfId="8">
      <formula>0</formula>
    </cfRule>
    <cfRule type="cellIs" priority="1206" operator="lessThan" aboveAverage="0" equalAverage="0" bottom="0" percent="0" rank="0" text="" dxfId="9">
      <formula>MaliyetEsik</formula>
    </cfRule>
  </conditionalFormatting>
  <conditionalFormatting sqref="D412">
    <cfRule type="cellIs" priority="1207" operator="lessThan" aboveAverage="0" equalAverage="0" bottom="0" percent="0" rank="0" text="" dxfId="10">
      <formula>18</formula>
    </cfRule>
  </conditionalFormatting>
  <conditionalFormatting sqref="B413">
    <cfRule type="cellIs" priority="1208" operator="greaterThan" aboveAverage="0" equalAverage="0" bottom="0" percent="0" rank="0" text="" dxfId="8">
      <formula>0</formula>
    </cfRule>
    <cfRule type="cellIs" priority="1209" operator="lessThan" aboveAverage="0" equalAverage="0" bottom="0" percent="0" rank="0" text="" dxfId="9">
      <formula>MaliyetEsik</formula>
    </cfRule>
  </conditionalFormatting>
  <conditionalFormatting sqref="D413">
    <cfRule type="cellIs" priority="1210" operator="lessThan" aboveAverage="0" equalAverage="0" bottom="0" percent="0" rank="0" text="" dxfId="10">
      <formula>18</formula>
    </cfRule>
  </conditionalFormatting>
  <conditionalFormatting sqref="B414">
    <cfRule type="cellIs" priority="1211" operator="greaterThan" aboveAverage="0" equalAverage="0" bottom="0" percent="0" rank="0" text="" dxfId="8">
      <formula>0</formula>
    </cfRule>
    <cfRule type="cellIs" priority="1212" operator="lessThan" aboveAverage="0" equalAverage="0" bottom="0" percent="0" rank="0" text="" dxfId="9">
      <formula>MaliyetEsik</formula>
    </cfRule>
  </conditionalFormatting>
  <conditionalFormatting sqref="D414">
    <cfRule type="cellIs" priority="1213" operator="lessThan" aboveAverage="0" equalAverage="0" bottom="0" percent="0" rank="0" text="" dxfId="10">
      <formula>18</formula>
    </cfRule>
  </conditionalFormatting>
  <conditionalFormatting sqref="B415">
    <cfRule type="cellIs" priority="1214" operator="greaterThan" aboveAverage="0" equalAverage="0" bottom="0" percent="0" rank="0" text="" dxfId="8">
      <formula>0</formula>
    </cfRule>
    <cfRule type="cellIs" priority="1215" operator="lessThan" aboveAverage="0" equalAverage="0" bottom="0" percent="0" rank="0" text="" dxfId="9">
      <formula>MaliyetEsik</formula>
    </cfRule>
  </conditionalFormatting>
  <conditionalFormatting sqref="D415">
    <cfRule type="cellIs" priority="1216" operator="lessThan" aboveAverage="0" equalAverage="0" bottom="0" percent="0" rank="0" text="" dxfId="10">
      <formula>18</formula>
    </cfRule>
  </conditionalFormatting>
  <conditionalFormatting sqref="B416">
    <cfRule type="cellIs" priority="1217" operator="greaterThan" aboveAverage="0" equalAverage="0" bottom="0" percent="0" rank="0" text="" dxfId="8">
      <formula>0</formula>
    </cfRule>
    <cfRule type="cellIs" priority="1218" operator="lessThan" aboveAverage="0" equalAverage="0" bottom="0" percent="0" rank="0" text="" dxfId="9">
      <formula>MaliyetEsik</formula>
    </cfRule>
  </conditionalFormatting>
  <conditionalFormatting sqref="D416">
    <cfRule type="cellIs" priority="1219" operator="lessThan" aboveAverage="0" equalAverage="0" bottom="0" percent="0" rank="0" text="" dxfId="10">
      <formula>18</formula>
    </cfRule>
  </conditionalFormatting>
  <conditionalFormatting sqref="B417">
    <cfRule type="cellIs" priority="1220" operator="greaterThan" aboveAverage="0" equalAverage="0" bottom="0" percent="0" rank="0" text="" dxfId="8">
      <formula>0</formula>
    </cfRule>
    <cfRule type="cellIs" priority="1221" operator="lessThan" aboveAverage="0" equalAverage="0" bottom="0" percent="0" rank="0" text="" dxfId="9">
      <formula>MaliyetEsik</formula>
    </cfRule>
  </conditionalFormatting>
  <conditionalFormatting sqref="D417">
    <cfRule type="cellIs" priority="1222" operator="lessThan" aboveAverage="0" equalAverage="0" bottom="0" percent="0" rank="0" text="" dxfId="10">
      <formula>18</formula>
    </cfRule>
  </conditionalFormatting>
  <conditionalFormatting sqref="B418">
    <cfRule type="cellIs" priority="1223" operator="greaterThan" aboveAverage="0" equalAverage="0" bottom="0" percent="0" rank="0" text="" dxfId="8">
      <formula>0</formula>
    </cfRule>
    <cfRule type="cellIs" priority="1224" operator="lessThan" aboveAverage="0" equalAverage="0" bottom="0" percent="0" rank="0" text="" dxfId="9">
      <formula>MaliyetEsik</formula>
    </cfRule>
  </conditionalFormatting>
  <conditionalFormatting sqref="D418">
    <cfRule type="cellIs" priority="1225" operator="lessThan" aboveAverage="0" equalAverage="0" bottom="0" percent="0" rank="0" text="" dxfId="10">
      <formula>18</formula>
    </cfRule>
  </conditionalFormatting>
  <conditionalFormatting sqref="B419">
    <cfRule type="cellIs" priority="1226" operator="greaterThan" aboveAverage="0" equalAverage="0" bottom="0" percent="0" rank="0" text="" dxfId="8">
      <formula>0</formula>
    </cfRule>
    <cfRule type="cellIs" priority="1227" operator="lessThan" aboveAverage="0" equalAverage="0" bottom="0" percent="0" rank="0" text="" dxfId="9">
      <formula>MaliyetEsik</formula>
    </cfRule>
  </conditionalFormatting>
  <conditionalFormatting sqref="D419">
    <cfRule type="cellIs" priority="1228" operator="lessThan" aboveAverage="0" equalAverage="0" bottom="0" percent="0" rank="0" text="" dxfId="10">
      <formula>18</formula>
    </cfRule>
  </conditionalFormatting>
  <conditionalFormatting sqref="B420">
    <cfRule type="cellIs" priority="1229" operator="greaterThan" aboveAverage="0" equalAverage="0" bottom="0" percent="0" rank="0" text="" dxfId="8">
      <formula>0</formula>
    </cfRule>
    <cfRule type="cellIs" priority="1230" operator="lessThan" aboveAverage="0" equalAverage="0" bottom="0" percent="0" rank="0" text="" dxfId="9">
      <formula>MaliyetEsik</formula>
    </cfRule>
  </conditionalFormatting>
  <conditionalFormatting sqref="D420">
    <cfRule type="cellIs" priority="1231" operator="lessThan" aboveAverage="0" equalAverage="0" bottom="0" percent="0" rank="0" text="" dxfId="10">
      <formula>18</formula>
    </cfRule>
  </conditionalFormatting>
  <conditionalFormatting sqref="B421">
    <cfRule type="cellIs" priority="1232" operator="greaterThan" aboveAverage="0" equalAverage="0" bottom="0" percent="0" rank="0" text="" dxfId="8">
      <formula>0</formula>
    </cfRule>
    <cfRule type="cellIs" priority="1233" operator="lessThan" aboveAverage="0" equalAverage="0" bottom="0" percent="0" rank="0" text="" dxfId="9">
      <formula>MaliyetEsik</formula>
    </cfRule>
  </conditionalFormatting>
  <conditionalFormatting sqref="D421">
    <cfRule type="cellIs" priority="1234" operator="lessThan" aboveAverage="0" equalAverage="0" bottom="0" percent="0" rank="0" text="" dxfId="10">
      <formula>18</formula>
    </cfRule>
  </conditionalFormatting>
  <conditionalFormatting sqref="B422">
    <cfRule type="cellIs" priority="1235" operator="greaterThan" aboveAverage="0" equalAverage="0" bottom="0" percent="0" rank="0" text="" dxfId="8">
      <formula>0</formula>
    </cfRule>
    <cfRule type="cellIs" priority="1236" operator="lessThan" aboveAverage="0" equalAverage="0" bottom="0" percent="0" rank="0" text="" dxfId="9">
      <formula>MaliyetEsik</formula>
    </cfRule>
  </conditionalFormatting>
  <conditionalFormatting sqref="D422">
    <cfRule type="cellIs" priority="1237" operator="lessThan" aboveAverage="0" equalAverage="0" bottom="0" percent="0" rank="0" text="" dxfId="10">
      <formula>18</formula>
    </cfRule>
  </conditionalFormatting>
  <conditionalFormatting sqref="B423">
    <cfRule type="cellIs" priority="1238" operator="greaterThan" aboveAverage="0" equalAverage="0" bottom="0" percent="0" rank="0" text="" dxfId="8">
      <formula>0</formula>
    </cfRule>
    <cfRule type="cellIs" priority="1239" operator="lessThan" aboveAverage="0" equalAverage="0" bottom="0" percent="0" rank="0" text="" dxfId="9">
      <formula>MaliyetEsik</formula>
    </cfRule>
  </conditionalFormatting>
  <conditionalFormatting sqref="D423">
    <cfRule type="cellIs" priority="1240" operator="lessThan" aboveAverage="0" equalAverage="0" bottom="0" percent="0" rank="0" text="" dxfId="10">
      <formula>18</formula>
    </cfRule>
  </conditionalFormatting>
  <conditionalFormatting sqref="B424">
    <cfRule type="cellIs" priority="1241" operator="greaterThan" aboveAverage="0" equalAverage="0" bottom="0" percent="0" rank="0" text="" dxfId="8">
      <formula>0</formula>
    </cfRule>
    <cfRule type="cellIs" priority="1242" operator="lessThan" aboveAverage="0" equalAverage="0" bottom="0" percent="0" rank="0" text="" dxfId="9">
      <formula>MaliyetEsik</formula>
    </cfRule>
  </conditionalFormatting>
  <conditionalFormatting sqref="D424">
    <cfRule type="cellIs" priority="1243" operator="lessThan" aboveAverage="0" equalAverage="0" bottom="0" percent="0" rank="0" text="" dxfId="10">
      <formula>18</formula>
    </cfRule>
  </conditionalFormatting>
  <conditionalFormatting sqref="B425">
    <cfRule type="cellIs" priority="1244" operator="greaterThan" aboveAverage="0" equalAverage="0" bottom="0" percent="0" rank="0" text="" dxfId="8">
      <formula>0</formula>
    </cfRule>
    <cfRule type="cellIs" priority="1245" operator="lessThan" aboveAverage="0" equalAverage="0" bottom="0" percent="0" rank="0" text="" dxfId="9">
      <formula>MaliyetEsik</formula>
    </cfRule>
  </conditionalFormatting>
  <conditionalFormatting sqref="D425">
    <cfRule type="cellIs" priority="1246" operator="lessThan" aboveAverage="0" equalAverage="0" bottom="0" percent="0" rank="0" text="" dxfId="10">
      <formula>18</formula>
    </cfRule>
  </conditionalFormatting>
  <conditionalFormatting sqref="B426">
    <cfRule type="cellIs" priority="1247" operator="greaterThan" aboveAverage="0" equalAverage="0" bottom="0" percent="0" rank="0" text="" dxfId="8">
      <formula>0</formula>
    </cfRule>
    <cfRule type="cellIs" priority="1248" operator="lessThan" aboveAverage="0" equalAverage="0" bottom="0" percent="0" rank="0" text="" dxfId="9">
      <formula>MaliyetEsik</formula>
    </cfRule>
  </conditionalFormatting>
  <conditionalFormatting sqref="D426">
    <cfRule type="cellIs" priority="1249" operator="lessThan" aboveAverage="0" equalAverage="0" bottom="0" percent="0" rank="0" text="" dxfId="10">
      <formula>18</formula>
    </cfRule>
  </conditionalFormatting>
  <conditionalFormatting sqref="B427">
    <cfRule type="cellIs" priority="1250" operator="greaterThan" aboveAverage="0" equalAverage="0" bottom="0" percent="0" rank="0" text="" dxfId="8">
      <formula>0</formula>
    </cfRule>
    <cfRule type="cellIs" priority="1251" operator="lessThan" aboveAverage="0" equalAverage="0" bottom="0" percent="0" rank="0" text="" dxfId="9">
      <formula>MaliyetEsik</formula>
    </cfRule>
  </conditionalFormatting>
  <conditionalFormatting sqref="D427">
    <cfRule type="cellIs" priority="1252" operator="lessThan" aboveAverage="0" equalAverage="0" bottom="0" percent="0" rank="0" text="" dxfId="10">
      <formula>18</formula>
    </cfRule>
  </conditionalFormatting>
  <conditionalFormatting sqref="B428">
    <cfRule type="cellIs" priority="1253" operator="greaterThan" aboveAverage="0" equalAverage="0" bottom="0" percent="0" rank="0" text="" dxfId="8">
      <formula>0</formula>
    </cfRule>
    <cfRule type="cellIs" priority="1254" operator="lessThan" aboveAverage="0" equalAverage="0" bottom="0" percent="0" rank="0" text="" dxfId="9">
      <formula>MaliyetEsik</formula>
    </cfRule>
  </conditionalFormatting>
  <conditionalFormatting sqref="D428">
    <cfRule type="cellIs" priority="1255" operator="lessThan" aboveAverage="0" equalAverage="0" bottom="0" percent="0" rank="0" text="" dxfId="10">
      <formula>18</formula>
    </cfRule>
  </conditionalFormatting>
  <conditionalFormatting sqref="B429">
    <cfRule type="cellIs" priority="1256" operator="greaterThan" aboveAverage="0" equalAverage="0" bottom="0" percent="0" rank="0" text="" dxfId="8">
      <formula>0</formula>
    </cfRule>
    <cfRule type="cellIs" priority="1257" operator="lessThan" aboveAverage="0" equalAverage="0" bottom="0" percent="0" rank="0" text="" dxfId="9">
      <formula>MaliyetEsik</formula>
    </cfRule>
  </conditionalFormatting>
  <conditionalFormatting sqref="D429">
    <cfRule type="cellIs" priority="1258" operator="lessThan" aboveAverage="0" equalAverage="0" bottom="0" percent="0" rank="0" text="" dxfId="10">
      <formula>18</formula>
    </cfRule>
  </conditionalFormatting>
  <conditionalFormatting sqref="B430">
    <cfRule type="cellIs" priority="1259" operator="greaterThan" aboveAverage="0" equalAverage="0" bottom="0" percent="0" rank="0" text="" dxfId="8">
      <formula>0</formula>
    </cfRule>
    <cfRule type="cellIs" priority="1260" operator="lessThan" aboveAverage="0" equalAverage="0" bottom="0" percent="0" rank="0" text="" dxfId="9">
      <formula>MaliyetEsik</formula>
    </cfRule>
  </conditionalFormatting>
  <conditionalFormatting sqref="D430">
    <cfRule type="cellIs" priority="1261" operator="lessThan" aboveAverage="0" equalAverage="0" bottom="0" percent="0" rank="0" text="" dxfId="10">
      <formula>18</formula>
    </cfRule>
  </conditionalFormatting>
  <conditionalFormatting sqref="B431">
    <cfRule type="cellIs" priority="1262" operator="greaterThan" aboveAverage="0" equalAverage="0" bottom="0" percent="0" rank="0" text="" dxfId="8">
      <formula>0</formula>
    </cfRule>
    <cfRule type="cellIs" priority="1263" operator="lessThan" aboveAverage="0" equalAverage="0" bottom="0" percent="0" rank="0" text="" dxfId="9">
      <formula>MaliyetEsik</formula>
    </cfRule>
  </conditionalFormatting>
  <conditionalFormatting sqref="D431">
    <cfRule type="cellIs" priority="1264" operator="lessThan" aboveAverage="0" equalAverage="0" bottom="0" percent="0" rank="0" text="" dxfId="10">
      <formula>18</formula>
    </cfRule>
  </conditionalFormatting>
  <conditionalFormatting sqref="B432">
    <cfRule type="cellIs" priority="1265" operator="greaterThan" aboveAverage="0" equalAverage="0" bottom="0" percent="0" rank="0" text="" dxfId="8">
      <formula>0</formula>
    </cfRule>
    <cfRule type="cellIs" priority="1266" operator="lessThan" aboveAverage="0" equalAverage="0" bottom="0" percent="0" rank="0" text="" dxfId="9">
      <formula>MaliyetEsik</formula>
    </cfRule>
  </conditionalFormatting>
  <conditionalFormatting sqref="D432">
    <cfRule type="cellIs" priority="1267" operator="lessThan" aboveAverage="0" equalAverage="0" bottom="0" percent="0" rank="0" text="" dxfId="10">
      <formula>18</formula>
    </cfRule>
  </conditionalFormatting>
  <conditionalFormatting sqref="B433">
    <cfRule type="cellIs" priority="1268" operator="greaterThan" aboveAverage="0" equalAverage="0" bottom="0" percent="0" rank="0" text="" dxfId="8">
      <formula>0</formula>
    </cfRule>
    <cfRule type="cellIs" priority="1269" operator="lessThan" aboveAverage="0" equalAverage="0" bottom="0" percent="0" rank="0" text="" dxfId="9">
      <formula>MaliyetEsik</formula>
    </cfRule>
  </conditionalFormatting>
  <conditionalFormatting sqref="D433">
    <cfRule type="cellIs" priority="1270" operator="lessThan" aboveAverage="0" equalAverage="0" bottom="0" percent="0" rank="0" text="" dxfId="10">
      <formula>18</formula>
    </cfRule>
  </conditionalFormatting>
  <conditionalFormatting sqref="B434">
    <cfRule type="cellIs" priority="1271" operator="greaterThan" aboveAverage="0" equalAverage="0" bottom="0" percent="0" rank="0" text="" dxfId="8">
      <formula>0</formula>
    </cfRule>
    <cfRule type="cellIs" priority="1272" operator="lessThan" aboveAverage="0" equalAverage="0" bottom="0" percent="0" rank="0" text="" dxfId="9">
      <formula>MaliyetEsik</formula>
    </cfRule>
  </conditionalFormatting>
  <conditionalFormatting sqref="D434">
    <cfRule type="cellIs" priority="1273" operator="lessThan" aboveAverage="0" equalAverage="0" bottom="0" percent="0" rank="0" text="" dxfId="10">
      <formula>18</formula>
    </cfRule>
  </conditionalFormatting>
  <conditionalFormatting sqref="B435">
    <cfRule type="cellIs" priority="1274" operator="greaterThan" aboveAverage="0" equalAverage="0" bottom="0" percent="0" rank="0" text="" dxfId="8">
      <formula>0</formula>
    </cfRule>
    <cfRule type="cellIs" priority="1275" operator="lessThan" aboveAverage="0" equalAverage="0" bottom="0" percent="0" rank="0" text="" dxfId="9">
      <formula>MaliyetEsik</formula>
    </cfRule>
  </conditionalFormatting>
  <conditionalFormatting sqref="D435">
    <cfRule type="cellIs" priority="1276" operator="lessThan" aboveAverage="0" equalAverage="0" bottom="0" percent="0" rank="0" text="" dxfId="10">
      <formula>18</formula>
    </cfRule>
  </conditionalFormatting>
  <conditionalFormatting sqref="B436">
    <cfRule type="cellIs" priority="1277" operator="greaterThan" aboveAverage="0" equalAverage="0" bottom="0" percent="0" rank="0" text="" dxfId="8">
      <formula>0</formula>
    </cfRule>
    <cfRule type="cellIs" priority="1278" operator="lessThan" aboveAverage="0" equalAverage="0" bottom="0" percent="0" rank="0" text="" dxfId="9">
      <formula>MaliyetEsik</formula>
    </cfRule>
  </conditionalFormatting>
  <conditionalFormatting sqref="D436">
    <cfRule type="cellIs" priority="1279" operator="lessThan" aboveAverage="0" equalAverage="0" bottom="0" percent="0" rank="0" text="" dxfId="10">
      <formula>18</formula>
    </cfRule>
  </conditionalFormatting>
  <conditionalFormatting sqref="B437">
    <cfRule type="cellIs" priority="1280" operator="greaterThan" aboveAverage="0" equalAverage="0" bottom="0" percent="0" rank="0" text="" dxfId="8">
      <formula>0</formula>
    </cfRule>
    <cfRule type="cellIs" priority="1281" operator="lessThan" aboveAverage="0" equalAverage="0" bottom="0" percent="0" rank="0" text="" dxfId="9">
      <formula>MaliyetEsik</formula>
    </cfRule>
  </conditionalFormatting>
  <conditionalFormatting sqref="D437">
    <cfRule type="cellIs" priority="1282" operator="lessThan" aboveAverage="0" equalAverage="0" bottom="0" percent="0" rank="0" text="" dxfId="10">
      <formula>18</formula>
    </cfRule>
  </conditionalFormatting>
  <conditionalFormatting sqref="B438">
    <cfRule type="cellIs" priority="1283" operator="greaterThan" aboveAverage="0" equalAverage="0" bottom="0" percent="0" rank="0" text="" dxfId="8">
      <formula>0</formula>
    </cfRule>
    <cfRule type="cellIs" priority="1284" operator="lessThan" aboveAverage="0" equalAverage="0" bottom="0" percent="0" rank="0" text="" dxfId="9">
      <formula>MaliyetEsik</formula>
    </cfRule>
  </conditionalFormatting>
  <conditionalFormatting sqref="D438">
    <cfRule type="cellIs" priority="1285" operator="lessThan" aboveAverage="0" equalAverage="0" bottom="0" percent="0" rank="0" text="" dxfId="10">
      <formula>18</formula>
    </cfRule>
  </conditionalFormatting>
  <conditionalFormatting sqref="B439">
    <cfRule type="cellIs" priority="1286" operator="greaterThan" aboveAverage="0" equalAverage="0" bottom="0" percent="0" rank="0" text="" dxfId="8">
      <formula>0</formula>
    </cfRule>
    <cfRule type="cellIs" priority="1287" operator="lessThan" aboveAverage="0" equalAverage="0" bottom="0" percent="0" rank="0" text="" dxfId="9">
      <formula>MaliyetEsik</formula>
    </cfRule>
  </conditionalFormatting>
  <conditionalFormatting sqref="D439">
    <cfRule type="cellIs" priority="1288" operator="lessThan" aboveAverage="0" equalAverage="0" bottom="0" percent="0" rank="0" text="" dxfId="10">
      <formula>18</formula>
    </cfRule>
  </conditionalFormatting>
  <conditionalFormatting sqref="B440">
    <cfRule type="cellIs" priority="1289" operator="greaterThan" aboveAverage="0" equalAverage="0" bottom="0" percent="0" rank="0" text="" dxfId="8">
      <formula>0</formula>
    </cfRule>
    <cfRule type="cellIs" priority="1290" operator="lessThan" aboveAverage="0" equalAverage="0" bottom="0" percent="0" rank="0" text="" dxfId="9">
      <formula>MaliyetEsik</formula>
    </cfRule>
  </conditionalFormatting>
  <conditionalFormatting sqref="D440">
    <cfRule type="cellIs" priority="1291" operator="lessThan" aboveAverage="0" equalAverage="0" bottom="0" percent="0" rank="0" text="" dxfId="10">
      <formula>18</formula>
    </cfRule>
  </conditionalFormatting>
  <conditionalFormatting sqref="B441">
    <cfRule type="cellIs" priority="1292" operator="greaterThan" aboveAverage="0" equalAverage="0" bottom="0" percent="0" rank="0" text="" dxfId="8">
      <formula>0</formula>
    </cfRule>
    <cfRule type="cellIs" priority="1293" operator="lessThan" aboveAverage="0" equalAverage="0" bottom="0" percent="0" rank="0" text="" dxfId="9">
      <formula>MaliyetEsik</formula>
    </cfRule>
  </conditionalFormatting>
  <conditionalFormatting sqref="D441">
    <cfRule type="cellIs" priority="1294" operator="lessThan" aboveAverage="0" equalAverage="0" bottom="0" percent="0" rank="0" text="" dxfId="10">
      <formula>18</formula>
    </cfRule>
  </conditionalFormatting>
  <conditionalFormatting sqref="B442">
    <cfRule type="cellIs" priority="1295" operator="greaterThan" aboveAverage="0" equalAverage="0" bottom="0" percent="0" rank="0" text="" dxfId="8">
      <formula>0</formula>
    </cfRule>
    <cfRule type="cellIs" priority="1296" operator="lessThan" aboveAverage="0" equalAverage="0" bottom="0" percent="0" rank="0" text="" dxfId="9">
      <formula>MaliyetEsik</formula>
    </cfRule>
  </conditionalFormatting>
  <conditionalFormatting sqref="D442">
    <cfRule type="cellIs" priority="1297" operator="lessThan" aboveAverage="0" equalAverage="0" bottom="0" percent="0" rank="0" text="" dxfId="10">
      <formula>18</formula>
    </cfRule>
  </conditionalFormatting>
  <conditionalFormatting sqref="B443">
    <cfRule type="cellIs" priority="1298" operator="greaterThan" aboveAverage="0" equalAverage="0" bottom="0" percent="0" rank="0" text="" dxfId="8">
      <formula>0</formula>
    </cfRule>
    <cfRule type="cellIs" priority="1299" operator="lessThan" aboveAverage="0" equalAverage="0" bottom="0" percent="0" rank="0" text="" dxfId="9">
      <formula>MaliyetEsik</formula>
    </cfRule>
  </conditionalFormatting>
  <conditionalFormatting sqref="D443">
    <cfRule type="cellIs" priority="1300" operator="lessThan" aboveAverage="0" equalAverage="0" bottom="0" percent="0" rank="0" text="" dxfId="10">
      <formula>18</formula>
    </cfRule>
  </conditionalFormatting>
  <conditionalFormatting sqref="B444">
    <cfRule type="cellIs" priority="1301" operator="greaterThan" aboveAverage="0" equalAverage="0" bottom="0" percent="0" rank="0" text="" dxfId="8">
      <formula>0</formula>
    </cfRule>
    <cfRule type="cellIs" priority="1302" operator="lessThan" aboveAverage="0" equalAverage="0" bottom="0" percent="0" rank="0" text="" dxfId="9">
      <formula>MaliyetEsik</formula>
    </cfRule>
  </conditionalFormatting>
  <conditionalFormatting sqref="D444">
    <cfRule type="cellIs" priority="1303" operator="lessThan" aboveAverage="0" equalAverage="0" bottom="0" percent="0" rank="0" text="" dxfId="10">
      <formula>18</formula>
    </cfRule>
  </conditionalFormatting>
  <conditionalFormatting sqref="B445">
    <cfRule type="cellIs" priority="1304" operator="greaterThan" aboveAverage="0" equalAverage="0" bottom="0" percent="0" rank="0" text="" dxfId="8">
      <formula>0</formula>
    </cfRule>
    <cfRule type="cellIs" priority="1305" operator="lessThan" aboveAverage="0" equalAverage="0" bottom="0" percent="0" rank="0" text="" dxfId="9">
      <formula>MaliyetEsik</formula>
    </cfRule>
  </conditionalFormatting>
  <conditionalFormatting sqref="D445">
    <cfRule type="cellIs" priority="1306" operator="lessThan" aboveAverage="0" equalAverage="0" bottom="0" percent="0" rank="0" text="" dxfId="10">
      <formula>18</formula>
    </cfRule>
  </conditionalFormatting>
  <conditionalFormatting sqref="B446">
    <cfRule type="cellIs" priority="1307" operator="greaterThan" aboveAverage="0" equalAverage="0" bottom="0" percent="0" rank="0" text="" dxfId="8">
      <formula>0</formula>
    </cfRule>
    <cfRule type="cellIs" priority="1308" operator="lessThan" aboveAverage="0" equalAverage="0" bottom="0" percent="0" rank="0" text="" dxfId="9">
      <formula>MaliyetEsik</formula>
    </cfRule>
  </conditionalFormatting>
  <conditionalFormatting sqref="D446">
    <cfRule type="cellIs" priority="1309" operator="lessThan" aboveAverage="0" equalAverage="0" bottom="0" percent="0" rank="0" text="" dxfId="10">
      <formula>18</formula>
    </cfRule>
  </conditionalFormatting>
  <conditionalFormatting sqref="B447">
    <cfRule type="cellIs" priority="1310" operator="greaterThan" aboveAverage="0" equalAverage="0" bottom="0" percent="0" rank="0" text="" dxfId="8">
      <formula>0</formula>
    </cfRule>
    <cfRule type="cellIs" priority="1311" operator="lessThan" aboveAverage="0" equalAverage="0" bottom="0" percent="0" rank="0" text="" dxfId="9">
      <formula>MaliyetEsik</formula>
    </cfRule>
  </conditionalFormatting>
  <conditionalFormatting sqref="D447">
    <cfRule type="cellIs" priority="1312" operator="lessThan" aboveAverage="0" equalAverage="0" bottom="0" percent="0" rank="0" text="" dxfId="10">
      <formula>18</formula>
    </cfRule>
  </conditionalFormatting>
  <conditionalFormatting sqref="B448">
    <cfRule type="cellIs" priority="1313" operator="greaterThan" aboveAverage="0" equalAverage="0" bottom="0" percent="0" rank="0" text="" dxfId="8">
      <formula>0</formula>
    </cfRule>
    <cfRule type="cellIs" priority="1314" operator="lessThan" aboveAverage="0" equalAverage="0" bottom="0" percent="0" rank="0" text="" dxfId="9">
      <formula>MaliyetEsik</formula>
    </cfRule>
  </conditionalFormatting>
  <conditionalFormatting sqref="D448">
    <cfRule type="cellIs" priority="1315" operator="lessThan" aboveAverage="0" equalAverage="0" bottom="0" percent="0" rank="0" text="" dxfId="10">
      <formula>18</formula>
    </cfRule>
  </conditionalFormatting>
  <conditionalFormatting sqref="B449">
    <cfRule type="cellIs" priority="1316" operator="greaterThan" aboveAverage="0" equalAverage="0" bottom="0" percent="0" rank="0" text="" dxfId="8">
      <formula>0</formula>
    </cfRule>
    <cfRule type="cellIs" priority="1317" operator="lessThan" aboveAverage="0" equalAverage="0" bottom="0" percent="0" rank="0" text="" dxfId="9">
      <formula>MaliyetEsik</formula>
    </cfRule>
  </conditionalFormatting>
  <conditionalFormatting sqref="D449">
    <cfRule type="cellIs" priority="1318" operator="lessThan" aboveAverage="0" equalAverage="0" bottom="0" percent="0" rank="0" text="" dxfId="10">
      <formula>18</formula>
    </cfRule>
  </conditionalFormatting>
  <conditionalFormatting sqref="B450">
    <cfRule type="cellIs" priority="1319" operator="greaterThan" aboveAverage="0" equalAverage="0" bottom="0" percent="0" rank="0" text="" dxfId="8">
      <formula>0</formula>
    </cfRule>
    <cfRule type="cellIs" priority="1320" operator="lessThan" aboveAverage="0" equalAverage="0" bottom="0" percent="0" rank="0" text="" dxfId="9">
      <formula>MaliyetEsik</formula>
    </cfRule>
  </conditionalFormatting>
  <conditionalFormatting sqref="D450">
    <cfRule type="cellIs" priority="1321" operator="lessThan" aboveAverage="0" equalAverage="0" bottom="0" percent="0" rank="0" text="" dxfId="10">
      <formula>18</formula>
    </cfRule>
  </conditionalFormatting>
  <conditionalFormatting sqref="B451">
    <cfRule type="cellIs" priority="1322" operator="greaterThan" aboveAverage="0" equalAverage="0" bottom="0" percent="0" rank="0" text="" dxfId="8">
      <formula>0</formula>
    </cfRule>
    <cfRule type="cellIs" priority="1323" operator="lessThan" aboveAverage="0" equalAverage="0" bottom="0" percent="0" rank="0" text="" dxfId="9">
      <formula>MaliyetEsik</formula>
    </cfRule>
  </conditionalFormatting>
  <conditionalFormatting sqref="D451">
    <cfRule type="cellIs" priority="1324" operator="lessThan" aboveAverage="0" equalAverage="0" bottom="0" percent="0" rank="0" text="" dxfId="10">
      <formula>18</formula>
    </cfRule>
  </conditionalFormatting>
  <conditionalFormatting sqref="B452">
    <cfRule type="cellIs" priority="1325" operator="greaterThan" aboveAverage="0" equalAverage="0" bottom="0" percent="0" rank="0" text="" dxfId="8">
      <formula>0</formula>
    </cfRule>
    <cfRule type="cellIs" priority="1326" operator="lessThan" aboveAverage="0" equalAverage="0" bottom="0" percent="0" rank="0" text="" dxfId="9">
      <formula>MaliyetEsik</formula>
    </cfRule>
  </conditionalFormatting>
  <conditionalFormatting sqref="D452">
    <cfRule type="cellIs" priority="1327" operator="lessThan" aboveAverage="0" equalAverage="0" bottom="0" percent="0" rank="0" text="" dxfId="10">
      <formula>18</formula>
    </cfRule>
  </conditionalFormatting>
  <conditionalFormatting sqref="B453">
    <cfRule type="cellIs" priority="1328" operator="greaterThan" aboveAverage="0" equalAverage="0" bottom="0" percent="0" rank="0" text="" dxfId="8">
      <formula>0</formula>
    </cfRule>
    <cfRule type="cellIs" priority="1329" operator="lessThan" aboveAverage="0" equalAverage="0" bottom="0" percent="0" rank="0" text="" dxfId="9">
      <formula>MaliyetEsik</formula>
    </cfRule>
  </conditionalFormatting>
  <conditionalFormatting sqref="D453">
    <cfRule type="cellIs" priority="1330" operator="lessThan" aboveAverage="0" equalAverage="0" bottom="0" percent="0" rank="0" text="" dxfId="10">
      <formula>18</formula>
    </cfRule>
  </conditionalFormatting>
  <conditionalFormatting sqref="B454">
    <cfRule type="cellIs" priority="1331" operator="greaterThan" aboveAverage="0" equalAverage="0" bottom="0" percent="0" rank="0" text="" dxfId="8">
      <formula>0</formula>
    </cfRule>
    <cfRule type="cellIs" priority="1332" operator="lessThan" aboveAverage="0" equalAverage="0" bottom="0" percent="0" rank="0" text="" dxfId="9">
      <formula>MaliyetEsik</formula>
    </cfRule>
  </conditionalFormatting>
  <conditionalFormatting sqref="D454">
    <cfRule type="cellIs" priority="1333" operator="lessThan" aboveAverage="0" equalAverage="0" bottom="0" percent="0" rank="0" text="" dxfId="10">
      <formula>18</formula>
    </cfRule>
  </conditionalFormatting>
  <conditionalFormatting sqref="B455">
    <cfRule type="cellIs" priority="1334" operator="greaterThan" aboveAverage="0" equalAverage="0" bottom="0" percent="0" rank="0" text="" dxfId="8">
      <formula>0</formula>
    </cfRule>
    <cfRule type="cellIs" priority="1335" operator="lessThan" aboveAverage="0" equalAverage="0" bottom="0" percent="0" rank="0" text="" dxfId="9">
      <formula>MaliyetEsik</formula>
    </cfRule>
  </conditionalFormatting>
  <conditionalFormatting sqref="D455">
    <cfRule type="cellIs" priority="1336" operator="lessThan" aboveAverage="0" equalAverage="0" bottom="0" percent="0" rank="0" text="" dxfId="10">
      <formula>18</formula>
    </cfRule>
  </conditionalFormatting>
  <conditionalFormatting sqref="B456">
    <cfRule type="cellIs" priority="1337" operator="greaterThan" aboveAverage="0" equalAverage="0" bottom="0" percent="0" rank="0" text="" dxfId="8">
      <formula>0</formula>
    </cfRule>
    <cfRule type="cellIs" priority="1338" operator="lessThan" aboveAverage="0" equalAverage="0" bottom="0" percent="0" rank="0" text="" dxfId="9">
      <formula>MaliyetEsik</formula>
    </cfRule>
  </conditionalFormatting>
  <conditionalFormatting sqref="D456">
    <cfRule type="cellIs" priority="1339" operator="lessThan" aboveAverage="0" equalAverage="0" bottom="0" percent="0" rank="0" text="" dxfId="10">
      <formula>18</formula>
    </cfRule>
  </conditionalFormatting>
  <conditionalFormatting sqref="B457">
    <cfRule type="cellIs" priority="1340" operator="greaterThan" aboveAverage="0" equalAverage="0" bottom="0" percent="0" rank="0" text="" dxfId="8">
      <formula>0</formula>
    </cfRule>
    <cfRule type="cellIs" priority="1341" operator="lessThan" aboveAverage="0" equalAverage="0" bottom="0" percent="0" rank="0" text="" dxfId="9">
      <formula>MaliyetEsik</formula>
    </cfRule>
  </conditionalFormatting>
  <conditionalFormatting sqref="D457">
    <cfRule type="cellIs" priority="1342" operator="lessThan" aboveAverage="0" equalAverage="0" bottom="0" percent="0" rank="0" text="" dxfId="10">
      <formula>18</formula>
    </cfRule>
  </conditionalFormatting>
  <conditionalFormatting sqref="B458">
    <cfRule type="cellIs" priority="1343" operator="greaterThan" aboveAverage="0" equalAverage="0" bottom="0" percent="0" rank="0" text="" dxfId="8">
      <formula>0</formula>
    </cfRule>
    <cfRule type="cellIs" priority="1344" operator="lessThan" aboveAverage="0" equalAverage="0" bottom="0" percent="0" rank="0" text="" dxfId="9">
      <formula>MaliyetEsik</formula>
    </cfRule>
  </conditionalFormatting>
  <conditionalFormatting sqref="D458">
    <cfRule type="cellIs" priority="1345" operator="lessThan" aboveAverage="0" equalAverage="0" bottom="0" percent="0" rank="0" text="" dxfId="10">
      <formula>18</formula>
    </cfRule>
  </conditionalFormatting>
  <conditionalFormatting sqref="B459">
    <cfRule type="cellIs" priority="1346" operator="greaterThan" aboveAverage="0" equalAverage="0" bottom="0" percent="0" rank="0" text="" dxfId="8">
      <formula>0</formula>
    </cfRule>
    <cfRule type="cellIs" priority="1347" operator="lessThan" aboveAverage="0" equalAverage="0" bottom="0" percent="0" rank="0" text="" dxfId="9">
      <formula>MaliyetEsik</formula>
    </cfRule>
  </conditionalFormatting>
  <conditionalFormatting sqref="D459">
    <cfRule type="cellIs" priority="1348" operator="lessThan" aboveAverage="0" equalAverage="0" bottom="0" percent="0" rank="0" text="" dxfId="10">
      <formula>18</formula>
    </cfRule>
  </conditionalFormatting>
  <conditionalFormatting sqref="B460">
    <cfRule type="cellIs" priority="1349" operator="greaterThan" aboveAverage="0" equalAverage="0" bottom="0" percent="0" rank="0" text="" dxfId="8">
      <formula>0</formula>
    </cfRule>
    <cfRule type="cellIs" priority="1350" operator="lessThan" aboveAverage="0" equalAverage="0" bottom="0" percent="0" rank="0" text="" dxfId="9">
      <formula>MaliyetEsik</formula>
    </cfRule>
  </conditionalFormatting>
  <conditionalFormatting sqref="D460">
    <cfRule type="cellIs" priority="1351" operator="lessThan" aboveAverage="0" equalAverage="0" bottom="0" percent="0" rank="0" text="" dxfId="10">
      <formula>18</formula>
    </cfRule>
  </conditionalFormatting>
  <conditionalFormatting sqref="B461">
    <cfRule type="cellIs" priority="1352" operator="greaterThan" aboveAverage="0" equalAverage="0" bottom="0" percent="0" rank="0" text="" dxfId="8">
      <formula>0</formula>
    </cfRule>
    <cfRule type="cellIs" priority="1353" operator="lessThan" aboveAverage="0" equalAverage="0" bottom="0" percent="0" rank="0" text="" dxfId="9">
      <formula>MaliyetEsik</formula>
    </cfRule>
  </conditionalFormatting>
  <conditionalFormatting sqref="D461">
    <cfRule type="cellIs" priority="1354" operator="lessThan" aboveAverage="0" equalAverage="0" bottom="0" percent="0" rank="0" text="" dxfId="10">
      <formula>18</formula>
    </cfRule>
  </conditionalFormatting>
  <conditionalFormatting sqref="B462">
    <cfRule type="cellIs" priority="1355" operator="greaterThan" aboveAverage="0" equalAverage="0" bottom="0" percent="0" rank="0" text="" dxfId="8">
      <formula>0</formula>
    </cfRule>
    <cfRule type="cellIs" priority="1356" operator="lessThan" aboveAverage="0" equalAverage="0" bottom="0" percent="0" rank="0" text="" dxfId="9">
      <formula>MaliyetEsik</formula>
    </cfRule>
  </conditionalFormatting>
  <conditionalFormatting sqref="D462">
    <cfRule type="cellIs" priority="1357" operator="lessThan" aboveAverage="0" equalAverage="0" bottom="0" percent="0" rank="0" text="" dxfId="10">
      <formula>18</formula>
    </cfRule>
  </conditionalFormatting>
  <conditionalFormatting sqref="B463">
    <cfRule type="cellIs" priority="1358" operator="greaterThan" aboveAverage="0" equalAverage="0" bottom="0" percent="0" rank="0" text="" dxfId="8">
      <formula>0</formula>
    </cfRule>
    <cfRule type="cellIs" priority="1359" operator="lessThan" aboveAverage="0" equalAverage="0" bottom="0" percent="0" rank="0" text="" dxfId="9">
      <formula>MaliyetEsik</formula>
    </cfRule>
  </conditionalFormatting>
  <conditionalFormatting sqref="D463">
    <cfRule type="cellIs" priority="1360" operator="lessThan" aboveAverage="0" equalAverage="0" bottom="0" percent="0" rank="0" text="" dxfId="10">
      <formula>18</formula>
    </cfRule>
  </conditionalFormatting>
  <conditionalFormatting sqref="B464">
    <cfRule type="cellIs" priority="1361" operator="greaterThan" aboveAverage="0" equalAverage="0" bottom="0" percent="0" rank="0" text="" dxfId="8">
      <formula>0</formula>
    </cfRule>
    <cfRule type="cellIs" priority="1362" operator="lessThan" aboveAverage="0" equalAverage="0" bottom="0" percent="0" rank="0" text="" dxfId="9">
      <formula>MaliyetEsik</formula>
    </cfRule>
  </conditionalFormatting>
  <conditionalFormatting sqref="D464">
    <cfRule type="cellIs" priority="1363" operator="lessThan" aboveAverage="0" equalAverage="0" bottom="0" percent="0" rank="0" text="" dxfId="10">
      <formula>18</formula>
    </cfRule>
  </conditionalFormatting>
  <conditionalFormatting sqref="B465">
    <cfRule type="cellIs" priority="1364" operator="greaterThan" aboveAverage="0" equalAverage="0" bottom="0" percent="0" rank="0" text="" dxfId="8">
      <formula>0</formula>
    </cfRule>
    <cfRule type="cellIs" priority="1365" operator="lessThan" aboveAverage="0" equalAverage="0" bottom="0" percent="0" rank="0" text="" dxfId="9">
      <formula>MaliyetEsik</formula>
    </cfRule>
  </conditionalFormatting>
  <conditionalFormatting sqref="D465">
    <cfRule type="cellIs" priority="1366" operator="lessThan" aboveAverage="0" equalAverage="0" bottom="0" percent="0" rank="0" text="" dxfId="10">
      <formula>18</formula>
    </cfRule>
  </conditionalFormatting>
  <conditionalFormatting sqref="B466">
    <cfRule type="cellIs" priority="1367" operator="greaterThan" aboveAverage="0" equalAverage="0" bottom="0" percent="0" rank="0" text="" dxfId="8">
      <formula>0</formula>
    </cfRule>
    <cfRule type="cellIs" priority="1368" operator="lessThan" aboveAverage="0" equalAverage="0" bottom="0" percent="0" rank="0" text="" dxfId="9">
      <formula>MaliyetEsik</formula>
    </cfRule>
  </conditionalFormatting>
  <conditionalFormatting sqref="D466">
    <cfRule type="cellIs" priority="1369" operator="lessThan" aboveAverage="0" equalAverage="0" bottom="0" percent="0" rank="0" text="" dxfId="10">
      <formula>18</formula>
    </cfRule>
  </conditionalFormatting>
  <conditionalFormatting sqref="B467">
    <cfRule type="cellIs" priority="1370" operator="greaterThan" aboveAverage="0" equalAverage="0" bottom="0" percent="0" rank="0" text="" dxfId="8">
      <formula>0</formula>
    </cfRule>
    <cfRule type="cellIs" priority="1371" operator="lessThan" aboveAverage="0" equalAverage="0" bottom="0" percent="0" rank="0" text="" dxfId="9">
      <formula>MaliyetEsik</formula>
    </cfRule>
  </conditionalFormatting>
  <conditionalFormatting sqref="D467">
    <cfRule type="cellIs" priority="1372" operator="lessThan" aboveAverage="0" equalAverage="0" bottom="0" percent="0" rank="0" text="" dxfId="10">
      <formula>18</formula>
    </cfRule>
  </conditionalFormatting>
  <conditionalFormatting sqref="B468">
    <cfRule type="cellIs" priority="1373" operator="greaterThan" aboveAverage="0" equalAverage="0" bottom="0" percent="0" rank="0" text="" dxfId="8">
      <formula>0</formula>
    </cfRule>
    <cfRule type="cellIs" priority="1374" operator="lessThan" aboveAverage="0" equalAverage="0" bottom="0" percent="0" rank="0" text="" dxfId="9">
      <formula>MaliyetEsik</formula>
    </cfRule>
  </conditionalFormatting>
  <conditionalFormatting sqref="D468">
    <cfRule type="cellIs" priority="1375" operator="lessThan" aboveAverage="0" equalAverage="0" bottom="0" percent="0" rank="0" text="" dxfId="10">
      <formula>18</formula>
    </cfRule>
  </conditionalFormatting>
  <conditionalFormatting sqref="B469">
    <cfRule type="cellIs" priority="1376" operator="greaterThan" aboveAverage="0" equalAverage="0" bottom="0" percent="0" rank="0" text="" dxfId="8">
      <formula>0</formula>
    </cfRule>
    <cfRule type="cellIs" priority="1377" operator="lessThan" aboveAverage="0" equalAverage="0" bottom="0" percent="0" rank="0" text="" dxfId="9">
      <formula>MaliyetEsik</formula>
    </cfRule>
  </conditionalFormatting>
  <conditionalFormatting sqref="D469">
    <cfRule type="cellIs" priority="1378" operator="lessThan" aboveAverage="0" equalAverage="0" bottom="0" percent="0" rank="0" text="" dxfId="10">
      <formula>18</formula>
    </cfRule>
  </conditionalFormatting>
  <conditionalFormatting sqref="B470">
    <cfRule type="cellIs" priority="1379" operator="greaterThan" aboveAverage="0" equalAverage="0" bottom="0" percent="0" rank="0" text="" dxfId="8">
      <formula>0</formula>
    </cfRule>
    <cfRule type="cellIs" priority="1380" operator="lessThan" aboveAverage="0" equalAverage="0" bottom="0" percent="0" rank="0" text="" dxfId="9">
      <formula>MaliyetEsik</formula>
    </cfRule>
  </conditionalFormatting>
  <conditionalFormatting sqref="D470">
    <cfRule type="cellIs" priority="1381" operator="lessThan" aboveAverage="0" equalAverage="0" bottom="0" percent="0" rank="0" text="" dxfId="10">
      <formula>18</formula>
    </cfRule>
  </conditionalFormatting>
  <conditionalFormatting sqref="B471">
    <cfRule type="cellIs" priority="1382" operator="greaterThan" aboveAverage="0" equalAverage="0" bottom="0" percent="0" rank="0" text="" dxfId="8">
      <formula>0</formula>
    </cfRule>
    <cfRule type="cellIs" priority="1383" operator="lessThan" aboveAverage="0" equalAverage="0" bottom="0" percent="0" rank="0" text="" dxfId="9">
      <formula>MaliyetEsik</formula>
    </cfRule>
  </conditionalFormatting>
  <conditionalFormatting sqref="D471">
    <cfRule type="cellIs" priority="1384" operator="lessThan" aboveAverage="0" equalAverage="0" bottom="0" percent="0" rank="0" text="" dxfId="10">
      <formula>18</formula>
    </cfRule>
  </conditionalFormatting>
  <conditionalFormatting sqref="B472">
    <cfRule type="cellIs" priority="1385" operator="greaterThan" aboveAverage="0" equalAverage="0" bottom="0" percent="0" rank="0" text="" dxfId="8">
      <formula>0</formula>
    </cfRule>
    <cfRule type="cellIs" priority="1386" operator="lessThan" aboveAverage="0" equalAverage="0" bottom="0" percent="0" rank="0" text="" dxfId="9">
      <formula>MaliyetEsik</formula>
    </cfRule>
  </conditionalFormatting>
  <conditionalFormatting sqref="D472">
    <cfRule type="cellIs" priority="1387" operator="lessThan" aboveAverage="0" equalAverage="0" bottom="0" percent="0" rank="0" text="" dxfId="10">
      <formula>18</formula>
    </cfRule>
  </conditionalFormatting>
  <conditionalFormatting sqref="B473">
    <cfRule type="cellIs" priority="1388" operator="greaterThan" aboveAverage="0" equalAverage="0" bottom="0" percent="0" rank="0" text="" dxfId="8">
      <formula>0</formula>
    </cfRule>
    <cfRule type="cellIs" priority="1389" operator="lessThan" aboveAverage="0" equalAverage="0" bottom="0" percent="0" rank="0" text="" dxfId="9">
      <formula>MaliyetEsik</formula>
    </cfRule>
  </conditionalFormatting>
  <conditionalFormatting sqref="D473">
    <cfRule type="cellIs" priority="1390" operator="lessThan" aboveAverage="0" equalAverage="0" bottom="0" percent="0" rank="0" text="" dxfId="10">
      <formula>18</formula>
    </cfRule>
  </conditionalFormatting>
  <conditionalFormatting sqref="B474">
    <cfRule type="cellIs" priority="1391" operator="greaterThan" aboveAverage="0" equalAverage="0" bottom="0" percent="0" rank="0" text="" dxfId="8">
      <formula>0</formula>
    </cfRule>
    <cfRule type="cellIs" priority="1392" operator="lessThan" aboveAverage="0" equalAverage="0" bottom="0" percent="0" rank="0" text="" dxfId="9">
      <formula>MaliyetEsik</formula>
    </cfRule>
  </conditionalFormatting>
  <conditionalFormatting sqref="D474">
    <cfRule type="cellIs" priority="1393" operator="lessThan" aboveAverage="0" equalAverage="0" bottom="0" percent="0" rank="0" text="" dxfId="10">
      <formula>18</formula>
    </cfRule>
  </conditionalFormatting>
  <conditionalFormatting sqref="B475">
    <cfRule type="cellIs" priority="1394" operator="greaterThan" aboveAverage="0" equalAverage="0" bottom="0" percent="0" rank="0" text="" dxfId="8">
      <formula>0</formula>
    </cfRule>
    <cfRule type="cellIs" priority="1395" operator="lessThan" aboveAverage="0" equalAverage="0" bottom="0" percent="0" rank="0" text="" dxfId="9">
      <formula>MaliyetEsik</formula>
    </cfRule>
  </conditionalFormatting>
  <conditionalFormatting sqref="D475">
    <cfRule type="cellIs" priority="1396" operator="lessThan" aboveAverage="0" equalAverage="0" bottom="0" percent="0" rank="0" text="" dxfId="10">
      <formula>18</formula>
    </cfRule>
  </conditionalFormatting>
  <conditionalFormatting sqref="B476">
    <cfRule type="cellIs" priority="1397" operator="greaterThan" aboveAverage="0" equalAverage="0" bottom="0" percent="0" rank="0" text="" dxfId="8">
      <formula>0</formula>
    </cfRule>
    <cfRule type="cellIs" priority="1398" operator="lessThan" aboveAverage="0" equalAverage="0" bottom="0" percent="0" rank="0" text="" dxfId="9">
      <formula>MaliyetEsik</formula>
    </cfRule>
  </conditionalFormatting>
  <conditionalFormatting sqref="D476">
    <cfRule type="cellIs" priority="1399" operator="lessThan" aboveAverage="0" equalAverage="0" bottom="0" percent="0" rank="0" text="" dxfId="10">
      <formula>18</formula>
    </cfRule>
  </conditionalFormatting>
  <conditionalFormatting sqref="B477">
    <cfRule type="cellIs" priority="1400" operator="greaterThan" aboveAverage="0" equalAverage="0" bottom="0" percent="0" rank="0" text="" dxfId="8">
      <formula>0</formula>
    </cfRule>
    <cfRule type="cellIs" priority="1401" operator="lessThan" aboveAverage="0" equalAverage="0" bottom="0" percent="0" rank="0" text="" dxfId="9">
      <formula>MaliyetEsik</formula>
    </cfRule>
  </conditionalFormatting>
  <conditionalFormatting sqref="D477">
    <cfRule type="cellIs" priority="1402" operator="lessThan" aboveAverage="0" equalAverage="0" bottom="0" percent="0" rank="0" text="" dxfId="10">
      <formula>18</formula>
    </cfRule>
  </conditionalFormatting>
  <conditionalFormatting sqref="B478">
    <cfRule type="cellIs" priority="1403" operator="greaterThan" aboveAverage="0" equalAverage="0" bottom="0" percent="0" rank="0" text="" dxfId="8">
      <formula>0</formula>
    </cfRule>
    <cfRule type="cellIs" priority="1404" operator="lessThan" aboveAverage="0" equalAverage="0" bottom="0" percent="0" rank="0" text="" dxfId="9">
      <formula>MaliyetEsik</formula>
    </cfRule>
  </conditionalFormatting>
  <conditionalFormatting sqref="D478">
    <cfRule type="cellIs" priority="1405" operator="lessThan" aboveAverage="0" equalAverage="0" bottom="0" percent="0" rank="0" text="" dxfId="10">
      <formula>18</formula>
    </cfRule>
  </conditionalFormatting>
  <conditionalFormatting sqref="B479">
    <cfRule type="cellIs" priority="1406" operator="greaterThan" aboveAverage="0" equalAverage="0" bottom="0" percent="0" rank="0" text="" dxfId="8">
      <formula>0</formula>
    </cfRule>
    <cfRule type="cellIs" priority="1407" operator="lessThan" aboveAverage="0" equalAverage="0" bottom="0" percent="0" rank="0" text="" dxfId="9">
      <formula>MaliyetEsik</formula>
    </cfRule>
  </conditionalFormatting>
  <conditionalFormatting sqref="D479">
    <cfRule type="cellIs" priority="1408" operator="lessThan" aboveAverage="0" equalAverage="0" bottom="0" percent="0" rank="0" text="" dxfId="10">
      <formula>18</formula>
    </cfRule>
  </conditionalFormatting>
  <conditionalFormatting sqref="B480">
    <cfRule type="cellIs" priority="1409" operator="greaterThan" aboveAverage="0" equalAverage="0" bottom="0" percent="0" rank="0" text="" dxfId="8">
      <formula>0</formula>
    </cfRule>
    <cfRule type="cellIs" priority="1410" operator="lessThan" aboveAverage="0" equalAverage="0" bottom="0" percent="0" rank="0" text="" dxfId="9">
      <formula>MaliyetEsik</formula>
    </cfRule>
  </conditionalFormatting>
  <conditionalFormatting sqref="D480">
    <cfRule type="cellIs" priority="1411" operator="lessThan" aboveAverage="0" equalAverage="0" bottom="0" percent="0" rank="0" text="" dxfId="10">
      <formula>18</formula>
    </cfRule>
  </conditionalFormatting>
  <conditionalFormatting sqref="B481">
    <cfRule type="cellIs" priority="1412" operator="greaterThan" aboveAverage="0" equalAverage="0" bottom="0" percent="0" rank="0" text="" dxfId="8">
      <formula>0</formula>
    </cfRule>
    <cfRule type="cellIs" priority="1413" operator="lessThan" aboveAverage="0" equalAverage="0" bottom="0" percent="0" rank="0" text="" dxfId="9">
      <formula>MaliyetEsik</formula>
    </cfRule>
  </conditionalFormatting>
  <conditionalFormatting sqref="D481">
    <cfRule type="cellIs" priority="1414" operator="lessThan" aboveAverage="0" equalAverage="0" bottom="0" percent="0" rank="0" text="" dxfId="10">
      <formula>18</formula>
    </cfRule>
  </conditionalFormatting>
  <conditionalFormatting sqref="B482">
    <cfRule type="cellIs" priority="1415" operator="greaterThan" aboveAverage="0" equalAverage="0" bottom="0" percent="0" rank="0" text="" dxfId="8">
      <formula>0</formula>
    </cfRule>
    <cfRule type="cellIs" priority="1416" operator="lessThan" aboveAverage="0" equalAverage="0" bottom="0" percent="0" rank="0" text="" dxfId="9">
      <formula>MaliyetEsik</formula>
    </cfRule>
  </conditionalFormatting>
  <conditionalFormatting sqref="D482">
    <cfRule type="cellIs" priority="1417" operator="lessThan" aboveAverage="0" equalAverage="0" bottom="0" percent="0" rank="0" text="" dxfId="10">
      <formula>18</formula>
    </cfRule>
  </conditionalFormatting>
  <conditionalFormatting sqref="B483">
    <cfRule type="cellIs" priority="1418" operator="greaterThan" aboveAverage="0" equalAverage="0" bottom="0" percent="0" rank="0" text="" dxfId="8">
      <formula>0</formula>
    </cfRule>
    <cfRule type="cellIs" priority="1419" operator="lessThan" aboveAverage="0" equalAverage="0" bottom="0" percent="0" rank="0" text="" dxfId="9">
      <formula>MaliyetEsik</formula>
    </cfRule>
  </conditionalFormatting>
  <conditionalFormatting sqref="D483">
    <cfRule type="cellIs" priority="1420" operator="lessThan" aboveAverage="0" equalAverage="0" bottom="0" percent="0" rank="0" text="" dxfId="10">
      <formula>18</formula>
    </cfRule>
  </conditionalFormatting>
  <conditionalFormatting sqref="B484">
    <cfRule type="cellIs" priority="1421" operator="greaterThan" aboveAverage="0" equalAverage="0" bottom="0" percent="0" rank="0" text="" dxfId="8">
      <formula>0</formula>
    </cfRule>
    <cfRule type="cellIs" priority="1422" operator="lessThan" aboveAverage="0" equalAverage="0" bottom="0" percent="0" rank="0" text="" dxfId="9">
      <formula>MaliyetEsik</formula>
    </cfRule>
  </conditionalFormatting>
  <conditionalFormatting sqref="D484">
    <cfRule type="cellIs" priority="1423" operator="lessThan" aboveAverage="0" equalAverage="0" bottom="0" percent="0" rank="0" text="" dxfId="10">
      <formula>18</formula>
    </cfRule>
  </conditionalFormatting>
  <conditionalFormatting sqref="B485">
    <cfRule type="cellIs" priority="1424" operator="greaterThan" aboveAverage="0" equalAverage="0" bottom="0" percent="0" rank="0" text="" dxfId="8">
      <formula>0</formula>
    </cfRule>
    <cfRule type="cellIs" priority="1425" operator="lessThan" aboveAverage="0" equalAverage="0" bottom="0" percent="0" rank="0" text="" dxfId="9">
      <formula>MaliyetEsik</formula>
    </cfRule>
  </conditionalFormatting>
  <conditionalFormatting sqref="D485">
    <cfRule type="cellIs" priority="1426" operator="lessThan" aboveAverage="0" equalAverage="0" bottom="0" percent="0" rank="0" text="" dxfId="10">
      <formula>18</formula>
    </cfRule>
  </conditionalFormatting>
  <conditionalFormatting sqref="B486">
    <cfRule type="cellIs" priority="1427" operator="greaterThan" aboveAverage="0" equalAverage="0" bottom="0" percent="0" rank="0" text="" dxfId="8">
      <formula>0</formula>
    </cfRule>
    <cfRule type="cellIs" priority="1428" operator="lessThan" aboveAverage="0" equalAverage="0" bottom="0" percent="0" rank="0" text="" dxfId="9">
      <formula>MaliyetEsik</formula>
    </cfRule>
  </conditionalFormatting>
  <conditionalFormatting sqref="D486">
    <cfRule type="cellIs" priority="1429" operator="lessThan" aboveAverage="0" equalAverage="0" bottom="0" percent="0" rank="0" text="" dxfId="10">
      <formula>18</formula>
    </cfRule>
  </conditionalFormatting>
  <conditionalFormatting sqref="B487">
    <cfRule type="cellIs" priority="1430" operator="greaterThan" aboveAverage="0" equalAverage="0" bottom="0" percent="0" rank="0" text="" dxfId="8">
      <formula>0</formula>
    </cfRule>
    <cfRule type="cellIs" priority="1431" operator="lessThan" aboveAverage="0" equalAverage="0" bottom="0" percent="0" rank="0" text="" dxfId="9">
      <formula>MaliyetEsik</formula>
    </cfRule>
  </conditionalFormatting>
  <conditionalFormatting sqref="D487">
    <cfRule type="cellIs" priority="1432" operator="lessThan" aboveAverage="0" equalAverage="0" bottom="0" percent="0" rank="0" text="" dxfId="10">
      <formula>18</formula>
    </cfRule>
  </conditionalFormatting>
  <conditionalFormatting sqref="B488">
    <cfRule type="cellIs" priority="1433" operator="greaterThan" aboveAverage="0" equalAverage="0" bottom="0" percent="0" rank="0" text="" dxfId="8">
      <formula>0</formula>
    </cfRule>
    <cfRule type="cellIs" priority="1434" operator="lessThan" aboveAverage="0" equalAverage="0" bottom="0" percent="0" rank="0" text="" dxfId="9">
      <formula>MaliyetEsik</formula>
    </cfRule>
  </conditionalFormatting>
  <conditionalFormatting sqref="D488">
    <cfRule type="cellIs" priority="1435" operator="lessThan" aboveAverage="0" equalAverage="0" bottom="0" percent="0" rank="0" text="" dxfId="10">
      <formula>18</formula>
    </cfRule>
  </conditionalFormatting>
  <conditionalFormatting sqref="B489">
    <cfRule type="cellIs" priority="1436" operator="greaterThan" aboveAverage="0" equalAverage="0" bottom="0" percent="0" rank="0" text="" dxfId="8">
      <formula>0</formula>
    </cfRule>
    <cfRule type="cellIs" priority="1437" operator="lessThan" aboveAverage="0" equalAverage="0" bottom="0" percent="0" rank="0" text="" dxfId="9">
      <formula>MaliyetEsik</formula>
    </cfRule>
  </conditionalFormatting>
  <conditionalFormatting sqref="D489">
    <cfRule type="cellIs" priority="1438" operator="lessThan" aboveAverage="0" equalAverage="0" bottom="0" percent="0" rank="0" text="" dxfId="10">
      <formula>18</formula>
    </cfRule>
  </conditionalFormatting>
  <conditionalFormatting sqref="B490">
    <cfRule type="cellIs" priority="1439" operator="greaterThan" aboveAverage="0" equalAverage="0" bottom="0" percent="0" rank="0" text="" dxfId="8">
      <formula>0</formula>
    </cfRule>
    <cfRule type="cellIs" priority="1440" operator="lessThan" aboveAverage="0" equalAverage="0" bottom="0" percent="0" rank="0" text="" dxfId="9">
      <formula>MaliyetEsik</formula>
    </cfRule>
  </conditionalFormatting>
  <conditionalFormatting sqref="D490">
    <cfRule type="cellIs" priority="1441" operator="lessThan" aboveAverage="0" equalAverage="0" bottom="0" percent="0" rank="0" text="" dxfId="10">
      <formula>18</formula>
    </cfRule>
  </conditionalFormatting>
  <conditionalFormatting sqref="B491">
    <cfRule type="cellIs" priority="1442" operator="greaterThan" aboveAverage="0" equalAverage="0" bottom="0" percent="0" rank="0" text="" dxfId="8">
      <formula>0</formula>
    </cfRule>
    <cfRule type="cellIs" priority="1443" operator="lessThan" aboveAverage="0" equalAverage="0" bottom="0" percent="0" rank="0" text="" dxfId="9">
      <formula>MaliyetEsik</formula>
    </cfRule>
  </conditionalFormatting>
  <conditionalFormatting sqref="D491">
    <cfRule type="cellIs" priority="1444" operator="lessThan" aboveAverage="0" equalAverage="0" bottom="0" percent="0" rank="0" text="" dxfId="10">
      <formula>18</formula>
    </cfRule>
  </conditionalFormatting>
  <conditionalFormatting sqref="B492">
    <cfRule type="cellIs" priority="1445" operator="greaterThan" aboveAverage="0" equalAverage="0" bottom="0" percent="0" rank="0" text="" dxfId="8">
      <formula>0</formula>
    </cfRule>
    <cfRule type="cellIs" priority="1446" operator="lessThan" aboveAverage="0" equalAverage="0" bottom="0" percent="0" rank="0" text="" dxfId="9">
      <formula>MaliyetEsik</formula>
    </cfRule>
  </conditionalFormatting>
  <conditionalFormatting sqref="D492">
    <cfRule type="cellIs" priority="1447" operator="lessThan" aboveAverage="0" equalAverage="0" bottom="0" percent="0" rank="0" text="" dxfId="10">
      <formula>18</formula>
    </cfRule>
  </conditionalFormatting>
  <conditionalFormatting sqref="B493">
    <cfRule type="cellIs" priority="1448" operator="greaterThan" aboveAverage="0" equalAverage="0" bottom="0" percent="0" rank="0" text="" dxfId="8">
      <formula>0</formula>
    </cfRule>
    <cfRule type="cellIs" priority="1449" operator="lessThan" aboveAverage="0" equalAverage="0" bottom="0" percent="0" rank="0" text="" dxfId="9">
      <formula>MaliyetEsik</formula>
    </cfRule>
  </conditionalFormatting>
  <conditionalFormatting sqref="D493">
    <cfRule type="cellIs" priority="1450" operator="lessThan" aboveAverage="0" equalAverage="0" bottom="0" percent="0" rank="0" text="" dxfId="10">
      <formula>18</formula>
    </cfRule>
  </conditionalFormatting>
  <conditionalFormatting sqref="B494">
    <cfRule type="cellIs" priority="1451" operator="greaterThan" aboveAverage="0" equalAverage="0" bottom="0" percent="0" rank="0" text="" dxfId="8">
      <formula>0</formula>
    </cfRule>
    <cfRule type="cellIs" priority="1452" operator="lessThan" aboveAverage="0" equalAverage="0" bottom="0" percent="0" rank="0" text="" dxfId="9">
      <formula>MaliyetEsik</formula>
    </cfRule>
  </conditionalFormatting>
  <conditionalFormatting sqref="D494">
    <cfRule type="cellIs" priority="1453" operator="lessThan" aboveAverage="0" equalAverage="0" bottom="0" percent="0" rank="0" text="" dxfId="10">
      <formula>18</formula>
    </cfRule>
  </conditionalFormatting>
  <conditionalFormatting sqref="B495">
    <cfRule type="cellIs" priority="1454" operator="greaterThan" aboveAverage="0" equalAverage="0" bottom="0" percent="0" rank="0" text="" dxfId="8">
      <formula>0</formula>
    </cfRule>
    <cfRule type="cellIs" priority="1455" operator="lessThan" aboveAverage="0" equalAverage="0" bottom="0" percent="0" rank="0" text="" dxfId="9">
      <formula>MaliyetEsik</formula>
    </cfRule>
  </conditionalFormatting>
  <conditionalFormatting sqref="D495">
    <cfRule type="cellIs" priority="1456" operator="lessThan" aboveAverage="0" equalAverage="0" bottom="0" percent="0" rank="0" text="" dxfId="10">
      <formula>18</formula>
    </cfRule>
  </conditionalFormatting>
  <conditionalFormatting sqref="B496">
    <cfRule type="cellIs" priority="1457" operator="greaterThan" aboveAverage="0" equalAverage="0" bottom="0" percent="0" rank="0" text="" dxfId="8">
      <formula>0</formula>
    </cfRule>
    <cfRule type="cellIs" priority="1458" operator="lessThan" aboveAverage="0" equalAverage="0" bottom="0" percent="0" rank="0" text="" dxfId="9">
      <formula>MaliyetEsik</formula>
    </cfRule>
  </conditionalFormatting>
  <conditionalFormatting sqref="D496">
    <cfRule type="cellIs" priority="1459" operator="lessThan" aboveAverage="0" equalAverage="0" bottom="0" percent="0" rank="0" text="" dxfId="10">
      <formula>18</formula>
    </cfRule>
  </conditionalFormatting>
  <conditionalFormatting sqref="B497">
    <cfRule type="cellIs" priority="1460" operator="greaterThan" aboveAverage="0" equalAverage="0" bottom="0" percent="0" rank="0" text="" dxfId="8">
      <formula>0</formula>
    </cfRule>
    <cfRule type="cellIs" priority="1461" operator="lessThan" aboveAverage="0" equalAverage="0" bottom="0" percent="0" rank="0" text="" dxfId="9">
      <formula>MaliyetEsik</formula>
    </cfRule>
  </conditionalFormatting>
  <conditionalFormatting sqref="D497">
    <cfRule type="cellIs" priority="1462" operator="lessThan" aboveAverage="0" equalAverage="0" bottom="0" percent="0" rank="0" text="" dxfId="10">
      <formula>18</formula>
    </cfRule>
  </conditionalFormatting>
  <conditionalFormatting sqref="B498">
    <cfRule type="cellIs" priority="1463" operator="greaterThan" aboveAverage="0" equalAverage="0" bottom="0" percent="0" rank="0" text="" dxfId="8">
      <formula>0</formula>
    </cfRule>
    <cfRule type="cellIs" priority="1464" operator="lessThan" aboveAverage="0" equalAverage="0" bottom="0" percent="0" rank="0" text="" dxfId="9">
      <formula>MaliyetEsik</formula>
    </cfRule>
  </conditionalFormatting>
  <conditionalFormatting sqref="D498">
    <cfRule type="cellIs" priority="1465" operator="lessThan" aboveAverage="0" equalAverage="0" bottom="0" percent="0" rank="0" text="" dxfId="10">
      <formula>18</formula>
    </cfRule>
  </conditionalFormatting>
  <conditionalFormatting sqref="B499">
    <cfRule type="cellIs" priority="1466" operator="greaterThan" aboveAverage="0" equalAverage="0" bottom="0" percent="0" rank="0" text="" dxfId="8">
      <formula>0</formula>
    </cfRule>
    <cfRule type="cellIs" priority="1467" operator="lessThan" aboveAverage="0" equalAverage="0" bottom="0" percent="0" rank="0" text="" dxfId="9">
      <formula>MaliyetEsik</formula>
    </cfRule>
  </conditionalFormatting>
  <conditionalFormatting sqref="D499">
    <cfRule type="cellIs" priority="1468" operator="lessThan" aboveAverage="0" equalAverage="0" bottom="0" percent="0" rank="0" text="" dxfId="10">
      <formula>18</formula>
    </cfRule>
  </conditionalFormatting>
  <conditionalFormatting sqref="B500">
    <cfRule type="cellIs" priority="1469" operator="greaterThan" aboveAverage="0" equalAverage="0" bottom="0" percent="0" rank="0" text="" dxfId="8">
      <formula>0</formula>
    </cfRule>
    <cfRule type="cellIs" priority="1470" operator="lessThan" aboveAverage="0" equalAverage="0" bottom="0" percent="0" rank="0" text="" dxfId="9">
      <formula>MaliyetEsik</formula>
    </cfRule>
  </conditionalFormatting>
  <conditionalFormatting sqref="D500">
    <cfRule type="cellIs" priority="1471" operator="lessThan" aboveAverage="0" equalAverage="0" bottom="0" percent="0" rank="0" text="" dxfId="10">
      <formula>18</formula>
    </cfRule>
  </conditionalFormatting>
  <conditionalFormatting sqref="B501">
    <cfRule type="cellIs" priority="1472" operator="greaterThan" aboveAverage="0" equalAverage="0" bottom="0" percent="0" rank="0" text="" dxfId="8">
      <formula>0</formula>
    </cfRule>
    <cfRule type="cellIs" priority="1473" operator="lessThan" aboveAverage="0" equalAverage="0" bottom="0" percent="0" rank="0" text="" dxfId="9">
      <formula>MaliyetEsik</formula>
    </cfRule>
  </conditionalFormatting>
  <conditionalFormatting sqref="D501">
    <cfRule type="cellIs" priority="1474" operator="lessThan" aboveAverage="0" equalAverage="0" bottom="0" percent="0" rank="0" text="" dxfId="10">
      <formula>18</formula>
    </cfRule>
  </conditionalFormatting>
  <conditionalFormatting sqref="B502">
    <cfRule type="cellIs" priority="1475" operator="greaterThan" aboveAverage="0" equalAverage="0" bottom="0" percent="0" rank="0" text="" dxfId="8">
      <formula>0</formula>
    </cfRule>
    <cfRule type="cellIs" priority="1476" operator="lessThan" aboveAverage="0" equalAverage="0" bottom="0" percent="0" rank="0" text="" dxfId="9">
      <formula>MaliyetEsik</formula>
    </cfRule>
  </conditionalFormatting>
  <conditionalFormatting sqref="D502">
    <cfRule type="cellIs" priority="1477" operator="lessThan" aboveAverage="0" equalAverage="0" bottom="0" percent="0" rank="0" text="" dxfId="10">
      <formula>18</formula>
    </cfRule>
  </conditionalFormatting>
  <conditionalFormatting sqref="B503">
    <cfRule type="cellIs" priority="1478" operator="greaterThan" aboveAverage="0" equalAverage="0" bottom="0" percent="0" rank="0" text="" dxfId="8">
      <formula>0</formula>
    </cfRule>
    <cfRule type="cellIs" priority="1479" operator="lessThan" aboveAverage="0" equalAverage="0" bottom="0" percent="0" rank="0" text="" dxfId="9">
      <formula>MaliyetEsik</formula>
    </cfRule>
  </conditionalFormatting>
  <conditionalFormatting sqref="D503">
    <cfRule type="cellIs" priority="1480" operator="lessThan" aboveAverage="0" equalAverage="0" bottom="0" percent="0" rank="0" text="" dxfId="10">
      <formula>18</formula>
    </cfRule>
  </conditionalFormatting>
  <conditionalFormatting sqref="B504">
    <cfRule type="cellIs" priority="1481" operator="greaterThan" aboveAverage="0" equalAverage="0" bottom="0" percent="0" rank="0" text="" dxfId="8">
      <formula>0</formula>
    </cfRule>
    <cfRule type="cellIs" priority="1482" operator="lessThan" aboveAverage="0" equalAverage="0" bottom="0" percent="0" rank="0" text="" dxfId="9">
      <formula>MaliyetEsik</formula>
    </cfRule>
  </conditionalFormatting>
  <conditionalFormatting sqref="D504">
    <cfRule type="cellIs" priority="1483" operator="lessThan" aboveAverage="0" equalAverage="0" bottom="0" percent="0" rank="0" text="" dxfId="10">
      <formula>18</formula>
    </cfRule>
  </conditionalFormatting>
  <conditionalFormatting sqref="B505">
    <cfRule type="cellIs" priority="1484" operator="greaterThan" aboveAverage="0" equalAverage="0" bottom="0" percent="0" rank="0" text="" dxfId="8">
      <formula>0</formula>
    </cfRule>
    <cfRule type="cellIs" priority="1485" operator="lessThan" aboveAverage="0" equalAverage="0" bottom="0" percent="0" rank="0" text="" dxfId="9">
      <formula>MaliyetEsik</formula>
    </cfRule>
  </conditionalFormatting>
  <conditionalFormatting sqref="D505">
    <cfRule type="cellIs" priority="1486" operator="lessThan" aboveAverage="0" equalAverage="0" bottom="0" percent="0" rank="0" text="" dxfId="10">
      <formula>18</formula>
    </cfRule>
  </conditionalFormatting>
  <conditionalFormatting sqref="B506">
    <cfRule type="cellIs" priority="1487" operator="greaterThan" aboveAverage="0" equalAverage="0" bottom="0" percent="0" rank="0" text="" dxfId="8">
      <formula>0</formula>
    </cfRule>
    <cfRule type="cellIs" priority="1488" operator="lessThan" aboveAverage="0" equalAverage="0" bottom="0" percent="0" rank="0" text="" dxfId="9">
      <formula>MaliyetEsik</formula>
    </cfRule>
  </conditionalFormatting>
  <conditionalFormatting sqref="D506">
    <cfRule type="cellIs" priority="1489" operator="lessThan" aboveAverage="0" equalAverage="0" bottom="0" percent="0" rank="0" text="" dxfId="10">
      <formula>18</formula>
    </cfRule>
  </conditionalFormatting>
  <conditionalFormatting sqref="B507">
    <cfRule type="cellIs" priority="1490" operator="greaterThan" aboveAverage="0" equalAverage="0" bottom="0" percent="0" rank="0" text="" dxfId="8">
      <formula>0</formula>
    </cfRule>
    <cfRule type="cellIs" priority="1491" operator="lessThan" aboveAverage="0" equalAverage="0" bottom="0" percent="0" rank="0" text="" dxfId="9">
      <formula>MaliyetEsik</formula>
    </cfRule>
  </conditionalFormatting>
  <conditionalFormatting sqref="D507">
    <cfRule type="cellIs" priority="1492" operator="lessThan" aboveAverage="0" equalAverage="0" bottom="0" percent="0" rank="0" text="" dxfId="10">
      <formula>18</formula>
    </cfRule>
  </conditionalFormatting>
  <conditionalFormatting sqref="B508">
    <cfRule type="cellIs" priority="1493" operator="greaterThan" aboveAverage="0" equalAverage="0" bottom="0" percent="0" rank="0" text="" dxfId="8">
      <formula>0</formula>
    </cfRule>
    <cfRule type="cellIs" priority="1494" operator="lessThan" aboveAverage="0" equalAverage="0" bottom="0" percent="0" rank="0" text="" dxfId="9">
      <formula>MaliyetEsik</formula>
    </cfRule>
  </conditionalFormatting>
  <conditionalFormatting sqref="D508">
    <cfRule type="cellIs" priority="1495" operator="lessThan" aboveAverage="0" equalAverage="0" bottom="0" percent="0" rank="0" text="" dxfId="10">
      <formula>18</formula>
    </cfRule>
  </conditionalFormatting>
  <conditionalFormatting sqref="B509">
    <cfRule type="cellIs" priority="1496" operator="greaterThan" aboveAverage="0" equalAverage="0" bottom="0" percent="0" rank="0" text="" dxfId="8">
      <formula>0</formula>
    </cfRule>
    <cfRule type="cellIs" priority="1497" operator="lessThan" aboveAverage="0" equalAverage="0" bottom="0" percent="0" rank="0" text="" dxfId="9">
      <formula>MaliyetEsik</formula>
    </cfRule>
  </conditionalFormatting>
  <conditionalFormatting sqref="D509">
    <cfRule type="cellIs" priority="1498" operator="lessThan" aboveAverage="0" equalAverage="0" bottom="0" percent="0" rank="0" text="" dxfId="10">
      <formula>18</formula>
    </cfRule>
  </conditionalFormatting>
  <conditionalFormatting sqref="B510">
    <cfRule type="cellIs" priority="1499" operator="greaterThan" aboveAverage="0" equalAverage="0" bottom="0" percent="0" rank="0" text="" dxfId="8">
      <formula>0</formula>
    </cfRule>
    <cfRule type="cellIs" priority="1500" operator="lessThan" aboveAverage="0" equalAverage="0" bottom="0" percent="0" rank="0" text="" dxfId="9">
      <formula>MaliyetEsik</formula>
    </cfRule>
  </conditionalFormatting>
  <conditionalFormatting sqref="D510">
    <cfRule type="cellIs" priority="1501" operator="lessThan" aboveAverage="0" equalAverage="0" bottom="0" percent="0" rank="0" text="" dxfId="10">
      <formula>18</formula>
    </cfRule>
  </conditionalFormatting>
  <conditionalFormatting sqref="B511">
    <cfRule type="cellIs" priority="1502" operator="greaterThan" aboveAverage="0" equalAverage="0" bottom="0" percent="0" rank="0" text="" dxfId="8">
      <formula>0</formula>
    </cfRule>
    <cfRule type="cellIs" priority="1503" operator="lessThan" aboveAverage="0" equalAverage="0" bottom="0" percent="0" rank="0" text="" dxfId="9">
      <formula>MaliyetEsik</formula>
    </cfRule>
  </conditionalFormatting>
  <conditionalFormatting sqref="D511">
    <cfRule type="cellIs" priority="1504" operator="lessThan" aboveAverage="0" equalAverage="0" bottom="0" percent="0" rank="0" text="" dxfId="10">
      <formula>18</formula>
    </cfRule>
  </conditionalFormatting>
  <conditionalFormatting sqref="B512">
    <cfRule type="cellIs" priority="1505" operator="greaterThan" aboveAverage="0" equalAverage="0" bottom="0" percent="0" rank="0" text="" dxfId="8">
      <formula>0</formula>
    </cfRule>
    <cfRule type="cellIs" priority="1506" operator="lessThan" aboveAverage="0" equalAverage="0" bottom="0" percent="0" rank="0" text="" dxfId="9">
      <formula>MaliyetEsik</formula>
    </cfRule>
  </conditionalFormatting>
  <conditionalFormatting sqref="D512">
    <cfRule type="cellIs" priority="1507" operator="lessThan" aboveAverage="0" equalAverage="0" bottom="0" percent="0" rank="0" text="" dxfId="10">
      <formula>18</formula>
    </cfRule>
  </conditionalFormatting>
  <conditionalFormatting sqref="B513">
    <cfRule type="cellIs" priority="1508" operator="greaterThan" aboveAverage="0" equalAverage="0" bottom="0" percent="0" rank="0" text="" dxfId="8">
      <formula>0</formula>
    </cfRule>
    <cfRule type="cellIs" priority="1509" operator="lessThan" aboveAverage="0" equalAverage="0" bottom="0" percent="0" rank="0" text="" dxfId="9">
      <formula>MaliyetEsik</formula>
    </cfRule>
  </conditionalFormatting>
  <conditionalFormatting sqref="D513">
    <cfRule type="cellIs" priority="1510" operator="lessThan" aboveAverage="0" equalAverage="0" bottom="0" percent="0" rank="0" text="" dxfId="10">
      <formula>18</formula>
    </cfRule>
  </conditionalFormatting>
  <conditionalFormatting sqref="B514">
    <cfRule type="cellIs" priority="1511" operator="greaterThan" aboveAverage="0" equalAverage="0" bottom="0" percent="0" rank="0" text="" dxfId="8">
      <formula>0</formula>
    </cfRule>
    <cfRule type="cellIs" priority="1512" operator="lessThan" aboveAverage="0" equalAverage="0" bottom="0" percent="0" rank="0" text="" dxfId="9">
      <formula>MaliyetEsik</formula>
    </cfRule>
  </conditionalFormatting>
  <conditionalFormatting sqref="D514">
    <cfRule type="cellIs" priority="1513" operator="lessThan" aboveAverage="0" equalAverage="0" bottom="0" percent="0" rank="0" text="" dxfId="10">
      <formula>18</formula>
    </cfRule>
  </conditionalFormatting>
  <conditionalFormatting sqref="B515">
    <cfRule type="cellIs" priority="1514" operator="greaterThan" aboveAverage="0" equalAverage="0" bottom="0" percent="0" rank="0" text="" dxfId="8">
      <formula>0</formula>
    </cfRule>
    <cfRule type="cellIs" priority="1515" operator="lessThan" aboveAverage="0" equalAverage="0" bottom="0" percent="0" rank="0" text="" dxfId="9">
      <formula>MaliyetEsik</formula>
    </cfRule>
  </conditionalFormatting>
  <conditionalFormatting sqref="D515">
    <cfRule type="cellIs" priority="1516" operator="lessThan" aboveAverage="0" equalAverage="0" bottom="0" percent="0" rank="0" text="" dxfId="10">
      <formula>18</formula>
    </cfRule>
  </conditionalFormatting>
  <conditionalFormatting sqref="B516">
    <cfRule type="cellIs" priority="1517" operator="greaterThan" aboveAverage="0" equalAverage="0" bottom="0" percent="0" rank="0" text="" dxfId="8">
      <formula>0</formula>
    </cfRule>
    <cfRule type="cellIs" priority="1518" operator="lessThan" aboveAverage="0" equalAverage="0" bottom="0" percent="0" rank="0" text="" dxfId="9">
      <formula>MaliyetEsik</formula>
    </cfRule>
  </conditionalFormatting>
  <conditionalFormatting sqref="D516">
    <cfRule type="cellIs" priority="1519" operator="lessThan" aboveAverage="0" equalAverage="0" bottom="0" percent="0" rank="0" text="" dxfId="10">
      <formula>18</formula>
    </cfRule>
  </conditionalFormatting>
  <conditionalFormatting sqref="B517">
    <cfRule type="cellIs" priority="1520" operator="greaterThan" aboveAverage="0" equalAverage="0" bottom="0" percent="0" rank="0" text="" dxfId="8">
      <formula>0</formula>
    </cfRule>
    <cfRule type="cellIs" priority="1521" operator="lessThan" aboveAverage="0" equalAverage="0" bottom="0" percent="0" rank="0" text="" dxfId="9">
      <formula>MaliyetEsik</formula>
    </cfRule>
  </conditionalFormatting>
  <conditionalFormatting sqref="D517">
    <cfRule type="cellIs" priority="1522" operator="lessThan" aboveAverage="0" equalAverage="0" bottom="0" percent="0" rank="0" text="" dxfId="10">
      <formula>18</formula>
    </cfRule>
  </conditionalFormatting>
  <conditionalFormatting sqref="B518">
    <cfRule type="cellIs" priority="1523" operator="greaterThan" aboveAverage="0" equalAverage="0" bottom="0" percent="0" rank="0" text="" dxfId="8">
      <formula>0</formula>
    </cfRule>
    <cfRule type="cellIs" priority="1524" operator="lessThan" aboveAverage="0" equalAverage="0" bottom="0" percent="0" rank="0" text="" dxfId="9">
      <formula>MaliyetEsik</formula>
    </cfRule>
  </conditionalFormatting>
  <conditionalFormatting sqref="D518">
    <cfRule type="cellIs" priority="1525" operator="lessThan" aboveAverage="0" equalAverage="0" bottom="0" percent="0" rank="0" text="" dxfId="10">
      <formula>18</formula>
    </cfRule>
  </conditionalFormatting>
  <conditionalFormatting sqref="B519">
    <cfRule type="cellIs" priority="1526" operator="greaterThan" aboveAverage="0" equalAverage="0" bottom="0" percent="0" rank="0" text="" dxfId="8">
      <formula>0</formula>
    </cfRule>
    <cfRule type="cellIs" priority="1527" operator="lessThan" aboveAverage="0" equalAverage="0" bottom="0" percent="0" rank="0" text="" dxfId="9">
      <formula>MaliyetEsik</formula>
    </cfRule>
  </conditionalFormatting>
  <conditionalFormatting sqref="D519">
    <cfRule type="cellIs" priority="1528" operator="lessThan" aboveAverage="0" equalAverage="0" bottom="0" percent="0" rank="0" text="" dxfId="10">
      <formula>18</formula>
    </cfRule>
  </conditionalFormatting>
  <conditionalFormatting sqref="B520">
    <cfRule type="cellIs" priority="1529" operator="greaterThan" aboveAverage="0" equalAverage="0" bottom="0" percent="0" rank="0" text="" dxfId="8">
      <formula>0</formula>
    </cfRule>
    <cfRule type="cellIs" priority="1530" operator="lessThan" aboveAverage="0" equalAverage="0" bottom="0" percent="0" rank="0" text="" dxfId="9">
      <formula>MaliyetEsik</formula>
    </cfRule>
  </conditionalFormatting>
  <conditionalFormatting sqref="D520">
    <cfRule type="cellIs" priority="1531" operator="lessThan" aboveAverage="0" equalAverage="0" bottom="0" percent="0" rank="0" text="" dxfId="10">
      <formula>18</formula>
    </cfRule>
  </conditionalFormatting>
  <conditionalFormatting sqref="B521">
    <cfRule type="cellIs" priority="1532" operator="greaterThan" aboveAverage="0" equalAverage="0" bottom="0" percent="0" rank="0" text="" dxfId="8">
      <formula>0</formula>
    </cfRule>
    <cfRule type="cellIs" priority="1533" operator="lessThan" aboveAverage="0" equalAverage="0" bottom="0" percent="0" rank="0" text="" dxfId="9">
      <formula>MaliyetEsik</formula>
    </cfRule>
  </conditionalFormatting>
  <conditionalFormatting sqref="D521">
    <cfRule type="cellIs" priority="1534" operator="lessThan" aboveAverage="0" equalAverage="0" bottom="0" percent="0" rank="0" text="" dxfId="10">
      <formula>18</formula>
    </cfRule>
  </conditionalFormatting>
  <conditionalFormatting sqref="B522">
    <cfRule type="cellIs" priority="1535" operator="greaterThan" aboveAverage="0" equalAverage="0" bottom="0" percent="0" rank="0" text="" dxfId="8">
      <formula>0</formula>
    </cfRule>
    <cfRule type="cellIs" priority="1536" operator="lessThan" aboveAverage="0" equalAverage="0" bottom="0" percent="0" rank="0" text="" dxfId="9">
      <formula>MaliyetEsik</formula>
    </cfRule>
  </conditionalFormatting>
  <conditionalFormatting sqref="D522">
    <cfRule type="cellIs" priority="1537" operator="lessThan" aboveAverage="0" equalAverage="0" bottom="0" percent="0" rank="0" text="" dxfId="10">
      <formula>18</formula>
    </cfRule>
  </conditionalFormatting>
  <conditionalFormatting sqref="B523">
    <cfRule type="cellIs" priority="1538" operator="greaterThan" aboveAverage="0" equalAverage="0" bottom="0" percent="0" rank="0" text="" dxfId="8">
      <formula>0</formula>
    </cfRule>
    <cfRule type="cellIs" priority="1539" operator="lessThan" aboveAverage="0" equalAverage="0" bottom="0" percent="0" rank="0" text="" dxfId="9">
      <formula>MaliyetEsik</formula>
    </cfRule>
  </conditionalFormatting>
  <conditionalFormatting sqref="D523">
    <cfRule type="cellIs" priority="1540" operator="lessThan" aboveAverage="0" equalAverage="0" bottom="0" percent="0" rank="0" text="" dxfId="10">
      <formula>18</formula>
    </cfRule>
  </conditionalFormatting>
  <conditionalFormatting sqref="B524">
    <cfRule type="cellIs" priority="1541" operator="greaterThan" aboveAverage="0" equalAverage="0" bottom="0" percent="0" rank="0" text="" dxfId="8">
      <formula>0</formula>
    </cfRule>
    <cfRule type="cellIs" priority="1542" operator="lessThan" aboveAverage="0" equalAverage="0" bottom="0" percent="0" rank="0" text="" dxfId="9">
      <formula>MaliyetEsik</formula>
    </cfRule>
  </conditionalFormatting>
  <conditionalFormatting sqref="D524">
    <cfRule type="cellIs" priority="1543" operator="lessThan" aboveAverage="0" equalAverage="0" bottom="0" percent="0" rank="0" text="" dxfId="10">
      <formula>18</formula>
    </cfRule>
  </conditionalFormatting>
  <conditionalFormatting sqref="B525">
    <cfRule type="cellIs" priority="1544" operator="greaterThan" aboveAverage="0" equalAverage="0" bottom="0" percent="0" rank="0" text="" dxfId="8">
      <formula>0</formula>
    </cfRule>
    <cfRule type="cellIs" priority="1545" operator="lessThan" aboveAverage="0" equalAverage="0" bottom="0" percent="0" rank="0" text="" dxfId="9">
      <formula>MaliyetEsik</formula>
    </cfRule>
  </conditionalFormatting>
  <conditionalFormatting sqref="D525">
    <cfRule type="cellIs" priority="1546" operator="lessThan" aboveAverage="0" equalAverage="0" bottom="0" percent="0" rank="0" text="" dxfId="10">
      <formula>18</formula>
    </cfRule>
  </conditionalFormatting>
  <conditionalFormatting sqref="B526">
    <cfRule type="cellIs" priority="1547" operator="greaterThan" aboveAverage="0" equalAverage="0" bottom="0" percent="0" rank="0" text="" dxfId="8">
      <formula>0</formula>
    </cfRule>
    <cfRule type="cellIs" priority="1548" operator="lessThan" aboveAverage="0" equalAverage="0" bottom="0" percent="0" rank="0" text="" dxfId="9">
      <formula>MaliyetEsik</formula>
    </cfRule>
  </conditionalFormatting>
  <conditionalFormatting sqref="D526">
    <cfRule type="cellIs" priority="1549" operator="lessThan" aboveAverage="0" equalAverage="0" bottom="0" percent="0" rank="0" text="" dxfId="10">
      <formula>18</formula>
    </cfRule>
  </conditionalFormatting>
  <conditionalFormatting sqref="B527">
    <cfRule type="cellIs" priority="1550" operator="greaterThan" aboveAverage="0" equalAverage="0" bottom="0" percent="0" rank="0" text="" dxfId="8">
      <formula>0</formula>
    </cfRule>
    <cfRule type="cellIs" priority="1551" operator="lessThan" aboveAverage="0" equalAverage="0" bottom="0" percent="0" rank="0" text="" dxfId="9">
      <formula>MaliyetEsik</formula>
    </cfRule>
  </conditionalFormatting>
  <conditionalFormatting sqref="D527">
    <cfRule type="cellIs" priority="1552" operator="lessThan" aboveAverage="0" equalAverage="0" bottom="0" percent="0" rank="0" text="" dxfId="10">
      <formula>18</formula>
    </cfRule>
  </conditionalFormatting>
  <conditionalFormatting sqref="B528">
    <cfRule type="cellIs" priority="1553" operator="greaterThan" aboveAverage="0" equalAverage="0" bottom="0" percent="0" rank="0" text="" dxfId="8">
      <formula>0</formula>
    </cfRule>
    <cfRule type="cellIs" priority="1554" operator="lessThan" aboveAverage="0" equalAverage="0" bottom="0" percent="0" rank="0" text="" dxfId="9">
      <formula>MaliyetEsik</formula>
    </cfRule>
  </conditionalFormatting>
  <conditionalFormatting sqref="D528">
    <cfRule type="cellIs" priority="1555" operator="lessThan" aboveAverage="0" equalAverage="0" bottom="0" percent="0" rank="0" text="" dxfId="10">
      <formula>18</formula>
    </cfRule>
  </conditionalFormatting>
  <conditionalFormatting sqref="B529">
    <cfRule type="cellIs" priority="1556" operator="greaterThan" aboveAverage="0" equalAverage="0" bottom="0" percent="0" rank="0" text="" dxfId="8">
      <formula>0</formula>
    </cfRule>
    <cfRule type="cellIs" priority="1557" operator="lessThan" aboveAverage="0" equalAverage="0" bottom="0" percent="0" rank="0" text="" dxfId="9">
      <formula>MaliyetEsik</formula>
    </cfRule>
  </conditionalFormatting>
  <conditionalFormatting sqref="D529">
    <cfRule type="cellIs" priority="1558" operator="lessThan" aboveAverage="0" equalAverage="0" bottom="0" percent="0" rank="0" text="" dxfId="10">
      <formula>18</formula>
    </cfRule>
  </conditionalFormatting>
  <conditionalFormatting sqref="B530">
    <cfRule type="cellIs" priority="1559" operator="greaterThan" aboveAverage="0" equalAverage="0" bottom="0" percent="0" rank="0" text="" dxfId="8">
      <formula>0</formula>
    </cfRule>
    <cfRule type="cellIs" priority="1560" operator="lessThan" aboveAverage="0" equalAverage="0" bottom="0" percent="0" rank="0" text="" dxfId="9">
      <formula>MaliyetEsik</formula>
    </cfRule>
  </conditionalFormatting>
  <conditionalFormatting sqref="D530">
    <cfRule type="cellIs" priority="1561" operator="lessThan" aboveAverage="0" equalAverage="0" bottom="0" percent="0" rank="0" text="" dxfId="10">
      <formula>18</formula>
    </cfRule>
  </conditionalFormatting>
  <conditionalFormatting sqref="B531">
    <cfRule type="cellIs" priority="1562" operator="greaterThan" aboveAverage="0" equalAverage="0" bottom="0" percent="0" rank="0" text="" dxfId="8">
      <formula>0</formula>
    </cfRule>
    <cfRule type="cellIs" priority="1563" operator="lessThan" aboveAverage="0" equalAverage="0" bottom="0" percent="0" rank="0" text="" dxfId="9">
      <formula>MaliyetEsik</formula>
    </cfRule>
  </conditionalFormatting>
  <conditionalFormatting sqref="D531">
    <cfRule type="cellIs" priority="1564" operator="lessThan" aboveAverage="0" equalAverage="0" bottom="0" percent="0" rank="0" text="" dxfId="10">
      <formula>18</formula>
    </cfRule>
  </conditionalFormatting>
  <conditionalFormatting sqref="B532">
    <cfRule type="cellIs" priority="1565" operator="greaterThan" aboveAverage="0" equalAverage="0" bottom="0" percent="0" rank="0" text="" dxfId="8">
      <formula>0</formula>
    </cfRule>
    <cfRule type="cellIs" priority="1566" operator="lessThan" aboveAverage="0" equalAverage="0" bottom="0" percent="0" rank="0" text="" dxfId="9">
      <formula>MaliyetEsik</formula>
    </cfRule>
  </conditionalFormatting>
  <conditionalFormatting sqref="D532">
    <cfRule type="cellIs" priority="1567" operator="lessThan" aboveAverage="0" equalAverage="0" bottom="0" percent="0" rank="0" text="" dxfId="10">
      <formula>18</formula>
    </cfRule>
  </conditionalFormatting>
  <conditionalFormatting sqref="B533">
    <cfRule type="cellIs" priority="1568" operator="greaterThan" aboveAverage="0" equalAverage="0" bottom="0" percent="0" rank="0" text="" dxfId="8">
      <formula>0</formula>
    </cfRule>
    <cfRule type="cellIs" priority="1569" operator="lessThan" aboveAverage="0" equalAverage="0" bottom="0" percent="0" rank="0" text="" dxfId="9">
      <formula>MaliyetEsik</formula>
    </cfRule>
  </conditionalFormatting>
  <conditionalFormatting sqref="D533">
    <cfRule type="cellIs" priority="1570" operator="lessThan" aboveAverage="0" equalAverage="0" bottom="0" percent="0" rank="0" text="" dxfId="10">
      <formula>18</formula>
    </cfRule>
  </conditionalFormatting>
  <conditionalFormatting sqref="B534">
    <cfRule type="cellIs" priority="1571" operator="greaterThan" aboveAverage="0" equalAverage="0" bottom="0" percent="0" rank="0" text="" dxfId="8">
      <formula>0</formula>
    </cfRule>
    <cfRule type="cellIs" priority="1572" operator="lessThan" aboveAverage="0" equalAverage="0" bottom="0" percent="0" rank="0" text="" dxfId="9">
      <formula>MaliyetEsik</formula>
    </cfRule>
  </conditionalFormatting>
  <conditionalFormatting sqref="D534">
    <cfRule type="cellIs" priority="1573" operator="lessThan" aboveAverage="0" equalAverage="0" bottom="0" percent="0" rank="0" text="" dxfId="10">
      <formula>18</formula>
    </cfRule>
  </conditionalFormatting>
  <conditionalFormatting sqref="B535">
    <cfRule type="cellIs" priority="1574" operator="greaterThan" aboveAverage="0" equalAverage="0" bottom="0" percent="0" rank="0" text="" dxfId="8">
      <formula>0</formula>
    </cfRule>
    <cfRule type="cellIs" priority="1575" operator="lessThan" aboveAverage="0" equalAverage="0" bottom="0" percent="0" rank="0" text="" dxfId="9">
      <formula>MaliyetEsik</formula>
    </cfRule>
  </conditionalFormatting>
  <conditionalFormatting sqref="D535">
    <cfRule type="cellIs" priority="1576" operator="lessThan" aboveAverage="0" equalAverage="0" bottom="0" percent="0" rank="0" text="" dxfId="10">
      <formula>18</formula>
    </cfRule>
  </conditionalFormatting>
  <conditionalFormatting sqref="B536">
    <cfRule type="cellIs" priority="1577" operator="greaterThan" aboveAverage="0" equalAverage="0" bottom="0" percent="0" rank="0" text="" dxfId="8">
      <formula>0</formula>
    </cfRule>
    <cfRule type="cellIs" priority="1578" operator="lessThan" aboveAverage="0" equalAverage="0" bottom="0" percent="0" rank="0" text="" dxfId="9">
      <formula>MaliyetEsik</formula>
    </cfRule>
  </conditionalFormatting>
  <conditionalFormatting sqref="D536">
    <cfRule type="cellIs" priority="1579" operator="lessThan" aboveAverage="0" equalAverage="0" bottom="0" percent="0" rank="0" text="" dxfId="10">
      <formula>18</formula>
    </cfRule>
  </conditionalFormatting>
  <conditionalFormatting sqref="B537">
    <cfRule type="cellIs" priority="1580" operator="greaterThan" aboveAverage="0" equalAverage="0" bottom="0" percent="0" rank="0" text="" dxfId="8">
      <formula>0</formula>
    </cfRule>
    <cfRule type="cellIs" priority="1581" operator="lessThan" aboveAverage="0" equalAverage="0" bottom="0" percent="0" rank="0" text="" dxfId="9">
      <formula>MaliyetEsik</formula>
    </cfRule>
  </conditionalFormatting>
  <conditionalFormatting sqref="D537">
    <cfRule type="cellIs" priority="1582" operator="lessThan" aboveAverage="0" equalAverage="0" bottom="0" percent="0" rank="0" text="" dxfId="10">
      <formula>18</formula>
    </cfRule>
  </conditionalFormatting>
  <conditionalFormatting sqref="B538">
    <cfRule type="cellIs" priority="1583" operator="greaterThan" aboveAverage="0" equalAverage="0" bottom="0" percent="0" rank="0" text="" dxfId="8">
      <formula>0</formula>
    </cfRule>
    <cfRule type="cellIs" priority="1584" operator="lessThan" aboveAverage="0" equalAverage="0" bottom="0" percent="0" rank="0" text="" dxfId="9">
      <formula>MaliyetEsik</formula>
    </cfRule>
  </conditionalFormatting>
  <conditionalFormatting sqref="D538">
    <cfRule type="cellIs" priority="1585" operator="lessThan" aboveAverage="0" equalAverage="0" bottom="0" percent="0" rank="0" text="" dxfId="10">
      <formula>18</formula>
    </cfRule>
  </conditionalFormatting>
  <conditionalFormatting sqref="B539">
    <cfRule type="cellIs" priority="1586" operator="greaterThan" aboveAverage="0" equalAverage="0" bottom="0" percent="0" rank="0" text="" dxfId="8">
      <formula>0</formula>
    </cfRule>
    <cfRule type="cellIs" priority="1587" operator="lessThan" aboveAverage="0" equalAverage="0" bottom="0" percent="0" rank="0" text="" dxfId="9">
      <formula>MaliyetEsik</formula>
    </cfRule>
  </conditionalFormatting>
  <conditionalFormatting sqref="D539">
    <cfRule type="cellIs" priority="1588" operator="lessThan" aboveAverage="0" equalAverage="0" bottom="0" percent="0" rank="0" text="" dxfId="10">
      <formula>18</formula>
    </cfRule>
  </conditionalFormatting>
  <conditionalFormatting sqref="B540">
    <cfRule type="cellIs" priority="1589" operator="greaterThan" aboveAverage="0" equalAverage="0" bottom="0" percent="0" rank="0" text="" dxfId="8">
      <formula>0</formula>
    </cfRule>
    <cfRule type="cellIs" priority="1590" operator="lessThan" aboveAverage="0" equalAverage="0" bottom="0" percent="0" rank="0" text="" dxfId="9">
      <formula>MaliyetEsik</formula>
    </cfRule>
  </conditionalFormatting>
  <conditionalFormatting sqref="D540">
    <cfRule type="cellIs" priority="1591" operator="lessThan" aboveAverage="0" equalAverage="0" bottom="0" percent="0" rank="0" text="" dxfId="10">
      <formula>18</formula>
    </cfRule>
  </conditionalFormatting>
  <conditionalFormatting sqref="B541">
    <cfRule type="cellIs" priority="1592" operator="greaterThan" aboveAverage="0" equalAverage="0" bottom="0" percent="0" rank="0" text="" dxfId="8">
      <formula>0</formula>
    </cfRule>
    <cfRule type="cellIs" priority="1593" operator="lessThan" aboveAverage="0" equalAverage="0" bottom="0" percent="0" rank="0" text="" dxfId="9">
      <formula>MaliyetEsik</formula>
    </cfRule>
  </conditionalFormatting>
  <conditionalFormatting sqref="D541">
    <cfRule type="cellIs" priority="1594" operator="lessThan" aboveAverage="0" equalAverage="0" bottom="0" percent="0" rank="0" text="" dxfId="10">
      <formula>18</formula>
    </cfRule>
  </conditionalFormatting>
  <conditionalFormatting sqref="B542">
    <cfRule type="cellIs" priority="1595" operator="greaterThan" aboveAverage="0" equalAverage="0" bottom="0" percent="0" rank="0" text="" dxfId="8">
      <formula>0</formula>
    </cfRule>
    <cfRule type="cellIs" priority="1596" operator="lessThan" aboveAverage="0" equalAverage="0" bottom="0" percent="0" rank="0" text="" dxfId="9">
      <formula>MaliyetEsik</formula>
    </cfRule>
  </conditionalFormatting>
  <conditionalFormatting sqref="D542">
    <cfRule type="cellIs" priority="1597" operator="lessThan" aboveAverage="0" equalAverage="0" bottom="0" percent="0" rank="0" text="" dxfId="10">
      <formula>18</formula>
    </cfRule>
  </conditionalFormatting>
  <conditionalFormatting sqref="B543">
    <cfRule type="cellIs" priority="1598" operator="greaterThan" aboveAverage="0" equalAverage="0" bottom="0" percent="0" rank="0" text="" dxfId="8">
      <formula>0</formula>
    </cfRule>
    <cfRule type="cellIs" priority="1599" operator="lessThan" aboveAverage="0" equalAverage="0" bottom="0" percent="0" rank="0" text="" dxfId="9">
      <formula>MaliyetEsik</formula>
    </cfRule>
  </conditionalFormatting>
  <conditionalFormatting sqref="D543">
    <cfRule type="cellIs" priority="1600" operator="lessThan" aboveAverage="0" equalAverage="0" bottom="0" percent="0" rank="0" text="" dxfId="10">
      <formula>18</formula>
    </cfRule>
  </conditionalFormatting>
  <conditionalFormatting sqref="B544">
    <cfRule type="cellIs" priority="1601" operator="greaterThan" aboveAverage="0" equalAverage="0" bottom="0" percent="0" rank="0" text="" dxfId="8">
      <formula>0</formula>
    </cfRule>
    <cfRule type="cellIs" priority="1602" operator="lessThan" aboveAverage="0" equalAverage="0" bottom="0" percent="0" rank="0" text="" dxfId="9">
      <formula>MaliyetEsik</formula>
    </cfRule>
  </conditionalFormatting>
  <conditionalFormatting sqref="D544">
    <cfRule type="cellIs" priority="1603" operator="lessThan" aboveAverage="0" equalAverage="0" bottom="0" percent="0" rank="0" text="" dxfId="10">
      <formula>18</formula>
    </cfRule>
  </conditionalFormatting>
  <conditionalFormatting sqref="B545">
    <cfRule type="cellIs" priority="1604" operator="greaterThan" aboveAverage="0" equalAverage="0" bottom="0" percent="0" rank="0" text="" dxfId="8">
      <formula>0</formula>
    </cfRule>
    <cfRule type="cellIs" priority="1605" operator="lessThan" aboveAverage="0" equalAverage="0" bottom="0" percent="0" rank="0" text="" dxfId="9">
      <formula>MaliyetEsik</formula>
    </cfRule>
  </conditionalFormatting>
  <conditionalFormatting sqref="D545">
    <cfRule type="cellIs" priority="1606" operator="lessThan" aboveAverage="0" equalAverage="0" bottom="0" percent="0" rank="0" text="" dxfId="10">
      <formula>18</formula>
    </cfRule>
  </conditionalFormatting>
  <conditionalFormatting sqref="B546">
    <cfRule type="cellIs" priority="1607" operator="greaterThan" aboveAverage="0" equalAverage="0" bottom="0" percent="0" rank="0" text="" dxfId="8">
      <formula>0</formula>
    </cfRule>
    <cfRule type="cellIs" priority="1608" operator="lessThan" aboveAverage="0" equalAverage="0" bottom="0" percent="0" rank="0" text="" dxfId="9">
      <formula>MaliyetEsik</formula>
    </cfRule>
  </conditionalFormatting>
  <conditionalFormatting sqref="D546">
    <cfRule type="cellIs" priority="1609" operator="lessThan" aboveAverage="0" equalAverage="0" bottom="0" percent="0" rank="0" text="" dxfId="10">
      <formula>18</formula>
    </cfRule>
  </conditionalFormatting>
  <conditionalFormatting sqref="B547">
    <cfRule type="cellIs" priority="1610" operator="greaterThan" aboveAverage="0" equalAverage="0" bottom="0" percent="0" rank="0" text="" dxfId="8">
      <formula>0</formula>
    </cfRule>
    <cfRule type="cellIs" priority="1611" operator="lessThan" aboveAverage="0" equalAverage="0" bottom="0" percent="0" rank="0" text="" dxfId="9">
      <formula>MaliyetEsik</formula>
    </cfRule>
  </conditionalFormatting>
  <conditionalFormatting sqref="D547">
    <cfRule type="cellIs" priority="1612" operator="lessThan" aboveAverage="0" equalAverage="0" bottom="0" percent="0" rank="0" text="" dxfId="10">
      <formula>18</formula>
    </cfRule>
  </conditionalFormatting>
  <conditionalFormatting sqref="B548">
    <cfRule type="cellIs" priority="1613" operator="greaterThan" aboveAverage="0" equalAverage="0" bottom="0" percent="0" rank="0" text="" dxfId="8">
      <formula>0</formula>
    </cfRule>
    <cfRule type="cellIs" priority="1614" operator="lessThan" aboveAverage="0" equalAverage="0" bottom="0" percent="0" rank="0" text="" dxfId="9">
      <formula>MaliyetEsik</formula>
    </cfRule>
  </conditionalFormatting>
  <conditionalFormatting sqref="D548">
    <cfRule type="cellIs" priority="1615" operator="lessThan" aboveAverage="0" equalAverage="0" bottom="0" percent="0" rank="0" text="" dxfId="10">
      <formula>18</formula>
    </cfRule>
  </conditionalFormatting>
  <conditionalFormatting sqref="B549">
    <cfRule type="cellIs" priority="1616" operator="greaterThan" aboveAverage="0" equalAverage="0" bottom="0" percent="0" rank="0" text="" dxfId="8">
      <formula>0</formula>
    </cfRule>
    <cfRule type="cellIs" priority="1617" operator="lessThan" aboveAverage="0" equalAverage="0" bottom="0" percent="0" rank="0" text="" dxfId="9">
      <formula>MaliyetEsik</formula>
    </cfRule>
  </conditionalFormatting>
  <conditionalFormatting sqref="D549">
    <cfRule type="cellIs" priority="1618" operator="lessThan" aboveAverage="0" equalAverage="0" bottom="0" percent="0" rank="0" text="" dxfId="10">
      <formula>18</formula>
    </cfRule>
  </conditionalFormatting>
  <conditionalFormatting sqref="B550">
    <cfRule type="cellIs" priority="1619" operator="greaterThan" aboveAverage="0" equalAverage="0" bottom="0" percent="0" rank="0" text="" dxfId="8">
      <formula>0</formula>
    </cfRule>
    <cfRule type="cellIs" priority="1620" operator="lessThan" aboveAverage="0" equalAverage="0" bottom="0" percent="0" rank="0" text="" dxfId="9">
      <formula>MaliyetEsik</formula>
    </cfRule>
  </conditionalFormatting>
  <conditionalFormatting sqref="D550">
    <cfRule type="cellIs" priority="1621" operator="lessThan" aboveAverage="0" equalAverage="0" bottom="0" percent="0" rank="0" text="" dxfId="10">
      <formula>18</formula>
    </cfRule>
  </conditionalFormatting>
  <conditionalFormatting sqref="B551">
    <cfRule type="cellIs" priority="1622" operator="greaterThan" aboveAverage="0" equalAverage="0" bottom="0" percent="0" rank="0" text="" dxfId="8">
      <formula>0</formula>
    </cfRule>
    <cfRule type="cellIs" priority="1623" operator="lessThan" aboveAverage="0" equalAverage="0" bottom="0" percent="0" rank="0" text="" dxfId="9">
      <formula>MaliyetEsik</formula>
    </cfRule>
  </conditionalFormatting>
  <conditionalFormatting sqref="D551">
    <cfRule type="cellIs" priority="1624" operator="lessThan" aboveAverage="0" equalAverage="0" bottom="0" percent="0" rank="0" text="" dxfId="10">
      <formula>18</formula>
    </cfRule>
  </conditionalFormatting>
  <conditionalFormatting sqref="B552">
    <cfRule type="cellIs" priority="1625" operator="greaterThan" aboveAverage="0" equalAverage="0" bottom="0" percent="0" rank="0" text="" dxfId="8">
      <formula>0</formula>
    </cfRule>
    <cfRule type="cellIs" priority="1626" operator="lessThan" aboveAverage="0" equalAverage="0" bottom="0" percent="0" rank="0" text="" dxfId="9">
      <formula>MaliyetEsik</formula>
    </cfRule>
  </conditionalFormatting>
  <conditionalFormatting sqref="D552">
    <cfRule type="cellIs" priority="1627" operator="lessThan" aboveAverage="0" equalAverage="0" bottom="0" percent="0" rank="0" text="" dxfId="10">
      <formula>18</formula>
    </cfRule>
  </conditionalFormatting>
  <conditionalFormatting sqref="B553">
    <cfRule type="cellIs" priority="1628" operator="greaterThan" aboveAverage="0" equalAverage="0" bottom="0" percent="0" rank="0" text="" dxfId="8">
      <formula>0</formula>
    </cfRule>
    <cfRule type="cellIs" priority="1629" operator="lessThan" aboveAverage="0" equalAverage="0" bottom="0" percent="0" rank="0" text="" dxfId="9">
      <formula>MaliyetEsik</formula>
    </cfRule>
  </conditionalFormatting>
  <conditionalFormatting sqref="D553">
    <cfRule type="cellIs" priority="1630" operator="lessThan" aboveAverage="0" equalAverage="0" bottom="0" percent="0" rank="0" text="" dxfId="10">
      <formula>18</formula>
    </cfRule>
  </conditionalFormatting>
  <conditionalFormatting sqref="B554">
    <cfRule type="cellIs" priority="1631" operator="greaterThan" aboveAverage="0" equalAverage="0" bottom="0" percent="0" rank="0" text="" dxfId="8">
      <formula>0</formula>
    </cfRule>
    <cfRule type="cellIs" priority="1632" operator="lessThan" aboveAverage="0" equalAverage="0" bottom="0" percent="0" rank="0" text="" dxfId="9">
      <formula>MaliyetEsik</formula>
    </cfRule>
  </conditionalFormatting>
  <conditionalFormatting sqref="D554">
    <cfRule type="cellIs" priority="1633" operator="lessThan" aboveAverage="0" equalAverage="0" bottom="0" percent="0" rank="0" text="" dxfId="10">
      <formula>18</formula>
    </cfRule>
  </conditionalFormatting>
  <conditionalFormatting sqref="B555">
    <cfRule type="cellIs" priority="1634" operator="greaterThan" aboveAverage="0" equalAverage="0" bottom="0" percent="0" rank="0" text="" dxfId="8">
      <formula>0</formula>
    </cfRule>
    <cfRule type="cellIs" priority="1635" operator="lessThan" aboveAverage="0" equalAverage="0" bottom="0" percent="0" rank="0" text="" dxfId="9">
      <formula>MaliyetEsik</formula>
    </cfRule>
  </conditionalFormatting>
  <conditionalFormatting sqref="D555">
    <cfRule type="cellIs" priority="1636" operator="lessThan" aboveAverage="0" equalAverage="0" bottom="0" percent="0" rank="0" text="" dxfId="10">
      <formula>18</formula>
    </cfRule>
  </conditionalFormatting>
  <conditionalFormatting sqref="B556">
    <cfRule type="cellIs" priority="1637" operator="greaterThan" aboveAverage="0" equalAverage="0" bottom="0" percent="0" rank="0" text="" dxfId="8">
      <formula>0</formula>
    </cfRule>
    <cfRule type="cellIs" priority="1638" operator="lessThan" aboveAverage="0" equalAverage="0" bottom="0" percent="0" rank="0" text="" dxfId="9">
      <formula>MaliyetEsik</formula>
    </cfRule>
  </conditionalFormatting>
  <conditionalFormatting sqref="D556">
    <cfRule type="cellIs" priority="1639" operator="lessThan" aboveAverage="0" equalAverage="0" bottom="0" percent="0" rank="0" text="" dxfId="10">
      <formula>18</formula>
    </cfRule>
  </conditionalFormatting>
  <conditionalFormatting sqref="B557">
    <cfRule type="cellIs" priority="1640" operator="greaterThan" aboveAverage="0" equalAverage="0" bottom="0" percent="0" rank="0" text="" dxfId="8">
      <formula>0</formula>
    </cfRule>
    <cfRule type="cellIs" priority="1641" operator="lessThan" aboveAverage="0" equalAverage="0" bottom="0" percent="0" rank="0" text="" dxfId="9">
      <formula>MaliyetEsik</formula>
    </cfRule>
  </conditionalFormatting>
  <conditionalFormatting sqref="D557">
    <cfRule type="cellIs" priority="1642" operator="lessThan" aboveAverage="0" equalAverage="0" bottom="0" percent="0" rank="0" text="" dxfId="10">
      <formula>18</formula>
    </cfRule>
  </conditionalFormatting>
  <conditionalFormatting sqref="B558">
    <cfRule type="cellIs" priority="1643" operator="greaterThan" aboveAverage="0" equalAverage="0" bottom="0" percent="0" rank="0" text="" dxfId="8">
      <formula>0</formula>
    </cfRule>
    <cfRule type="cellIs" priority="1644" operator="lessThan" aboveAverage="0" equalAverage="0" bottom="0" percent="0" rank="0" text="" dxfId="9">
      <formula>MaliyetEsik</formula>
    </cfRule>
  </conditionalFormatting>
  <conditionalFormatting sqref="D558">
    <cfRule type="cellIs" priority="1645" operator="lessThan" aboveAverage="0" equalAverage="0" bottom="0" percent="0" rank="0" text="" dxfId="10">
      <formula>18</formula>
    </cfRule>
  </conditionalFormatting>
  <conditionalFormatting sqref="B559">
    <cfRule type="cellIs" priority="1646" operator="greaterThan" aboveAverage="0" equalAverage="0" bottom="0" percent="0" rank="0" text="" dxfId="8">
      <formula>0</formula>
    </cfRule>
    <cfRule type="cellIs" priority="1647" operator="lessThan" aboveAverage="0" equalAverage="0" bottom="0" percent="0" rank="0" text="" dxfId="9">
      <formula>MaliyetEsik</formula>
    </cfRule>
  </conditionalFormatting>
  <conditionalFormatting sqref="D559">
    <cfRule type="cellIs" priority="1648" operator="lessThan" aboveAverage="0" equalAverage="0" bottom="0" percent="0" rank="0" text="" dxfId="10">
      <formula>18</formula>
    </cfRule>
  </conditionalFormatting>
  <conditionalFormatting sqref="B560">
    <cfRule type="cellIs" priority="1649" operator="greaterThan" aboveAverage="0" equalAverage="0" bottom="0" percent="0" rank="0" text="" dxfId="8">
      <formula>0</formula>
    </cfRule>
    <cfRule type="cellIs" priority="1650" operator="lessThan" aboveAverage="0" equalAverage="0" bottom="0" percent="0" rank="0" text="" dxfId="9">
      <formula>MaliyetEsik</formula>
    </cfRule>
  </conditionalFormatting>
  <conditionalFormatting sqref="D560">
    <cfRule type="cellIs" priority="1651" operator="lessThan" aboveAverage="0" equalAverage="0" bottom="0" percent="0" rank="0" text="" dxfId="10">
      <formula>18</formula>
    </cfRule>
  </conditionalFormatting>
  <conditionalFormatting sqref="B561">
    <cfRule type="cellIs" priority="1652" operator="greaterThan" aboveAverage="0" equalAverage="0" bottom="0" percent="0" rank="0" text="" dxfId="8">
      <formula>0</formula>
    </cfRule>
    <cfRule type="cellIs" priority="1653" operator="lessThan" aboveAverage="0" equalAverage="0" bottom="0" percent="0" rank="0" text="" dxfId="9">
      <formula>MaliyetEsik</formula>
    </cfRule>
  </conditionalFormatting>
  <conditionalFormatting sqref="D561">
    <cfRule type="cellIs" priority="1654" operator="lessThan" aboveAverage="0" equalAverage="0" bottom="0" percent="0" rank="0" text="" dxfId="10">
      <formula>18</formula>
    </cfRule>
  </conditionalFormatting>
  <conditionalFormatting sqref="B562">
    <cfRule type="cellIs" priority="1655" operator="greaterThan" aboveAverage="0" equalAverage="0" bottom="0" percent="0" rank="0" text="" dxfId="8">
      <formula>0</formula>
    </cfRule>
    <cfRule type="cellIs" priority="1656" operator="lessThan" aboveAverage="0" equalAverage="0" bottom="0" percent="0" rank="0" text="" dxfId="9">
      <formula>MaliyetEsik</formula>
    </cfRule>
  </conditionalFormatting>
  <conditionalFormatting sqref="D562">
    <cfRule type="cellIs" priority="1657" operator="lessThan" aboveAverage="0" equalAverage="0" bottom="0" percent="0" rank="0" text="" dxfId="10">
      <formula>18</formula>
    </cfRule>
  </conditionalFormatting>
  <conditionalFormatting sqref="B563">
    <cfRule type="cellIs" priority="1658" operator="greaterThan" aboveAverage="0" equalAverage="0" bottom="0" percent="0" rank="0" text="" dxfId="8">
      <formula>0</formula>
    </cfRule>
    <cfRule type="cellIs" priority="1659" operator="lessThan" aboveAverage="0" equalAverage="0" bottom="0" percent="0" rank="0" text="" dxfId="9">
      <formula>MaliyetEsik</formula>
    </cfRule>
  </conditionalFormatting>
  <conditionalFormatting sqref="D563">
    <cfRule type="cellIs" priority="1660" operator="lessThan" aboveAverage="0" equalAverage="0" bottom="0" percent="0" rank="0" text="" dxfId="10">
      <formula>18</formula>
    </cfRule>
  </conditionalFormatting>
  <conditionalFormatting sqref="B564">
    <cfRule type="cellIs" priority="1661" operator="greaterThan" aboveAverage="0" equalAverage="0" bottom="0" percent="0" rank="0" text="" dxfId="8">
      <formula>0</formula>
    </cfRule>
    <cfRule type="cellIs" priority="1662" operator="lessThan" aboveAverage="0" equalAverage="0" bottom="0" percent="0" rank="0" text="" dxfId="9">
      <formula>MaliyetEsik</formula>
    </cfRule>
  </conditionalFormatting>
  <conditionalFormatting sqref="D564">
    <cfRule type="cellIs" priority="1663" operator="lessThan" aboveAverage="0" equalAverage="0" bottom="0" percent="0" rank="0" text="" dxfId="10">
      <formula>18</formula>
    </cfRule>
  </conditionalFormatting>
  <conditionalFormatting sqref="B565">
    <cfRule type="cellIs" priority="1664" operator="greaterThan" aboveAverage="0" equalAverage="0" bottom="0" percent="0" rank="0" text="" dxfId="8">
      <formula>0</formula>
    </cfRule>
    <cfRule type="cellIs" priority="1665" operator="lessThan" aboveAverage="0" equalAverage="0" bottom="0" percent="0" rank="0" text="" dxfId="9">
      <formula>MaliyetEsik</formula>
    </cfRule>
  </conditionalFormatting>
  <conditionalFormatting sqref="D565">
    <cfRule type="cellIs" priority="1666" operator="lessThan" aboveAverage="0" equalAverage="0" bottom="0" percent="0" rank="0" text="" dxfId="10">
      <formula>18</formula>
    </cfRule>
  </conditionalFormatting>
  <conditionalFormatting sqref="B566">
    <cfRule type="cellIs" priority="1667" operator="greaterThan" aboveAverage="0" equalAverage="0" bottom="0" percent="0" rank="0" text="" dxfId="8">
      <formula>0</formula>
    </cfRule>
    <cfRule type="cellIs" priority="1668" operator="lessThan" aboveAverage="0" equalAverage="0" bottom="0" percent="0" rank="0" text="" dxfId="9">
      <formula>MaliyetEsik</formula>
    </cfRule>
  </conditionalFormatting>
  <conditionalFormatting sqref="D566">
    <cfRule type="cellIs" priority="1669" operator="lessThan" aboveAverage="0" equalAverage="0" bottom="0" percent="0" rank="0" text="" dxfId="10">
      <formula>18</formula>
    </cfRule>
  </conditionalFormatting>
  <conditionalFormatting sqref="B567">
    <cfRule type="cellIs" priority="1670" operator="greaterThan" aboveAverage="0" equalAverage="0" bottom="0" percent="0" rank="0" text="" dxfId="8">
      <formula>0</formula>
    </cfRule>
    <cfRule type="cellIs" priority="1671" operator="lessThan" aboveAverage="0" equalAverage="0" bottom="0" percent="0" rank="0" text="" dxfId="9">
      <formula>MaliyetEsik</formula>
    </cfRule>
  </conditionalFormatting>
  <conditionalFormatting sqref="D567">
    <cfRule type="cellIs" priority="1672" operator="lessThan" aboveAverage="0" equalAverage="0" bottom="0" percent="0" rank="0" text="" dxfId="10">
      <formula>18</formula>
    </cfRule>
  </conditionalFormatting>
  <conditionalFormatting sqref="B568">
    <cfRule type="cellIs" priority="1673" operator="greaterThan" aboveAverage="0" equalAverage="0" bottom="0" percent="0" rank="0" text="" dxfId="8">
      <formula>0</formula>
    </cfRule>
    <cfRule type="cellIs" priority="1674" operator="lessThan" aboveAverage="0" equalAverage="0" bottom="0" percent="0" rank="0" text="" dxfId="9">
      <formula>MaliyetEsik</formula>
    </cfRule>
  </conditionalFormatting>
  <conditionalFormatting sqref="D568">
    <cfRule type="cellIs" priority="1675" operator="lessThan" aboveAverage="0" equalAverage="0" bottom="0" percent="0" rank="0" text="" dxfId="10">
      <formula>18</formula>
    </cfRule>
  </conditionalFormatting>
  <conditionalFormatting sqref="B569">
    <cfRule type="cellIs" priority="1676" operator="greaterThan" aboveAverage="0" equalAverage="0" bottom="0" percent="0" rank="0" text="" dxfId="8">
      <formula>0</formula>
    </cfRule>
    <cfRule type="cellIs" priority="1677" operator="lessThan" aboveAverage="0" equalAverage="0" bottom="0" percent="0" rank="0" text="" dxfId="9">
      <formula>MaliyetEsik</formula>
    </cfRule>
  </conditionalFormatting>
  <conditionalFormatting sqref="D569">
    <cfRule type="cellIs" priority="1678" operator="lessThan" aboveAverage="0" equalAverage="0" bottom="0" percent="0" rank="0" text="" dxfId="10">
      <formula>18</formula>
    </cfRule>
  </conditionalFormatting>
  <conditionalFormatting sqref="B570">
    <cfRule type="cellIs" priority="1679" operator="greaterThan" aboveAverage="0" equalAverage="0" bottom="0" percent="0" rank="0" text="" dxfId="8">
      <formula>0</formula>
    </cfRule>
    <cfRule type="cellIs" priority="1680" operator="lessThan" aboveAverage="0" equalAverage="0" bottom="0" percent="0" rank="0" text="" dxfId="9">
      <formula>MaliyetEsik</formula>
    </cfRule>
  </conditionalFormatting>
  <conditionalFormatting sqref="D570">
    <cfRule type="cellIs" priority="1681" operator="lessThan" aboveAverage="0" equalAverage="0" bottom="0" percent="0" rank="0" text="" dxfId="10">
      <formula>18</formula>
    </cfRule>
  </conditionalFormatting>
  <conditionalFormatting sqref="B571">
    <cfRule type="cellIs" priority="1682" operator="greaterThan" aboveAverage="0" equalAverage="0" bottom="0" percent="0" rank="0" text="" dxfId="8">
      <formula>0</formula>
    </cfRule>
    <cfRule type="cellIs" priority="1683" operator="lessThan" aboveAverage="0" equalAverage="0" bottom="0" percent="0" rank="0" text="" dxfId="9">
      <formula>MaliyetEsik</formula>
    </cfRule>
  </conditionalFormatting>
  <conditionalFormatting sqref="D571">
    <cfRule type="cellIs" priority="1684" operator="lessThan" aboveAverage="0" equalAverage="0" bottom="0" percent="0" rank="0" text="" dxfId="10">
      <formula>18</formula>
    </cfRule>
  </conditionalFormatting>
  <conditionalFormatting sqref="B572">
    <cfRule type="cellIs" priority="1685" operator="greaterThan" aboveAverage="0" equalAverage="0" bottom="0" percent="0" rank="0" text="" dxfId="8">
      <formula>0</formula>
    </cfRule>
    <cfRule type="cellIs" priority="1686" operator="lessThan" aboveAverage="0" equalAverage="0" bottom="0" percent="0" rank="0" text="" dxfId="9">
      <formula>MaliyetEsik</formula>
    </cfRule>
  </conditionalFormatting>
  <conditionalFormatting sqref="D572">
    <cfRule type="cellIs" priority="1687" operator="lessThan" aboveAverage="0" equalAverage="0" bottom="0" percent="0" rank="0" text="" dxfId="10">
      <formula>18</formula>
    </cfRule>
  </conditionalFormatting>
  <conditionalFormatting sqref="B573">
    <cfRule type="cellIs" priority="1688" operator="greaterThan" aboveAverage="0" equalAverage="0" bottom="0" percent="0" rank="0" text="" dxfId="8">
      <formula>0</formula>
    </cfRule>
    <cfRule type="cellIs" priority="1689" operator="lessThan" aboveAverage="0" equalAverage="0" bottom="0" percent="0" rank="0" text="" dxfId="9">
      <formula>MaliyetEsik</formula>
    </cfRule>
  </conditionalFormatting>
  <conditionalFormatting sqref="D573">
    <cfRule type="cellIs" priority="1690" operator="lessThan" aboveAverage="0" equalAverage="0" bottom="0" percent="0" rank="0" text="" dxfId="10">
      <formula>18</formula>
    </cfRule>
  </conditionalFormatting>
  <conditionalFormatting sqref="B574">
    <cfRule type="cellIs" priority="1691" operator="greaterThan" aboveAverage="0" equalAverage="0" bottom="0" percent="0" rank="0" text="" dxfId="8">
      <formula>0</formula>
    </cfRule>
    <cfRule type="cellIs" priority="1692" operator="lessThan" aboveAverage="0" equalAverage="0" bottom="0" percent="0" rank="0" text="" dxfId="9">
      <formula>MaliyetEsik</formula>
    </cfRule>
  </conditionalFormatting>
  <conditionalFormatting sqref="D574">
    <cfRule type="cellIs" priority="1693" operator="lessThan" aboveAverage="0" equalAverage="0" bottom="0" percent="0" rank="0" text="" dxfId="10">
      <formula>18</formula>
    </cfRule>
  </conditionalFormatting>
  <conditionalFormatting sqref="B575">
    <cfRule type="cellIs" priority="1694" operator="greaterThan" aboveAverage="0" equalAverage="0" bottom="0" percent="0" rank="0" text="" dxfId="8">
      <formula>0</formula>
    </cfRule>
    <cfRule type="cellIs" priority="1695" operator="lessThan" aboveAverage="0" equalAverage="0" bottom="0" percent="0" rank="0" text="" dxfId="9">
      <formula>MaliyetEsik</formula>
    </cfRule>
  </conditionalFormatting>
  <conditionalFormatting sqref="D575">
    <cfRule type="cellIs" priority="1696" operator="lessThan" aboveAverage="0" equalAverage="0" bottom="0" percent="0" rank="0" text="" dxfId="10">
      <formula>18</formula>
    </cfRule>
  </conditionalFormatting>
  <conditionalFormatting sqref="B576">
    <cfRule type="cellIs" priority="1697" operator="greaterThan" aboveAverage="0" equalAverage="0" bottom="0" percent="0" rank="0" text="" dxfId="8">
      <formula>0</formula>
    </cfRule>
    <cfRule type="cellIs" priority="1698" operator="lessThan" aboveAverage="0" equalAverage="0" bottom="0" percent="0" rank="0" text="" dxfId="9">
      <formula>MaliyetEsik</formula>
    </cfRule>
  </conditionalFormatting>
  <conditionalFormatting sqref="D576">
    <cfRule type="cellIs" priority="1699" operator="lessThan" aboveAverage="0" equalAverage="0" bottom="0" percent="0" rank="0" text="" dxfId="10">
      <formula>18</formula>
    </cfRule>
  </conditionalFormatting>
  <conditionalFormatting sqref="B577">
    <cfRule type="cellIs" priority="1700" operator="greaterThan" aboveAverage="0" equalAverage="0" bottom="0" percent="0" rank="0" text="" dxfId="8">
      <formula>0</formula>
    </cfRule>
    <cfRule type="cellIs" priority="1701" operator="lessThan" aboveAverage="0" equalAverage="0" bottom="0" percent="0" rank="0" text="" dxfId="9">
      <formula>MaliyetEsik</formula>
    </cfRule>
  </conditionalFormatting>
  <conditionalFormatting sqref="D577">
    <cfRule type="cellIs" priority="1702" operator="lessThan" aboveAverage="0" equalAverage="0" bottom="0" percent="0" rank="0" text="" dxfId="10">
      <formula>18</formula>
    </cfRule>
  </conditionalFormatting>
  <conditionalFormatting sqref="B578">
    <cfRule type="cellIs" priority="1703" operator="greaterThan" aboveAverage="0" equalAverage="0" bottom="0" percent="0" rank="0" text="" dxfId="8">
      <formula>0</formula>
    </cfRule>
    <cfRule type="cellIs" priority="1704" operator="lessThan" aboveAverage="0" equalAverage="0" bottom="0" percent="0" rank="0" text="" dxfId="9">
      <formula>MaliyetEsik</formula>
    </cfRule>
  </conditionalFormatting>
  <conditionalFormatting sqref="D578">
    <cfRule type="cellIs" priority="1705" operator="lessThan" aboveAverage="0" equalAverage="0" bottom="0" percent="0" rank="0" text="" dxfId="10">
      <formula>18</formula>
    </cfRule>
  </conditionalFormatting>
  <conditionalFormatting sqref="B579">
    <cfRule type="cellIs" priority="1706" operator="greaterThan" aboveAverage="0" equalAverage="0" bottom="0" percent="0" rank="0" text="" dxfId="8">
      <formula>0</formula>
    </cfRule>
    <cfRule type="cellIs" priority="1707" operator="lessThan" aboveAverage="0" equalAverage="0" bottom="0" percent="0" rank="0" text="" dxfId="9">
      <formula>MaliyetEsik</formula>
    </cfRule>
  </conditionalFormatting>
  <conditionalFormatting sqref="D579">
    <cfRule type="cellIs" priority="1708" operator="lessThan" aboveAverage="0" equalAverage="0" bottom="0" percent="0" rank="0" text="" dxfId="10">
      <formula>18</formula>
    </cfRule>
  </conditionalFormatting>
  <conditionalFormatting sqref="B580">
    <cfRule type="cellIs" priority="1709" operator="greaterThan" aboveAverage="0" equalAverage="0" bottom="0" percent="0" rank="0" text="" dxfId="8">
      <formula>0</formula>
    </cfRule>
    <cfRule type="cellIs" priority="1710" operator="lessThan" aboveAverage="0" equalAverage="0" bottom="0" percent="0" rank="0" text="" dxfId="9">
      <formula>MaliyetEsik</formula>
    </cfRule>
  </conditionalFormatting>
  <conditionalFormatting sqref="D580">
    <cfRule type="cellIs" priority="1711" operator="lessThan" aboveAverage="0" equalAverage="0" bottom="0" percent="0" rank="0" text="" dxfId="10">
      <formula>18</formula>
    </cfRule>
  </conditionalFormatting>
  <conditionalFormatting sqref="B581">
    <cfRule type="cellIs" priority="1712" operator="greaterThan" aboveAverage="0" equalAverage="0" bottom="0" percent="0" rank="0" text="" dxfId="8">
      <formula>0</formula>
    </cfRule>
    <cfRule type="cellIs" priority="1713" operator="lessThan" aboveAverage="0" equalAverage="0" bottom="0" percent="0" rank="0" text="" dxfId="9">
      <formula>MaliyetEsik</formula>
    </cfRule>
  </conditionalFormatting>
  <conditionalFormatting sqref="D581">
    <cfRule type="cellIs" priority="1714" operator="lessThan" aboveAverage="0" equalAverage="0" bottom="0" percent="0" rank="0" text="" dxfId="10">
      <formula>18</formula>
    </cfRule>
  </conditionalFormatting>
  <conditionalFormatting sqref="B582">
    <cfRule type="cellIs" priority="1715" operator="greaterThan" aboveAverage="0" equalAverage="0" bottom="0" percent="0" rank="0" text="" dxfId="8">
      <formula>0</formula>
    </cfRule>
    <cfRule type="cellIs" priority="1716" operator="lessThan" aboveAverage="0" equalAverage="0" bottom="0" percent="0" rank="0" text="" dxfId="9">
      <formula>MaliyetEsik</formula>
    </cfRule>
  </conditionalFormatting>
  <conditionalFormatting sqref="D582">
    <cfRule type="cellIs" priority="1717" operator="lessThan" aboveAverage="0" equalAverage="0" bottom="0" percent="0" rank="0" text="" dxfId="10">
      <formula>18</formula>
    </cfRule>
  </conditionalFormatting>
  <conditionalFormatting sqref="B583">
    <cfRule type="cellIs" priority="1718" operator="greaterThan" aboveAverage="0" equalAverage="0" bottom="0" percent="0" rank="0" text="" dxfId="8">
      <formula>0</formula>
    </cfRule>
    <cfRule type="cellIs" priority="1719" operator="lessThan" aboveAverage="0" equalAverage="0" bottom="0" percent="0" rank="0" text="" dxfId="9">
      <formula>MaliyetEsik</formula>
    </cfRule>
  </conditionalFormatting>
  <conditionalFormatting sqref="D583">
    <cfRule type="cellIs" priority="1720" operator="lessThan" aboveAverage="0" equalAverage="0" bottom="0" percent="0" rank="0" text="" dxfId="10">
      <formula>18</formula>
    </cfRule>
  </conditionalFormatting>
  <conditionalFormatting sqref="B584">
    <cfRule type="cellIs" priority="1721" operator="greaterThan" aboveAverage="0" equalAverage="0" bottom="0" percent="0" rank="0" text="" dxfId="8">
      <formula>0</formula>
    </cfRule>
    <cfRule type="cellIs" priority="1722" operator="lessThan" aboveAverage="0" equalAverage="0" bottom="0" percent="0" rank="0" text="" dxfId="9">
      <formula>MaliyetEsik</formula>
    </cfRule>
  </conditionalFormatting>
  <conditionalFormatting sqref="D584">
    <cfRule type="cellIs" priority="1723" operator="lessThan" aboveAverage="0" equalAverage="0" bottom="0" percent="0" rank="0" text="" dxfId="10">
      <formula>18</formula>
    </cfRule>
  </conditionalFormatting>
  <conditionalFormatting sqref="B585">
    <cfRule type="cellIs" priority="1724" operator="greaterThan" aboveAverage="0" equalAverage="0" bottom="0" percent="0" rank="0" text="" dxfId="8">
      <formula>0</formula>
    </cfRule>
    <cfRule type="cellIs" priority="1725" operator="lessThan" aboveAverage="0" equalAverage="0" bottom="0" percent="0" rank="0" text="" dxfId="9">
      <formula>MaliyetEsik</formula>
    </cfRule>
  </conditionalFormatting>
  <conditionalFormatting sqref="D585">
    <cfRule type="cellIs" priority="1726" operator="lessThan" aboveAverage="0" equalAverage="0" bottom="0" percent="0" rank="0" text="" dxfId="10">
      <formula>18</formula>
    </cfRule>
  </conditionalFormatting>
  <conditionalFormatting sqref="B586">
    <cfRule type="cellIs" priority="1727" operator="greaterThan" aboveAverage="0" equalAverage="0" bottom="0" percent="0" rank="0" text="" dxfId="8">
      <formula>0</formula>
    </cfRule>
    <cfRule type="cellIs" priority="1728" operator="lessThan" aboveAverage="0" equalAverage="0" bottom="0" percent="0" rank="0" text="" dxfId="9">
      <formula>MaliyetEsik</formula>
    </cfRule>
  </conditionalFormatting>
  <conditionalFormatting sqref="D586">
    <cfRule type="cellIs" priority="1729" operator="lessThan" aboveAverage="0" equalAverage="0" bottom="0" percent="0" rank="0" text="" dxfId="10">
      <formula>18</formula>
    </cfRule>
  </conditionalFormatting>
  <conditionalFormatting sqref="B587">
    <cfRule type="cellIs" priority="1730" operator="greaterThan" aboveAverage="0" equalAverage="0" bottom="0" percent="0" rank="0" text="" dxfId="8">
      <formula>0</formula>
    </cfRule>
    <cfRule type="cellIs" priority="1731" operator="lessThan" aboveAverage="0" equalAverage="0" bottom="0" percent="0" rank="0" text="" dxfId="9">
      <formula>MaliyetEsik</formula>
    </cfRule>
  </conditionalFormatting>
  <conditionalFormatting sqref="D587">
    <cfRule type="cellIs" priority="1732" operator="lessThan" aboveAverage="0" equalAverage="0" bottom="0" percent="0" rank="0" text="" dxfId="10">
      <formula>18</formula>
    </cfRule>
  </conditionalFormatting>
  <conditionalFormatting sqref="B588">
    <cfRule type="cellIs" priority="1733" operator="greaterThan" aboveAverage="0" equalAverage="0" bottom="0" percent="0" rank="0" text="" dxfId="8">
      <formula>0</formula>
    </cfRule>
    <cfRule type="cellIs" priority="1734" operator="lessThan" aboveAverage="0" equalAverage="0" bottom="0" percent="0" rank="0" text="" dxfId="9">
      <formula>MaliyetEsik</formula>
    </cfRule>
  </conditionalFormatting>
  <conditionalFormatting sqref="D588">
    <cfRule type="cellIs" priority="1735" operator="lessThan" aboveAverage="0" equalAverage="0" bottom="0" percent="0" rank="0" text="" dxfId="10">
      <formula>18</formula>
    </cfRule>
  </conditionalFormatting>
  <conditionalFormatting sqref="B589">
    <cfRule type="cellIs" priority="1736" operator="greaterThan" aboveAverage="0" equalAverage="0" bottom="0" percent="0" rank="0" text="" dxfId="8">
      <formula>0</formula>
    </cfRule>
    <cfRule type="cellIs" priority="1737" operator="lessThan" aboveAverage="0" equalAverage="0" bottom="0" percent="0" rank="0" text="" dxfId="9">
      <formula>MaliyetEsik</formula>
    </cfRule>
  </conditionalFormatting>
  <conditionalFormatting sqref="D589">
    <cfRule type="cellIs" priority="1738" operator="lessThan" aboveAverage="0" equalAverage="0" bottom="0" percent="0" rank="0" text="" dxfId="10">
      <formula>18</formula>
    </cfRule>
  </conditionalFormatting>
  <conditionalFormatting sqref="B590">
    <cfRule type="cellIs" priority="1739" operator="greaterThan" aboveAverage="0" equalAverage="0" bottom="0" percent="0" rank="0" text="" dxfId="8">
      <formula>0</formula>
    </cfRule>
    <cfRule type="cellIs" priority="1740" operator="lessThan" aboveAverage="0" equalAverage="0" bottom="0" percent="0" rank="0" text="" dxfId="9">
      <formula>MaliyetEsik</formula>
    </cfRule>
  </conditionalFormatting>
  <conditionalFormatting sqref="D590">
    <cfRule type="cellIs" priority="1741" operator="lessThan" aboveAverage="0" equalAverage="0" bottom="0" percent="0" rank="0" text="" dxfId="10">
      <formula>18</formula>
    </cfRule>
  </conditionalFormatting>
  <conditionalFormatting sqref="B591">
    <cfRule type="cellIs" priority="1742" operator="greaterThan" aboveAverage="0" equalAverage="0" bottom="0" percent="0" rank="0" text="" dxfId="8">
      <formula>0</formula>
    </cfRule>
    <cfRule type="cellIs" priority="1743" operator="lessThan" aboveAverage="0" equalAverage="0" bottom="0" percent="0" rank="0" text="" dxfId="9">
      <formula>MaliyetEsik</formula>
    </cfRule>
  </conditionalFormatting>
  <conditionalFormatting sqref="D591">
    <cfRule type="cellIs" priority="1744" operator="lessThan" aboveAverage="0" equalAverage="0" bottom="0" percent="0" rank="0" text="" dxfId="10">
      <formula>18</formula>
    </cfRule>
  </conditionalFormatting>
  <conditionalFormatting sqref="B592">
    <cfRule type="cellIs" priority="1745" operator="greaterThan" aboveAverage="0" equalAverage="0" bottom="0" percent="0" rank="0" text="" dxfId="8">
      <formula>0</formula>
    </cfRule>
    <cfRule type="cellIs" priority="1746" operator="lessThan" aboveAverage="0" equalAverage="0" bottom="0" percent="0" rank="0" text="" dxfId="9">
      <formula>MaliyetEsik</formula>
    </cfRule>
  </conditionalFormatting>
  <conditionalFormatting sqref="D592">
    <cfRule type="cellIs" priority="1747" operator="lessThan" aboveAverage="0" equalAverage="0" bottom="0" percent="0" rank="0" text="" dxfId="10">
      <formula>18</formula>
    </cfRule>
  </conditionalFormatting>
  <conditionalFormatting sqref="B593">
    <cfRule type="cellIs" priority="1748" operator="greaterThan" aboveAverage="0" equalAverage="0" bottom="0" percent="0" rank="0" text="" dxfId="8">
      <formula>0</formula>
    </cfRule>
    <cfRule type="cellIs" priority="1749" operator="lessThan" aboveAverage="0" equalAverage="0" bottom="0" percent="0" rank="0" text="" dxfId="9">
      <formula>MaliyetEsik</formula>
    </cfRule>
  </conditionalFormatting>
  <conditionalFormatting sqref="D593">
    <cfRule type="cellIs" priority="1750" operator="lessThan" aboveAverage="0" equalAverage="0" bottom="0" percent="0" rank="0" text="" dxfId="10">
      <formula>18</formula>
    </cfRule>
  </conditionalFormatting>
  <conditionalFormatting sqref="B594">
    <cfRule type="cellIs" priority="1751" operator="greaterThan" aboveAverage="0" equalAverage="0" bottom="0" percent="0" rank="0" text="" dxfId="8">
      <formula>0</formula>
    </cfRule>
    <cfRule type="cellIs" priority="1752" operator="lessThan" aboveAverage="0" equalAverage="0" bottom="0" percent="0" rank="0" text="" dxfId="9">
      <formula>MaliyetEsik</formula>
    </cfRule>
  </conditionalFormatting>
  <conditionalFormatting sqref="D594">
    <cfRule type="cellIs" priority="1753" operator="lessThan" aboveAverage="0" equalAverage="0" bottom="0" percent="0" rank="0" text="" dxfId="10">
      <formula>18</formula>
    </cfRule>
  </conditionalFormatting>
  <conditionalFormatting sqref="B595">
    <cfRule type="cellIs" priority="1754" operator="greaterThan" aboveAverage="0" equalAverage="0" bottom="0" percent="0" rank="0" text="" dxfId="8">
      <formula>0</formula>
    </cfRule>
    <cfRule type="cellIs" priority="1755" operator="lessThan" aboveAverage="0" equalAverage="0" bottom="0" percent="0" rank="0" text="" dxfId="9">
      <formula>MaliyetEsik</formula>
    </cfRule>
  </conditionalFormatting>
  <conditionalFormatting sqref="D595">
    <cfRule type="cellIs" priority="1756" operator="lessThan" aboveAverage="0" equalAverage="0" bottom="0" percent="0" rank="0" text="" dxfId="10">
      <formula>18</formula>
    </cfRule>
  </conditionalFormatting>
  <conditionalFormatting sqref="B596">
    <cfRule type="cellIs" priority="1757" operator="greaterThan" aboveAverage="0" equalAverage="0" bottom="0" percent="0" rank="0" text="" dxfId="8">
      <formula>0</formula>
    </cfRule>
    <cfRule type="cellIs" priority="1758" operator="lessThan" aboveAverage="0" equalAverage="0" bottom="0" percent="0" rank="0" text="" dxfId="9">
      <formula>MaliyetEsik</formula>
    </cfRule>
  </conditionalFormatting>
  <conditionalFormatting sqref="D596">
    <cfRule type="cellIs" priority="1759" operator="lessThan" aboveAverage="0" equalAverage="0" bottom="0" percent="0" rank="0" text="" dxfId="10">
      <formula>18</formula>
    </cfRule>
  </conditionalFormatting>
  <conditionalFormatting sqref="B597">
    <cfRule type="cellIs" priority="1760" operator="greaterThan" aboveAverage="0" equalAverage="0" bottom="0" percent="0" rank="0" text="" dxfId="8">
      <formula>0</formula>
    </cfRule>
    <cfRule type="cellIs" priority="1761" operator="lessThan" aboveAverage="0" equalAverage="0" bottom="0" percent="0" rank="0" text="" dxfId="9">
      <formula>MaliyetEsik</formula>
    </cfRule>
  </conditionalFormatting>
  <conditionalFormatting sqref="D597">
    <cfRule type="cellIs" priority="1762" operator="lessThan" aboveAverage="0" equalAverage="0" bottom="0" percent="0" rank="0" text="" dxfId="10">
      <formula>18</formula>
    </cfRule>
  </conditionalFormatting>
  <conditionalFormatting sqref="B598">
    <cfRule type="cellIs" priority="1763" operator="greaterThan" aboveAverage="0" equalAverage="0" bottom="0" percent="0" rank="0" text="" dxfId="8">
      <formula>0</formula>
    </cfRule>
    <cfRule type="cellIs" priority="1764" operator="lessThan" aboveAverage="0" equalAverage="0" bottom="0" percent="0" rank="0" text="" dxfId="9">
      <formula>MaliyetEsik</formula>
    </cfRule>
  </conditionalFormatting>
  <conditionalFormatting sqref="D598">
    <cfRule type="cellIs" priority="1765" operator="lessThan" aboveAverage="0" equalAverage="0" bottom="0" percent="0" rank="0" text="" dxfId="10">
      <formula>18</formula>
    </cfRule>
  </conditionalFormatting>
  <conditionalFormatting sqref="B599">
    <cfRule type="cellIs" priority="1766" operator="greaterThan" aboveAverage="0" equalAverage="0" bottom="0" percent="0" rank="0" text="" dxfId="8">
      <formula>0</formula>
    </cfRule>
    <cfRule type="cellIs" priority="1767" operator="lessThan" aboveAverage="0" equalAverage="0" bottom="0" percent="0" rank="0" text="" dxfId="9">
      <formula>MaliyetEsik</formula>
    </cfRule>
  </conditionalFormatting>
  <conditionalFormatting sqref="D599">
    <cfRule type="cellIs" priority="1768" operator="lessThan" aboveAverage="0" equalAverage="0" bottom="0" percent="0" rank="0" text="" dxfId="10">
      <formula>18</formula>
    </cfRule>
  </conditionalFormatting>
  <conditionalFormatting sqref="B600">
    <cfRule type="cellIs" priority="1769" operator="greaterThan" aboveAverage="0" equalAverage="0" bottom="0" percent="0" rank="0" text="" dxfId="8">
      <formula>0</formula>
    </cfRule>
    <cfRule type="cellIs" priority="1770" operator="lessThan" aboveAverage="0" equalAverage="0" bottom="0" percent="0" rank="0" text="" dxfId="9">
      <formula>MaliyetEsik</formula>
    </cfRule>
  </conditionalFormatting>
  <conditionalFormatting sqref="D600">
    <cfRule type="cellIs" priority="1771" operator="lessThan" aboveAverage="0" equalAverage="0" bottom="0" percent="0" rank="0" text="" dxfId="10">
      <formula>18</formula>
    </cfRule>
  </conditionalFormatting>
  <conditionalFormatting sqref="B601">
    <cfRule type="cellIs" priority="1772" operator="greaterThan" aboveAverage="0" equalAverage="0" bottom="0" percent="0" rank="0" text="" dxfId="8">
      <formula>0</formula>
    </cfRule>
    <cfRule type="cellIs" priority="1773" operator="lessThan" aboveAverage="0" equalAverage="0" bottom="0" percent="0" rank="0" text="" dxfId="9">
      <formula>MaliyetEsik</formula>
    </cfRule>
  </conditionalFormatting>
  <conditionalFormatting sqref="D601">
    <cfRule type="cellIs" priority="1774" operator="lessThan" aboveAverage="0" equalAverage="0" bottom="0" percent="0" rank="0" text="" dxfId="10">
      <formula>18</formula>
    </cfRule>
  </conditionalFormatting>
  <conditionalFormatting sqref="B602">
    <cfRule type="cellIs" priority="1775" operator="greaterThan" aboveAverage="0" equalAverage="0" bottom="0" percent="0" rank="0" text="" dxfId="8">
      <formula>0</formula>
    </cfRule>
    <cfRule type="cellIs" priority="1776" operator="lessThan" aboveAverage="0" equalAverage="0" bottom="0" percent="0" rank="0" text="" dxfId="9">
      <formula>MaliyetEsik</formula>
    </cfRule>
  </conditionalFormatting>
  <conditionalFormatting sqref="D602">
    <cfRule type="cellIs" priority="1777" operator="lessThan" aboveAverage="0" equalAverage="0" bottom="0" percent="0" rank="0" text="" dxfId="10">
      <formula>18</formula>
    </cfRule>
  </conditionalFormatting>
  <conditionalFormatting sqref="B603">
    <cfRule type="cellIs" priority="1778" operator="greaterThan" aboveAverage="0" equalAverage="0" bottom="0" percent="0" rank="0" text="" dxfId="8">
      <formula>0</formula>
    </cfRule>
    <cfRule type="cellIs" priority="1779" operator="lessThan" aboveAverage="0" equalAverage="0" bottom="0" percent="0" rank="0" text="" dxfId="9">
      <formula>MaliyetEsik</formula>
    </cfRule>
  </conditionalFormatting>
  <conditionalFormatting sqref="D603">
    <cfRule type="cellIs" priority="1780" operator="lessThan" aboveAverage="0" equalAverage="0" bottom="0" percent="0" rank="0" text="" dxfId="10">
      <formula>18</formula>
    </cfRule>
  </conditionalFormatting>
  <conditionalFormatting sqref="B604">
    <cfRule type="cellIs" priority="1781" operator="greaterThan" aboveAverage="0" equalAverage="0" bottom="0" percent="0" rank="0" text="" dxfId="8">
      <formula>0</formula>
    </cfRule>
    <cfRule type="cellIs" priority="1782" operator="lessThan" aboveAverage="0" equalAverage="0" bottom="0" percent="0" rank="0" text="" dxfId="9">
      <formula>MaliyetEsik</formula>
    </cfRule>
  </conditionalFormatting>
  <conditionalFormatting sqref="D604">
    <cfRule type="cellIs" priority="1783" operator="lessThan" aboveAverage="0" equalAverage="0" bottom="0" percent="0" rank="0" text="" dxfId="10">
      <formula>18</formula>
    </cfRule>
  </conditionalFormatting>
  <conditionalFormatting sqref="B605">
    <cfRule type="cellIs" priority="1784" operator="greaterThan" aboveAverage="0" equalAverage="0" bottom="0" percent="0" rank="0" text="" dxfId="8">
      <formula>0</formula>
    </cfRule>
    <cfRule type="cellIs" priority="1785" operator="lessThan" aboveAverage="0" equalAverage="0" bottom="0" percent="0" rank="0" text="" dxfId="9">
      <formula>MaliyetEsik</formula>
    </cfRule>
  </conditionalFormatting>
  <conditionalFormatting sqref="D605">
    <cfRule type="cellIs" priority="1786" operator="lessThan" aboveAverage="0" equalAverage="0" bottom="0" percent="0" rank="0" text="" dxfId="10">
      <formula>18</formula>
    </cfRule>
  </conditionalFormatting>
  <conditionalFormatting sqref="B606">
    <cfRule type="cellIs" priority="1787" operator="greaterThan" aboveAverage="0" equalAverage="0" bottom="0" percent="0" rank="0" text="" dxfId="8">
      <formula>0</formula>
    </cfRule>
    <cfRule type="cellIs" priority="1788" operator="lessThan" aboveAverage="0" equalAverage="0" bottom="0" percent="0" rank="0" text="" dxfId="9">
      <formula>MaliyetEsik</formula>
    </cfRule>
  </conditionalFormatting>
  <conditionalFormatting sqref="D606">
    <cfRule type="cellIs" priority="1789" operator="lessThan" aboveAverage="0" equalAverage="0" bottom="0" percent="0" rank="0" text="" dxfId="10">
      <formula>18</formula>
    </cfRule>
  </conditionalFormatting>
  <conditionalFormatting sqref="B607">
    <cfRule type="cellIs" priority="1790" operator="greaterThan" aboveAverage="0" equalAverage="0" bottom="0" percent="0" rank="0" text="" dxfId="8">
      <formula>0</formula>
    </cfRule>
    <cfRule type="cellIs" priority="1791" operator="lessThan" aboveAverage="0" equalAverage="0" bottom="0" percent="0" rank="0" text="" dxfId="9">
      <formula>MaliyetEsik</formula>
    </cfRule>
  </conditionalFormatting>
  <conditionalFormatting sqref="D607">
    <cfRule type="cellIs" priority="1792" operator="lessThan" aboveAverage="0" equalAverage="0" bottom="0" percent="0" rank="0" text="" dxfId="10">
      <formula>18</formula>
    </cfRule>
  </conditionalFormatting>
  <conditionalFormatting sqref="B608">
    <cfRule type="cellIs" priority="1793" operator="greaterThan" aboveAverage="0" equalAverage="0" bottom="0" percent="0" rank="0" text="" dxfId="8">
      <formula>0</formula>
    </cfRule>
    <cfRule type="cellIs" priority="1794" operator="lessThan" aboveAverage="0" equalAverage="0" bottom="0" percent="0" rank="0" text="" dxfId="9">
      <formula>MaliyetEsik</formula>
    </cfRule>
  </conditionalFormatting>
  <conditionalFormatting sqref="D608">
    <cfRule type="cellIs" priority="1795" operator="lessThan" aboveAverage="0" equalAverage="0" bottom="0" percent="0" rank="0" text="" dxfId="10">
      <formula>18</formula>
    </cfRule>
  </conditionalFormatting>
  <conditionalFormatting sqref="B609">
    <cfRule type="cellIs" priority="1796" operator="greaterThan" aboveAverage="0" equalAverage="0" bottom="0" percent="0" rank="0" text="" dxfId="8">
      <formula>0</formula>
    </cfRule>
    <cfRule type="cellIs" priority="1797" operator="lessThan" aboveAverage="0" equalAverage="0" bottom="0" percent="0" rank="0" text="" dxfId="9">
      <formula>MaliyetEsik</formula>
    </cfRule>
  </conditionalFormatting>
  <conditionalFormatting sqref="D609">
    <cfRule type="cellIs" priority="1798" operator="lessThan" aboveAverage="0" equalAverage="0" bottom="0" percent="0" rank="0" text="" dxfId="10">
      <formula>18</formula>
    </cfRule>
  </conditionalFormatting>
  <conditionalFormatting sqref="B610">
    <cfRule type="cellIs" priority="1799" operator="greaterThan" aboveAverage="0" equalAverage="0" bottom="0" percent="0" rank="0" text="" dxfId="8">
      <formula>0</formula>
    </cfRule>
    <cfRule type="cellIs" priority="1800" operator="lessThan" aboveAverage="0" equalAverage="0" bottom="0" percent="0" rank="0" text="" dxfId="9">
      <formula>MaliyetEsik</formula>
    </cfRule>
  </conditionalFormatting>
  <conditionalFormatting sqref="D610">
    <cfRule type="cellIs" priority="1801" operator="lessThan" aboveAverage="0" equalAverage="0" bottom="0" percent="0" rank="0" text="" dxfId="10">
      <formula>18</formula>
    </cfRule>
  </conditionalFormatting>
  <conditionalFormatting sqref="B611">
    <cfRule type="cellIs" priority="1802" operator="greaterThan" aboveAverage="0" equalAverage="0" bottom="0" percent="0" rank="0" text="" dxfId="8">
      <formula>0</formula>
    </cfRule>
    <cfRule type="cellIs" priority="1803" operator="lessThan" aboveAverage="0" equalAverage="0" bottom="0" percent="0" rank="0" text="" dxfId="9">
      <formula>MaliyetEsik</formula>
    </cfRule>
  </conditionalFormatting>
  <conditionalFormatting sqref="D611">
    <cfRule type="cellIs" priority="1804" operator="lessThan" aboveAverage="0" equalAverage="0" bottom="0" percent="0" rank="0" text="" dxfId="10">
      <formula>18</formula>
    </cfRule>
  </conditionalFormatting>
  <conditionalFormatting sqref="B612">
    <cfRule type="cellIs" priority="1805" operator="greaterThan" aboveAverage="0" equalAverage="0" bottom="0" percent="0" rank="0" text="" dxfId="8">
      <formula>0</formula>
    </cfRule>
    <cfRule type="cellIs" priority="1806" operator="lessThan" aboveAverage="0" equalAverage="0" bottom="0" percent="0" rank="0" text="" dxfId="9">
      <formula>MaliyetEsik</formula>
    </cfRule>
  </conditionalFormatting>
  <conditionalFormatting sqref="D612">
    <cfRule type="cellIs" priority="1807" operator="lessThan" aboveAverage="0" equalAverage="0" bottom="0" percent="0" rank="0" text="" dxfId="10">
      <formula>18</formula>
    </cfRule>
  </conditionalFormatting>
  <conditionalFormatting sqref="B613">
    <cfRule type="cellIs" priority="1808" operator="greaterThan" aboveAverage="0" equalAverage="0" bottom="0" percent="0" rank="0" text="" dxfId="8">
      <formula>0</formula>
    </cfRule>
    <cfRule type="cellIs" priority="1809" operator="lessThan" aboveAverage="0" equalAverage="0" bottom="0" percent="0" rank="0" text="" dxfId="9">
      <formula>MaliyetEsik</formula>
    </cfRule>
  </conditionalFormatting>
  <conditionalFormatting sqref="D613">
    <cfRule type="cellIs" priority="1810" operator="lessThan" aboveAverage="0" equalAverage="0" bottom="0" percent="0" rank="0" text="" dxfId="10">
      <formula>18</formula>
    </cfRule>
  </conditionalFormatting>
  <conditionalFormatting sqref="B614">
    <cfRule type="cellIs" priority="1811" operator="greaterThan" aboveAverage="0" equalAverage="0" bottom="0" percent="0" rank="0" text="" dxfId="8">
      <formula>0</formula>
    </cfRule>
    <cfRule type="cellIs" priority="1812" operator="lessThan" aboveAverage="0" equalAverage="0" bottom="0" percent="0" rank="0" text="" dxfId="9">
      <formula>MaliyetEsik</formula>
    </cfRule>
  </conditionalFormatting>
  <conditionalFormatting sqref="D614">
    <cfRule type="cellIs" priority="1813" operator="lessThan" aboveAverage="0" equalAverage="0" bottom="0" percent="0" rank="0" text="" dxfId="10">
      <formula>18</formula>
    </cfRule>
  </conditionalFormatting>
  <conditionalFormatting sqref="B615">
    <cfRule type="cellIs" priority="1814" operator="greaterThan" aboveAverage="0" equalAverage="0" bottom="0" percent="0" rank="0" text="" dxfId="8">
      <formula>0</formula>
    </cfRule>
    <cfRule type="cellIs" priority="1815" operator="lessThan" aboveAverage="0" equalAverage="0" bottom="0" percent="0" rank="0" text="" dxfId="9">
      <formula>MaliyetEsik</formula>
    </cfRule>
  </conditionalFormatting>
  <conditionalFormatting sqref="D615">
    <cfRule type="cellIs" priority="1816" operator="lessThan" aboveAverage="0" equalAverage="0" bottom="0" percent="0" rank="0" text="" dxfId="10">
      <formula>18</formula>
    </cfRule>
  </conditionalFormatting>
  <conditionalFormatting sqref="B616">
    <cfRule type="cellIs" priority="1817" operator="greaterThan" aboveAverage="0" equalAverage="0" bottom="0" percent="0" rank="0" text="" dxfId="8">
      <formula>0</formula>
    </cfRule>
    <cfRule type="cellIs" priority="1818" operator="lessThan" aboveAverage="0" equalAverage="0" bottom="0" percent="0" rank="0" text="" dxfId="9">
      <formula>MaliyetEsik</formula>
    </cfRule>
  </conditionalFormatting>
  <conditionalFormatting sqref="D616">
    <cfRule type="cellIs" priority="1819" operator="lessThan" aboveAverage="0" equalAverage="0" bottom="0" percent="0" rank="0" text="" dxfId="10">
      <formula>18</formula>
    </cfRule>
  </conditionalFormatting>
  <conditionalFormatting sqref="B617">
    <cfRule type="cellIs" priority="1820" operator="greaterThan" aboveAverage="0" equalAverage="0" bottom="0" percent="0" rank="0" text="" dxfId="8">
      <formula>0</formula>
    </cfRule>
    <cfRule type="cellIs" priority="1821" operator="lessThan" aboveAverage="0" equalAverage="0" bottom="0" percent="0" rank="0" text="" dxfId="9">
      <formula>MaliyetEsik</formula>
    </cfRule>
  </conditionalFormatting>
  <conditionalFormatting sqref="D617">
    <cfRule type="cellIs" priority="1822" operator="lessThan" aboveAverage="0" equalAverage="0" bottom="0" percent="0" rank="0" text="" dxfId="10">
      <formula>18</formula>
    </cfRule>
  </conditionalFormatting>
  <conditionalFormatting sqref="B618">
    <cfRule type="cellIs" priority="1823" operator="greaterThan" aboveAverage="0" equalAverage="0" bottom="0" percent="0" rank="0" text="" dxfId="8">
      <formula>0</formula>
    </cfRule>
    <cfRule type="cellIs" priority="1824" operator="lessThan" aboveAverage="0" equalAverage="0" bottom="0" percent="0" rank="0" text="" dxfId="9">
      <formula>MaliyetEsik</formula>
    </cfRule>
  </conditionalFormatting>
  <conditionalFormatting sqref="D618">
    <cfRule type="cellIs" priority="1825" operator="lessThan" aboveAverage="0" equalAverage="0" bottom="0" percent="0" rank="0" text="" dxfId="10">
      <formula>18</formula>
    </cfRule>
  </conditionalFormatting>
  <conditionalFormatting sqref="B619">
    <cfRule type="cellIs" priority="1826" operator="greaterThan" aboveAverage="0" equalAverage="0" bottom="0" percent="0" rank="0" text="" dxfId="8">
      <formula>0</formula>
    </cfRule>
    <cfRule type="cellIs" priority="1827" operator="lessThan" aboveAverage="0" equalAverage="0" bottom="0" percent="0" rank="0" text="" dxfId="9">
      <formula>MaliyetEsik</formula>
    </cfRule>
  </conditionalFormatting>
  <conditionalFormatting sqref="D619">
    <cfRule type="cellIs" priority="1828" operator="lessThan" aboveAverage="0" equalAverage="0" bottom="0" percent="0" rank="0" text="" dxfId="10">
      <formula>18</formula>
    </cfRule>
  </conditionalFormatting>
  <conditionalFormatting sqref="B620">
    <cfRule type="cellIs" priority="1829" operator="greaterThan" aboveAverage="0" equalAverage="0" bottom="0" percent="0" rank="0" text="" dxfId="8">
      <formula>0</formula>
    </cfRule>
    <cfRule type="cellIs" priority="1830" operator="lessThan" aboveAverage="0" equalAverage="0" bottom="0" percent="0" rank="0" text="" dxfId="9">
      <formula>MaliyetEsik</formula>
    </cfRule>
  </conditionalFormatting>
  <conditionalFormatting sqref="D620">
    <cfRule type="cellIs" priority="1831" operator="lessThan" aboveAverage="0" equalAverage="0" bottom="0" percent="0" rank="0" text="" dxfId="10">
      <formula>18</formula>
    </cfRule>
  </conditionalFormatting>
  <conditionalFormatting sqref="B621">
    <cfRule type="cellIs" priority="1832" operator="greaterThan" aboveAverage="0" equalAverage="0" bottom="0" percent="0" rank="0" text="" dxfId="8">
      <formula>0</formula>
    </cfRule>
    <cfRule type="cellIs" priority="1833" operator="lessThan" aboveAverage="0" equalAverage="0" bottom="0" percent="0" rank="0" text="" dxfId="9">
      <formula>MaliyetEsik</formula>
    </cfRule>
  </conditionalFormatting>
  <conditionalFormatting sqref="D621">
    <cfRule type="cellIs" priority="1834" operator="lessThan" aboveAverage="0" equalAverage="0" bottom="0" percent="0" rank="0" text="" dxfId="10">
      <formula>18</formula>
    </cfRule>
  </conditionalFormatting>
  <conditionalFormatting sqref="B622">
    <cfRule type="cellIs" priority="1835" operator="greaterThan" aboveAverage="0" equalAverage="0" bottom="0" percent="0" rank="0" text="" dxfId="8">
      <formula>0</formula>
    </cfRule>
    <cfRule type="cellIs" priority="1836" operator="lessThan" aboveAverage="0" equalAverage="0" bottom="0" percent="0" rank="0" text="" dxfId="9">
      <formula>MaliyetEsik</formula>
    </cfRule>
  </conditionalFormatting>
  <conditionalFormatting sqref="D622">
    <cfRule type="cellIs" priority="1837" operator="lessThan" aboveAverage="0" equalAverage="0" bottom="0" percent="0" rank="0" text="" dxfId="10">
      <formula>18</formula>
    </cfRule>
  </conditionalFormatting>
  <conditionalFormatting sqref="B623">
    <cfRule type="cellIs" priority="1838" operator="greaterThan" aboveAverage="0" equalAverage="0" bottom="0" percent="0" rank="0" text="" dxfId="8">
      <formula>0</formula>
    </cfRule>
    <cfRule type="cellIs" priority="1839" operator="lessThan" aboveAverage="0" equalAverage="0" bottom="0" percent="0" rank="0" text="" dxfId="9">
      <formula>MaliyetEsik</formula>
    </cfRule>
  </conditionalFormatting>
  <conditionalFormatting sqref="D623">
    <cfRule type="cellIs" priority="1840" operator="lessThan" aboveAverage="0" equalAverage="0" bottom="0" percent="0" rank="0" text="" dxfId="10">
      <formula>18</formula>
    </cfRule>
  </conditionalFormatting>
  <conditionalFormatting sqref="B624">
    <cfRule type="cellIs" priority="1841" operator="greaterThan" aboveAverage="0" equalAverage="0" bottom="0" percent="0" rank="0" text="" dxfId="8">
      <formula>0</formula>
    </cfRule>
    <cfRule type="cellIs" priority="1842" operator="lessThan" aboveAverage="0" equalAverage="0" bottom="0" percent="0" rank="0" text="" dxfId="9">
      <formula>MaliyetEsik</formula>
    </cfRule>
  </conditionalFormatting>
  <conditionalFormatting sqref="D624">
    <cfRule type="cellIs" priority="1843" operator="lessThan" aboveAverage="0" equalAverage="0" bottom="0" percent="0" rank="0" text="" dxfId="10">
      <formula>18</formula>
    </cfRule>
  </conditionalFormatting>
  <conditionalFormatting sqref="B625">
    <cfRule type="cellIs" priority="1844" operator="greaterThan" aboveAverage="0" equalAverage="0" bottom="0" percent="0" rank="0" text="" dxfId="8">
      <formula>0</formula>
    </cfRule>
    <cfRule type="cellIs" priority="1845" operator="lessThan" aboveAverage="0" equalAverage="0" bottom="0" percent="0" rank="0" text="" dxfId="9">
      <formula>MaliyetEsik</formula>
    </cfRule>
  </conditionalFormatting>
  <conditionalFormatting sqref="D625">
    <cfRule type="cellIs" priority="1846" operator="lessThan" aboveAverage="0" equalAverage="0" bottom="0" percent="0" rank="0" text="" dxfId="10">
      <formula>18</formula>
    </cfRule>
  </conditionalFormatting>
  <conditionalFormatting sqref="B626">
    <cfRule type="cellIs" priority="1847" operator="greaterThan" aboveAverage="0" equalAverage="0" bottom="0" percent="0" rank="0" text="" dxfId="8">
      <formula>0</formula>
    </cfRule>
    <cfRule type="cellIs" priority="1848" operator="lessThan" aboveAverage="0" equalAverage="0" bottom="0" percent="0" rank="0" text="" dxfId="9">
      <formula>MaliyetEsik</formula>
    </cfRule>
  </conditionalFormatting>
  <conditionalFormatting sqref="D626">
    <cfRule type="cellIs" priority="1849" operator="lessThan" aboveAverage="0" equalAverage="0" bottom="0" percent="0" rank="0" text="" dxfId="10">
      <formula>18</formula>
    </cfRule>
  </conditionalFormatting>
  <conditionalFormatting sqref="B627">
    <cfRule type="cellIs" priority="1850" operator="greaterThan" aboveAverage="0" equalAverage="0" bottom="0" percent="0" rank="0" text="" dxfId="8">
      <formula>0</formula>
    </cfRule>
    <cfRule type="cellIs" priority="1851" operator="lessThan" aboveAverage="0" equalAverage="0" bottom="0" percent="0" rank="0" text="" dxfId="9">
      <formula>MaliyetEsik</formula>
    </cfRule>
  </conditionalFormatting>
  <conditionalFormatting sqref="D627">
    <cfRule type="cellIs" priority="1852" operator="lessThan" aboveAverage="0" equalAverage="0" bottom="0" percent="0" rank="0" text="" dxfId="10">
      <formula>18</formula>
    </cfRule>
  </conditionalFormatting>
  <conditionalFormatting sqref="B628">
    <cfRule type="cellIs" priority="1853" operator="greaterThan" aboveAverage="0" equalAverage="0" bottom="0" percent="0" rank="0" text="" dxfId="8">
      <formula>0</formula>
    </cfRule>
    <cfRule type="cellIs" priority="1854" operator="lessThan" aboveAverage="0" equalAverage="0" bottom="0" percent="0" rank="0" text="" dxfId="9">
      <formula>MaliyetEsik</formula>
    </cfRule>
  </conditionalFormatting>
  <conditionalFormatting sqref="D628">
    <cfRule type="cellIs" priority="1855" operator="lessThan" aboveAverage="0" equalAverage="0" bottom="0" percent="0" rank="0" text="" dxfId="10">
      <formula>18</formula>
    </cfRule>
  </conditionalFormatting>
  <conditionalFormatting sqref="B629">
    <cfRule type="cellIs" priority="1856" operator="greaterThan" aboveAverage="0" equalAverage="0" bottom="0" percent="0" rank="0" text="" dxfId="8">
      <formula>0</formula>
    </cfRule>
    <cfRule type="cellIs" priority="1857" operator="lessThan" aboveAverage="0" equalAverage="0" bottom="0" percent="0" rank="0" text="" dxfId="9">
      <formula>MaliyetEsik</formula>
    </cfRule>
  </conditionalFormatting>
  <conditionalFormatting sqref="D629">
    <cfRule type="cellIs" priority="1858" operator="lessThan" aboveAverage="0" equalAverage="0" bottom="0" percent="0" rank="0" text="" dxfId="10">
      <formula>18</formula>
    </cfRule>
  </conditionalFormatting>
  <conditionalFormatting sqref="B630">
    <cfRule type="cellIs" priority="1859" operator="greaterThan" aboveAverage="0" equalAverage="0" bottom="0" percent="0" rank="0" text="" dxfId="8">
      <formula>0</formula>
    </cfRule>
    <cfRule type="cellIs" priority="1860" operator="lessThan" aboveAverage="0" equalAverage="0" bottom="0" percent="0" rank="0" text="" dxfId="9">
      <formula>MaliyetEsik</formula>
    </cfRule>
  </conditionalFormatting>
  <conditionalFormatting sqref="D630">
    <cfRule type="cellIs" priority="1861" operator="lessThan" aboveAverage="0" equalAverage="0" bottom="0" percent="0" rank="0" text="" dxfId="10">
      <formula>18</formula>
    </cfRule>
  </conditionalFormatting>
  <conditionalFormatting sqref="B631">
    <cfRule type="cellIs" priority="1862" operator="greaterThan" aboveAverage="0" equalAverage="0" bottom="0" percent="0" rank="0" text="" dxfId="8">
      <formula>0</formula>
    </cfRule>
    <cfRule type="cellIs" priority="1863" operator="lessThan" aboveAverage="0" equalAverage="0" bottom="0" percent="0" rank="0" text="" dxfId="9">
      <formula>MaliyetEsik</formula>
    </cfRule>
  </conditionalFormatting>
  <conditionalFormatting sqref="D631">
    <cfRule type="cellIs" priority="1864" operator="lessThan" aboveAverage="0" equalAverage="0" bottom="0" percent="0" rank="0" text="" dxfId="10">
      <formula>18</formula>
    </cfRule>
  </conditionalFormatting>
  <conditionalFormatting sqref="B632">
    <cfRule type="cellIs" priority="1865" operator="greaterThan" aboveAverage="0" equalAverage="0" bottom="0" percent="0" rank="0" text="" dxfId="8">
      <formula>0</formula>
    </cfRule>
    <cfRule type="cellIs" priority="1866" operator="lessThan" aboveAverage="0" equalAverage="0" bottom="0" percent="0" rank="0" text="" dxfId="9">
      <formula>MaliyetEsik</formula>
    </cfRule>
  </conditionalFormatting>
  <conditionalFormatting sqref="D632">
    <cfRule type="cellIs" priority="1867" operator="lessThan" aboveAverage="0" equalAverage="0" bottom="0" percent="0" rank="0" text="" dxfId="10">
      <formula>18</formula>
    </cfRule>
  </conditionalFormatting>
  <conditionalFormatting sqref="B633">
    <cfRule type="cellIs" priority="1868" operator="greaterThan" aboveAverage="0" equalAverage="0" bottom="0" percent="0" rank="0" text="" dxfId="8">
      <formula>0</formula>
    </cfRule>
    <cfRule type="cellIs" priority="1869" operator="lessThan" aboveAverage="0" equalAverage="0" bottom="0" percent="0" rank="0" text="" dxfId="9">
      <formula>MaliyetEsik</formula>
    </cfRule>
  </conditionalFormatting>
  <conditionalFormatting sqref="D633">
    <cfRule type="cellIs" priority="1870" operator="lessThan" aboveAverage="0" equalAverage="0" bottom="0" percent="0" rank="0" text="" dxfId="10">
      <formula>18</formula>
    </cfRule>
  </conditionalFormatting>
  <conditionalFormatting sqref="B634">
    <cfRule type="cellIs" priority="1871" operator="greaterThan" aboveAverage="0" equalAverage="0" bottom="0" percent="0" rank="0" text="" dxfId="8">
      <formula>0</formula>
    </cfRule>
    <cfRule type="cellIs" priority="1872" operator="lessThan" aboveAverage="0" equalAverage="0" bottom="0" percent="0" rank="0" text="" dxfId="9">
      <formula>MaliyetEsik</formula>
    </cfRule>
  </conditionalFormatting>
  <conditionalFormatting sqref="D634">
    <cfRule type="cellIs" priority="1873" operator="lessThan" aboveAverage="0" equalAverage="0" bottom="0" percent="0" rank="0" text="" dxfId="10">
      <formula>18</formula>
    </cfRule>
  </conditionalFormatting>
  <conditionalFormatting sqref="B635">
    <cfRule type="cellIs" priority="1874" operator="greaterThan" aboveAverage="0" equalAverage="0" bottom="0" percent="0" rank="0" text="" dxfId="8">
      <formula>0</formula>
    </cfRule>
    <cfRule type="cellIs" priority="1875" operator="lessThan" aboveAverage="0" equalAverage="0" bottom="0" percent="0" rank="0" text="" dxfId="9">
      <formula>MaliyetEsik</formula>
    </cfRule>
  </conditionalFormatting>
  <conditionalFormatting sqref="D635">
    <cfRule type="cellIs" priority="1876" operator="lessThan" aboveAverage="0" equalAverage="0" bottom="0" percent="0" rank="0" text="" dxfId="10">
      <formula>18</formula>
    </cfRule>
  </conditionalFormatting>
  <conditionalFormatting sqref="B636">
    <cfRule type="cellIs" priority="1877" operator="greaterThan" aboveAverage="0" equalAverage="0" bottom="0" percent="0" rank="0" text="" dxfId="8">
      <formula>0</formula>
    </cfRule>
    <cfRule type="cellIs" priority="1878" operator="lessThan" aboveAverage="0" equalAverage="0" bottom="0" percent="0" rank="0" text="" dxfId="9">
      <formula>MaliyetEsik</formula>
    </cfRule>
  </conditionalFormatting>
  <conditionalFormatting sqref="D636">
    <cfRule type="cellIs" priority="1879" operator="lessThan" aboveAverage="0" equalAverage="0" bottom="0" percent="0" rank="0" text="" dxfId="10">
      <formula>18</formula>
    </cfRule>
  </conditionalFormatting>
  <conditionalFormatting sqref="B637">
    <cfRule type="cellIs" priority="1880" operator="greaterThan" aboveAverage="0" equalAverage="0" bottom="0" percent="0" rank="0" text="" dxfId="8">
      <formula>0</formula>
    </cfRule>
    <cfRule type="cellIs" priority="1881" operator="lessThan" aboveAverage="0" equalAverage="0" bottom="0" percent="0" rank="0" text="" dxfId="9">
      <formula>MaliyetEsik</formula>
    </cfRule>
  </conditionalFormatting>
  <conditionalFormatting sqref="D637">
    <cfRule type="cellIs" priority="1882" operator="lessThan" aboveAverage="0" equalAverage="0" bottom="0" percent="0" rank="0" text="" dxfId="10">
      <formula>18</formula>
    </cfRule>
  </conditionalFormatting>
  <conditionalFormatting sqref="B638">
    <cfRule type="cellIs" priority="1883" operator="greaterThan" aboveAverage="0" equalAverage="0" bottom="0" percent="0" rank="0" text="" dxfId="8">
      <formula>0</formula>
    </cfRule>
    <cfRule type="cellIs" priority="1884" operator="lessThan" aboveAverage="0" equalAverage="0" bottom="0" percent="0" rank="0" text="" dxfId="9">
      <formula>MaliyetEsik</formula>
    </cfRule>
  </conditionalFormatting>
  <conditionalFormatting sqref="D638">
    <cfRule type="cellIs" priority="1885" operator="lessThan" aboveAverage="0" equalAverage="0" bottom="0" percent="0" rank="0" text="" dxfId="10">
      <formula>18</formula>
    </cfRule>
  </conditionalFormatting>
  <conditionalFormatting sqref="B639">
    <cfRule type="cellIs" priority="1886" operator="greaterThan" aboveAverage="0" equalAverage="0" bottom="0" percent="0" rank="0" text="" dxfId="8">
      <formula>0</formula>
    </cfRule>
    <cfRule type="cellIs" priority="1887" operator="lessThan" aboveAverage="0" equalAverage="0" bottom="0" percent="0" rank="0" text="" dxfId="9">
      <formula>MaliyetEsik</formula>
    </cfRule>
  </conditionalFormatting>
  <conditionalFormatting sqref="D639">
    <cfRule type="cellIs" priority="1888" operator="lessThan" aboveAverage="0" equalAverage="0" bottom="0" percent="0" rank="0" text="" dxfId="10">
      <formula>18</formula>
    </cfRule>
  </conditionalFormatting>
  <conditionalFormatting sqref="B640">
    <cfRule type="cellIs" priority="1889" operator="greaterThan" aboveAverage="0" equalAverage="0" bottom="0" percent="0" rank="0" text="" dxfId="8">
      <formula>0</formula>
    </cfRule>
    <cfRule type="cellIs" priority="1890" operator="lessThan" aboveAverage="0" equalAverage="0" bottom="0" percent="0" rank="0" text="" dxfId="9">
      <formula>MaliyetEsik</formula>
    </cfRule>
  </conditionalFormatting>
  <conditionalFormatting sqref="D640">
    <cfRule type="cellIs" priority="1891" operator="lessThan" aboveAverage="0" equalAverage="0" bottom="0" percent="0" rank="0" text="" dxfId="10">
      <formula>18</formula>
    </cfRule>
  </conditionalFormatting>
  <conditionalFormatting sqref="B641">
    <cfRule type="cellIs" priority="1892" operator="greaterThan" aboveAverage="0" equalAverage="0" bottom="0" percent="0" rank="0" text="" dxfId="8">
      <formula>0</formula>
    </cfRule>
    <cfRule type="cellIs" priority="1893" operator="lessThan" aboveAverage="0" equalAverage="0" bottom="0" percent="0" rank="0" text="" dxfId="9">
      <formula>MaliyetEsik</formula>
    </cfRule>
  </conditionalFormatting>
  <conditionalFormatting sqref="D641">
    <cfRule type="cellIs" priority="1894" operator="lessThan" aboveAverage="0" equalAverage="0" bottom="0" percent="0" rank="0" text="" dxfId="10">
      <formula>18</formula>
    </cfRule>
  </conditionalFormatting>
  <conditionalFormatting sqref="B642">
    <cfRule type="cellIs" priority="1895" operator="greaterThan" aboveAverage="0" equalAverage="0" bottom="0" percent="0" rank="0" text="" dxfId="8">
      <formula>0</formula>
    </cfRule>
    <cfRule type="cellIs" priority="1896" operator="lessThan" aboveAverage="0" equalAverage="0" bottom="0" percent="0" rank="0" text="" dxfId="9">
      <formula>MaliyetEsik</formula>
    </cfRule>
  </conditionalFormatting>
  <conditionalFormatting sqref="D642">
    <cfRule type="cellIs" priority="1897" operator="lessThan" aboveAverage="0" equalAverage="0" bottom="0" percent="0" rank="0" text="" dxfId="10">
      <formula>18</formula>
    </cfRule>
  </conditionalFormatting>
  <conditionalFormatting sqref="B643">
    <cfRule type="cellIs" priority="1898" operator="greaterThan" aboveAverage="0" equalAverage="0" bottom="0" percent="0" rank="0" text="" dxfId="8">
      <formula>0</formula>
    </cfRule>
    <cfRule type="cellIs" priority="1899" operator="lessThan" aboveAverage="0" equalAverage="0" bottom="0" percent="0" rank="0" text="" dxfId="9">
      <formula>MaliyetEsik</formula>
    </cfRule>
  </conditionalFormatting>
  <conditionalFormatting sqref="D643">
    <cfRule type="cellIs" priority="1900" operator="lessThan" aboveAverage="0" equalAverage="0" bottom="0" percent="0" rank="0" text="" dxfId="10">
      <formula>18</formula>
    </cfRule>
  </conditionalFormatting>
  <conditionalFormatting sqref="B644">
    <cfRule type="cellIs" priority="1901" operator="greaterThan" aboveAverage="0" equalAverage="0" bottom="0" percent="0" rank="0" text="" dxfId="8">
      <formula>0</formula>
    </cfRule>
    <cfRule type="cellIs" priority="1902" operator="lessThan" aboveAverage="0" equalAverage="0" bottom="0" percent="0" rank="0" text="" dxfId="9">
      <formula>MaliyetEsik</formula>
    </cfRule>
  </conditionalFormatting>
  <conditionalFormatting sqref="D644">
    <cfRule type="cellIs" priority="1903" operator="lessThan" aboveAverage="0" equalAverage="0" bottom="0" percent="0" rank="0" text="" dxfId="10">
      <formula>18</formula>
    </cfRule>
  </conditionalFormatting>
  <conditionalFormatting sqref="B645">
    <cfRule type="cellIs" priority="1904" operator="greaterThan" aboveAverage="0" equalAverage="0" bottom="0" percent="0" rank="0" text="" dxfId="8">
      <formula>0</formula>
    </cfRule>
    <cfRule type="cellIs" priority="1905" operator="lessThan" aboveAverage="0" equalAverage="0" bottom="0" percent="0" rank="0" text="" dxfId="9">
      <formula>MaliyetEsik</formula>
    </cfRule>
  </conditionalFormatting>
  <conditionalFormatting sqref="D645">
    <cfRule type="cellIs" priority="1906" operator="lessThan" aboveAverage="0" equalAverage="0" bottom="0" percent="0" rank="0" text="" dxfId="10">
      <formula>18</formula>
    </cfRule>
  </conditionalFormatting>
  <conditionalFormatting sqref="B646">
    <cfRule type="cellIs" priority="1907" operator="greaterThan" aboveAverage="0" equalAverage="0" bottom="0" percent="0" rank="0" text="" dxfId="8">
      <formula>0</formula>
    </cfRule>
    <cfRule type="cellIs" priority="1908" operator="lessThan" aboveAverage="0" equalAverage="0" bottom="0" percent="0" rank="0" text="" dxfId="9">
      <formula>MaliyetEsik</formula>
    </cfRule>
  </conditionalFormatting>
  <conditionalFormatting sqref="D646">
    <cfRule type="cellIs" priority="1909" operator="lessThan" aboveAverage="0" equalAverage="0" bottom="0" percent="0" rank="0" text="" dxfId="10">
      <formula>18</formula>
    </cfRule>
  </conditionalFormatting>
  <conditionalFormatting sqref="B647">
    <cfRule type="cellIs" priority="1910" operator="greaterThan" aboveAverage="0" equalAverage="0" bottom="0" percent="0" rank="0" text="" dxfId="8">
      <formula>0</formula>
    </cfRule>
    <cfRule type="cellIs" priority="1911" operator="lessThan" aboveAverage="0" equalAverage="0" bottom="0" percent="0" rank="0" text="" dxfId="9">
      <formula>MaliyetEsik</formula>
    </cfRule>
  </conditionalFormatting>
  <conditionalFormatting sqref="D647">
    <cfRule type="cellIs" priority="1912" operator="lessThan" aboveAverage="0" equalAverage="0" bottom="0" percent="0" rank="0" text="" dxfId="10">
      <formula>18</formula>
    </cfRule>
  </conditionalFormatting>
  <conditionalFormatting sqref="B648">
    <cfRule type="cellIs" priority="1913" operator="greaterThan" aboveAverage="0" equalAverage="0" bottom="0" percent="0" rank="0" text="" dxfId="8">
      <formula>0</formula>
    </cfRule>
    <cfRule type="cellIs" priority="1914" operator="lessThan" aboveAverage="0" equalAverage="0" bottom="0" percent="0" rank="0" text="" dxfId="9">
      <formula>MaliyetEsik</formula>
    </cfRule>
  </conditionalFormatting>
  <conditionalFormatting sqref="D648">
    <cfRule type="cellIs" priority="1915" operator="lessThan" aboveAverage="0" equalAverage="0" bottom="0" percent="0" rank="0" text="" dxfId="10">
      <formula>18</formula>
    </cfRule>
  </conditionalFormatting>
  <conditionalFormatting sqref="B649">
    <cfRule type="cellIs" priority="1916" operator="greaterThan" aboveAverage="0" equalAverage="0" bottom="0" percent="0" rank="0" text="" dxfId="8">
      <formula>0</formula>
    </cfRule>
    <cfRule type="cellIs" priority="1917" operator="lessThan" aboveAverage="0" equalAverage="0" bottom="0" percent="0" rank="0" text="" dxfId="9">
      <formula>MaliyetEsik</formula>
    </cfRule>
  </conditionalFormatting>
  <conditionalFormatting sqref="D649">
    <cfRule type="cellIs" priority="1918" operator="lessThan" aboveAverage="0" equalAverage="0" bottom="0" percent="0" rank="0" text="" dxfId="10">
      <formula>18</formula>
    </cfRule>
  </conditionalFormatting>
  <conditionalFormatting sqref="B650">
    <cfRule type="cellIs" priority="1919" operator="greaterThan" aboveAverage="0" equalAverage="0" bottom="0" percent="0" rank="0" text="" dxfId="8">
      <formula>0</formula>
    </cfRule>
    <cfRule type="cellIs" priority="1920" operator="lessThan" aboveAverage="0" equalAverage="0" bottom="0" percent="0" rank="0" text="" dxfId="9">
      <formula>MaliyetEsik</formula>
    </cfRule>
  </conditionalFormatting>
  <conditionalFormatting sqref="D650">
    <cfRule type="cellIs" priority="1921" operator="lessThan" aboveAverage="0" equalAverage="0" bottom="0" percent="0" rank="0" text="" dxfId="10">
      <formula>18</formula>
    </cfRule>
  </conditionalFormatting>
  <conditionalFormatting sqref="B651">
    <cfRule type="cellIs" priority="1922" operator="greaterThan" aboveAverage="0" equalAverage="0" bottom="0" percent="0" rank="0" text="" dxfId="8">
      <formula>0</formula>
    </cfRule>
    <cfRule type="cellIs" priority="1923" operator="lessThan" aboveAverage="0" equalAverage="0" bottom="0" percent="0" rank="0" text="" dxfId="9">
      <formula>MaliyetEsik</formula>
    </cfRule>
  </conditionalFormatting>
  <conditionalFormatting sqref="D651">
    <cfRule type="cellIs" priority="1924" operator="lessThan" aboveAverage="0" equalAverage="0" bottom="0" percent="0" rank="0" text="" dxfId="10">
      <formula>18</formula>
    </cfRule>
  </conditionalFormatting>
  <conditionalFormatting sqref="B652">
    <cfRule type="cellIs" priority="1925" operator="greaterThan" aboveAverage="0" equalAverage="0" bottom="0" percent="0" rank="0" text="" dxfId="8">
      <formula>0</formula>
    </cfRule>
    <cfRule type="cellIs" priority="1926" operator="lessThan" aboveAverage="0" equalAverage="0" bottom="0" percent="0" rank="0" text="" dxfId="9">
      <formula>MaliyetEsik</formula>
    </cfRule>
  </conditionalFormatting>
  <conditionalFormatting sqref="D652">
    <cfRule type="cellIs" priority="1927" operator="lessThan" aboveAverage="0" equalAverage="0" bottom="0" percent="0" rank="0" text="" dxfId="10">
      <formula>18</formula>
    </cfRule>
  </conditionalFormatting>
  <conditionalFormatting sqref="B653">
    <cfRule type="cellIs" priority="1928" operator="greaterThan" aboveAverage="0" equalAverage="0" bottom="0" percent="0" rank="0" text="" dxfId="8">
      <formula>0</formula>
    </cfRule>
    <cfRule type="cellIs" priority="1929" operator="lessThan" aboveAverage="0" equalAverage="0" bottom="0" percent="0" rank="0" text="" dxfId="9">
      <formula>MaliyetEsik</formula>
    </cfRule>
  </conditionalFormatting>
  <conditionalFormatting sqref="D653">
    <cfRule type="cellIs" priority="1930" operator="lessThan" aboveAverage="0" equalAverage="0" bottom="0" percent="0" rank="0" text="" dxfId="10">
      <formula>18</formula>
    </cfRule>
  </conditionalFormatting>
  <conditionalFormatting sqref="B654">
    <cfRule type="cellIs" priority="1931" operator="greaterThan" aboveAverage="0" equalAverage="0" bottom="0" percent="0" rank="0" text="" dxfId="8">
      <formula>0</formula>
    </cfRule>
    <cfRule type="cellIs" priority="1932" operator="lessThan" aboveAverage="0" equalAverage="0" bottom="0" percent="0" rank="0" text="" dxfId="9">
      <formula>MaliyetEsik</formula>
    </cfRule>
  </conditionalFormatting>
  <conditionalFormatting sqref="D654">
    <cfRule type="cellIs" priority="1933" operator="lessThan" aboveAverage="0" equalAverage="0" bottom="0" percent="0" rank="0" text="" dxfId="10">
      <formula>18</formula>
    </cfRule>
  </conditionalFormatting>
  <conditionalFormatting sqref="B655">
    <cfRule type="cellIs" priority="1934" operator="greaterThan" aboveAverage="0" equalAverage="0" bottom="0" percent="0" rank="0" text="" dxfId="8">
      <formula>0</formula>
    </cfRule>
    <cfRule type="cellIs" priority="1935" operator="lessThan" aboveAverage="0" equalAverage="0" bottom="0" percent="0" rank="0" text="" dxfId="9">
      <formula>MaliyetEsik</formula>
    </cfRule>
  </conditionalFormatting>
  <conditionalFormatting sqref="D655">
    <cfRule type="cellIs" priority="1936" operator="lessThan" aboveAverage="0" equalAverage="0" bottom="0" percent="0" rank="0" text="" dxfId="10">
      <formula>18</formula>
    </cfRule>
  </conditionalFormatting>
  <conditionalFormatting sqref="B656">
    <cfRule type="cellIs" priority="1937" operator="greaterThan" aboveAverage="0" equalAverage="0" bottom="0" percent="0" rank="0" text="" dxfId="8">
      <formula>0</formula>
    </cfRule>
    <cfRule type="cellIs" priority="1938" operator="lessThan" aboveAverage="0" equalAverage="0" bottom="0" percent="0" rank="0" text="" dxfId="9">
      <formula>MaliyetEsik</formula>
    </cfRule>
  </conditionalFormatting>
  <conditionalFormatting sqref="D656">
    <cfRule type="cellIs" priority="1939" operator="lessThan" aboveAverage="0" equalAverage="0" bottom="0" percent="0" rank="0" text="" dxfId="10">
      <formula>18</formula>
    </cfRule>
  </conditionalFormatting>
  <conditionalFormatting sqref="B657">
    <cfRule type="cellIs" priority="1940" operator="greaterThan" aboveAverage="0" equalAverage="0" bottom="0" percent="0" rank="0" text="" dxfId="8">
      <formula>0</formula>
    </cfRule>
    <cfRule type="cellIs" priority="1941" operator="lessThan" aboveAverage="0" equalAverage="0" bottom="0" percent="0" rank="0" text="" dxfId="9">
      <formula>MaliyetEsik</formula>
    </cfRule>
  </conditionalFormatting>
  <conditionalFormatting sqref="D657">
    <cfRule type="cellIs" priority="1942" operator="lessThan" aboveAverage="0" equalAverage="0" bottom="0" percent="0" rank="0" text="" dxfId="10">
      <formula>18</formula>
    </cfRule>
  </conditionalFormatting>
  <conditionalFormatting sqref="B658">
    <cfRule type="cellIs" priority="1943" operator="greaterThan" aboveAverage="0" equalAverage="0" bottom="0" percent="0" rank="0" text="" dxfId="8">
      <formula>0</formula>
    </cfRule>
    <cfRule type="cellIs" priority="1944" operator="lessThan" aboveAverage="0" equalAverage="0" bottom="0" percent="0" rank="0" text="" dxfId="9">
      <formula>MaliyetEsik</formula>
    </cfRule>
  </conditionalFormatting>
  <conditionalFormatting sqref="D658">
    <cfRule type="cellIs" priority="1945" operator="lessThan" aboveAverage="0" equalAverage="0" bottom="0" percent="0" rank="0" text="" dxfId="10">
      <formula>18</formula>
    </cfRule>
  </conditionalFormatting>
  <conditionalFormatting sqref="B659">
    <cfRule type="cellIs" priority="1946" operator="greaterThan" aboveAverage="0" equalAverage="0" bottom="0" percent="0" rank="0" text="" dxfId="8">
      <formula>0</formula>
    </cfRule>
    <cfRule type="cellIs" priority="1947" operator="lessThan" aboveAverage="0" equalAverage="0" bottom="0" percent="0" rank="0" text="" dxfId="9">
      <formula>MaliyetEsik</formula>
    </cfRule>
  </conditionalFormatting>
  <conditionalFormatting sqref="D659">
    <cfRule type="cellIs" priority="1948" operator="lessThan" aboveAverage="0" equalAverage="0" bottom="0" percent="0" rank="0" text="" dxfId="10">
      <formula>18</formula>
    </cfRule>
  </conditionalFormatting>
  <conditionalFormatting sqref="B660">
    <cfRule type="cellIs" priority="1949" operator="greaterThan" aboveAverage="0" equalAverage="0" bottom="0" percent="0" rank="0" text="" dxfId="8">
      <formula>0</formula>
    </cfRule>
    <cfRule type="cellIs" priority="1950" operator="lessThan" aboveAverage="0" equalAverage="0" bottom="0" percent="0" rank="0" text="" dxfId="9">
      <formula>MaliyetEsik</formula>
    </cfRule>
  </conditionalFormatting>
  <conditionalFormatting sqref="D660">
    <cfRule type="cellIs" priority="1951" operator="lessThan" aboveAverage="0" equalAverage="0" bottom="0" percent="0" rank="0" text="" dxfId="10">
      <formula>18</formula>
    </cfRule>
  </conditionalFormatting>
  <conditionalFormatting sqref="B661">
    <cfRule type="cellIs" priority="1952" operator="greaterThan" aboveAverage="0" equalAverage="0" bottom="0" percent="0" rank="0" text="" dxfId="8">
      <formula>0</formula>
    </cfRule>
    <cfRule type="cellIs" priority="1953" operator="lessThan" aboveAverage="0" equalAverage="0" bottom="0" percent="0" rank="0" text="" dxfId="9">
      <formula>MaliyetEsik</formula>
    </cfRule>
  </conditionalFormatting>
  <conditionalFormatting sqref="D661">
    <cfRule type="cellIs" priority="1954" operator="lessThan" aboveAverage="0" equalAverage="0" bottom="0" percent="0" rank="0" text="" dxfId="10">
      <formula>18</formula>
    </cfRule>
  </conditionalFormatting>
  <conditionalFormatting sqref="B662">
    <cfRule type="cellIs" priority="1955" operator="greaterThan" aboveAverage="0" equalAverage="0" bottom="0" percent="0" rank="0" text="" dxfId="8">
      <formula>0</formula>
    </cfRule>
    <cfRule type="cellIs" priority="1956" operator="lessThan" aboveAverage="0" equalAverage="0" bottom="0" percent="0" rank="0" text="" dxfId="9">
      <formula>MaliyetEsik</formula>
    </cfRule>
  </conditionalFormatting>
  <conditionalFormatting sqref="D662">
    <cfRule type="cellIs" priority="1957" operator="lessThan" aboveAverage="0" equalAverage="0" bottom="0" percent="0" rank="0" text="" dxfId="10">
      <formula>18</formula>
    </cfRule>
  </conditionalFormatting>
  <conditionalFormatting sqref="B663">
    <cfRule type="cellIs" priority="1958" operator="greaterThan" aboveAverage="0" equalAverage="0" bottom="0" percent="0" rank="0" text="" dxfId="8">
      <formula>0</formula>
    </cfRule>
    <cfRule type="cellIs" priority="1959" operator="lessThan" aboveAverage="0" equalAverage="0" bottom="0" percent="0" rank="0" text="" dxfId="9">
      <formula>MaliyetEsik</formula>
    </cfRule>
  </conditionalFormatting>
  <conditionalFormatting sqref="D663">
    <cfRule type="cellIs" priority="1960" operator="lessThan" aboveAverage="0" equalAverage="0" bottom="0" percent="0" rank="0" text="" dxfId="10">
      <formula>18</formula>
    </cfRule>
  </conditionalFormatting>
  <conditionalFormatting sqref="B664">
    <cfRule type="cellIs" priority="1961" operator="greaterThan" aboveAverage="0" equalAverage="0" bottom="0" percent="0" rank="0" text="" dxfId="8">
      <formula>0</formula>
    </cfRule>
    <cfRule type="cellIs" priority="1962" operator="lessThan" aboveAverage="0" equalAverage="0" bottom="0" percent="0" rank="0" text="" dxfId="9">
      <formula>MaliyetEsik</formula>
    </cfRule>
  </conditionalFormatting>
  <conditionalFormatting sqref="D664">
    <cfRule type="cellIs" priority="1963" operator="lessThan" aboveAverage="0" equalAverage="0" bottom="0" percent="0" rank="0" text="" dxfId="10">
      <formula>18</formula>
    </cfRule>
  </conditionalFormatting>
  <conditionalFormatting sqref="B665">
    <cfRule type="cellIs" priority="1964" operator="greaterThan" aboveAverage="0" equalAverage="0" bottom="0" percent="0" rank="0" text="" dxfId="8">
      <formula>0</formula>
    </cfRule>
    <cfRule type="cellIs" priority="1965" operator="lessThan" aboveAverage="0" equalAverage="0" bottom="0" percent="0" rank="0" text="" dxfId="9">
      <formula>MaliyetEsik</formula>
    </cfRule>
  </conditionalFormatting>
  <conditionalFormatting sqref="D665">
    <cfRule type="cellIs" priority="1966" operator="lessThan" aboveAverage="0" equalAverage="0" bottom="0" percent="0" rank="0" text="" dxfId="10">
      <formula>18</formula>
    </cfRule>
  </conditionalFormatting>
  <conditionalFormatting sqref="B666">
    <cfRule type="cellIs" priority="1967" operator="greaterThan" aboveAverage="0" equalAverage="0" bottom="0" percent="0" rank="0" text="" dxfId="8">
      <formula>0</formula>
    </cfRule>
    <cfRule type="cellIs" priority="1968" operator="lessThan" aboveAverage="0" equalAverage="0" bottom="0" percent="0" rank="0" text="" dxfId="9">
      <formula>MaliyetEsik</formula>
    </cfRule>
  </conditionalFormatting>
  <conditionalFormatting sqref="D666">
    <cfRule type="cellIs" priority="1969" operator="lessThan" aboveAverage="0" equalAverage="0" bottom="0" percent="0" rank="0" text="" dxfId="10">
      <formula>18</formula>
    </cfRule>
  </conditionalFormatting>
  <conditionalFormatting sqref="B667">
    <cfRule type="cellIs" priority="1970" operator="greaterThan" aboveAverage="0" equalAverage="0" bottom="0" percent="0" rank="0" text="" dxfId="8">
      <formula>0</formula>
    </cfRule>
    <cfRule type="cellIs" priority="1971" operator="lessThan" aboveAverage="0" equalAverage="0" bottom="0" percent="0" rank="0" text="" dxfId="9">
      <formula>MaliyetEsik</formula>
    </cfRule>
  </conditionalFormatting>
  <conditionalFormatting sqref="D667">
    <cfRule type="cellIs" priority="1972" operator="lessThan" aboveAverage="0" equalAverage="0" bottom="0" percent="0" rank="0" text="" dxfId="10">
      <formula>18</formula>
    </cfRule>
  </conditionalFormatting>
  <conditionalFormatting sqref="B668">
    <cfRule type="cellIs" priority="1973" operator="greaterThan" aboveAverage="0" equalAverage="0" bottom="0" percent="0" rank="0" text="" dxfId="8">
      <formula>0</formula>
    </cfRule>
    <cfRule type="cellIs" priority="1974" operator="lessThan" aboveAverage="0" equalAverage="0" bottom="0" percent="0" rank="0" text="" dxfId="9">
      <formula>MaliyetEsik</formula>
    </cfRule>
  </conditionalFormatting>
  <conditionalFormatting sqref="D668">
    <cfRule type="cellIs" priority="1975" operator="lessThan" aboveAverage="0" equalAverage="0" bottom="0" percent="0" rank="0" text="" dxfId="10">
      <formula>18</formula>
    </cfRule>
  </conditionalFormatting>
  <conditionalFormatting sqref="B669">
    <cfRule type="cellIs" priority="1976" operator="greaterThan" aboveAverage="0" equalAverage="0" bottom="0" percent="0" rank="0" text="" dxfId="8">
      <formula>0</formula>
    </cfRule>
    <cfRule type="cellIs" priority="1977" operator="lessThan" aboveAverage="0" equalAverage="0" bottom="0" percent="0" rank="0" text="" dxfId="9">
      <formula>MaliyetEsik</formula>
    </cfRule>
  </conditionalFormatting>
  <conditionalFormatting sqref="D669">
    <cfRule type="cellIs" priority="1978" operator="lessThan" aboveAverage="0" equalAverage="0" bottom="0" percent="0" rank="0" text="" dxfId="10">
      <formula>18</formula>
    </cfRule>
  </conditionalFormatting>
  <conditionalFormatting sqref="B670">
    <cfRule type="cellIs" priority="1979" operator="greaterThan" aboveAverage="0" equalAverage="0" bottom="0" percent="0" rank="0" text="" dxfId="8">
      <formula>0</formula>
    </cfRule>
    <cfRule type="cellIs" priority="1980" operator="lessThan" aboveAverage="0" equalAverage="0" bottom="0" percent="0" rank="0" text="" dxfId="9">
      <formula>MaliyetEsik</formula>
    </cfRule>
  </conditionalFormatting>
  <conditionalFormatting sqref="D670">
    <cfRule type="cellIs" priority="1981" operator="lessThan" aboveAverage="0" equalAverage="0" bottom="0" percent="0" rank="0" text="" dxfId="10">
      <formula>18</formula>
    </cfRule>
  </conditionalFormatting>
  <conditionalFormatting sqref="B671">
    <cfRule type="cellIs" priority="1982" operator="greaterThan" aboveAverage="0" equalAverage="0" bottom="0" percent="0" rank="0" text="" dxfId="8">
      <formula>0</formula>
    </cfRule>
    <cfRule type="cellIs" priority="1983" operator="lessThan" aboveAverage="0" equalAverage="0" bottom="0" percent="0" rank="0" text="" dxfId="9">
      <formula>MaliyetEsik</formula>
    </cfRule>
  </conditionalFormatting>
  <conditionalFormatting sqref="D671">
    <cfRule type="cellIs" priority="1984" operator="lessThan" aboveAverage="0" equalAverage="0" bottom="0" percent="0" rank="0" text="" dxfId="10">
      <formula>18</formula>
    </cfRule>
  </conditionalFormatting>
  <conditionalFormatting sqref="B672">
    <cfRule type="cellIs" priority="1985" operator="greaterThan" aboveAverage="0" equalAverage="0" bottom="0" percent="0" rank="0" text="" dxfId="8">
      <formula>0</formula>
    </cfRule>
    <cfRule type="cellIs" priority="1986" operator="lessThan" aboveAverage="0" equalAverage="0" bottom="0" percent="0" rank="0" text="" dxfId="9">
      <formula>MaliyetEsik</formula>
    </cfRule>
  </conditionalFormatting>
  <conditionalFormatting sqref="D672">
    <cfRule type="cellIs" priority="1987" operator="lessThan" aboveAverage="0" equalAverage="0" bottom="0" percent="0" rank="0" text="" dxfId="10">
      <formula>18</formula>
    </cfRule>
  </conditionalFormatting>
  <conditionalFormatting sqref="B673">
    <cfRule type="cellIs" priority="1988" operator="greaterThan" aboveAverage="0" equalAverage="0" bottom="0" percent="0" rank="0" text="" dxfId="8">
      <formula>0</formula>
    </cfRule>
    <cfRule type="cellIs" priority="1989" operator="lessThan" aboveAverage="0" equalAverage="0" bottom="0" percent="0" rank="0" text="" dxfId="9">
      <formula>MaliyetEsik</formula>
    </cfRule>
  </conditionalFormatting>
  <conditionalFormatting sqref="D673">
    <cfRule type="cellIs" priority="1990" operator="lessThan" aboveAverage="0" equalAverage="0" bottom="0" percent="0" rank="0" text="" dxfId="10">
      <formula>18</formula>
    </cfRule>
  </conditionalFormatting>
  <conditionalFormatting sqref="B674">
    <cfRule type="cellIs" priority="1991" operator="greaterThan" aboveAverage="0" equalAverage="0" bottom="0" percent="0" rank="0" text="" dxfId="8">
      <formula>0</formula>
    </cfRule>
    <cfRule type="cellIs" priority="1992" operator="lessThan" aboveAverage="0" equalAverage="0" bottom="0" percent="0" rank="0" text="" dxfId="9">
      <formula>MaliyetEsik</formula>
    </cfRule>
  </conditionalFormatting>
  <conditionalFormatting sqref="D674">
    <cfRule type="cellIs" priority="1993" operator="lessThan" aboveAverage="0" equalAverage="0" bottom="0" percent="0" rank="0" text="" dxfId="10">
      <formula>18</formula>
    </cfRule>
  </conditionalFormatting>
  <conditionalFormatting sqref="B675">
    <cfRule type="cellIs" priority="1994" operator="greaterThan" aboveAverage="0" equalAverage="0" bottom="0" percent="0" rank="0" text="" dxfId="8">
      <formula>0</formula>
    </cfRule>
    <cfRule type="cellIs" priority="1995" operator="lessThan" aboveAverage="0" equalAverage="0" bottom="0" percent="0" rank="0" text="" dxfId="9">
      <formula>MaliyetEsik</formula>
    </cfRule>
  </conditionalFormatting>
  <conditionalFormatting sqref="D675">
    <cfRule type="cellIs" priority="1996" operator="lessThan" aboveAverage="0" equalAverage="0" bottom="0" percent="0" rank="0" text="" dxfId="10">
      <formula>18</formula>
    </cfRule>
  </conditionalFormatting>
  <conditionalFormatting sqref="B676">
    <cfRule type="cellIs" priority="1997" operator="greaterThan" aboveAverage="0" equalAverage="0" bottom="0" percent="0" rank="0" text="" dxfId="8">
      <formula>0</formula>
    </cfRule>
    <cfRule type="cellIs" priority="1998" operator="lessThan" aboveAverage="0" equalAverage="0" bottom="0" percent="0" rank="0" text="" dxfId="9">
      <formula>MaliyetEsik</formula>
    </cfRule>
  </conditionalFormatting>
  <conditionalFormatting sqref="D676">
    <cfRule type="cellIs" priority="1999" operator="lessThan" aboveAverage="0" equalAverage="0" bottom="0" percent="0" rank="0" text="" dxfId="10">
      <formula>18</formula>
    </cfRule>
  </conditionalFormatting>
  <conditionalFormatting sqref="B677">
    <cfRule type="cellIs" priority="2000" operator="greaterThan" aboveAverage="0" equalAverage="0" bottom="0" percent="0" rank="0" text="" dxfId="8">
      <formula>0</formula>
    </cfRule>
    <cfRule type="cellIs" priority="2001" operator="lessThan" aboveAverage="0" equalAverage="0" bottom="0" percent="0" rank="0" text="" dxfId="9">
      <formula>MaliyetEsik</formula>
    </cfRule>
  </conditionalFormatting>
  <conditionalFormatting sqref="D677">
    <cfRule type="cellIs" priority="2002" operator="lessThan" aboveAverage="0" equalAverage="0" bottom="0" percent="0" rank="0" text="" dxfId="10">
      <formula>18</formula>
    </cfRule>
  </conditionalFormatting>
  <conditionalFormatting sqref="B678">
    <cfRule type="cellIs" priority="2003" operator="greaterThan" aboveAverage="0" equalAverage="0" bottom="0" percent="0" rank="0" text="" dxfId="8">
      <formula>0</formula>
    </cfRule>
    <cfRule type="cellIs" priority="2004" operator="lessThan" aboveAverage="0" equalAverage="0" bottom="0" percent="0" rank="0" text="" dxfId="9">
      <formula>MaliyetEsik</formula>
    </cfRule>
  </conditionalFormatting>
  <conditionalFormatting sqref="D678">
    <cfRule type="cellIs" priority="2005" operator="lessThan" aboveAverage="0" equalAverage="0" bottom="0" percent="0" rank="0" text="" dxfId="10">
      <formula>18</formula>
    </cfRule>
  </conditionalFormatting>
  <conditionalFormatting sqref="B679">
    <cfRule type="cellIs" priority="2006" operator="greaterThan" aboveAverage="0" equalAverage="0" bottom="0" percent="0" rank="0" text="" dxfId="8">
      <formula>0</formula>
    </cfRule>
    <cfRule type="cellIs" priority="2007" operator="lessThan" aboveAverage="0" equalAverage="0" bottom="0" percent="0" rank="0" text="" dxfId="9">
      <formula>MaliyetEsik</formula>
    </cfRule>
  </conditionalFormatting>
  <conditionalFormatting sqref="D679">
    <cfRule type="cellIs" priority="2008" operator="lessThan" aboveAverage="0" equalAverage="0" bottom="0" percent="0" rank="0" text="" dxfId="10">
      <formula>18</formula>
    </cfRule>
  </conditionalFormatting>
  <conditionalFormatting sqref="B680">
    <cfRule type="cellIs" priority="2009" operator="greaterThan" aboveAverage="0" equalAverage="0" bottom="0" percent="0" rank="0" text="" dxfId="8">
      <formula>0</formula>
    </cfRule>
    <cfRule type="cellIs" priority="2010" operator="lessThan" aboveAverage="0" equalAverage="0" bottom="0" percent="0" rank="0" text="" dxfId="9">
      <formula>MaliyetEsik</formula>
    </cfRule>
  </conditionalFormatting>
  <conditionalFormatting sqref="D680">
    <cfRule type="cellIs" priority="2011" operator="lessThan" aboveAverage="0" equalAverage="0" bottom="0" percent="0" rank="0" text="" dxfId="10">
      <formula>18</formula>
    </cfRule>
  </conditionalFormatting>
  <conditionalFormatting sqref="B681">
    <cfRule type="cellIs" priority="2012" operator="greaterThan" aboveAverage="0" equalAverage="0" bottom="0" percent="0" rank="0" text="" dxfId="8">
      <formula>0</formula>
    </cfRule>
    <cfRule type="cellIs" priority="2013" operator="lessThan" aboveAverage="0" equalAverage="0" bottom="0" percent="0" rank="0" text="" dxfId="9">
      <formula>MaliyetEsik</formula>
    </cfRule>
  </conditionalFormatting>
  <conditionalFormatting sqref="D681">
    <cfRule type="cellIs" priority="2014" operator="lessThan" aboveAverage="0" equalAverage="0" bottom="0" percent="0" rank="0" text="" dxfId="10">
      <formula>18</formula>
    </cfRule>
  </conditionalFormatting>
  <conditionalFormatting sqref="B682">
    <cfRule type="cellIs" priority="2015" operator="greaterThan" aboveAverage="0" equalAverage="0" bottom="0" percent="0" rank="0" text="" dxfId="8">
      <formula>0</formula>
    </cfRule>
    <cfRule type="cellIs" priority="2016" operator="lessThan" aboveAverage="0" equalAverage="0" bottom="0" percent="0" rank="0" text="" dxfId="9">
      <formula>MaliyetEsik</formula>
    </cfRule>
  </conditionalFormatting>
  <conditionalFormatting sqref="D682">
    <cfRule type="cellIs" priority="2017" operator="lessThan" aboveAverage="0" equalAverage="0" bottom="0" percent="0" rank="0" text="" dxfId="10">
      <formula>18</formula>
    </cfRule>
  </conditionalFormatting>
  <conditionalFormatting sqref="B683">
    <cfRule type="cellIs" priority="2018" operator="greaterThan" aboveAverage="0" equalAverage="0" bottom="0" percent="0" rank="0" text="" dxfId="8">
      <formula>0</formula>
    </cfRule>
    <cfRule type="cellIs" priority="2019" operator="lessThan" aboveAverage="0" equalAverage="0" bottom="0" percent="0" rank="0" text="" dxfId="9">
      <formula>MaliyetEsik</formula>
    </cfRule>
  </conditionalFormatting>
  <conditionalFormatting sqref="D683">
    <cfRule type="cellIs" priority="2020" operator="lessThan" aboveAverage="0" equalAverage="0" bottom="0" percent="0" rank="0" text="" dxfId="10">
      <formula>18</formula>
    </cfRule>
  </conditionalFormatting>
  <conditionalFormatting sqref="B684">
    <cfRule type="cellIs" priority="2021" operator="greaterThan" aboveAverage="0" equalAverage="0" bottom="0" percent="0" rank="0" text="" dxfId="8">
      <formula>0</formula>
    </cfRule>
    <cfRule type="cellIs" priority="2022" operator="lessThan" aboveAverage="0" equalAverage="0" bottom="0" percent="0" rank="0" text="" dxfId="9">
      <formula>MaliyetEsik</formula>
    </cfRule>
  </conditionalFormatting>
  <conditionalFormatting sqref="D684">
    <cfRule type="cellIs" priority="2023" operator="lessThan" aboveAverage="0" equalAverage="0" bottom="0" percent="0" rank="0" text="" dxfId="10">
      <formula>18</formula>
    </cfRule>
  </conditionalFormatting>
  <conditionalFormatting sqref="B685">
    <cfRule type="cellIs" priority="2024" operator="greaterThan" aboveAverage="0" equalAverage="0" bottom="0" percent="0" rank="0" text="" dxfId="8">
      <formula>0</formula>
    </cfRule>
    <cfRule type="cellIs" priority="2025" operator="lessThan" aboveAverage="0" equalAverage="0" bottom="0" percent="0" rank="0" text="" dxfId="9">
      <formula>MaliyetEsik</formula>
    </cfRule>
  </conditionalFormatting>
  <conditionalFormatting sqref="D685">
    <cfRule type="cellIs" priority="2026" operator="lessThan" aboveAverage="0" equalAverage="0" bottom="0" percent="0" rank="0" text="" dxfId="10">
      <formula>18</formula>
    </cfRule>
  </conditionalFormatting>
  <conditionalFormatting sqref="B686">
    <cfRule type="cellIs" priority="2027" operator="greaterThan" aboveAverage="0" equalAverage="0" bottom="0" percent="0" rank="0" text="" dxfId="8">
      <formula>0</formula>
    </cfRule>
    <cfRule type="cellIs" priority="2028" operator="lessThan" aboveAverage="0" equalAverage="0" bottom="0" percent="0" rank="0" text="" dxfId="9">
      <formula>MaliyetEsik</formula>
    </cfRule>
  </conditionalFormatting>
  <conditionalFormatting sqref="D686">
    <cfRule type="cellIs" priority="2029" operator="lessThan" aboveAverage="0" equalAverage="0" bottom="0" percent="0" rank="0" text="" dxfId="10">
      <formula>18</formula>
    </cfRule>
  </conditionalFormatting>
  <conditionalFormatting sqref="B687">
    <cfRule type="cellIs" priority="2030" operator="greaterThan" aboveAverage="0" equalAverage="0" bottom="0" percent="0" rank="0" text="" dxfId="8">
      <formula>0</formula>
    </cfRule>
    <cfRule type="cellIs" priority="2031" operator="lessThan" aboveAverage="0" equalAverage="0" bottom="0" percent="0" rank="0" text="" dxfId="9">
      <formula>MaliyetEsik</formula>
    </cfRule>
  </conditionalFormatting>
  <conditionalFormatting sqref="D687">
    <cfRule type="cellIs" priority="2032" operator="lessThan" aboveAverage="0" equalAverage="0" bottom="0" percent="0" rank="0" text="" dxfId="10">
      <formula>18</formula>
    </cfRule>
  </conditionalFormatting>
  <conditionalFormatting sqref="B688">
    <cfRule type="cellIs" priority="2033" operator="greaterThan" aboveAverage="0" equalAverage="0" bottom="0" percent="0" rank="0" text="" dxfId="8">
      <formula>0</formula>
    </cfRule>
    <cfRule type="cellIs" priority="2034" operator="lessThan" aboveAverage="0" equalAverage="0" bottom="0" percent="0" rank="0" text="" dxfId="9">
      <formula>MaliyetEsik</formula>
    </cfRule>
  </conditionalFormatting>
  <conditionalFormatting sqref="D688">
    <cfRule type="cellIs" priority="2035" operator="lessThan" aboveAverage="0" equalAverage="0" bottom="0" percent="0" rank="0" text="" dxfId="10">
      <formula>18</formula>
    </cfRule>
  </conditionalFormatting>
  <conditionalFormatting sqref="B689">
    <cfRule type="cellIs" priority="2036" operator="greaterThan" aboveAverage="0" equalAverage="0" bottom="0" percent="0" rank="0" text="" dxfId="8">
      <formula>0</formula>
    </cfRule>
    <cfRule type="cellIs" priority="2037" operator="lessThan" aboveAverage="0" equalAverage="0" bottom="0" percent="0" rank="0" text="" dxfId="9">
      <formula>MaliyetEsik</formula>
    </cfRule>
  </conditionalFormatting>
  <conditionalFormatting sqref="D689">
    <cfRule type="cellIs" priority="2038" operator="lessThan" aboveAverage="0" equalAverage="0" bottom="0" percent="0" rank="0" text="" dxfId="10">
      <formula>18</formula>
    </cfRule>
  </conditionalFormatting>
  <conditionalFormatting sqref="B690">
    <cfRule type="cellIs" priority="2039" operator="greaterThan" aboveAverage="0" equalAverage="0" bottom="0" percent="0" rank="0" text="" dxfId="8">
      <formula>0</formula>
    </cfRule>
    <cfRule type="cellIs" priority="2040" operator="lessThan" aboveAverage="0" equalAverage="0" bottom="0" percent="0" rank="0" text="" dxfId="9">
      <formula>MaliyetEsik</formula>
    </cfRule>
  </conditionalFormatting>
  <conditionalFormatting sqref="D690">
    <cfRule type="cellIs" priority="2041" operator="lessThan" aboveAverage="0" equalAverage="0" bottom="0" percent="0" rank="0" text="" dxfId="10">
      <formula>18</formula>
    </cfRule>
  </conditionalFormatting>
  <conditionalFormatting sqref="B691">
    <cfRule type="cellIs" priority="2042" operator="greaterThan" aboveAverage="0" equalAverage="0" bottom="0" percent="0" rank="0" text="" dxfId="8">
      <formula>0</formula>
    </cfRule>
    <cfRule type="cellIs" priority="2043" operator="lessThan" aboveAverage="0" equalAverage="0" bottom="0" percent="0" rank="0" text="" dxfId="9">
      <formula>MaliyetEsik</formula>
    </cfRule>
  </conditionalFormatting>
  <conditionalFormatting sqref="D691">
    <cfRule type="cellIs" priority="2044" operator="lessThan" aboveAverage="0" equalAverage="0" bottom="0" percent="0" rank="0" text="" dxfId="10">
      <formula>18</formula>
    </cfRule>
  </conditionalFormatting>
  <conditionalFormatting sqref="B692">
    <cfRule type="cellIs" priority="2045" operator="greaterThan" aboveAverage="0" equalAverage="0" bottom="0" percent="0" rank="0" text="" dxfId="8">
      <formula>0</formula>
    </cfRule>
    <cfRule type="cellIs" priority="2046" operator="lessThan" aboveAverage="0" equalAverage="0" bottom="0" percent="0" rank="0" text="" dxfId="9">
      <formula>MaliyetEsik</formula>
    </cfRule>
  </conditionalFormatting>
  <conditionalFormatting sqref="D692">
    <cfRule type="cellIs" priority="2047" operator="lessThan" aboveAverage="0" equalAverage="0" bottom="0" percent="0" rank="0" text="" dxfId="10">
      <formula>18</formula>
    </cfRule>
  </conditionalFormatting>
  <conditionalFormatting sqref="B693">
    <cfRule type="cellIs" priority="2048" operator="greaterThan" aboveAverage="0" equalAverage="0" bottom="0" percent="0" rank="0" text="" dxfId="8">
      <formula>0</formula>
    </cfRule>
    <cfRule type="cellIs" priority="2049" operator="lessThan" aboveAverage="0" equalAverage="0" bottom="0" percent="0" rank="0" text="" dxfId="9">
      <formula>MaliyetEsik</formula>
    </cfRule>
  </conditionalFormatting>
  <conditionalFormatting sqref="D693">
    <cfRule type="cellIs" priority="2050" operator="lessThan" aboveAverage="0" equalAverage="0" bottom="0" percent="0" rank="0" text="" dxfId="10">
      <formula>18</formula>
    </cfRule>
  </conditionalFormatting>
  <conditionalFormatting sqref="B694">
    <cfRule type="cellIs" priority="2051" operator="greaterThan" aboveAverage="0" equalAverage="0" bottom="0" percent="0" rank="0" text="" dxfId="8">
      <formula>0</formula>
    </cfRule>
    <cfRule type="cellIs" priority="2052" operator="lessThan" aboveAverage="0" equalAverage="0" bottom="0" percent="0" rank="0" text="" dxfId="9">
      <formula>MaliyetEsik</formula>
    </cfRule>
  </conditionalFormatting>
  <conditionalFormatting sqref="D694">
    <cfRule type="cellIs" priority="2053" operator="lessThan" aboveAverage="0" equalAverage="0" bottom="0" percent="0" rank="0" text="" dxfId="10">
      <formula>18</formula>
    </cfRule>
  </conditionalFormatting>
  <conditionalFormatting sqref="B695">
    <cfRule type="cellIs" priority="2054" operator="greaterThan" aboveAverage="0" equalAverage="0" bottom="0" percent="0" rank="0" text="" dxfId="8">
      <formula>0</formula>
    </cfRule>
    <cfRule type="cellIs" priority="2055" operator="lessThan" aboveAverage="0" equalAverage="0" bottom="0" percent="0" rank="0" text="" dxfId="9">
      <formula>MaliyetEsik</formula>
    </cfRule>
  </conditionalFormatting>
  <conditionalFormatting sqref="D695">
    <cfRule type="cellIs" priority="2056" operator="lessThan" aboveAverage="0" equalAverage="0" bottom="0" percent="0" rank="0" text="" dxfId="10">
      <formula>18</formula>
    </cfRule>
  </conditionalFormatting>
  <conditionalFormatting sqref="B696">
    <cfRule type="cellIs" priority="2057" operator="greaterThan" aboveAverage="0" equalAverage="0" bottom="0" percent="0" rank="0" text="" dxfId="8">
      <formula>0</formula>
    </cfRule>
    <cfRule type="cellIs" priority="2058" operator="lessThan" aboveAverage="0" equalAverage="0" bottom="0" percent="0" rank="0" text="" dxfId="9">
      <formula>MaliyetEsik</formula>
    </cfRule>
  </conditionalFormatting>
  <conditionalFormatting sqref="D696">
    <cfRule type="cellIs" priority="2059" operator="lessThan" aboveAverage="0" equalAverage="0" bottom="0" percent="0" rank="0" text="" dxfId="10">
      <formula>18</formula>
    </cfRule>
  </conditionalFormatting>
  <conditionalFormatting sqref="B697">
    <cfRule type="cellIs" priority="2060" operator="greaterThan" aboveAverage="0" equalAverage="0" bottom="0" percent="0" rank="0" text="" dxfId="8">
      <formula>0</formula>
    </cfRule>
    <cfRule type="cellIs" priority="2061" operator="lessThan" aboveAverage="0" equalAverage="0" bottom="0" percent="0" rank="0" text="" dxfId="9">
      <formula>MaliyetEsik</formula>
    </cfRule>
  </conditionalFormatting>
  <conditionalFormatting sqref="D697">
    <cfRule type="cellIs" priority="2062" operator="lessThan" aboveAverage="0" equalAverage="0" bottom="0" percent="0" rank="0" text="" dxfId="10">
      <formula>18</formula>
    </cfRule>
  </conditionalFormatting>
  <conditionalFormatting sqref="B698">
    <cfRule type="cellIs" priority="2063" operator="greaterThan" aboveAverage="0" equalAverage="0" bottom="0" percent="0" rank="0" text="" dxfId="8">
      <formula>0</formula>
    </cfRule>
    <cfRule type="cellIs" priority="2064" operator="lessThan" aboveAverage="0" equalAverage="0" bottom="0" percent="0" rank="0" text="" dxfId="9">
      <formula>MaliyetEsik</formula>
    </cfRule>
  </conditionalFormatting>
  <conditionalFormatting sqref="D698">
    <cfRule type="cellIs" priority="2065" operator="lessThan" aboveAverage="0" equalAverage="0" bottom="0" percent="0" rank="0" text="" dxfId="10">
      <formula>18</formula>
    </cfRule>
  </conditionalFormatting>
  <conditionalFormatting sqref="B699">
    <cfRule type="cellIs" priority="2066" operator="greaterThan" aboveAverage="0" equalAverage="0" bottom="0" percent="0" rank="0" text="" dxfId="8">
      <formula>0</formula>
    </cfRule>
    <cfRule type="cellIs" priority="2067" operator="lessThan" aboveAverage="0" equalAverage="0" bottom="0" percent="0" rank="0" text="" dxfId="9">
      <formula>MaliyetEsik</formula>
    </cfRule>
  </conditionalFormatting>
  <conditionalFormatting sqref="D699">
    <cfRule type="cellIs" priority="2068" operator="lessThan" aboveAverage="0" equalAverage="0" bottom="0" percent="0" rank="0" text="" dxfId="10">
      <formula>18</formula>
    </cfRule>
  </conditionalFormatting>
  <conditionalFormatting sqref="B700">
    <cfRule type="cellIs" priority="2069" operator="greaterThan" aboveAverage="0" equalAverage="0" bottom="0" percent="0" rank="0" text="" dxfId="8">
      <formula>0</formula>
    </cfRule>
    <cfRule type="cellIs" priority="2070" operator="lessThan" aboveAverage="0" equalAverage="0" bottom="0" percent="0" rank="0" text="" dxfId="9">
      <formula>MaliyetEsik</formula>
    </cfRule>
  </conditionalFormatting>
  <conditionalFormatting sqref="D700">
    <cfRule type="cellIs" priority="2071" operator="lessThan" aboveAverage="0" equalAverage="0" bottom="0" percent="0" rank="0" text="" dxfId="10">
      <formula>18</formula>
    </cfRule>
  </conditionalFormatting>
  <conditionalFormatting sqref="B701">
    <cfRule type="cellIs" priority="2072" operator="greaterThan" aboveAverage="0" equalAverage="0" bottom="0" percent="0" rank="0" text="" dxfId="8">
      <formula>0</formula>
    </cfRule>
    <cfRule type="cellIs" priority="2073" operator="lessThan" aboveAverage="0" equalAverage="0" bottom="0" percent="0" rank="0" text="" dxfId="9">
      <formula>MaliyetEsik</formula>
    </cfRule>
  </conditionalFormatting>
  <conditionalFormatting sqref="D701">
    <cfRule type="cellIs" priority="2074" operator="lessThan" aboveAverage="0" equalAverage="0" bottom="0" percent="0" rank="0" text="" dxfId="10">
      <formula>18</formula>
    </cfRule>
  </conditionalFormatting>
  <conditionalFormatting sqref="B702">
    <cfRule type="cellIs" priority="2075" operator="greaterThan" aboveAverage="0" equalAverage="0" bottom="0" percent="0" rank="0" text="" dxfId="8">
      <formula>0</formula>
    </cfRule>
    <cfRule type="cellIs" priority="2076" operator="lessThan" aboveAverage="0" equalAverage="0" bottom="0" percent="0" rank="0" text="" dxfId="9">
      <formula>MaliyetEsik</formula>
    </cfRule>
  </conditionalFormatting>
  <conditionalFormatting sqref="D702">
    <cfRule type="cellIs" priority="2077" operator="lessThan" aboveAverage="0" equalAverage="0" bottom="0" percent="0" rank="0" text="" dxfId="10">
      <formula>18</formula>
    </cfRule>
  </conditionalFormatting>
  <conditionalFormatting sqref="B703">
    <cfRule type="cellIs" priority="2078" operator="greaterThan" aboveAverage="0" equalAverage="0" bottom="0" percent="0" rank="0" text="" dxfId="8">
      <formula>0</formula>
    </cfRule>
    <cfRule type="cellIs" priority="2079" operator="lessThan" aboveAverage="0" equalAverage="0" bottom="0" percent="0" rank="0" text="" dxfId="9">
      <formula>MaliyetEsik</formula>
    </cfRule>
  </conditionalFormatting>
  <conditionalFormatting sqref="D703">
    <cfRule type="cellIs" priority="2080" operator="lessThan" aboveAverage="0" equalAverage="0" bottom="0" percent="0" rank="0" text="" dxfId="10">
      <formula>18</formula>
    </cfRule>
  </conditionalFormatting>
  <conditionalFormatting sqref="B704">
    <cfRule type="cellIs" priority="2081" operator="greaterThan" aboveAverage="0" equalAverage="0" bottom="0" percent="0" rank="0" text="" dxfId="8">
      <formula>0</formula>
    </cfRule>
    <cfRule type="cellIs" priority="2082" operator="lessThan" aboveAverage="0" equalAverage="0" bottom="0" percent="0" rank="0" text="" dxfId="9">
      <formula>MaliyetEsik</formula>
    </cfRule>
  </conditionalFormatting>
  <conditionalFormatting sqref="D704">
    <cfRule type="cellIs" priority="2083" operator="lessThan" aboveAverage="0" equalAverage="0" bottom="0" percent="0" rank="0" text="" dxfId="10">
      <formula>18</formula>
    </cfRule>
  </conditionalFormatting>
  <conditionalFormatting sqref="B705">
    <cfRule type="cellIs" priority="2084" operator="greaterThan" aboveAverage="0" equalAverage="0" bottom="0" percent="0" rank="0" text="" dxfId="8">
      <formula>0</formula>
    </cfRule>
    <cfRule type="cellIs" priority="2085" operator="lessThan" aboveAverage="0" equalAverage="0" bottom="0" percent="0" rank="0" text="" dxfId="9">
      <formula>MaliyetEsik</formula>
    </cfRule>
  </conditionalFormatting>
  <conditionalFormatting sqref="D705">
    <cfRule type="cellIs" priority="2086" operator="lessThan" aboveAverage="0" equalAverage="0" bottom="0" percent="0" rank="0" text="" dxfId="10">
      <formula>18</formula>
    </cfRule>
  </conditionalFormatting>
  <conditionalFormatting sqref="B706">
    <cfRule type="cellIs" priority="2087" operator="greaterThan" aboveAverage="0" equalAverage="0" bottom="0" percent="0" rank="0" text="" dxfId="8">
      <formula>0</formula>
    </cfRule>
    <cfRule type="cellIs" priority="2088" operator="lessThan" aboveAverage="0" equalAverage="0" bottom="0" percent="0" rank="0" text="" dxfId="9">
      <formula>MaliyetEsik</formula>
    </cfRule>
  </conditionalFormatting>
  <conditionalFormatting sqref="D706">
    <cfRule type="cellIs" priority="2089" operator="lessThan" aboveAverage="0" equalAverage="0" bottom="0" percent="0" rank="0" text="" dxfId="10">
      <formula>18</formula>
    </cfRule>
  </conditionalFormatting>
  <conditionalFormatting sqref="B707">
    <cfRule type="cellIs" priority="2090" operator="greaterThan" aboveAverage="0" equalAverage="0" bottom="0" percent="0" rank="0" text="" dxfId="8">
      <formula>0</formula>
    </cfRule>
    <cfRule type="cellIs" priority="2091" operator="lessThan" aboveAverage="0" equalAverage="0" bottom="0" percent="0" rank="0" text="" dxfId="9">
      <formula>MaliyetEsik</formula>
    </cfRule>
  </conditionalFormatting>
  <conditionalFormatting sqref="D707">
    <cfRule type="cellIs" priority="2092" operator="lessThan" aboveAverage="0" equalAverage="0" bottom="0" percent="0" rank="0" text="" dxfId="10">
      <formula>18</formula>
    </cfRule>
  </conditionalFormatting>
  <conditionalFormatting sqref="B708">
    <cfRule type="cellIs" priority="2093" operator="greaterThan" aboveAverage="0" equalAverage="0" bottom="0" percent="0" rank="0" text="" dxfId="8">
      <formula>0</formula>
    </cfRule>
    <cfRule type="cellIs" priority="2094" operator="lessThan" aboveAverage="0" equalAverage="0" bottom="0" percent="0" rank="0" text="" dxfId="9">
      <formula>MaliyetEsik</formula>
    </cfRule>
  </conditionalFormatting>
  <conditionalFormatting sqref="D708">
    <cfRule type="cellIs" priority="2095" operator="lessThan" aboveAverage="0" equalAverage="0" bottom="0" percent="0" rank="0" text="" dxfId="10">
      <formula>18</formula>
    </cfRule>
  </conditionalFormatting>
  <conditionalFormatting sqref="B709">
    <cfRule type="cellIs" priority="2096" operator="greaterThan" aboveAverage="0" equalAverage="0" bottom="0" percent="0" rank="0" text="" dxfId="8">
      <formula>0</formula>
    </cfRule>
    <cfRule type="cellIs" priority="2097" operator="lessThan" aboveAverage="0" equalAverage="0" bottom="0" percent="0" rank="0" text="" dxfId="9">
      <formula>MaliyetEsik</formula>
    </cfRule>
  </conditionalFormatting>
  <conditionalFormatting sqref="D709">
    <cfRule type="cellIs" priority="2098" operator="lessThan" aboveAverage="0" equalAverage="0" bottom="0" percent="0" rank="0" text="" dxfId="10">
      <formula>18</formula>
    </cfRule>
  </conditionalFormatting>
  <conditionalFormatting sqref="B710">
    <cfRule type="cellIs" priority="2099" operator="greaterThan" aboveAverage="0" equalAverage="0" bottom="0" percent="0" rank="0" text="" dxfId="8">
      <formula>0</formula>
    </cfRule>
    <cfRule type="cellIs" priority="2100" operator="lessThan" aboveAverage="0" equalAverage="0" bottom="0" percent="0" rank="0" text="" dxfId="9">
      <formula>MaliyetEsik</formula>
    </cfRule>
  </conditionalFormatting>
  <conditionalFormatting sqref="D710">
    <cfRule type="cellIs" priority="2101" operator="lessThan" aboveAverage="0" equalAverage="0" bottom="0" percent="0" rank="0" text="" dxfId="10">
      <formula>18</formula>
    </cfRule>
  </conditionalFormatting>
  <conditionalFormatting sqref="B711">
    <cfRule type="cellIs" priority="2102" operator="greaterThan" aboveAverage="0" equalAverage="0" bottom="0" percent="0" rank="0" text="" dxfId="8">
      <formula>0</formula>
    </cfRule>
    <cfRule type="cellIs" priority="2103" operator="lessThan" aboveAverage="0" equalAverage="0" bottom="0" percent="0" rank="0" text="" dxfId="9">
      <formula>MaliyetEsik</formula>
    </cfRule>
  </conditionalFormatting>
  <conditionalFormatting sqref="D711">
    <cfRule type="cellIs" priority="2104" operator="lessThan" aboveAverage="0" equalAverage="0" bottom="0" percent="0" rank="0" text="" dxfId="10">
      <formula>18</formula>
    </cfRule>
  </conditionalFormatting>
  <conditionalFormatting sqref="B712">
    <cfRule type="cellIs" priority="2105" operator="greaterThan" aboveAverage="0" equalAverage="0" bottom="0" percent="0" rank="0" text="" dxfId="8">
      <formula>0</formula>
    </cfRule>
    <cfRule type="cellIs" priority="2106" operator="lessThan" aboveAverage="0" equalAverage="0" bottom="0" percent="0" rank="0" text="" dxfId="9">
      <formula>MaliyetEsik</formula>
    </cfRule>
  </conditionalFormatting>
  <conditionalFormatting sqref="D712">
    <cfRule type="cellIs" priority="2107" operator="lessThan" aboveAverage="0" equalAverage="0" bottom="0" percent="0" rank="0" text="" dxfId="10">
      <formula>18</formula>
    </cfRule>
  </conditionalFormatting>
  <conditionalFormatting sqref="B713">
    <cfRule type="cellIs" priority="2108" operator="greaterThan" aboveAverage="0" equalAverage="0" bottom="0" percent="0" rank="0" text="" dxfId="8">
      <formula>0</formula>
    </cfRule>
    <cfRule type="cellIs" priority="2109" operator="lessThan" aboveAverage="0" equalAverage="0" bottom="0" percent="0" rank="0" text="" dxfId="9">
      <formula>MaliyetEsik</formula>
    </cfRule>
  </conditionalFormatting>
  <conditionalFormatting sqref="D713">
    <cfRule type="cellIs" priority="2110" operator="lessThan" aboveAverage="0" equalAverage="0" bottom="0" percent="0" rank="0" text="" dxfId="10">
      <formula>18</formula>
    </cfRule>
  </conditionalFormatting>
  <conditionalFormatting sqref="B714">
    <cfRule type="cellIs" priority="2111" operator="greaterThan" aboveAverage="0" equalAverage="0" bottom="0" percent="0" rank="0" text="" dxfId="8">
      <formula>0</formula>
    </cfRule>
    <cfRule type="cellIs" priority="2112" operator="lessThan" aboveAverage="0" equalAverage="0" bottom="0" percent="0" rank="0" text="" dxfId="9">
      <formula>MaliyetEsik</formula>
    </cfRule>
  </conditionalFormatting>
  <conditionalFormatting sqref="D714">
    <cfRule type="cellIs" priority="2113" operator="lessThan" aboveAverage="0" equalAverage="0" bottom="0" percent="0" rank="0" text="" dxfId="10">
      <formula>18</formula>
    </cfRule>
  </conditionalFormatting>
  <conditionalFormatting sqref="B715">
    <cfRule type="cellIs" priority="2114" operator="greaterThan" aboveAverage="0" equalAverage="0" bottom="0" percent="0" rank="0" text="" dxfId="8">
      <formula>0</formula>
    </cfRule>
    <cfRule type="cellIs" priority="2115" operator="lessThan" aboveAverage="0" equalAverage="0" bottom="0" percent="0" rank="0" text="" dxfId="9">
      <formula>MaliyetEsik</formula>
    </cfRule>
  </conditionalFormatting>
  <conditionalFormatting sqref="D715">
    <cfRule type="cellIs" priority="2116" operator="lessThan" aboveAverage="0" equalAverage="0" bottom="0" percent="0" rank="0" text="" dxfId="10">
      <formula>18</formula>
    </cfRule>
  </conditionalFormatting>
  <conditionalFormatting sqref="B716">
    <cfRule type="cellIs" priority="2117" operator="greaterThan" aboveAverage="0" equalAverage="0" bottom="0" percent="0" rank="0" text="" dxfId="8">
      <formula>0</formula>
    </cfRule>
    <cfRule type="cellIs" priority="2118" operator="lessThan" aboveAverage="0" equalAverage="0" bottom="0" percent="0" rank="0" text="" dxfId="9">
      <formula>MaliyetEsik</formula>
    </cfRule>
  </conditionalFormatting>
  <conditionalFormatting sqref="D716">
    <cfRule type="cellIs" priority="2119" operator="lessThan" aboveAverage="0" equalAverage="0" bottom="0" percent="0" rank="0" text="" dxfId="10">
      <formula>18</formula>
    </cfRule>
  </conditionalFormatting>
  <conditionalFormatting sqref="B717">
    <cfRule type="cellIs" priority="2120" operator="greaterThan" aboveAverage="0" equalAverage="0" bottom="0" percent="0" rank="0" text="" dxfId="8">
      <formula>0</formula>
    </cfRule>
    <cfRule type="cellIs" priority="2121" operator="lessThan" aboveAverage="0" equalAverage="0" bottom="0" percent="0" rank="0" text="" dxfId="9">
      <formula>MaliyetEsik</formula>
    </cfRule>
  </conditionalFormatting>
  <conditionalFormatting sqref="D717">
    <cfRule type="cellIs" priority="2122" operator="lessThan" aboveAverage="0" equalAverage="0" bottom="0" percent="0" rank="0" text="" dxfId="10">
      <formula>18</formula>
    </cfRule>
  </conditionalFormatting>
  <conditionalFormatting sqref="B718">
    <cfRule type="cellIs" priority="2123" operator="greaterThan" aboveAverage="0" equalAverage="0" bottom="0" percent="0" rank="0" text="" dxfId="8">
      <formula>0</formula>
    </cfRule>
    <cfRule type="cellIs" priority="2124" operator="lessThan" aboveAverage="0" equalAverage="0" bottom="0" percent="0" rank="0" text="" dxfId="9">
      <formula>MaliyetEsik</formula>
    </cfRule>
  </conditionalFormatting>
  <conditionalFormatting sqref="D718">
    <cfRule type="cellIs" priority="2125" operator="lessThan" aboveAverage="0" equalAverage="0" bottom="0" percent="0" rank="0" text="" dxfId="10">
      <formula>18</formula>
    </cfRule>
  </conditionalFormatting>
  <conditionalFormatting sqref="B719">
    <cfRule type="cellIs" priority="2126" operator="greaterThan" aboveAverage="0" equalAverage="0" bottom="0" percent="0" rank="0" text="" dxfId="8">
      <formula>0</formula>
    </cfRule>
    <cfRule type="cellIs" priority="2127" operator="lessThan" aboveAverage="0" equalAverage="0" bottom="0" percent="0" rank="0" text="" dxfId="9">
      <formula>MaliyetEsik</formula>
    </cfRule>
  </conditionalFormatting>
  <conditionalFormatting sqref="D719">
    <cfRule type="cellIs" priority="2128" operator="lessThan" aboveAverage="0" equalAverage="0" bottom="0" percent="0" rank="0" text="" dxfId="10">
      <formula>18</formula>
    </cfRule>
  </conditionalFormatting>
  <conditionalFormatting sqref="B720">
    <cfRule type="cellIs" priority="2129" operator="greaterThan" aboveAverage="0" equalAverage="0" bottom="0" percent="0" rank="0" text="" dxfId="8">
      <formula>0</formula>
    </cfRule>
    <cfRule type="cellIs" priority="2130" operator="lessThan" aboveAverage="0" equalAverage="0" bottom="0" percent="0" rank="0" text="" dxfId="9">
      <formula>MaliyetEsik</formula>
    </cfRule>
  </conditionalFormatting>
  <conditionalFormatting sqref="D720">
    <cfRule type="cellIs" priority="2131" operator="lessThan" aboveAverage="0" equalAverage="0" bottom="0" percent="0" rank="0" text="" dxfId="10">
      <formula>18</formula>
    </cfRule>
  </conditionalFormatting>
  <conditionalFormatting sqref="B721">
    <cfRule type="cellIs" priority="2132" operator="greaterThan" aboveAverage="0" equalAverage="0" bottom="0" percent="0" rank="0" text="" dxfId="8">
      <formula>0</formula>
    </cfRule>
    <cfRule type="cellIs" priority="2133" operator="lessThan" aboveAverage="0" equalAverage="0" bottom="0" percent="0" rank="0" text="" dxfId="9">
      <formula>MaliyetEsik</formula>
    </cfRule>
  </conditionalFormatting>
  <conditionalFormatting sqref="D721">
    <cfRule type="cellIs" priority="2134" operator="lessThan" aboveAverage="0" equalAverage="0" bottom="0" percent="0" rank="0" text="" dxfId="10">
      <formula>18</formula>
    </cfRule>
  </conditionalFormatting>
  <conditionalFormatting sqref="B722">
    <cfRule type="cellIs" priority="2135" operator="greaterThan" aboveAverage="0" equalAverage="0" bottom="0" percent="0" rank="0" text="" dxfId="8">
      <formula>0</formula>
    </cfRule>
    <cfRule type="cellIs" priority="2136" operator="lessThan" aboveAverage="0" equalAverage="0" bottom="0" percent="0" rank="0" text="" dxfId="9">
      <formula>MaliyetEsik</formula>
    </cfRule>
  </conditionalFormatting>
  <conditionalFormatting sqref="D722">
    <cfRule type="cellIs" priority="2137" operator="lessThan" aboveAverage="0" equalAverage="0" bottom="0" percent="0" rank="0" text="" dxfId="10">
      <formula>18</formula>
    </cfRule>
  </conditionalFormatting>
  <conditionalFormatting sqref="B723">
    <cfRule type="cellIs" priority="2138" operator="greaterThan" aboveAverage="0" equalAverage="0" bottom="0" percent="0" rank="0" text="" dxfId="8">
      <formula>0</formula>
    </cfRule>
    <cfRule type="cellIs" priority="2139" operator="lessThan" aboveAverage="0" equalAverage="0" bottom="0" percent="0" rank="0" text="" dxfId="9">
      <formula>MaliyetEsik</formula>
    </cfRule>
  </conditionalFormatting>
  <conditionalFormatting sqref="D723">
    <cfRule type="cellIs" priority="2140" operator="lessThan" aboveAverage="0" equalAverage="0" bottom="0" percent="0" rank="0" text="" dxfId="10">
      <formula>18</formula>
    </cfRule>
  </conditionalFormatting>
  <conditionalFormatting sqref="B724">
    <cfRule type="cellIs" priority="2141" operator="greaterThan" aboveAverage="0" equalAverage="0" bottom="0" percent="0" rank="0" text="" dxfId="8">
      <formula>0</formula>
    </cfRule>
    <cfRule type="cellIs" priority="2142" operator="lessThan" aboveAverage="0" equalAverage="0" bottom="0" percent="0" rank="0" text="" dxfId="9">
      <formula>MaliyetEsik</formula>
    </cfRule>
  </conditionalFormatting>
  <conditionalFormatting sqref="D724">
    <cfRule type="cellIs" priority="2143" operator="lessThan" aboveAverage="0" equalAverage="0" bottom="0" percent="0" rank="0" text="" dxfId="10">
      <formula>18</formula>
    </cfRule>
  </conditionalFormatting>
  <conditionalFormatting sqref="B725">
    <cfRule type="cellIs" priority="2144" operator="greaterThan" aboveAverage="0" equalAverage="0" bottom="0" percent="0" rank="0" text="" dxfId="8">
      <formula>0</formula>
    </cfRule>
    <cfRule type="cellIs" priority="2145" operator="lessThan" aboveAverage="0" equalAverage="0" bottom="0" percent="0" rank="0" text="" dxfId="9">
      <formula>MaliyetEsik</formula>
    </cfRule>
  </conditionalFormatting>
  <conditionalFormatting sqref="D725">
    <cfRule type="cellIs" priority="2146" operator="lessThan" aboveAverage="0" equalAverage="0" bottom="0" percent="0" rank="0" text="" dxfId="10">
      <formula>18</formula>
    </cfRule>
  </conditionalFormatting>
  <conditionalFormatting sqref="B726">
    <cfRule type="cellIs" priority="2147" operator="greaterThan" aboveAverage="0" equalAverage="0" bottom="0" percent="0" rank="0" text="" dxfId="8">
      <formula>0</formula>
    </cfRule>
    <cfRule type="cellIs" priority="2148" operator="lessThan" aboveAverage="0" equalAverage="0" bottom="0" percent="0" rank="0" text="" dxfId="9">
      <formula>MaliyetEsik</formula>
    </cfRule>
  </conditionalFormatting>
  <conditionalFormatting sqref="D726">
    <cfRule type="cellIs" priority="2149" operator="lessThan" aboveAverage="0" equalAverage="0" bottom="0" percent="0" rank="0" text="" dxfId="10">
      <formula>18</formula>
    </cfRule>
  </conditionalFormatting>
  <conditionalFormatting sqref="B727">
    <cfRule type="cellIs" priority="2150" operator="greaterThan" aboveAverage="0" equalAverage="0" bottom="0" percent="0" rank="0" text="" dxfId="8">
      <formula>0</formula>
    </cfRule>
    <cfRule type="cellIs" priority="2151" operator="lessThan" aboveAverage="0" equalAverage="0" bottom="0" percent="0" rank="0" text="" dxfId="9">
      <formula>MaliyetEsik</formula>
    </cfRule>
  </conditionalFormatting>
  <conditionalFormatting sqref="D727">
    <cfRule type="cellIs" priority="2152" operator="lessThan" aboveAverage="0" equalAverage="0" bottom="0" percent="0" rank="0" text="" dxfId="10">
      <formula>18</formula>
    </cfRule>
  </conditionalFormatting>
  <conditionalFormatting sqref="B728">
    <cfRule type="cellIs" priority="2153" operator="greaterThan" aboveAverage="0" equalAverage="0" bottom="0" percent="0" rank="0" text="" dxfId="8">
      <formula>0</formula>
    </cfRule>
    <cfRule type="cellIs" priority="2154" operator="lessThan" aboveAverage="0" equalAverage="0" bottom="0" percent="0" rank="0" text="" dxfId="9">
      <formula>MaliyetEsik</formula>
    </cfRule>
  </conditionalFormatting>
  <conditionalFormatting sqref="D728">
    <cfRule type="cellIs" priority="2155" operator="lessThan" aboveAverage="0" equalAverage="0" bottom="0" percent="0" rank="0" text="" dxfId="10">
      <formula>18</formula>
    </cfRule>
  </conditionalFormatting>
  <conditionalFormatting sqref="B729">
    <cfRule type="cellIs" priority="2156" operator="greaterThan" aboveAverage="0" equalAverage="0" bottom="0" percent="0" rank="0" text="" dxfId="8">
      <formula>0</formula>
    </cfRule>
    <cfRule type="cellIs" priority="2157" operator="lessThan" aboveAverage="0" equalAverage="0" bottom="0" percent="0" rank="0" text="" dxfId="9">
      <formula>MaliyetEsik</formula>
    </cfRule>
  </conditionalFormatting>
  <conditionalFormatting sqref="D729">
    <cfRule type="cellIs" priority="2158" operator="lessThan" aboveAverage="0" equalAverage="0" bottom="0" percent="0" rank="0" text="" dxfId="10">
      <formula>18</formula>
    </cfRule>
  </conditionalFormatting>
  <conditionalFormatting sqref="B730">
    <cfRule type="cellIs" priority="2159" operator="greaterThan" aboveAverage="0" equalAverage="0" bottom="0" percent="0" rank="0" text="" dxfId="8">
      <formula>0</formula>
    </cfRule>
    <cfRule type="cellIs" priority="2160" operator="lessThan" aboveAverage="0" equalAverage="0" bottom="0" percent="0" rank="0" text="" dxfId="9">
      <formula>MaliyetEsik</formula>
    </cfRule>
  </conditionalFormatting>
  <conditionalFormatting sqref="D730">
    <cfRule type="cellIs" priority="2161" operator="lessThan" aboveAverage="0" equalAverage="0" bottom="0" percent="0" rank="0" text="" dxfId="10">
      <formula>18</formula>
    </cfRule>
  </conditionalFormatting>
  <conditionalFormatting sqref="B731">
    <cfRule type="cellIs" priority="2162" operator="greaterThan" aboveAverage="0" equalAverage="0" bottom="0" percent="0" rank="0" text="" dxfId="8">
      <formula>0</formula>
    </cfRule>
    <cfRule type="cellIs" priority="2163" operator="lessThan" aboveAverage="0" equalAverage="0" bottom="0" percent="0" rank="0" text="" dxfId="9">
      <formula>MaliyetEsik</formula>
    </cfRule>
  </conditionalFormatting>
  <conditionalFormatting sqref="D731">
    <cfRule type="cellIs" priority="2164" operator="lessThan" aboveAverage="0" equalAverage="0" bottom="0" percent="0" rank="0" text="" dxfId="10">
      <formula>18</formula>
    </cfRule>
  </conditionalFormatting>
  <conditionalFormatting sqref="B732">
    <cfRule type="cellIs" priority="2165" operator="greaterThan" aboveAverage="0" equalAverage="0" bottom="0" percent="0" rank="0" text="" dxfId="8">
      <formula>0</formula>
    </cfRule>
    <cfRule type="cellIs" priority="2166" operator="lessThan" aboveAverage="0" equalAverage="0" bottom="0" percent="0" rank="0" text="" dxfId="9">
      <formula>MaliyetEsik</formula>
    </cfRule>
  </conditionalFormatting>
  <conditionalFormatting sqref="D732">
    <cfRule type="cellIs" priority="2167" operator="lessThan" aboveAverage="0" equalAverage="0" bottom="0" percent="0" rank="0" text="" dxfId="10">
      <formula>18</formula>
    </cfRule>
  </conditionalFormatting>
  <conditionalFormatting sqref="B733">
    <cfRule type="cellIs" priority="2168" operator="greaterThan" aboveAverage="0" equalAverage="0" bottom="0" percent="0" rank="0" text="" dxfId="8">
      <formula>0</formula>
    </cfRule>
    <cfRule type="cellIs" priority="2169" operator="lessThan" aboveAverage="0" equalAverage="0" bottom="0" percent="0" rank="0" text="" dxfId="9">
      <formula>MaliyetEsik</formula>
    </cfRule>
  </conditionalFormatting>
  <conditionalFormatting sqref="D733">
    <cfRule type="cellIs" priority="2170" operator="lessThan" aboveAverage="0" equalAverage="0" bottom="0" percent="0" rank="0" text="" dxfId="10">
      <formula>18</formula>
    </cfRule>
  </conditionalFormatting>
  <conditionalFormatting sqref="B734">
    <cfRule type="cellIs" priority="2171" operator="greaterThan" aboveAverage="0" equalAverage="0" bottom="0" percent="0" rank="0" text="" dxfId="8">
      <formula>0</formula>
    </cfRule>
    <cfRule type="cellIs" priority="2172" operator="lessThan" aboveAverage="0" equalAverage="0" bottom="0" percent="0" rank="0" text="" dxfId="9">
      <formula>MaliyetEsik</formula>
    </cfRule>
  </conditionalFormatting>
  <conditionalFormatting sqref="D734">
    <cfRule type="cellIs" priority="2173" operator="lessThan" aboveAverage="0" equalAverage="0" bottom="0" percent="0" rank="0" text="" dxfId="10">
      <formula>18</formula>
    </cfRule>
  </conditionalFormatting>
  <conditionalFormatting sqref="B735">
    <cfRule type="cellIs" priority="2174" operator="greaterThan" aboveAverage="0" equalAverage="0" bottom="0" percent="0" rank="0" text="" dxfId="8">
      <formula>0</formula>
    </cfRule>
    <cfRule type="cellIs" priority="2175" operator="lessThan" aboveAverage="0" equalAverage="0" bottom="0" percent="0" rank="0" text="" dxfId="9">
      <formula>MaliyetEsik</formula>
    </cfRule>
  </conditionalFormatting>
  <conditionalFormatting sqref="D735">
    <cfRule type="cellIs" priority="2176" operator="lessThan" aboveAverage="0" equalAverage="0" bottom="0" percent="0" rank="0" text="" dxfId="10">
      <formula>18</formula>
    </cfRule>
  </conditionalFormatting>
  <conditionalFormatting sqref="B736">
    <cfRule type="cellIs" priority="2177" operator="greaterThan" aboveAverage="0" equalAverage="0" bottom="0" percent="0" rank="0" text="" dxfId="8">
      <formula>0</formula>
    </cfRule>
    <cfRule type="cellIs" priority="2178" operator="lessThan" aboveAverage="0" equalAverage="0" bottom="0" percent="0" rank="0" text="" dxfId="9">
      <formula>MaliyetEsik</formula>
    </cfRule>
  </conditionalFormatting>
  <conditionalFormatting sqref="D736">
    <cfRule type="cellIs" priority="2179" operator="lessThan" aboveAverage="0" equalAverage="0" bottom="0" percent="0" rank="0" text="" dxfId="10">
      <formula>18</formula>
    </cfRule>
  </conditionalFormatting>
  <conditionalFormatting sqref="B737">
    <cfRule type="cellIs" priority="2180" operator="greaterThan" aboveAverage="0" equalAverage="0" bottom="0" percent="0" rank="0" text="" dxfId="8">
      <formula>0</formula>
    </cfRule>
    <cfRule type="cellIs" priority="2181" operator="lessThan" aboveAverage="0" equalAverage="0" bottom="0" percent="0" rank="0" text="" dxfId="9">
      <formula>MaliyetEsik</formula>
    </cfRule>
  </conditionalFormatting>
  <conditionalFormatting sqref="D737">
    <cfRule type="cellIs" priority="2182" operator="lessThan" aboveAverage="0" equalAverage="0" bottom="0" percent="0" rank="0" text="" dxfId="10">
      <formula>18</formula>
    </cfRule>
  </conditionalFormatting>
  <conditionalFormatting sqref="B738">
    <cfRule type="cellIs" priority="2183" operator="greaterThan" aboveAverage="0" equalAverage="0" bottom="0" percent="0" rank="0" text="" dxfId="8">
      <formula>0</formula>
    </cfRule>
    <cfRule type="cellIs" priority="2184" operator="lessThan" aboveAverage="0" equalAverage="0" bottom="0" percent="0" rank="0" text="" dxfId="9">
      <formula>MaliyetEsik</formula>
    </cfRule>
  </conditionalFormatting>
  <conditionalFormatting sqref="D738">
    <cfRule type="cellIs" priority="2185" operator="lessThan" aboveAverage="0" equalAverage="0" bottom="0" percent="0" rank="0" text="" dxfId="10">
      <formula>18</formula>
    </cfRule>
  </conditionalFormatting>
  <conditionalFormatting sqref="B739">
    <cfRule type="cellIs" priority="2186" operator="greaterThan" aboveAverage="0" equalAverage="0" bottom="0" percent="0" rank="0" text="" dxfId="8">
      <formula>0</formula>
    </cfRule>
    <cfRule type="cellIs" priority="2187" operator="lessThan" aboveAverage="0" equalAverage="0" bottom="0" percent="0" rank="0" text="" dxfId="9">
      <formula>MaliyetEsik</formula>
    </cfRule>
  </conditionalFormatting>
  <conditionalFormatting sqref="D739">
    <cfRule type="cellIs" priority="2188" operator="lessThan" aboveAverage="0" equalAverage="0" bottom="0" percent="0" rank="0" text="" dxfId="10">
      <formula>18</formula>
    </cfRule>
  </conditionalFormatting>
  <conditionalFormatting sqref="B740">
    <cfRule type="cellIs" priority="2189" operator="greaterThan" aboveAverage="0" equalAverage="0" bottom="0" percent="0" rank="0" text="" dxfId="8">
      <formula>0</formula>
    </cfRule>
    <cfRule type="cellIs" priority="2190" operator="lessThan" aboveAverage="0" equalAverage="0" bottom="0" percent="0" rank="0" text="" dxfId="9">
      <formula>MaliyetEsik</formula>
    </cfRule>
  </conditionalFormatting>
  <conditionalFormatting sqref="D740">
    <cfRule type="cellIs" priority="2191" operator="lessThan" aboveAverage="0" equalAverage="0" bottom="0" percent="0" rank="0" text="" dxfId="10">
      <formula>18</formula>
    </cfRule>
  </conditionalFormatting>
  <conditionalFormatting sqref="B741">
    <cfRule type="cellIs" priority="2192" operator="greaterThan" aboveAverage="0" equalAverage="0" bottom="0" percent="0" rank="0" text="" dxfId="8">
      <formula>0</formula>
    </cfRule>
    <cfRule type="cellIs" priority="2193" operator="lessThan" aboveAverage="0" equalAverage="0" bottom="0" percent="0" rank="0" text="" dxfId="9">
      <formula>MaliyetEsik</formula>
    </cfRule>
  </conditionalFormatting>
  <conditionalFormatting sqref="D741">
    <cfRule type="cellIs" priority="2194" operator="lessThan" aboveAverage="0" equalAverage="0" bottom="0" percent="0" rank="0" text="" dxfId="10">
      <formula>18</formula>
    </cfRule>
  </conditionalFormatting>
  <conditionalFormatting sqref="B742">
    <cfRule type="cellIs" priority="2195" operator="greaterThan" aboveAverage="0" equalAverage="0" bottom="0" percent="0" rank="0" text="" dxfId="8">
      <formula>0</formula>
    </cfRule>
    <cfRule type="cellIs" priority="2196" operator="lessThan" aboveAverage="0" equalAverage="0" bottom="0" percent="0" rank="0" text="" dxfId="9">
      <formula>MaliyetEsik</formula>
    </cfRule>
  </conditionalFormatting>
  <conditionalFormatting sqref="D742">
    <cfRule type="cellIs" priority="2197" operator="lessThan" aboveAverage="0" equalAverage="0" bottom="0" percent="0" rank="0" text="" dxfId="10">
      <formula>18</formula>
    </cfRule>
  </conditionalFormatting>
  <conditionalFormatting sqref="B743">
    <cfRule type="cellIs" priority="2198" operator="greaterThan" aboveAverage="0" equalAverage="0" bottom="0" percent="0" rank="0" text="" dxfId="8">
      <formula>0</formula>
    </cfRule>
    <cfRule type="cellIs" priority="2199" operator="lessThan" aboveAverage="0" equalAverage="0" bottom="0" percent="0" rank="0" text="" dxfId="9">
      <formula>MaliyetEsik</formula>
    </cfRule>
  </conditionalFormatting>
  <conditionalFormatting sqref="D743">
    <cfRule type="cellIs" priority="2200" operator="lessThan" aboveAverage="0" equalAverage="0" bottom="0" percent="0" rank="0" text="" dxfId="10">
      <formula>18</formula>
    </cfRule>
  </conditionalFormatting>
  <conditionalFormatting sqref="B744">
    <cfRule type="cellIs" priority="2201" operator="greaterThan" aboveAverage="0" equalAverage="0" bottom="0" percent="0" rank="0" text="" dxfId="8">
      <formula>0</formula>
    </cfRule>
    <cfRule type="cellIs" priority="2202" operator="lessThan" aboveAverage="0" equalAverage="0" bottom="0" percent="0" rank="0" text="" dxfId="9">
      <formula>MaliyetEsik</formula>
    </cfRule>
  </conditionalFormatting>
  <conditionalFormatting sqref="D744">
    <cfRule type="cellIs" priority="2203" operator="lessThan" aboveAverage="0" equalAverage="0" bottom="0" percent="0" rank="0" text="" dxfId="10">
      <formula>18</formula>
    </cfRule>
  </conditionalFormatting>
  <conditionalFormatting sqref="B745">
    <cfRule type="cellIs" priority="2204" operator="greaterThan" aboveAverage="0" equalAverage="0" bottom="0" percent="0" rank="0" text="" dxfId="8">
      <formula>0</formula>
    </cfRule>
    <cfRule type="cellIs" priority="2205" operator="lessThan" aboveAverage="0" equalAverage="0" bottom="0" percent="0" rank="0" text="" dxfId="9">
      <formula>MaliyetEsik</formula>
    </cfRule>
  </conditionalFormatting>
  <conditionalFormatting sqref="D745">
    <cfRule type="cellIs" priority="2206" operator="lessThan" aboveAverage="0" equalAverage="0" bottom="0" percent="0" rank="0" text="" dxfId="10">
      <formula>18</formula>
    </cfRule>
  </conditionalFormatting>
  <conditionalFormatting sqref="B746">
    <cfRule type="cellIs" priority="2207" operator="greaterThan" aboveAverage="0" equalAverage="0" bottom="0" percent="0" rank="0" text="" dxfId="8">
      <formula>0</formula>
    </cfRule>
    <cfRule type="cellIs" priority="2208" operator="lessThan" aboveAverage="0" equalAverage="0" bottom="0" percent="0" rank="0" text="" dxfId="9">
      <formula>MaliyetEsik</formula>
    </cfRule>
  </conditionalFormatting>
  <conditionalFormatting sqref="D746">
    <cfRule type="cellIs" priority="2209" operator="lessThan" aboveAverage="0" equalAverage="0" bottom="0" percent="0" rank="0" text="" dxfId="10">
      <formula>18</formula>
    </cfRule>
  </conditionalFormatting>
  <conditionalFormatting sqref="B747">
    <cfRule type="cellIs" priority="2210" operator="greaterThan" aboveAverage="0" equalAverage="0" bottom="0" percent="0" rank="0" text="" dxfId="8">
      <formula>0</formula>
    </cfRule>
    <cfRule type="cellIs" priority="2211" operator="lessThan" aboveAverage="0" equalAverage="0" bottom="0" percent="0" rank="0" text="" dxfId="9">
      <formula>MaliyetEsik</formula>
    </cfRule>
  </conditionalFormatting>
  <conditionalFormatting sqref="D747">
    <cfRule type="cellIs" priority="2212" operator="lessThan" aboveAverage="0" equalAverage="0" bottom="0" percent="0" rank="0" text="" dxfId="10">
      <formula>18</formula>
    </cfRule>
  </conditionalFormatting>
  <conditionalFormatting sqref="B748">
    <cfRule type="cellIs" priority="2213" operator="greaterThan" aboveAverage="0" equalAverage="0" bottom="0" percent="0" rank="0" text="" dxfId="8">
      <formula>0</formula>
    </cfRule>
    <cfRule type="cellIs" priority="2214" operator="lessThan" aboveAverage="0" equalAverage="0" bottom="0" percent="0" rank="0" text="" dxfId="9">
      <formula>MaliyetEsik</formula>
    </cfRule>
  </conditionalFormatting>
  <conditionalFormatting sqref="D748">
    <cfRule type="cellIs" priority="2215" operator="lessThan" aboveAverage="0" equalAverage="0" bottom="0" percent="0" rank="0" text="" dxfId="10">
      <formula>18</formula>
    </cfRule>
  </conditionalFormatting>
  <conditionalFormatting sqref="B749">
    <cfRule type="cellIs" priority="2216" operator="greaterThan" aboveAverage="0" equalAverage="0" bottom="0" percent="0" rank="0" text="" dxfId="8">
      <formula>0</formula>
    </cfRule>
    <cfRule type="cellIs" priority="2217" operator="lessThan" aboveAverage="0" equalAverage="0" bottom="0" percent="0" rank="0" text="" dxfId="9">
      <formula>MaliyetEsik</formula>
    </cfRule>
  </conditionalFormatting>
  <conditionalFormatting sqref="D749">
    <cfRule type="cellIs" priority="2218" operator="lessThan" aboveAverage="0" equalAverage="0" bottom="0" percent="0" rank="0" text="" dxfId="10">
      <formula>18</formula>
    </cfRule>
  </conditionalFormatting>
  <conditionalFormatting sqref="B750">
    <cfRule type="cellIs" priority="2219" operator="greaterThan" aboveAverage="0" equalAverage="0" bottom="0" percent="0" rank="0" text="" dxfId="8">
      <formula>0</formula>
    </cfRule>
    <cfRule type="cellIs" priority="2220" operator="lessThan" aboveAverage="0" equalAverage="0" bottom="0" percent="0" rank="0" text="" dxfId="9">
      <formula>MaliyetEsik</formula>
    </cfRule>
  </conditionalFormatting>
  <conditionalFormatting sqref="D750">
    <cfRule type="cellIs" priority="2221" operator="lessThan" aboveAverage="0" equalAverage="0" bottom="0" percent="0" rank="0" text="" dxfId="10">
      <formula>18</formula>
    </cfRule>
  </conditionalFormatting>
  <conditionalFormatting sqref="B751">
    <cfRule type="cellIs" priority="2222" operator="greaterThan" aboveAverage="0" equalAverage="0" bottom="0" percent="0" rank="0" text="" dxfId="8">
      <formula>0</formula>
    </cfRule>
    <cfRule type="cellIs" priority="2223" operator="lessThan" aboveAverage="0" equalAverage="0" bottom="0" percent="0" rank="0" text="" dxfId="9">
      <formula>MaliyetEsik</formula>
    </cfRule>
  </conditionalFormatting>
  <conditionalFormatting sqref="D751">
    <cfRule type="cellIs" priority="2224" operator="lessThan" aboveAverage="0" equalAverage="0" bottom="0" percent="0" rank="0" text="" dxfId="10">
      <formula>18</formula>
    </cfRule>
  </conditionalFormatting>
  <conditionalFormatting sqref="B752">
    <cfRule type="cellIs" priority="2225" operator="greaterThan" aboveAverage="0" equalAverage="0" bottom="0" percent="0" rank="0" text="" dxfId="8">
      <formula>0</formula>
    </cfRule>
    <cfRule type="cellIs" priority="2226" operator="lessThan" aboveAverage="0" equalAverage="0" bottom="0" percent="0" rank="0" text="" dxfId="9">
      <formula>MaliyetEsik</formula>
    </cfRule>
  </conditionalFormatting>
  <conditionalFormatting sqref="D752">
    <cfRule type="cellIs" priority="2227" operator="lessThan" aboveAverage="0" equalAverage="0" bottom="0" percent="0" rank="0" text="" dxfId="10">
      <formula>18</formula>
    </cfRule>
  </conditionalFormatting>
  <conditionalFormatting sqref="B753">
    <cfRule type="cellIs" priority="2228" operator="greaterThan" aboveAverage="0" equalAverage="0" bottom="0" percent="0" rank="0" text="" dxfId="8">
      <formula>0</formula>
    </cfRule>
    <cfRule type="cellIs" priority="2229" operator="lessThan" aboveAverage="0" equalAverage="0" bottom="0" percent="0" rank="0" text="" dxfId="9">
      <formula>MaliyetEsik</formula>
    </cfRule>
  </conditionalFormatting>
  <conditionalFormatting sqref="D753">
    <cfRule type="cellIs" priority="2230" operator="lessThan" aboveAverage="0" equalAverage="0" bottom="0" percent="0" rank="0" text="" dxfId="10">
      <formula>18</formula>
    </cfRule>
  </conditionalFormatting>
  <conditionalFormatting sqref="B754">
    <cfRule type="cellIs" priority="2231" operator="greaterThan" aboveAverage="0" equalAverage="0" bottom="0" percent="0" rank="0" text="" dxfId="8">
      <formula>0</formula>
    </cfRule>
    <cfRule type="cellIs" priority="2232" operator="lessThan" aboveAverage="0" equalAverage="0" bottom="0" percent="0" rank="0" text="" dxfId="9">
      <formula>MaliyetEsik</formula>
    </cfRule>
  </conditionalFormatting>
  <conditionalFormatting sqref="D754">
    <cfRule type="cellIs" priority="2233" operator="lessThan" aboveAverage="0" equalAverage="0" bottom="0" percent="0" rank="0" text="" dxfId="10">
      <formula>18</formula>
    </cfRule>
  </conditionalFormatting>
  <conditionalFormatting sqref="B755">
    <cfRule type="cellIs" priority="2234" operator="greaterThan" aboveAverage="0" equalAverage="0" bottom="0" percent="0" rank="0" text="" dxfId="8">
      <formula>0</formula>
    </cfRule>
    <cfRule type="cellIs" priority="2235" operator="lessThan" aboveAverage="0" equalAverage="0" bottom="0" percent="0" rank="0" text="" dxfId="9">
      <formula>MaliyetEsik</formula>
    </cfRule>
  </conditionalFormatting>
  <conditionalFormatting sqref="D755">
    <cfRule type="cellIs" priority="2236" operator="lessThan" aboveAverage="0" equalAverage="0" bottom="0" percent="0" rank="0" text="" dxfId="10">
      <formula>18</formula>
    </cfRule>
  </conditionalFormatting>
  <conditionalFormatting sqref="B756">
    <cfRule type="cellIs" priority="2237" operator="greaterThan" aboveAverage="0" equalAverage="0" bottom="0" percent="0" rank="0" text="" dxfId="8">
      <formula>0</formula>
    </cfRule>
    <cfRule type="cellIs" priority="2238" operator="lessThan" aboveAverage="0" equalAverage="0" bottom="0" percent="0" rank="0" text="" dxfId="9">
      <formula>MaliyetEsik</formula>
    </cfRule>
  </conditionalFormatting>
  <conditionalFormatting sqref="D756">
    <cfRule type="cellIs" priority="2239" operator="lessThan" aboveAverage="0" equalAverage="0" bottom="0" percent="0" rank="0" text="" dxfId="10">
      <formula>18</formula>
    </cfRule>
  </conditionalFormatting>
  <conditionalFormatting sqref="B757">
    <cfRule type="cellIs" priority="2240" operator="greaterThan" aboveAverage="0" equalAverage="0" bottom="0" percent="0" rank="0" text="" dxfId="8">
      <formula>0</formula>
    </cfRule>
    <cfRule type="cellIs" priority="2241" operator="lessThan" aboveAverage="0" equalAverage="0" bottom="0" percent="0" rank="0" text="" dxfId="9">
      <formula>MaliyetEsik</formula>
    </cfRule>
  </conditionalFormatting>
  <conditionalFormatting sqref="D757">
    <cfRule type="cellIs" priority="2242" operator="lessThan" aboveAverage="0" equalAverage="0" bottom="0" percent="0" rank="0" text="" dxfId="10">
      <formula>18</formula>
    </cfRule>
  </conditionalFormatting>
  <conditionalFormatting sqref="B758">
    <cfRule type="cellIs" priority="2243" operator="greaterThan" aboveAverage="0" equalAverage="0" bottom="0" percent="0" rank="0" text="" dxfId="8">
      <formula>0</formula>
    </cfRule>
    <cfRule type="cellIs" priority="2244" operator="lessThan" aboveAverage="0" equalAverage="0" bottom="0" percent="0" rank="0" text="" dxfId="9">
      <formula>MaliyetEsik</formula>
    </cfRule>
  </conditionalFormatting>
  <conditionalFormatting sqref="D758">
    <cfRule type="cellIs" priority="2245" operator="lessThan" aboveAverage="0" equalAverage="0" bottom="0" percent="0" rank="0" text="" dxfId="10">
      <formula>18</formula>
    </cfRule>
  </conditionalFormatting>
  <conditionalFormatting sqref="B759">
    <cfRule type="cellIs" priority="2246" operator="greaterThan" aboveAverage="0" equalAverage="0" bottom="0" percent="0" rank="0" text="" dxfId="8">
      <formula>0</formula>
    </cfRule>
    <cfRule type="cellIs" priority="2247" operator="lessThan" aboveAverage="0" equalAverage="0" bottom="0" percent="0" rank="0" text="" dxfId="9">
      <formula>MaliyetEsik</formula>
    </cfRule>
  </conditionalFormatting>
  <conditionalFormatting sqref="D759">
    <cfRule type="cellIs" priority="2248" operator="lessThan" aboveAverage="0" equalAverage="0" bottom="0" percent="0" rank="0" text="" dxfId="10">
      <formula>18</formula>
    </cfRule>
  </conditionalFormatting>
  <conditionalFormatting sqref="B760">
    <cfRule type="cellIs" priority="2249" operator="greaterThan" aboveAverage="0" equalAverage="0" bottom="0" percent="0" rank="0" text="" dxfId="8">
      <formula>0</formula>
    </cfRule>
    <cfRule type="cellIs" priority="2250" operator="lessThan" aboveAverage="0" equalAverage="0" bottom="0" percent="0" rank="0" text="" dxfId="9">
      <formula>MaliyetEsik</formula>
    </cfRule>
  </conditionalFormatting>
  <conditionalFormatting sqref="D760">
    <cfRule type="cellIs" priority="2251" operator="lessThan" aboveAverage="0" equalAverage="0" bottom="0" percent="0" rank="0" text="" dxfId="10">
      <formula>18</formula>
    </cfRule>
  </conditionalFormatting>
  <conditionalFormatting sqref="B761">
    <cfRule type="cellIs" priority="2252" operator="greaterThan" aboveAverage="0" equalAverage="0" bottom="0" percent="0" rank="0" text="" dxfId="8">
      <formula>0</formula>
    </cfRule>
    <cfRule type="cellIs" priority="2253" operator="lessThan" aboveAverage="0" equalAverage="0" bottom="0" percent="0" rank="0" text="" dxfId="9">
      <formula>MaliyetEsik</formula>
    </cfRule>
  </conditionalFormatting>
  <conditionalFormatting sqref="D761">
    <cfRule type="cellIs" priority="2254" operator="lessThan" aboveAverage="0" equalAverage="0" bottom="0" percent="0" rank="0" text="" dxfId="10">
      <formula>18</formula>
    </cfRule>
  </conditionalFormatting>
  <conditionalFormatting sqref="B762">
    <cfRule type="cellIs" priority="2255" operator="greaterThan" aboveAverage="0" equalAverage="0" bottom="0" percent="0" rank="0" text="" dxfId="8">
      <formula>0</formula>
    </cfRule>
    <cfRule type="cellIs" priority="2256" operator="lessThan" aboveAverage="0" equalAverage="0" bottom="0" percent="0" rank="0" text="" dxfId="9">
      <formula>MaliyetEsik</formula>
    </cfRule>
  </conditionalFormatting>
  <conditionalFormatting sqref="D762">
    <cfRule type="cellIs" priority="2257" operator="lessThan" aboveAverage="0" equalAverage="0" bottom="0" percent="0" rank="0" text="" dxfId="10">
      <formula>18</formula>
    </cfRule>
  </conditionalFormatting>
  <conditionalFormatting sqref="B763">
    <cfRule type="cellIs" priority="2258" operator="greaterThan" aboveAverage="0" equalAverage="0" bottom="0" percent="0" rank="0" text="" dxfId="8">
      <formula>0</formula>
    </cfRule>
    <cfRule type="cellIs" priority="2259" operator="lessThan" aboveAverage="0" equalAverage="0" bottom="0" percent="0" rank="0" text="" dxfId="9">
      <formula>MaliyetEsik</formula>
    </cfRule>
  </conditionalFormatting>
  <conditionalFormatting sqref="D763">
    <cfRule type="cellIs" priority="2260" operator="lessThan" aboveAverage="0" equalAverage="0" bottom="0" percent="0" rank="0" text="" dxfId="10">
      <formula>18</formula>
    </cfRule>
  </conditionalFormatting>
  <conditionalFormatting sqref="B764">
    <cfRule type="cellIs" priority="2261" operator="greaterThan" aboveAverage="0" equalAverage="0" bottom="0" percent="0" rank="0" text="" dxfId="8">
      <formula>0</formula>
    </cfRule>
    <cfRule type="cellIs" priority="2262" operator="lessThan" aboveAverage="0" equalAverage="0" bottom="0" percent="0" rank="0" text="" dxfId="9">
      <formula>MaliyetEsik</formula>
    </cfRule>
  </conditionalFormatting>
  <conditionalFormatting sqref="D764">
    <cfRule type="cellIs" priority="2263" operator="lessThan" aboveAverage="0" equalAverage="0" bottom="0" percent="0" rank="0" text="" dxfId="10">
      <formula>18</formula>
    </cfRule>
  </conditionalFormatting>
  <conditionalFormatting sqref="B765">
    <cfRule type="cellIs" priority="2264" operator="greaterThan" aboveAverage="0" equalAverage="0" bottom="0" percent="0" rank="0" text="" dxfId="8">
      <formula>0</formula>
    </cfRule>
    <cfRule type="cellIs" priority="2265" operator="lessThan" aboveAverage="0" equalAverage="0" bottom="0" percent="0" rank="0" text="" dxfId="9">
      <formula>MaliyetEsik</formula>
    </cfRule>
  </conditionalFormatting>
  <conditionalFormatting sqref="D765">
    <cfRule type="cellIs" priority="2266" operator="lessThan" aboveAverage="0" equalAverage="0" bottom="0" percent="0" rank="0" text="" dxfId="10">
      <formula>18</formula>
    </cfRule>
  </conditionalFormatting>
  <conditionalFormatting sqref="B766">
    <cfRule type="cellIs" priority="2267" operator="greaterThan" aboveAverage="0" equalAverage="0" bottom="0" percent="0" rank="0" text="" dxfId="8">
      <formula>0</formula>
    </cfRule>
    <cfRule type="cellIs" priority="2268" operator="lessThan" aboveAverage="0" equalAverage="0" bottom="0" percent="0" rank="0" text="" dxfId="9">
      <formula>MaliyetEsik</formula>
    </cfRule>
  </conditionalFormatting>
  <conditionalFormatting sqref="D766">
    <cfRule type="cellIs" priority="2269" operator="lessThan" aboveAverage="0" equalAverage="0" bottom="0" percent="0" rank="0" text="" dxfId="10">
      <formula>18</formula>
    </cfRule>
  </conditionalFormatting>
  <conditionalFormatting sqref="B767">
    <cfRule type="cellIs" priority="2270" operator="greaterThan" aboveAverage="0" equalAverage="0" bottom="0" percent="0" rank="0" text="" dxfId="8">
      <formula>0</formula>
    </cfRule>
    <cfRule type="cellIs" priority="2271" operator="lessThan" aboveAverage="0" equalAverage="0" bottom="0" percent="0" rank="0" text="" dxfId="9">
      <formula>MaliyetEsik</formula>
    </cfRule>
  </conditionalFormatting>
  <conditionalFormatting sqref="D767">
    <cfRule type="cellIs" priority="2272" operator="lessThan" aboveAverage="0" equalAverage="0" bottom="0" percent="0" rank="0" text="" dxfId="10">
      <formula>18</formula>
    </cfRule>
  </conditionalFormatting>
  <conditionalFormatting sqref="B768">
    <cfRule type="cellIs" priority="2273" operator="greaterThan" aboveAverage="0" equalAverage="0" bottom="0" percent="0" rank="0" text="" dxfId="8">
      <formula>0</formula>
    </cfRule>
    <cfRule type="cellIs" priority="2274" operator="lessThan" aboveAverage="0" equalAverage="0" bottom="0" percent="0" rank="0" text="" dxfId="9">
      <formula>MaliyetEsik</formula>
    </cfRule>
  </conditionalFormatting>
  <conditionalFormatting sqref="D768">
    <cfRule type="cellIs" priority="2275" operator="lessThan" aboveAverage="0" equalAverage="0" bottom="0" percent="0" rank="0" text="" dxfId="10">
      <formula>18</formula>
    </cfRule>
  </conditionalFormatting>
  <conditionalFormatting sqref="B769">
    <cfRule type="cellIs" priority="2276" operator="greaterThan" aboveAverage="0" equalAverage="0" bottom="0" percent="0" rank="0" text="" dxfId="8">
      <formula>0</formula>
    </cfRule>
    <cfRule type="cellIs" priority="2277" operator="lessThan" aboveAverage="0" equalAverage="0" bottom="0" percent="0" rank="0" text="" dxfId="9">
      <formula>MaliyetEsik</formula>
    </cfRule>
  </conditionalFormatting>
  <conditionalFormatting sqref="D769">
    <cfRule type="cellIs" priority="2278" operator="lessThan" aboveAverage="0" equalAverage="0" bottom="0" percent="0" rank="0" text="" dxfId="10">
      <formula>18</formula>
    </cfRule>
  </conditionalFormatting>
  <conditionalFormatting sqref="B770">
    <cfRule type="cellIs" priority="2279" operator="greaterThan" aboveAverage="0" equalAverage="0" bottom="0" percent="0" rank="0" text="" dxfId="8">
      <formula>0</formula>
    </cfRule>
    <cfRule type="cellIs" priority="2280" operator="lessThan" aboveAverage="0" equalAverage="0" bottom="0" percent="0" rank="0" text="" dxfId="9">
      <formula>MaliyetEsik</formula>
    </cfRule>
  </conditionalFormatting>
  <conditionalFormatting sqref="D770">
    <cfRule type="cellIs" priority="2281" operator="lessThan" aboveAverage="0" equalAverage="0" bottom="0" percent="0" rank="0" text="" dxfId="10">
      <formula>18</formula>
    </cfRule>
  </conditionalFormatting>
  <conditionalFormatting sqref="B771">
    <cfRule type="cellIs" priority="2282" operator="greaterThan" aboveAverage="0" equalAverage="0" bottom="0" percent="0" rank="0" text="" dxfId="8">
      <formula>0</formula>
    </cfRule>
    <cfRule type="cellIs" priority="2283" operator="lessThan" aboveAverage="0" equalAverage="0" bottom="0" percent="0" rank="0" text="" dxfId="9">
      <formula>MaliyetEsik</formula>
    </cfRule>
  </conditionalFormatting>
  <conditionalFormatting sqref="D771">
    <cfRule type="cellIs" priority="2284" operator="lessThan" aboveAverage="0" equalAverage="0" bottom="0" percent="0" rank="0" text="" dxfId="10">
      <formula>18</formula>
    </cfRule>
  </conditionalFormatting>
  <conditionalFormatting sqref="B772">
    <cfRule type="cellIs" priority="2285" operator="greaterThan" aboveAverage="0" equalAverage="0" bottom="0" percent="0" rank="0" text="" dxfId="8">
      <formula>0</formula>
    </cfRule>
    <cfRule type="cellIs" priority="2286" operator="lessThan" aboveAverage="0" equalAverage="0" bottom="0" percent="0" rank="0" text="" dxfId="9">
      <formula>MaliyetEsik</formula>
    </cfRule>
  </conditionalFormatting>
  <conditionalFormatting sqref="D772">
    <cfRule type="cellIs" priority="2287" operator="lessThan" aboveAverage="0" equalAverage="0" bottom="0" percent="0" rank="0" text="" dxfId="10">
      <formula>18</formula>
    </cfRule>
  </conditionalFormatting>
  <conditionalFormatting sqref="B773">
    <cfRule type="cellIs" priority="2288" operator="greaterThan" aboveAverage="0" equalAverage="0" bottom="0" percent="0" rank="0" text="" dxfId="8">
      <formula>0</formula>
    </cfRule>
    <cfRule type="cellIs" priority="2289" operator="lessThan" aboveAverage="0" equalAverage="0" bottom="0" percent="0" rank="0" text="" dxfId="9">
      <formula>MaliyetEsik</formula>
    </cfRule>
  </conditionalFormatting>
  <conditionalFormatting sqref="D773">
    <cfRule type="cellIs" priority="2290" operator="lessThan" aboveAverage="0" equalAverage="0" bottom="0" percent="0" rank="0" text="" dxfId="10">
      <formula>18</formula>
    </cfRule>
  </conditionalFormatting>
  <conditionalFormatting sqref="B774">
    <cfRule type="cellIs" priority="2291" operator="greaterThan" aboveAverage="0" equalAverage="0" bottom="0" percent="0" rank="0" text="" dxfId="8">
      <formula>0</formula>
    </cfRule>
    <cfRule type="cellIs" priority="2292" operator="lessThan" aboveAverage="0" equalAverage="0" bottom="0" percent="0" rank="0" text="" dxfId="9">
      <formula>MaliyetEsik</formula>
    </cfRule>
  </conditionalFormatting>
  <conditionalFormatting sqref="D774">
    <cfRule type="cellIs" priority="2293" operator="lessThan" aboveAverage="0" equalAverage="0" bottom="0" percent="0" rank="0" text="" dxfId="10">
      <formula>18</formula>
    </cfRule>
  </conditionalFormatting>
  <conditionalFormatting sqref="B775">
    <cfRule type="cellIs" priority="2294" operator="greaterThan" aboveAverage="0" equalAverage="0" bottom="0" percent="0" rank="0" text="" dxfId="8">
      <formula>0</formula>
    </cfRule>
    <cfRule type="cellIs" priority="2295" operator="lessThan" aboveAverage="0" equalAverage="0" bottom="0" percent="0" rank="0" text="" dxfId="9">
      <formula>MaliyetEsik</formula>
    </cfRule>
  </conditionalFormatting>
  <conditionalFormatting sqref="D775">
    <cfRule type="cellIs" priority="2296" operator="lessThan" aboveAverage="0" equalAverage="0" bottom="0" percent="0" rank="0" text="" dxfId="10">
      <formula>18</formula>
    </cfRule>
  </conditionalFormatting>
  <conditionalFormatting sqref="B776">
    <cfRule type="cellIs" priority="2297" operator="greaterThan" aboveAverage="0" equalAverage="0" bottom="0" percent="0" rank="0" text="" dxfId="8">
      <formula>0</formula>
    </cfRule>
    <cfRule type="cellIs" priority="2298" operator="lessThan" aboveAverage="0" equalAverage="0" bottom="0" percent="0" rank="0" text="" dxfId="9">
      <formula>MaliyetEsik</formula>
    </cfRule>
  </conditionalFormatting>
  <conditionalFormatting sqref="D776">
    <cfRule type="cellIs" priority="2299" operator="lessThan" aboveAverage="0" equalAverage="0" bottom="0" percent="0" rank="0" text="" dxfId="10">
      <formula>18</formula>
    </cfRule>
  </conditionalFormatting>
  <conditionalFormatting sqref="B777">
    <cfRule type="cellIs" priority="2300" operator="greaterThan" aboveAverage="0" equalAverage="0" bottom="0" percent="0" rank="0" text="" dxfId="8">
      <formula>0</formula>
    </cfRule>
    <cfRule type="cellIs" priority="2301" operator="lessThan" aboveAverage="0" equalAverage="0" bottom="0" percent="0" rank="0" text="" dxfId="9">
      <formula>MaliyetEsik</formula>
    </cfRule>
  </conditionalFormatting>
  <conditionalFormatting sqref="D777">
    <cfRule type="cellIs" priority="2302" operator="lessThan" aboveAverage="0" equalAverage="0" bottom="0" percent="0" rank="0" text="" dxfId="10">
      <formula>18</formula>
    </cfRule>
  </conditionalFormatting>
  <conditionalFormatting sqref="B778">
    <cfRule type="cellIs" priority="2303" operator="greaterThan" aboveAverage="0" equalAverage="0" bottom="0" percent="0" rank="0" text="" dxfId="8">
      <formula>0</formula>
    </cfRule>
    <cfRule type="cellIs" priority="2304" operator="lessThan" aboveAverage="0" equalAverage="0" bottom="0" percent="0" rank="0" text="" dxfId="9">
      <formula>MaliyetEsik</formula>
    </cfRule>
  </conditionalFormatting>
  <conditionalFormatting sqref="D778">
    <cfRule type="cellIs" priority="2305" operator="lessThan" aboveAverage="0" equalAverage="0" bottom="0" percent="0" rank="0" text="" dxfId="10">
      <formula>18</formula>
    </cfRule>
  </conditionalFormatting>
  <conditionalFormatting sqref="B779">
    <cfRule type="cellIs" priority="2306" operator="greaterThan" aboveAverage="0" equalAverage="0" bottom="0" percent="0" rank="0" text="" dxfId="8">
      <formula>0</formula>
    </cfRule>
    <cfRule type="cellIs" priority="2307" operator="lessThan" aboveAverage="0" equalAverage="0" bottom="0" percent="0" rank="0" text="" dxfId="9">
      <formula>MaliyetEsik</formula>
    </cfRule>
  </conditionalFormatting>
  <conditionalFormatting sqref="D779">
    <cfRule type="cellIs" priority="2308" operator="lessThan" aboveAverage="0" equalAverage="0" bottom="0" percent="0" rank="0" text="" dxfId="10">
      <formula>18</formula>
    </cfRule>
  </conditionalFormatting>
  <conditionalFormatting sqref="B780">
    <cfRule type="cellIs" priority="2309" operator="greaterThan" aboveAverage="0" equalAverage="0" bottom="0" percent="0" rank="0" text="" dxfId="8">
      <formula>0</formula>
    </cfRule>
    <cfRule type="cellIs" priority="2310" operator="lessThan" aboveAverage="0" equalAverage="0" bottom="0" percent="0" rank="0" text="" dxfId="9">
      <formula>MaliyetEsik</formula>
    </cfRule>
  </conditionalFormatting>
  <conditionalFormatting sqref="D780">
    <cfRule type="cellIs" priority="2311" operator="lessThan" aboveAverage="0" equalAverage="0" bottom="0" percent="0" rank="0" text="" dxfId="10">
      <formula>18</formula>
    </cfRule>
  </conditionalFormatting>
  <conditionalFormatting sqref="B781">
    <cfRule type="cellIs" priority="2312" operator="greaterThan" aboveAverage="0" equalAverage="0" bottom="0" percent="0" rank="0" text="" dxfId="8">
      <formula>0</formula>
    </cfRule>
    <cfRule type="cellIs" priority="2313" operator="lessThan" aboveAverage="0" equalAverage="0" bottom="0" percent="0" rank="0" text="" dxfId="9">
      <formula>MaliyetEsik</formula>
    </cfRule>
  </conditionalFormatting>
  <conditionalFormatting sqref="D781">
    <cfRule type="cellIs" priority="2314" operator="lessThan" aboveAverage="0" equalAverage="0" bottom="0" percent="0" rank="0" text="" dxfId="10">
      <formula>18</formula>
    </cfRule>
  </conditionalFormatting>
  <conditionalFormatting sqref="B782">
    <cfRule type="cellIs" priority="2315" operator="greaterThan" aboveAverage="0" equalAverage="0" bottom="0" percent="0" rank="0" text="" dxfId="8">
      <formula>0</formula>
    </cfRule>
    <cfRule type="cellIs" priority="2316" operator="lessThan" aboveAverage="0" equalAverage="0" bottom="0" percent="0" rank="0" text="" dxfId="9">
      <formula>MaliyetEsik</formula>
    </cfRule>
  </conditionalFormatting>
  <conditionalFormatting sqref="D782">
    <cfRule type="cellIs" priority="2317" operator="lessThan" aboveAverage="0" equalAverage="0" bottom="0" percent="0" rank="0" text="" dxfId="10">
      <formula>18</formula>
    </cfRule>
  </conditionalFormatting>
  <conditionalFormatting sqref="B783">
    <cfRule type="cellIs" priority="2318" operator="greaterThan" aboveAverage="0" equalAverage="0" bottom="0" percent="0" rank="0" text="" dxfId="8">
      <formula>0</formula>
    </cfRule>
    <cfRule type="cellIs" priority="2319" operator="lessThan" aboveAverage="0" equalAverage="0" bottom="0" percent="0" rank="0" text="" dxfId="9">
      <formula>MaliyetEsik</formula>
    </cfRule>
  </conditionalFormatting>
  <conditionalFormatting sqref="D783">
    <cfRule type="cellIs" priority="2320" operator="lessThan" aboveAverage="0" equalAverage="0" bottom="0" percent="0" rank="0" text="" dxfId="10">
      <formula>18</formula>
    </cfRule>
  </conditionalFormatting>
  <conditionalFormatting sqref="B784">
    <cfRule type="cellIs" priority="2321" operator="greaterThan" aboveAverage="0" equalAverage="0" bottom="0" percent="0" rank="0" text="" dxfId="8">
      <formula>0</formula>
    </cfRule>
    <cfRule type="cellIs" priority="2322" operator="lessThan" aboveAverage="0" equalAverage="0" bottom="0" percent="0" rank="0" text="" dxfId="9">
      <formula>MaliyetEsik</formula>
    </cfRule>
  </conditionalFormatting>
  <conditionalFormatting sqref="D784">
    <cfRule type="cellIs" priority="2323" operator="lessThan" aboveAverage="0" equalAverage="0" bottom="0" percent="0" rank="0" text="" dxfId="10">
      <formula>18</formula>
    </cfRule>
  </conditionalFormatting>
  <conditionalFormatting sqref="B785">
    <cfRule type="cellIs" priority="2324" operator="greaterThan" aboveAverage="0" equalAverage="0" bottom="0" percent="0" rank="0" text="" dxfId="8">
      <formula>0</formula>
    </cfRule>
    <cfRule type="cellIs" priority="2325" operator="lessThan" aboveAverage="0" equalAverage="0" bottom="0" percent="0" rank="0" text="" dxfId="9">
      <formula>MaliyetEsik</formula>
    </cfRule>
  </conditionalFormatting>
  <conditionalFormatting sqref="D785">
    <cfRule type="cellIs" priority="2326" operator="lessThan" aboveAverage="0" equalAverage="0" bottom="0" percent="0" rank="0" text="" dxfId="10">
      <formula>18</formula>
    </cfRule>
  </conditionalFormatting>
  <conditionalFormatting sqref="B786">
    <cfRule type="cellIs" priority="2327" operator="greaterThan" aboveAverage="0" equalAverage="0" bottom="0" percent="0" rank="0" text="" dxfId="8">
      <formula>0</formula>
    </cfRule>
    <cfRule type="cellIs" priority="2328" operator="lessThan" aboveAverage="0" equalAverage="0" bottom="0" percent="0" rank="0" text="" dxfId="9">
      <formula>MaliyetEsik</formula>
    </cfRule>
  </conditionalFormatting>
  <conditionalFormatting sqref="D786">
    <cfRule type="cellIs" priority="2329" operator="lessThan" aboveAverage="0" equalAverage="0" bottom="0" percent="0" rank="0" text="" dxfId="10">
      <formula>18</formula>
    </cfRule>
  </conditionalFormatting>
  <conditionalFormatting sqref="B787">
    <cfRule type="cellIs" priority="2330" operator="greaterThan" aboveAverage="0" equalAverage="0" bottom="0" percent="0" rank="0" text="" dxfId="8">
      <formula>0</formula>
    </cfRule>
    <cfRule type="cellIs" priority="2331" operator="lessThan" aboveAverage="0" equalAverage="0" bottom="0" percent="0" rank="0" text="" dxfId="9">
      <formula>MaliyetEsik</formula>
    </cfRule>
  </conditionalFormatting>
  <conditionalFormatting sqref="D787">
    <cfRule type="cellIs" priority="2332" operator="lessThan" aboveAverage="0" equalAverage="0" bottom="0" percent="0" rank="0" text="" dxfId="10">
      <formula>18</formula>
    </cfRule>
  </conditionalFormatting>
  <conditionalFormatting sqref="B788">
    <cfRule type="cellIs" priority="2333" operator="greaterThan" aboveAverage="0" equalAverage="0" bottom="0" percent="0" rank="0" text="" dxfId="8">
      <formula>0</formula>
    </cfRule>
    <cfRule type="cellIs" priority="2334" operator="lessThan" aboveAverage="0" equalAverage="0" bottom="0" percent="0" rank="0" text="" dxfId="9">
      <formula>MaliyetEsik</formula>
    </cfRule>
  </conditionalFormatting>
  <conditionalFormatting sqref="D788">
    <cfRule type="cellIs" priority="2335" operator="lessThan" aboveAverage="0" equalAverage="0" bottom="0" percent="0" rank="0" text="" dxfId="10">
      <formula>18</formula>
    </cfRule>
  </conditionalFormatting>
  <conditionalFormatting sqref="B789">
    <cfRule type="cellIs" priority="2336" operator="greaterThan" aboveAverage="0" equalAverage="0" bottom="0" percent="0" rank="0" text="" dxfId="8">
      <formula>0</formula>
    </cfRule>
    <cfRule type="cellIs" priority="2337" operator="lessThan" aboveAverage="0" equalAverage="0" bottom="0" percent="0" rank="0" text="" dxfId="9">
      <formula>MaliyetEsik</formula>
    </cfRule>
  </conditionalFormatting>
  <conditionalFormatting sqref="D789">
    <cfRule type="cellIs" priority="2338" operator="lessThan" aboveAverage="0" equalAverage="0" bottom="0" percent="0" rank="0" text="" dxfId="10">
      <formula>18</formula>
    </cfRule>
  </conditionalFormatting>
  <conditionalFormatting sqref="B790">
    <cfRule type="cellIs" priority="2339" operator="greaterThan" aboveAverage="0" equalAverage="0" bottom="0" percent="0" rank="0" text="" dxfId="8">
      <formula>0</formula>
    </cfRule>
    <cfRule type="cellIs" priority="2340" operator="lessThan" aboveAverage="0" equalAverage="0" bottom="0" percent="0" rank="0" text="" dxfId="9">
      <formula>MaliyetEsik</formula>
    </cfRule>
  </conditionalFormatting>
  <conditionalFormatting sqref="D790">
    <cfRule type="cellIs" priority="2341" operator="lessThan" aboveAverage="0" equalAverage="0" bottom="0" percent="0" rank="0" text="" dxfId="10">
      <formula>18</formula>
    </cfRule>
  </conditionalFormatting>
  <conditionalFormatting sqref="B791">
    <cfRule type="cellIs" priority="2342" operator="greaterThan" aboveAverage="0" equalAverage="0" bottom="0" percent="0" rank="0" text="" dxfId="8">
      <formula>0</formula>
    </cfRule>
    <cfRule type="cellIs" priority="2343" operator="lessThan" aboveAverage="0" equalAverage="0" bottom="0" percent="0" rank="0" text="" dxfId="9">
      <formula>MaliyetEsik</formula>
    </cfRule>
  </conditionalFormatting>
  <conditionalFormatting sqref="D791">
    <cfRule type="cellIs" priority="2344" operator="lessThan" aboveAverage="0" equalAverage="0" bottom="0" percent="0" rank="0" text="" dxfId="10">
      <formula>18</formula>
    </cfRule>
  </conditionalFormatting>
  <conditionalFormatting sqref="B792">
    <cfRule type="cellIs" priority="2345" operator="greaterThan" aboveAverage="0" equalAverage="0" bottom="0" percent="0" rank="0" text="" dxfId="8">
      <formula>0</formula>
    </cfRule>
    <cfRule type="cellIs" priority="2346" operator="lessThan" aboveAverage="0" equalAverage="0" bottom="0" percent="0" rank="0" text="" dxfId="9">
      <formula>MaliyetEsik</formula>
    </cfRule>
  </conditionalFormatting>
  <conditionalFormatting sqref="D792">
    <cfRule type="cellIs" priority="2347" operator="lessThan" aboveAverage="0" equalAverage="0" bottom="0" percent="0" rank="0" text="" dxfId="10">
      <formula>18</formula>
    </cfRule>
  </conditionalFormatting>
  <conditionalFormatting sqref="B793">
    <cfRule type="cellIs" priority="2348" operator="greaterThan" aboveAverage="0" equalAverage="0" bottom="0" percent="0" rank="0" text="" dxfId="8">
      <formula>0</formula>
    </cfRule>
    <cfRule type="cellIs" priority="2349" operator="lessThan" aboveAverage="0" equalAverage="0" bottom="0" percent="0" rank="0" text="" dxfId="9">
      <formula>MaliyetEsik</formula>
    </cfRule>
  </conditionalFormatting>
  <conditionalFormatting sqref="D793">
    <cfRule type="cellIs" priority="2350" operator="lessThan" aboveAverage="0" equalAverage="0" bottom="0" percent="0" rank="0" text="" dxfId="10">
      <formula>18</formula>
    </cfRule>
  </conditionalFormatting>
  <conditionalFormatting sqref="B794">
    <cfRule type="cellIs" priority="2351" operator="greaterThan" aboveAverage="0" equalAverage="0" bottom="0" percent="0" rank="0" text="" dxfId="8">
      <formula>0</formula>
    </cfRule>
    <cfRule type="cellIs" priority="2352" operator="lessThan" aboveAverage="0" equalAverage="0" bottom="0" percent="0" rank="0" text="" dxfId="9">
      <formula>MaliyetEsik</formula>
    </cfRule>
  </conditionalFormatting>
  <conditionalFormatting sqref="D794">
    <cfRule type="cellIs" priority="2353" operator="lessThan" aboveAverage="0" equalAverage="0" bottom="0" percent="0" rank="0" text="" dxfId="10">
      <formula>18</formula>
    </cfRule>
  </conditionalFormatting>
  <conditionalFormatting sqref="B795">
    <cfRule type="cellIs" priority="2354" operator="greaterThan" aboveAverage="0" equalAverage="0" bottom="0" percent="0" rank="0" text="" dxfId="8">
      <formula>0</formula>
    </cfRule>
    <cfRule type="cellIs" priority="2355" operator="lessThan" aboveAverage="0" equalAverage="0" bottom="0" percent="0" rank="0" text="" dxfId="9">
      <formula>MaliyetEsik</formula>
    </cfRule>
  </conditionalFormatting>
  <conditionalFormatting sqref="D795">
    <cfRule type="cellIs" priority="2356" operator="lessThan" aboveAverage="0" equalAverage="0" bottom="0" percent="0" rank="0" text="" dxfId="10">
      <formula>18</formula>
    </cfRule>
  </conditionalFormatting>
  <conditionalFormatting sqref="B796">
    <cfRule type="cellIs" priority="2357" operator="greaterThan" aboveAverage="0" equalAverage="0" bottom="0" percent="0" rank="0" text="" dxfId="8">
      <formula>0</formula>
    </cfRule>
    <cfRule type="cellIs" priority="2358" operator="lessThan" aboveAverage="0" equalAverage="0" bottom="0" percent="0" rank="0" text="" dxfId="9">
      <formula>MaliyetEsik</formula>
    </cfRule>
  </conditionalFormatting>
  <conditionalFormatting sqref="D796">
    <cfRule type="cellIs" priority="2359" operator="lessThan" aboveAverage="0" equalAverage="0" bottom="0" percent="0" rank="0" text="" dxfId="10">
      <formula>18</formula>
    </cfRule>
  </conditionalFormatting>
  <conditionalFormatting sqref="B797">
    <cfRule type="cellIs" priority="2360" operator="greaterThan" aboveAverage="0" equalAverage="0" bottom="0" percent="0" rank="0" text="" dxfId="8">
      <formula>0</formula>
    </cfRule>
    <cfRule type="cellIs" priority="2361" operator="lessThan" aboveAverage="0" equalAverage="0" bottom="0" percent="0" rank="0" text="" dxfId="9">
      <formula>MaliyetEsik</formula>
    </cfRule>
  </conditionalFormatting>
  <conditionalFormatting sqref="D797">
    <cfRule type="cellIs" priority="2362" operator="lessThan" aboveAverage="0" equalAverage="0" bottom="0" percent="0" rank="0" text="" dxfId="10">
      <formula>18</formula>
    </cfRule>
  </conditionalFormatting>
  <conditionalFormatting sqref="B798">
    <cfRule type="cellIs" priority="2363" operator="greaterThan" aboveAverage="0" equalAverage="0" bottom="0" percent="0" rank="0" text="" dxfId="8">
      <formula>0</formula>
    </cfRule>
    <cfRule type="cellIs" priority="2364" operator="lessThan" aboveAverage="0" equalAverage="0" bottom="0" percent="0" rank="0" text="" dxfId="9">
      <formula>MaliyetEsik</formula>
    </cfRule>
  </conditionalFormatting>
  <conditionalFormatting sqref="D798">
    <cfRule type="cellIs" priority="2365" operator="lessThan" aboveAverage="0" equalAverage="0" bottom="0" percent="0" rank="0" text="" dxfId="10">
      <formula>18</formula>
    </cfRule>
  </conditionalFormatting>
  <conditionalFormatting sqref="B799">
    <cfRule type="cellIs" priority="2366" operator="greaterThan" aboveAverage="0" equalAverage="0" bottom="0" percent="0" rank="0" text="" dxfId="8">
      <formula>0</formula>
    </cfRule>
    <cfRule type="cellIs" priority="2367" operator="lessThan" aboveAverage="0" equalAverage="0" bottom="0" percent="0" rank="0" text="" dxfId="9">
      <formula>MaliyetEsik</formula>
    </cfRule>
  </conditionalFormatting>
  <conditionalFormatting sqref="D799">
    <cfRule type="cellIs" priority="2368" operator="lessThan" aboveAverage="0" equalAverage="0" bottom="0" percent="0" rank="0" text="" dxfId="10">
      <formula>18</formula>
    </cfRule>
  </conditionalFormatting>
  <conditionalFormatting sqref="B800">
    <cfRule type="cellIs" priority="2369" operator="greaterThan" aboveAverage="0" equalAverage="0" bottom="0" percent="0" rank="0" text="" dxfId="8">
      <formula>0</formula>
    </cfRule>
    <cfRule type="cellIs" priority="2370" operator="lessThan" aboveAverage="0" equalAverage="0" bottom="0" percent="0" rank="0" text="" dxfId="9">
      <formula>MaliyetEsik</formula>
    </cfRule>
  </conditionalFormatting>
  <conditionalFormatting sqref="D800">
    <cfRule type="cellIs" priority="2371" operator="lessThan" aboveAverage="0" equalAverage="0" bottom="0" percent="0" rank="0" text="" dxfId="10">
      <formula>18</formula>
    </cfRule>
  </conditionalFormatting>
  <conditionalFormatting sqref="B801">
    <cfRule type="cellIs" priority="2372" operator="greaterThan" aboveAverage="0" equalAverage="0" bottom="0" percent="0" rank="0" text="" dxfId="8">
      <formula>0</formula>
    </cfRule>
    <cfRule type="cellIs" priority="2373" operator="lessThan" aboveAverage="0" equalAverage="0" bottom="0" percent="0" rank="0" text="" dxfId="9">
      <formula>MaliyetEsik</formula>
    </cfRule>
  </conditionalFormatting>
  <conditionalFormatting sqref="D801">
    <cfRule type="cellIs" priority="2374" operator="lessThan" aboveAverage="0" equalAverage="0" bottom="0" percent="0" rank="0" text="" dxfId="10">
      <formula>18</formula>
    </cfRule>
  </conditionalFormatting>
  <conditionalFormatting sqref="B802">
    <cfRule type="cellIs" priority="2375" operator="greaterThan" aboveAverage="0" equalAverage="0" bottom="0" percent="0" rank="0" text="" dxfId="8">
      <formula>0</formula>
    </cfRule>
    <cfRule type="cellIs" priority="2376" operator="lessThan" aboveAverage="0" equalAverage="0" bottom="0" percent="0" rank="0" text="" dxfId="9">
      <formula>MaliyetEsik</formula>
    </cfRule>
  </conditionalFormatting>
  <conditionalFormatting sqref="D802">
    <cfRule type="cellIs" priority="2377" operator="lessThan" aboveAverage="0" equalAverage="0" bottom="0" percent="0" rank="0" text="" dxfId="10">
      <formula>18</formula>
    </cfRule>
  </conditionalFormatting>
  <conditionalFormatting sqref="B803">
    <cfRule type="cellIs" priority="2378" operator="greaterThan" aboveAverage="0" equalAverage="0" bottom="0" percent="0" rank="0" text="" dxfId="8">
      <formula>0</formula>
    </cfRule>
    <cfRule type="cellIs" priority="2379" operator="lessThan" aboveAverage="0" equalAverage="0" bottom="0" percent="0" rank="0" text="" dxfId="9">
      <formula>MaliyetEsik</formula>
    </cfRule>
  </conditionalFormatting>
  <conditionalFormatting sqref="D803">
    <cfRule type="cellIs" priority="2380" operator="lessThan" aboveAverage="0" equalAverage="0" bottom="0" percent="0" rank="0" text="" dxfId="10">
      <formula>18</formula>
    </cfRule>
  </conditionalFormatting>
  <conditionalFormatting sqref="B804">
    <cfRule type="cellIs" priority="2381" operator="greaterThan" aboveAverage="0" equalAverage="0" bottom="0" percent="0" rank="0" text="" dxfId="8">
      <formula>0</formula>
    </cfRule>
    <cfRule type="cellIs" priority="2382" operator="lessThan" aboveAverage="0" equalAverage="0" bottom="0" percent="0" rank="0" text="" dxfId="9">
      <formula>MaliyetEsik</formula>
    </cfRule>
  </conditionalFormatting>
  <conditionalFormatting sqref="D804">
    <cfRule type="cellIs" priority="2383" operator="lessThan" aboveAverage="0" equalAverage="0" bottom="0" percent="0" rank="0" text="" dxfId="10">
      <formula>18</formula>
    </cfRule>
  </conditionalFormatting>
  <conditionalFormatting sqref="B805">
    <cfRule type="cellIs" priority="2384" operator="greaterThan" aboveAverage="0" equalAverage="0" bottom="0" percent="0" rank="0" text="" dxfId="8">
      <formula>0</formula>
    </cfRule>
    <cfRule type="cellIs" priority="2385" operator="lessThan" aboveAverage="0" equalAverage="0" bottom="0" percent="0" rank="0" text="" dxfId="9">
      <formula>MaliyetEsik</formula>
    </cfRule>
  </conditionalFormatting>
  <conditionalFormatting sqref="D805">
    <cfRule type="cellIs" priority="2386" operator="lessThan" aboveAverage="0" equalAverage="0" bottom="0" percent="0" rank="0" text="" dxfId="10">
      <formula>18</formula>
    </cfRule>
  </conditionalFormatting>
  <conditionalFormatting sqref="B806">
    <cfRule type="cellIs" priority="2387" operator="greaterThan" aboveAverage="0" equalAverage="0" bottom="0" percent="0" rank="0" text="" dxfId="8">
      <formula>0</formula>
    </cfRule>
    <cfRule type="cellIs" priority="2388" operator="lessThan" aboveAverage="0" equalAverage="0" bottom="0" percent="0" rank="0" text="" dxfId="9">
      <formula>MaliyetEsik</formula>
    </cfRule>
  </conditionalFormatting>
  <conditionalFormatting sqref="D806">
    <cfRule type="cellIs" priority="2389" operator="lessThan" aboveAverage="0" equalAverage="0" bottom="0" percent="0" rank="0" text="" dxfId="10">
      <formula>18</formula>
    </cfRule>
  </conditionalFormatting>
  <conditionalFormatting sqref="B807">
    <cfRule type="cellIs" priority="2390" operator="greaterThan" aboveAverage="0" equalAverage="0" bottom="0" percent="0" rank="0" text="" dxfId="8">
      <formula>0</formula>
    </cfRule>
    <cfRule type="cellIs" priority="2391" operator="lessThan" aboveAverage="0" equalAverage="0" bottom="0" percent="0" rank="0" text="" dxfId="9">
      <formula>MaliyetEsik</formula>
    </cfRule>
  </conditionalFormatting>
  <conditionalFormatting sqref="D807">
    <cfRule type="cellIs" priority="2392" operator="lessThan" aboveAverage="0" equalAverage="0" bottom="0" percent="0" rank="0" text="" dxfId="10">
      <formula>18</formula>
    </cfRule>
  </conditionalFormatting>
  <conditionalFormatting sqref="B808">
    <cfRule type="cellIs" priority="2393" operator="greaterThan" aboveAverage="0" equalAverage="0" bottom="0" percent="0" rank="0" text="" dxfId="8">
      <formula>0</formula>
    </cfRule>
    <cfRule type="cellIs" priority="2394" operator="lessThan" aboveAverage="0" equalAverage="0" bottom="0" percent="0" rank="0" text="" dxfId="9">
      <formula>MaliyetEsik</formula>
    </cfRule>
  </conditionalFormatting>
  <conditionalFormatting sqref="D808">
    <cfRule type="cellIs" priority="2395" operator="lessThan" aboveAverage="0" equalAverage="0" bottom="0" percent="0" rank="0" text="" dxfId="10">
      <formula>18</formula>
    </cfRule>
  </conditionalFormatting>
  <conditionalFormatting sqref="B809">
    <cfRule type="cellIs" priority="2396" operator="greaterThan" aboveAverage="0" equalAverage="0" bottom="0" percent="0" rank="0" text="" dxfId="8">
      <formula>0</formula>
    </cfRule>
    <cfRule type="cellIs" priority="2397" operator="lessThan" aboveAverage="0" equalAverage="0" bottom="0" percent="0" rank="0" text="" dxfId="9">
      <formula>MaliyetEsik</formula>
    </cfRule>
  </conditionalFormatting>
  <conditionalFormatting sqref="D809">
    <cfRule type="cellIs" priority="2398" operator="lessThan" aboveAverage="0" equalAverage="0" bottom="0" percent="0" rank="0" text="" dxfId="10">
      <formula>18</formula>
    </cfRule>
  </conditionalFormatting>
  <conditionalFormatting sqref="B810">
    <cfRule type="cellIs" priority="2399" operator="greaterThan" aboveAverage="0" equalAverage="0" bottom="0" percent="0" rank="0" text="" dxfId="8">
      <formula>0</formula>
    </cfRule>
    <cfRule type="cellIs" priority="2400" operator="lessThan" aboveAverage="0" equalAverage="0" bottom="0" percent="0" rank="0" text="" dxfId="9">
      <formula>MaliyetEsik</formula>
    </cfRule>
  </conditionalFormatting>
  <conditionalFormatting sqref="D810">
    <cfRule type="cellIs" priority="2401" operator="lessThan" aboveAverage="0" equalAverage="0" bottom="0" percent="0" rank="0" text="" dxfId="10">
      <formula>18</formula>
    </cfRule>
  </conditionalFormatting>
  <conditionalFormatting sqref="B811">
    <cfRule type="cellIs" priority="2402" operator="greaterThan" aboveAverage="0" equalAverage="0" bottom="0" percent="0" rank="0" text="" dxfId="8">
      <formula>0</formula>
    </cfRule>
    <cfRule type="cellIs" priority="2403" operator="lessThan" aboveAverage="0" equalAverage="0" bottom="0" percent="0" rank="0" text="" dxfId="9">
      <formula>MaliyetEsik</formula>
    </cfRule>
  </conditionalFormatting>
  <conditionalFormatting sqref="D811">
    <cfRule type="cellIs" priority="2404" operator="lessThan" aboveAverage="0" equalAverage="0" bottom="0" percent="0" rank="0" text="" dxfId="10">
      <formula>18</formula>
    </cfRule>
  </conditionalFormatting>
  <conditionalFormatting sqref="B812">
    <cfRule type="cellIs" priority="2405" operator="greaterThan" aboveAverage="0" equalAverage="0" bottom="0" percent="0" rank="0" text="" dxfId="8">
      <formula>0</formula>
    </cfRule>
    <cfRule type="cellIs" priority="2406" operator="lessThan" aboveAverage="0" equalAverage="0" bottom="0" percent="0" rank="0" text="" dxfId="9">
      <formula>MaliyetEsik</formula>
    </cfRule>
  </conditionalFormatting>
  <conditionalFormatting sqref="D812">
    <cfRule type="cellIs" priority="2407" operator="lessThan" aboveAverage="0" equalAverage="0" bottom="0" percent="0" rank="0" text="" dxfId="10">
      <formula>18</formula>
    </cfRule>
  </conditionalFormatting>
  <conditionalFormatting sqref="B813">
    <cfRule type="cellIs" priority="2408" operator="greaterThan" aboveAverage="0" equalAverage="0" bottom="0" percent="0" rank="0" text="" dxfId="8">
      <formula>0</formula>
    </cfRule>
    <cfRule type="cellIs" priority="2409" operator="lessThan" aboveAverage="0" equalAverage="0" bottom="0" percent="0" rank="0" text="" dxfId="9">
      <formula>MaliyetEsik</formula>
    </cfRule>
  </conditionalFormatting>
  <conditionalFormatting sqref="D813">
    <cfRule type="cellIs" priority="2410" operator="lessThan" aboveAverage="0" equalAverage="0" bottom="0" percent="0" rank="0" text="" dxfId="10">
      <formula>18</formula>
    </cfRule>
  </conditionalFormatting>
  <conditionalFormatting sqref="B814">
    <cfRule type="cellIs" priority="2411" operator="greaterThan" aboveAverage="0" equalAverage="0" bottom="0" percent="0" rank="0" text="" dxfId="8">
      <formula>0</formula>
    </cfRule>
    <cfRule type="cellIs" priority="2412" operator="lessThan" aboveAverage="0" equalAverage="0" bottom="0" percent="0" rank="0" text="" dxfId="9">
      <formula>MaliyetEsik</formula>
    </cfRule>
  </conditionalFormatting>
  <conditionalFormatting sqref="D814">
    <cfRule type="cellIs" priority="2413" operator="lessThan" aboveAverage="0" equalAverage="0" bottom="0" percent="0" rank="0" text="" dxfId="10">
      <formula>18</formula>
    </cfRule>
  </conditionalFormatting>
  <conditionalFormatting sqref="B815">
    <cfRule type="cellIs" priority="2414" operator="greaterThan" aboveAverage="0" equalAverage="0" bottom="0" percent="0" rank="0" text="" dxfId="8">
      <formula>0</formula>
    </cfRule>
    <cfRule type="cellIs" priority="2415" operator="lessThan" aboveAverage="0" equalAverage="0" bottom="0" percent="0" rank="0" text="" dxfId="9">
      <formula>MaliyetEsik</formula>
    </cfRule>
  </conditionalFormatting>
  <conditionalFormatting sqref="D815">
    <cfRule type="cellIs" priority="2416" operator="lessThan" aboveAverage="0" equalAverage="0" bottom="0" percent="0" rank="0" text="" dxfId="10">
      <formula>18</formula>
    </cfRule>
  </conditionalFormatting>
  <conditionalFormatting sqref="B816">
    <cfRule type="cellIs" priority="2417" operator="greaterThan" aboveAverage="0" equalAverage="0" bottom="0" percent="0" rank="0" text="" dxfId="8">
      <formula>0</formula>
    </cfRule>
    <cfRule type="cellIs" priority="2418" operator="lessThan" aboveAverage="0" equalAverage="0" bottom="0" percent="0" rank="0" text="" dxfId="9">
      <formula>MaliyetEsik</formula>
    </cfRule>
  </conditionalFormatting>
  <conditionalFormatting sqref="D816">
    <cfRule type="cellIs" priority="2419" operator="lessThan" aboveAverage="0" equalAverage="0" bottom="0" percent="0" rank="0" text="" dxfId="10">
      <formula>18</formula>
    </cfRule>
  </conditionalFormatting>
  <conditionalFormatting sqref="B817">
    <cfRule type="cellIs" priority="2420" operator="greaterThan" aboveAverage="0" equalAverage="0" bottom="0" percent="0" rank="0" text="" dxfId="8">
      <formula>0</formula>
    </cfRule>
    <cfRule type="cellIs" priority="2421" operator="lessThan" aboveAverage="0" equalAverage="0" bottom="0" percent="0" rank="0" text="" dxfId="9">
      <formula>MaliyetEsik</formula>
    </cfRule>
  </conditionalFormatting>
  <conditionalFormatting sqref="D817">
    <cfRule type="cellIs" priority="2422" operator="lessThan" aboveAverage="0" equalAverage="0" bottom="0" percent="0" rank="0" text="" dxfId="10">
      <formula>18</formula>
    </cfRule>
  </conditionalFormatting>
  <conditionalFormatting sqref="B818">
    <cfRule type="cellIs" priority="2423" operator="greaterThan" aboveAverage="0" equalAverage="0" bottom="0" percent="0" rank="0" text="" dxfId="8">
      <formula>0</formula>
    </cfRule>
    <cfRule type="cellIs" priority="2424" operator="lessThan" aboveAverage="0" equalAverage="0" bottom="0" percent="0" rank="0" text="" dxfId="9">
      <formula>MaliyetEsik</formula>
    </cfRule>
  </conditionalFormatting>
  <conditionalFormatting sqref="D818">
    <cfRule type="cellIs" priority="2425" operator="lessThan" aboveAverage="0" equalAverage="0" bottom="0" percent="0" rank="0" text="" dxfId="10">
      <formula>18</formula>
    </cfRule>
  </conditionalFormatting>
  <conditionalFormatting sqref="B819">
    <cfRule type="cellIs" priority="2426" operator="greaterThan" aboveAverage="0" equalAverage="0" bottom="0" percent="0" rank="0" text="" dxfId="8">
      <formula>0</formula>
    </cfRule>
    <cfRule type="cellIs" priority="2427" operator="lessThan" aboveAverage="0" equalAverage="0" bottom="0" percent="0" rank="0" text="" dxfId="9">
      <formula>MaliyetEsik</formula>
    </cfRule>
  </conditionalFormatting>
  <conditionalFormatting sqref="D819">
    <cfRule type="cellIs" priority="2428" operator="lessThan" aboveAverage="0" equalAverage="0" bottom="0" percent="0" rank="0" text="" dxfId="10">
      <formula>18</formula>
    </cfRule>
  </conditionalFormatting>
  <conditionalFormatting sqref="B820">
    <cfRule type="cellIs" priority="2429" operator="greaterThan" aboveAverage="0" equalAverage="0" bottom="0" percent="0" rank="0" text="" dxfId="8">
      <formula>0</formula>
    </cfRule>
    <cfRule type="cellIs" priority="2430" operator="lessThan" aboveAverage="0" equalAverage="0" bottom="0" percent="0" rank="0" text="" dxfId="9">
      <formula>MaliyetEsik</formula>
    </cfRule>
  </conditionalFormatting>
  <conditionalFormatting sqref="D820">
    <cfRule type="cellIs" priority="2431" operator="lessThan" aboveAverage="0" equalAverage="0" bottom="0" percent="0" rank="0" text="" dxfId="10">
      <formula>18</formula>
    </cfRule>
  </conditionalFormatting>
  <conditionalFormatting sqref="B821">
    <cfRule type="cellIs" priority="2432" operator="greaterThan" aboveAverage="0" equalAverage="0" bottom="0" percent="0" rank="0" text="" dxfId="8">
      <formula>0</formula>
    </cfRule>
    <cfRule type="cellIs" priority="2433" operator="lessThan" aboveAverage="0" equalAverage="0" bottom="0" percent="0" rank="0" text="" dxfId="9">
      <formula>MaliyetEsik</formula>
    </cfRule>
  </conditionalFormatting>
  <conditionalFormatting sqref="D821">
    <cfRule type="cellIs" priority="2434" operator="lessThan" aboveAverage="0" equalAverage="0" bottom="0" percent="0" rank="0" text="" dxfId="10">
      <formula>18</formula>
    </cfRule>
  </conditionalFormatting>
  <conditionalFormatting sqref="B822">
    <cfRule type="cellIs" priority="2435" operator="greaterThan" aboveAverage="0" equalAverage="0" bottom="0" percent="0" rank="0" text="" dxfId="8">
      <formula>0</formula>
    </cfRule>
    <cfRule type="cellIs" priority="2436" operator="lessThan" aboveAverage="0" equalAverage="0" bottom="0" percent="0" rank="0" text="" dxfId="9">
      <formula>MaliyetEsik</formula>
    </cfRule>
  </conditionalFormatting>
  <conditionalFormatting sqref="D822">
    <cfRule type="cellIs" priority="2437" operator="lessThan" aboveAverage="0" equalAverage="0" bottom="0" percent="0" rank="0" text="" dxfId="10">
      <formula>18</formula>
    </cfRule>
  </conditionalFormatting>
  <conditionalFormatting sqref="B823">
    <cfRule type="cellIs" priority="2438" operator="greaterThan" aboveAverage="0" equalAverage="0" bottom="0" percent="0" rank="0" text="" dxfId="8">
      <formula>0</formula>
    </cfRule>
    <cfRule type="cellIs" priority="2439" operator="lessThan" aboveAverage="0" equalAverage="0" bottom="0" percent="0" rank="0" text="" dxfId="9">
      <formula>MaliyetEsik</formula>
    </cfRule>
  </conditionalFormatting>
  <conditionalFormatting sqref="D823">
    <cfRule type="cellIs" priority="2440" operator="lessThan" aboveAverage="0" equalAverage="0" bottom="0" percent="0" rank="0" text="" dxfId="10">
      <formula>18</formula>
    </cfRule>
  </conditionalFormatting>
  <conditionalFormatting sqref="B824">
    <cfRule type="cellIs" priority="2441" operator="greaterThan" aboveAverage="0" equalAverage="0" bottom="0" percent="0" rank="0" text="" dxfId="8">
      <formula>0</formula>
    </cfRule>
    <cfRule type="cellIs" priority="2442" operator="lessThan" aboveAverage="0" equalAverage="0" bottom="0" percent="0" rank="0" text="" dxfId="9">
      <formula>MaliyetEsik</formula>
    </cfRule>
  </conditionalFormatting>
  <conditionalFormatting sqref="D824">
    <cfRule type="cellIs" priority="2443" operator="lessThan" aboveAverage="0" equalAverage="0" bottom="0" percent="0" rank="0" text="" dxfId="10">
      <formula>18</formula>
    </cfRule>
  </conditionalFormatting>
  <conditionalFormatting sqref="B825">
    <cfRule type="cellIs" priority="2444" operator="greaterThan" aboveAverage="0" equalAverage="0" bottom="0" percent="0" rank="0" text="" dxfId="8">
      <formula>0</formula>
    </cfRule>
    <cfRule type="cellIs" priority="2445" operator="lessThan" aboveAverage="0" equalAverage="0" bottom="0" percent="0" rank="0" text="" dxfId="9">
      <formula>MaliyetEsik</formula>
    </cfRule>
  </conditionalFormatting>
  <conditionalFormatting sqref="D825">
    <cfRule type="cellIs" priority="2446" operator="lessThan" aboveAverage="0" equalAverage="0" bottom="0" percent="0" rank="0" text="" dxfId="10">
      <formula>18</formula>
    </cfRule>
  </conditionalFormatting>
  <conditionalFormatting sqref="B826">
    <cfRule type="cellIs" priority="2447" operator="greaterThan" aboveAverage="0" equalAverage="0" bottom="0" percent="0" rank="0" text="" dxfId="8">
      <formula>0</formula>
    </cfRule>
    <cfRule type="cellIs" priority="2448" operator="lessThan" aboveAverage="0" equalAverage="0" bottom="0" percent="0" rank="0" text="" dxfId="9">
      <formula>MaliyetEsik</formula>
    </cfRule>
  </conditionalFormatting>
  <conditionalFormatting sqref="D826">
    <cfRule type="cellIs" priority="2449" operator="lessThan" aboveAverage="0" equalAverage="0" bottom="0" percent="0" rank="0" text="" dxfId="10">
      <formula>18</formula>
    </cfRule>
  </conditionalFormatting>
  <conditionalFormatting sqref="B827">
    <cfRule type="cellIs" priority="2450" operator="greaterThan" aboveAverage="0" equalAverage="0" bottom="0" percent="0" rank="0" text="" dxfId="8">
      <formula>0</formula>
    </cfRule>
    <cfRule type="cellIs" priority="2451" operator="lessThan" aboveAverage="0" equalAverage="0" bottom="0" percent="0" rank="0" text="" dxfId="9">
      <formula>MaliyetEsik</formula>
    </cfRule>
  </conditionalFormatting>
  <conditionalFormatting sqref="D827">
    <cfRule type="cellIs" priority="2452" operator="lessThan" aboveAverage="0" equalAverage="0" bottom="0" percent="0" rank="0" text="" dxfId="10">
      <formula>18</formula>
    </cfRule>
  </conditionalFormatting>
  <conditionalFormatting sqref="B828">
    <cfRule type="cellIs" priority="2453" operator="greaterThan" aboveAverage="0" equalAverage="0" bottom="0" percent="0" rank="0" text="" dxfId="8">
      <formula>0</formula>
    </cfRule>
    <cfRule type="cellIs" priority="2454" operator="lessThan" aboveAverage="0" equalAverage="0" bottom="0" percent="0" rank="0" text="" dxfId="9">
      <formula>MaliyetEsik</formula>
    </cfRule>
  </conditionalFormatting>
  <conditionalFormatting sqref="D828">
    <cfRule type="cellIs" priority="2455" operator="lessThan" aboveAverage="0" equalAverage="0" bottom="0" percent="0" rank="0" text="" dxfId="10">
      <formula>18</formula>
    </cfRule>
  </conditionalFormatting>
  <conditionalFormatting sqref="B829">
    <cfRule type="cellIs" priority="2456" operator="greaterThan" aboveAverage="0" equalAverage="0" bottom="0" percent="0" rank="0" text="" dxfId="8">
      <formula>0</formula>
    </cfRule>
    <cfRule type="cellIs" priority="2457" operator="lessThan" aboveAverage="0" equalAverage="0" bottom="0" percent="0" rank="0" text="" dxfId="9">
      <formula>MaliyetEsik</formula>
    </cfRule>
  </conditionalFormatting>
  <conditionalFormatting sqref="D829">
    <cfRule type="cellIs" priority="2458" operator="lessThan" aboveAverage="0" equalAverage="0" bottom="0" percent="0" rank="0" text="" dxfId="10">
      <formula>18</formula>
    </cfRule>
  </conditionalFormatting>
  <conditionalFormatting sqref="B830">
    <cfRule type="cellIs" priority="2459" operator="greaterThan" aboveAverage="0" equalAverage="0" bottom="0" percent="0" rank="0" text="" dxfId="8">
      <formula>0</formula>
    </cfRule>
    <cfRule type="cellIs" priority="2460" operator="lessThan" aboveAverage="0" equalAverage="0" bottom="0" percent="0" rank="0" text="" dxfId="9">
      <formula>MaliyetEsik</formula>
    </cfRule>
  </conditionalFormatting>
  <conditionalFormatting sqref="D830">
    <cfRule type="cellIs" priority="2461" operator="lessThan" aboveAverage="0" equalAverage="0" bottom="0" percent="0" rank="0" text="" dxfId="10">
      <formula>18</formula>
    </cfRule>
  </conditionalFormatting>
  <conditionalFormatting sqref="B831">
    <cfRule type="cellIs" priority="2462" operator="greaterThan" aboveAverage="0" equalAverage="0" bottom="0" percent="0" rank="0" text="" dxfId="8">
      <formula>0</formula>
    </cfRule>
    <cfRule type="cellIs" priority="2463" operator="lessThan" aboveAverage="0" equalAverage="0" bottom="0" percent="0" rank="0" text="" dxfId="9">
      <formula>MaliyetEsik</formula>
    </cfRule>
  </conditionalFormatting>
  <conditionalFormatting sqref="D831">
    <cfRule type="cellIs" priority="2464" operator="lessThan" aboveAverage="0" equalAverage="0" bottom="0" percent="0" rank="0" text="" dxfId="10">
      <formula>18</formula>
    </cfRule>
  </conditionalFormatting>
  <conditionalFormatting sqref="B832">
    <cfRule type="cellIs" priority="2465" operator="greaterThan" aboveAverage="0" equalAverage="0" bottom="0" percent="0" rank="0" text="" dxfId="8">
      <formula>0</formula>
    </cfRule>
    <cfRule type="cellIs" priority="2466" operator="lessThan" aboveAverage="0" equalAverage="0" bottom="0" percent="0" rank="0" text="" dxfId="9">
      <formula>MaliyetEsik</formula>
    </cfRule>
  </conditionalFormatting>
  <conditionalFormatting sqref="D832">
    <cfRule type="cellIs" priority="2467" operator="lessThan" aboveAverage="0" equalAverage="0" bottom="0" percent="0" rank="0" text="" dxfId="10">
      <formula>18</formula>
    </cfRule>
  </conditionalFormatting>
  <conditionalFormatting sqref="B833">
    <cfRule type="cellIs" priority="2468" operator="greaterThan" aboveAverage="0" equalAverage="0" bottom="0" percent="0" rank="0" text="" dxfId="8">
      <formula>0</formula>
    </cfRule>
    <cfRule type="cellIs" priority="2469" operator="lessThan" aboveAverage="0" equalAverage="0" bottom="0" percent="0" rank="0" text="" dxfId="9">
      <formula>MaliyetEsik</formula>
    </cfRule>
  </conditionalFormatting>
  <conditionalFormatting sqref="D833">
    <cfRule type="cellIs" priority="2470" operator="lessThan" aboveAverage="0" equalAverage="0" bottom="0" percent="0" rank="0" text="" dxfId="10">
      <formula>18</formula>
    </cfRule>
  </conditionalFormatting>
  <conditionalFormatting sqref="B834">
    <cfRule type="cellIs" priority="2471" operator="greaterThan" aboveAverage="0" equalAverage="0" bottom="0" percent="0" rank="0" text="" dxfId="8">
      <formula>0</formula>
    </cfRule>
    <cfRule type="cellIs" priority="2472" operator="lessThan" aboveAverage="0" equalAverage="0" bottom="0" percent="0" rank="0" text="" dxfId="9">
      <formula>MaliyetEsik</formula>
    </cfRule>
  </conditionalFormatting>
  <conditionalFormatting sqref="D834">
    <cfRule type="cellIs" priority="2473" operator="lessThan" aboveAverage="0" equalAverage="0" bottom="0" percent="0" rank="0" text="" dxfId="10">
      <formula>18</formula>
    </cfRule>
  </conditionalFormatting>
  <conditionalFormatting sqref="B835">
    <cfRule type="cellIs" priority="2474" operator="greaterThan" aboveAverage="0" equalAverage="0" bottom="0" percent="0" rank="0" text="" dxfId="8">
      <formula>0</formula>
    </cfRule>
    <cfRule type="cellIs" priority="2475" operator="lessThan" aboveAverage="0" equalAverage="0" bottom="0" percent="0" rank="0" text="" dxfId="9">
      <formula>MaliyetEsik</formula>
    </cfRule>
  </conditionalFormatting>
  <conditionalFormatting sqref="D835">
    <cfRule type="cellIs" priority="2476" operator="lessThan" aboveAverage="0" equalAverage="0" bottom="0" percent="0" rank="0" text="" dxfId="10">
      <formula>18</formula>
    </cfRule>
  </conditionalFormatting>
  <conditionalFormatting sqref="B836">
    <cfRule type="cellIs" priority="2477" operator="greaterThan" aboveAverage="0" equalAverage="0" bottom="0" percent="0" rank="0" text="" dxfId="8">
      <formula>0</formula>
    </cfRule>
    <cfRule type="cellIs" priority="2478" operator="lessThan" aboveAverage="0" equalAverage="0" bottom="0" percent="0" rank="0" text="" dxfId="9">
      <formula>MaliyetEsik</formula>
    </cfRule>
  </conditionalFormatting>
  <conditionalFormatting sqref="D836">
    <cfRule type="cellIs" priority="2479" operator="lessThan" aboveAverage="0" equalAverage="0" bottom="0" percent="0" rank="0" text="" dxfId="10">
      <formula>18</formula>
    </cfRule>
  </conditionalFormatting>
  <conditionalFormatting sqref="B837">
    <cfRule type="cellIs" priority="2480" operator="greaterThan" aboveAverage="0" equalAverage="0" bottom="0" percent="0" rank="0" text="" dxfId="8">
      <formula>0</formula>
    </cfRule>
    <cfRule type="cellIs" priority="2481" operator="lessThan" aboveAverage="0" equalAverage="0" bottom="0" percent="0" rank="0" text="" dxfId="9">
      <formula>MaliyetEsik</formula>
    </cfRule>
  </conditionalFormatting>
  <conditionalFormatting sqref="D837">
    <cfRule type="cellIs" priority="2482" operator="lessThan" aboveAverage="0" equalAverage="0" bottom="0" percent="0" rank="0" text="" dxfId="10">
      <formula>18</formula>
    </cfRule>
  </conditionalFormatting>
  <conditionalFormatting sqref="B838">
    <cfRule type="cellIs" priority="2483" operator="greaterThan" aboveAverage="0" equalAverage="0" bottom="0" percent="0" rank="0" text="" dxfId="8">
      <formula>0</formula>
    </cfRule>
    <cfRule type="cellIs" priority="2484" operator="lessThan" aboveAverage="0" equalAverage="0" bottom="0" percent="0" rank="0" text="" dxfId="9">
      <formula>MaliyetEsik</formula>
    </cfRule>
  </conditionalFormatting>
  <conditionalFormatting sqref="D838">
    <cfRule type="cellIs" priority="2485" operator="lessThan" aboveAverage="0" equalAverage="0" bottom="0" percent="0" rank="0" text="" dxfId="10">
      <formula>18</formula>
    </cfRule>
  </conditionalFormatting>
  <conditionalFormatting sqref="B839">
    <cfRule type="cellIs" priority="2486" operator="greaterThan" aboveAverage="0" equalAverage="0" bottom="0" percent="0" rank="0" text="" dxfId="8">
      <formula>0</formula>
    </cfRule>
    <cfRule type="cellIs" priority="2487" operator="lessThan" aboveAverage="0" equalAverage="0" bottom="0" percent="0" rank="0" text="" dxfId="9">
      <formula>MaliyetEsik</formula>
    </cfRule>
  </conditionalFormatting>
  <conditionalFormatting sqref="D839">
    <cfRule type="cellIs" priority="2488" operator="lessThan" aboveAverage="0" equalAverage="0" bottom="0" percent="0" rank="0" text="" dxfId="10">
      <formula>18</formula>
    </cfRule>
  </conditionalFormatting>
  <conditionalFormatting sqref="B840">
    <cfRule type="cellIs" priority="2489" operator="greaterThan" aboveAverage="0" equalAverage="0" bottom="0" percent="0" rank="0" text="" dxfId="8">
      <formula>0</formula>
    </cfRule>
    <cfRule type="cellIs" priority="2490" operator="lessThan" aboveAverage="0" equalAverage="0" bottom="0" percent="0" rank="0" text="" dxfId="9">
      <formula>MaliyetEsik</formula>
    </cfRule>
  </conditionalFormatting>
  <conditionalFormatting sqref="D840">
    <cfRule type="cellIs" priority="2491" operator="lessThan" aboveAverage="0" equalAverage="0" bottom="0" percent="0" rank="0" text="" dxfId="10">
      <formula>18</formula>
    </cfRule>
  </conditionalFormatting>
  <conditionalFormatting sqref="B841">
    <cfRule type="cellIs" priority="2492" operator="greaterThan" aboveAverage="0" equalAverage="0" bottom="0" percent="0" rank="0" text="" dxfId="8">
      <formula>0</formula>
    </cfRule>
    <cfRule type="cellIs" priority="2493" operator="lessThan" aboveAverage="0" equalAverage="0" bottom="0" percent="0" rank="0" text="" dxfId="9">
      <formula>MaliyetEsik</formula>
    </cfRule>
  </conditionalFormatting>
  <conditionalFormatting sqref="D841">
    <cfRule type="cellIs" priority="2494" operator="lessThan" aboveAverage="0" equalAverage="0" bottom="0" percent="0" rank="0" text="" dxfId="10">
      <formula>18</formula>
    </cfRule>
  </conditionalFormatting>
  <conditionalFormatting sqref="B842">
    <cfRule type="cellIs" priority="2495" operator="greaterThan" aboveAverage="0" equalAverage="0" bottom="0" percent="0" rank="0" text="" dxfId="8">
      <formula>0</formula>
    </cfRule>
    <cfRule type="cellIs" priority="2496" operator="lessThan" aboveAverage="0" equalAverage="0" bottom="0" percent="0" rank="0" text="" dxfId="9">
      <formula>MaliyetEsik</formula>
    </cfRule>
  </conditionalFormatting>
  <conditionalFormatting sqref="D842">
    <cfRule type="cellIs" priority="2497" operator="lessThan" aboveAverage="0" equalAverage="0" bottom="0" percent="0" rank="0" text="" dxfId="10">
      <formula>18</formula>
    </cfRule>
  </conditionalFormatting>
  <conditionalFormatting sqref="B843">
    <cfRule type="cellIs" priority="2498" operator="greaterThan" aboveAverage="0" equalAverage="0" bottom="0" percent="0" rank="0" text="" dxfId="8">
      <formula>0</formula>
    </cfRule>
    <cfRule type="cellIs" priority="2499" operator="lessThan" aboveAverage="0" equalAverage="0" bottom="0" percent="0" rank="0" text="" dxfId="9">
      <formula>MaliyetEsik</formula>
    </cfRule>
  </conditionalFormatting>
  <conditionalFormatting sqref="D843">
    <cfRule type="cellIs" priority="2500" operator="lessThan" aboveAverage="0" equalAverage="0" bottom="0" percent="0" rank="0" text="" dxfId="10">
      <formula>18</formula>
    </cfRule>
  </conditionalFormatting>
  <conditionalFormatting sqref="B844">
    <cfRule type="cellIs" priority="2501" operator="greaterThan" aboveAverage="0" equalAverage="0" bottom="0" percent="0" rank="0" text="" dxfId="8">
      <formula>0</formula>
    </cfRule>
    <cfRule type="cellIs" priority="2502" operator="lessThan" aboveAverage="0" equalAverage="0" bottom="0" percent="0" rank="0" text="" dxfId="9">
      <formula>MaliyetEsik</formula>
    </cfRule>
  </conditionalFormatting>
  <conditionalFormatting sqref="D844">
    <cfRule type="cellIs" priority="2503" operator="lessThan" aboveAverage="0" equalAverage="0" bottom="0" percent="0" rank="0" text="" dxfId="10">
      <formula>18</formula>
    </cfRule>
  </conditionalFormatting>
  <conditionalFormatting sqref="B845">
    <cfRule type="cellIs" priority="2504" operator="greaterThan" aboveAverage="0" equalAverage="0" bottom="0" percent="0" rank="0" text="" dxfId="8">
      <formula>0</formula>
    </cfRule>
    <cfRule type="cellIs" priority="2505" operator="lessThan" aboveAverage="0" equalAverage="0" bottom="0" percent="0" rank="0" text="" dxfId="9">
      <formula>MaliyetEsik</formula>
    </cfRule>
  </conditionalFormatting>
  <conditionalFormatting sqref="D845">
    <cfRule type="cellIs" priority="2506" operator="lessThan" aboveAverage="0" equalAverage="0" bottom="0" percent="0" rank="0" text="" dxfId="10">
      <formula>18</formula>
    </cfRule>
  </conditionalFormatting>
  <conditionalFormatting sqref="B846">
    <cfRule type="cellIs" priority="2507" operator="greaterThan" aboveAverage="0" equalAverage="0" bottom="0" percent="0" rank="0" text="" dxfId="8">
      <formula>0</formula>
    </cfRule>
    <cfRule type="cellIs" priority="2508" operator="lessThan" aboveAverage="0" equalAverage="0" bottom="0" percent="0" rank="0" text="" dxfId="9">
      <formula>MaliyetEsik</formula>
    </cfRule>
  </conditionalFormatting>
  <conditionalFormatting sqref="D846">
    <cfRule type="cellIs" priority="2509" operator="lessThan" aboveAverage="0" equalAverage="0" bottom="0" percent="0" rank="0" text="" dxfId="10">
      <formula>18</formula>
    </cfRule>
  </conditionalFormatting>
  <conditionalFormatting sqref="B847">
    <cfRule type="cellIs" priority="2510" operator="greaterThan" aboveAverage="0" equalAverage="0" bottom="0" percent="0" rank="0" text="" dxfId="8">
      <formula>0</formula>
    </cfRule>
    <cfRule type="cellIs" priority="2511" operator="lessThan" aboveAverage="0" equalAverage="0" bottom="0" percent="0" rank="0" text="" dxfId="9">
      <formula>MaliyetEsik</formula>
    </cfRule>
  </conditionalFormatting>
  <conditionalFormatting sqref="D847">
    <cfRule type="cellIs" priority="2512" operator="lessThan" aboveAverage="0" equalAverage="0" bottom="0" percent="0" rank="0" text="" dxfId="10">
      <formula>18</formula>
    </cfRule>
  </conditionalFormatting>
  <conditionalFormatting sqref="B848">
    <cfRule type="cellIs" priority="2513" operator="greaterThan" aboveAverage="0" equalAverage="0" bottom="0" percent="0" rank="0" text="" dxfId="8">
      <formula>0</formula>
    </cfRule>
    <cfRule type="cellIs" priority="2514" operator="lessThan" aboveAverage="0" equalAverage="0" bottom="0" percent="0" rank="0" text="" dxfId="9">
      <formula>MaliyetEsik</formula>
    </cfRule>
  </conditionalFormatting>
  <conditionalFormatting sqref="D848">
    <cfRule type="cellIs" priority="2515" operator="lessThan" aboveAverage="0" equalAverage="0" bottom="0" percent="0" rank="0" text="" dxfId="10">
      <formula>18</formula>
    </cfRule>
  </conditionalFormatting>
  <conditionalFormatting sqref="B849">
    <cfRule type="cellIs" priority="2516" operator="greaterThan" aboveAverage="0" equalAverage="0" bottom="0" percent="0" rank="0" text="" dxfId="8">
      <formula>0</formula>
    </cfRule>
    <cfRule type="cellIs" priority="2517" operator="lessThan" aboveAverage="0" equalAverage="0" bottom="0" percent="0" rank="0" text="" dxfId="9">
      <formula>MaliyetEsik</formula>
    </cfRule>
  </conditionalFormatting>
  <conditionalFormatting sqref="D849">
    <cfRule type="cellIs" priority="2518" operator="lessThan" aboveAverage="0" equalAverage="0" bottom="0" percent="0" rank="0" text="" dxfId="10">
      <formula>18</formula>
    </cfRule>
  </conditionalFormatting>
  <conditionalFormatting sqref="B850">
    <cfRule type="cellIs" priority="2519" operator="greaterThan" aboveAverage="0" equalAverage="0" bottom="0" percent="0" rank="0" text="" dxfId="8">
      <formula>0</formula>
    </cfRule>
    <cfRule type="cellIs" priority="2520" operator="lessThan" aboveAverage="0" equalAverage="0" bottom="0" percent="0" rank="0" text="" dxfId="9">
      <formula>MaliyetEsik</formula>
    </cfRule>
  </conditionalFormatting>
  <conditionalFormatting sqref="D850">
    <cfRule type="cellIs" priority="2521" operator="lessThan" aboveAverage="0" equalAverage="0" bottom="0" percent="0" rank="0" text="" dxfId="10">
      <formula>18</formula>
    </cfRule>
  </conditionalFormatting>
  <conditionalFormatting sqref="B851">
    <cfRule type="cellIs" priority="2522" operator="greaterThan" aboveAverage="0" equalAverage="0" bottom="0" percent="0" rank="0" text="" dxfId="8">
      <formula>0</formula>
    </cfRule>
    <cfRule type="cellIs" priority="2523" operator="lessThan" aboveAverage="0" equalAverage="0" bottom="0" percent="0" rank="0" text="" dxfId="9">
      <formula>MaliyetEsik</formula>
    </cfRule>
  </conditionalFormatting>
  <conditionalFormatting sqref="D851">
    <cfRule type="cellIs" priority="2524" operator="lessThan" aboveAverage="0" equalAverage="0" bottom="0" percent="0" rank="0" text="" dxfId="10">
      <formula>18</formula>
    </cfRule>
  </conditionalFormatting>
  <conditionalFormatting sqref="B852">
    <cfRule type="cellIs" priority="2525" operator="greaterThan" aboveAverage="0" equalAverage="0" bottom="0" percent="0" rank="0" text="" dxfId="8">
      <formula>0</formula>
    </cfRule>
    <cfRule type="cellIs" priority="2526" operator="lessThan" aboveAverage="0" equalAverage="0" bottom="0" percent="0" rank="0" text="" dxfId="9">
      <formula>MaliyetEsik</formula>
    </cfRule>
  </conditionalFormatting>
  <conditionalFormatting sqref="D852">
    <cfRule type="cellIs" priority="2527" operator="lessThan" aboveAverage="0" equalAverage="0" bottom="0" percent="0" rank="0" text="" dxfId="10">
      <formula>18</formula>
    </cfRule>
  </conditionalFormatting>
  <conditionalFormatting sqref="B853">
    <cfRule type="cellIs" priority="2528" operator="greaterThan" aboveAverage="0" equalAverage="0" bottom="0" percent="0" rank="0" text="" dxfId="8">
      <formula>0</formula>
    </cfRule>
    <cfRule type="cellIs" priority="2529" operator="lessThan" aboveAverage="0" equalAverage="0" bottom="0" percent="0" rank="0" text="" dxfId="9">
      <formula>MaliyetEsik</formula>
    </cfRule>
  </conditionalFormatting>
  <conditionalFormatting sqref="D853">
    <cfRule type="cellIs" priority="2530" operator="lessThan" aboveAverage="0" equalAverage="0" bottom="0" percent="0" rank="0" text="" dxfId="10">
      <formula>18</formula>
    </cfRule>
  </conditionalFormatting>
  <conditionalFormatting sqref="B854">
    <cfRule type="cellIs" priority="2531" operator="greaterThan" aboveAverage="0" equalAverage="0" bottom="0" percent="0" rank="0" text="" dxfId="8">
      <formula>0</formula>
    </cfRule>
    <cfRule type="cellIs" priority="2532" operator="lessThan" aboveAverage="0" equalAverage="0" bottom="0" percent="0" rank="0" text="" dxfId="9">
      <formula>MaliyetEsik</formula>
    </cfRule>
  </conditionalFormatting>
  <conditionalFormatting sqref="D854">
    <cfRule type="cellIs" priority="2533" operator="lessThan" aboveAverage="0" equalAverage="0" bottom="0" percent="0" rank="0" text="" dxfId="10">
      <formula>18</formula>
    </cfRule>
  </conditionalFormatting>
  <conditionalFormatting sqref="B855">
    <cfRule type="cellIs" priority="2534" operator="greaterThan" aboveAverage="0" equalAverage="0" bottom="0" percent="0" rank="0" text="" dxfId="8">
      <formula>0</formula>
    </cfRule>
    <cfRule type="cellIs" priority="2535" operator="lessThan" aboveAverage="0" equalAverage="0" bottom="0" percent="0" rank="0" text="" dxfId="9">
      <formula>MaliyetEsik</formula>
    </cfRule>
  </conditionalFormatting>
  <conditionalFormatting sqref="D855">
    <cfRule type="cellIs" priority="2536" operator="lessThan" aboveAverage="0" equalAverage="0" bottom="0" percent="0" rank="0" text="" dxfId="10">
      <formula>18</formula>
    </cfRule>
  </conditionalFormatting>
  <conditionalFormatting sqref="B856">
    <cfRule type="cellIs" priority="2537" operator="greaterThan" aboveAverage="0" equalAverage="0" bottom="0" percent="0" rank="0" text="" dxfId="8">
      <formula>0</formula>
    </cfRule>
    <cfRule type="cellIs" priority="2538" operator="lessThan" aboveAverage="0" equalAverage="0" bottom="0" percent="0" rank="0" text="" dxfId="9">
      <formula>MaliyetEsik</formula>
    </cfRule>
  </conditionalFormatting>
  <conditionalFormatting sqref="D856">
    <cfRule type="cellIs" priority="2539" operator="lessThan" aboveAverage="0" equalAverage="0" bottom="0" percent="0" rank="0" text="" dxfId="10">
      <formula>18</formula>
    </cfRule>
  </conditionalFormatting>
  <conditionalFormatting sqref="B857">
    <cfRule type="cellIs" priority="2540" operator="greaterThan" aboveAverage="0" equalAverage="0" bottom="0" percent="0" rank="0" text="" dxfId="8">
      <formula>0</formula>
    </cfRule>
    <cfRule type="cellIs" priority="2541" operator="lessThan" aboveAverage="0" equalAverage="0" bottom="0" percent="0" rank="0" text="" dxfId="9">
      <formula>MaliyetEsik</formula>
    </cfRule>
  </conditionalFormatting>
  <conditionalFormatting sqref="D857">
    <cfRule type="cellIs" priority="2542" operator="lessThan" aboveAverage="0" equalAverage="0" bottom="0" percent="0" rank="0" text="" dxfId="10">
      <formula>18</formula>
    </cfRule>
  </conditionalFormatting>
  <conditionalFormatting sqref="B858">
    <cfRule type="cellIs" priority="2543" operator="greaterThan" aboveAverage="0" equalAverage="0" bottom="0" percent="0" rank="0" text="" dxfId="8">
      <formula>0</formula>
    </cfRule>
    <cfRule type="cellIs" priority="2544" operator="lessThan" aboveAverage="0" equalAverage="0" bottom="0" percent="0" rank="0" text="" dxfId="9">
      <formula>MaliyetEsik</formula>
    </cfRule>
  </conditionalFormatting>
  <conditionalFormatting sqref="D858">
    <cfRule type="cellIs" priority="2545" operator="lessThan" aboveAverage="0" equalAverage="0" bottom="0" percent="0" rank="0" text="" dxfId="10">
      <formula>18</formula>
    </cfRule>
  </conditionalFormatting>
  <conditionalFormatting sqref="B859">
    <cfRule type="cellIs" priority="2546" operator="greaterThan" aboveAverage="0" equalAverage="0" bottom="0" percent="0" rank="0" text="" dxfId="8">
      <formula>0</formula>
    </cfRule>
    <cfRule type="cellIs" priority="2547" operator="lessThan" aboveAverage="0" equalAverage="0" bottom="0" percent="0" rank="0" text="" dxfId="9">
      <formula>MaliyetEsik</formula>
    </cfRule>
  </conditionalFormatting>
  <conditionalFormatting sqref="D859">
    <cfRule type="cellIs" priority="2548" operator="lessThan" aboveAverage="0" equalAverage="0" bottom="0" percent="0" rank="0" text="" dxfId="10">
      <formula>18</formula>
    </cfRule>
  </conditionalFormatting>
  <conditionalFormatting sqref="B860">
    <cfRule type="cellIs" priority="2549" operator="greaterThan" aboveAverage="0" equalAverage="0" bottom="0" percent="0" rank="0" text="" dxfId="8">
      <formula>0</formula>
    </cfRule>
    <cfRule type="cellIs" priority="2550" operator="lessThan" aboveAverage="0" equalAverage="0" bottom="0" percent="0" rank="0" text="" dxfId="9">
      <formula>MaliyetEsik</formula>
    </cfRule>
  </conditionalFormatting>
  <conditionalFormatting sqref="D860">
    <cfRule type="cellIs" priority="2551" operator="lessThan" aboveAverage="0" equalAverage="0" bottom="0" percent="0" rank="0" text="" dxfId="10">
      <formula>18</formula>
    </cfRule>
  </conditionalFormatting>
  <conditionalFormatting sqref="B861">
    <cfRule type="cellIs" priority="2552" operator="greaterThan" aboveAverage="0" equalAverage="0" bottom="0" percent="0" rank="0" text="" dxfId="8">
      <formula>0</formula>
    </cfRule>
    <cfRule type="cellIs" priority="2553" operator="lessThan" aboveAverage="0" equalAverage="0" bottom="0" percent="0" rank="0" text="" dxfId="9">
      <formula>MaliyetEsik</formula>
    </cfRule>
  </conditionalFormatting>
  <conditionalFormatting sqref="D861">
    <cfRule type="cellIs" priority="2554" operator="lessThan" aboveAverage="0" equalAverage="0" bottom="0" percent="0" rank="0" text="" dxfId="10">
      <formula>18</formula>
    </cfRule>
  </conditionalFormatting>
  <conditionalFormatting sqref="B862">
    <cfRule type="cellIs" priority="2555" operator="greaterThan" aboveAverage="0" equalAverage="0" bottom="0" percent="0" rank="0" text="" dxfId="8">
      <formula>0</formula>
    </cfRule>
    <cfRule type="cellIs" priority="2556" operator="lessThan" aboveAverage="0" equalAverage="0" bottom="0" percent="0" rank="0" text="" dxfId="9">
      <formula>MaliyetEsik</formula>
    </cfRule>
  </conditionalFormatting>
  <conditionalFormatting sqref="D862">
    <cfRule type="cellIs" priority="2557" operator="lessThan" aboveAverage="0" equalAverage="0" bottom="0" percent="0" rank="0" text="" dxfId="10">
      <formula>18</formula>
    </cfRule>
  </conditionalFormatting>
  <conditionalFormatting sqref="B863">
    <cfRule type="cellIs" priority="2558" operator="greaterThan" aboveAverage="0" equalAverage="0" bottom="0" percent="0" rank="0" text="" dxfId="8">
      <formula>0</formula>
    </cfRule>
    <cfRule type="cellIs" priority="2559" operator="lessThan" aboveAverage="0" equalAverage="0" bottom="0" percent="0" rank="0" text="" dxfId="9">
      <formula>MaliyetEsik</formula>
    </cfRule>
  </conditionalFormatting>
  <conditionalFormatting sqref="D863">
    <cfRule type="cellIs" priority="2560" operator="lessThan" aboveAverage="0" equalAverage="0" bottom="0" percent="0" rank="0" text="" dxfId="10">
      <formula>18</formula>
    </cfRule>
  </conditionalFormatting>
  <conditionalFormatting sqref="B864">
    <cfRule type="cellIs" priority="2561" operator="greaterThan" aboveAverage="0" equalAverage="0" bottom="0" percent="0" rank="0" text="" dxfId="8">
      <formula>0</formula>
    </cfRule>
    <cfRule type="cellIs" priority="2562" operator="lessThan" aboveAverage="0" equalAverage="0" bottom="0" percent="0" rank="0" text="" dxfId="9">
      <formula>MaliyetEsik</formula>
    </cfRule>
  </conditionalFormatting>
  <conditionalFormatting sqref="D864">
    <cfRule type="cellIs" priority="2563" operator="lessThan" aboveAverage="0" equalAverage="0" bottom="0" percent="0" rank="0" text="" dxfId="10">
      <formula>18</formula>
    </cfRule>
  </conditionalFormatting>
  <conditionalFormatting sqref="B865">
    <cfRule type="cellIs" priority="2564" operator="greaterThan" aboveAverage="0" equalAverage="0" bottom="0" percent="0" rank="0" text="" dxfId="8">
      <formula>0</formula>
    </cfRule>
    <cfRule type="cellIs" priority="2565" operator="lessThan" aboveAverage="0" equalAverage="0" bottom="0" percent="0" rank="0" text="" dxfId="9">
      <formula>MaliyetEsik</formula>
    </cfRule>
  </conditionalFormatting>
  <conditionalFormatting sqref="D865">
    <cfRule type="cellIs" priority="2566" operator="lessThan" aboveAverage="0" equalAverage="0" bottom="0" percent="0" rank="0" text="" dxfId="10">
      <formula>18</formula>
    </cfRule>
  </conditionalFormatting>
  <conditionalFormatting sqref="B866">
    <cfRule type="cellIs" priority="2567" operator="greaterThan" aboveAverage="0" equalAverage="0" bottom="0" percent="0" rank="0" text="" dxfId="8">
      <formula>0</formula>
    </cfRule>
    <cfRule type="cellIs" priority="2568" operator="lessThan" aboveAverage="0" equalAverage="0" bottom="0" percent="0" rank="0" text="" dxfId="9">
      <formula>MaliyetEsik</formula>
    </cfRule>
  </conditionalFormatting>
  <conditionalFormatting sqref="D866">
    <cfRule type="cellIs" priority="2569" operator="lessThan" aboveAverage="0" equalAverage="0" bottom="0" percent="0" rank="0" text="" dxfId="10">
      <formula>18</formula>
    </cfRule>
  </conditionalFormatting>
  <conditionalFormatting sqref="B867">
    <cfRule type="cellIs" priority="2570" operator="greaterThan" aboveAverage="0" equalAverage="0" bottom="0" percent="0" rank="0" text="" dxfId="8">
      <formula>0</formula>
    </cfRule>
    <cfRule type="cellIs" priority="2571" operator="lessThan" aboveAverage="0" equalAverage="0" bottom="0" percent="0" rank="0" text="" dxfId="9">
      <formula>MaliyetEsik</formula>
    </cfRule>
  </conditionalFormatting>
  <conditionalFormatting sqref="D867">
    <cfRule type="cellIs" priority="2572" operator="lessThan" aboveAverage="0" equalAverage="0" bottom="0" percent="0" rank="0" text="" dxfId="10">
      <formula>18</formula>
    </cfRule>
  </conditionalFormatting>
  <conditionalFormatting sqref="B868">
    <cfRule type="cellIs" priority="2573" operator="greaterThan" aboveAverage="0" equalAverage="0" bottom="0" percent="0" rank="0" text="" dxfId="8">
      <formula>0</formula>
    </cfRule>
    <cfRule type="cellIs" priority="2574" operator="lessThan" aboveAverage="0" equalAverage="0" bottom="0" percent="0" rank="0" text="" dxfId="9">
      <formula>MaliyetEsik</formula>
    </cfRule>
  </conditionalFormatting>
  <conditionalFormatting sqref="D868">
    <cfRule type="cellIs" priority="2575" operator="lessThan" aboveAverage="0" equalAverage="0" bottom="0" percent="0" rank="0" text="" dxfId="10">
      <formula>18</formula>
    </cfRule>
  </conditionalFormatting>
  <conditionalFormatting sqref="B869">
    <cfRule type="cellIs" priority="2576" operator="greaterThan" aboveAverage="0" equalAverage="0" bottom="0" percent="0" rank="0" text="" dxfId="8">
      <formula>0</formula>
    </cfRule>
    <cfRule type="cellIs" priority="2577" operator="lessThan" aboveAverage="0" equalAverage="0" bottom="0" percent="0" rank="0" text="" dxfId="9">
      <formula>MaliyetEsik</formula>
    </cfRule>
  </conditionalFormatting>
  <conditionalFormatting sqref="D869">
    <cfRule type="cellIs" priority="2578" operator="lessThan" aboveAverage="0" equalAverage="0" bottom="0" percent="0" rank="0" text="" dxfId="10">
      <formula>18</formula>
    </cfRule>
  </conditionalFormatting>
  <conditionalFormatting sqref="B870">
    <cfRule type="cellIs" priority="2579" operator="greaterThan" aboveAverage="0" equalAverage="0" bottom="0" percent="0" rank="0" text="" dxfId="8">
      <formula>0</formula>
    </cfRule>
    <cfRule type="cellIs" priority="2580" operator="lessThan" aboveAverage="0" equalAverage="0" bottom="0" percent="0" rank="0" text="" dxfId="9">
      <formula>MaliyetEsik</formula>
    </cfRule>
  </conditionalFormatting>
  <conditionalFormatting sqref="D870">
    <cfRule type="cellIs" priority="2581" operator="lessThan" aboveAverage="0" equalAverage="0" bottom="0" percent="0" rank="0" text="" dxfId="10">
      <formula>18</formula>
    </cfRule>
  </conditionalFormatting>
  <conditionalFormatting sqref="B871">
    <cfRule type="cellIs" priority="2582" operator="greaterThan" aboveAverage="0" equalAverage="0" bottom="0" percent="0" rank="0" text="" dxfId="8">
      <formula>0</formula>
    </cfRule>
    <cfRule type="cellIs" priority="2583" operator="lessThan" aboveAverage="0" equalAverage="0" bottom="0" percent="0" rank="0" text="" dxfId="9">
      <formula>MaliyetEsik</formula>
    </cfRule>
  </conditionalFormatting>
  <conditionalFormatting sqref="D871">
    <cfRule type="cellIs" priority="2584" operator="lessThan" aboveAverage="0" equalAverage="0" bottom="0" percent="0" rank="0" text="" dxfId="10">
      <formula>18</formula>
    </cfRule>
  </conditionalFormatting>
  <conditionalFormatting sqref="B872">
    <cfRule type="cellIs" priority="2585" operator="greaterThan" aboveAverage="0" equalAverage="0" bottom="0" percent="0" rank="0" text="" dxfId="8">
      <formula>0</formula>
    </cfRule>
    <cfRule type="cellIs" priority="2586" operator="lessThan" aboveAverage="0" equalAverage="0" bottom="0" percent="0" rank="0" text="" dxfId="9">
      <formula>MaliyetEsik</formula>
    </cfRule>
  </conditionalFormatting>
  <conditionalFormatting sqref="D872">
    <cfRule type="cellIs" priority="2587" operator="lessThan" aboveAverage="0" equalAverage="0" bottom="0" percent="0" rank="0" text="" dxfId="10">
      <formula>18</formula>
    </cfRule>
  </conditionalFormatting>
  <conditionalFormatting sqref="B873">
    <cfRule type="cellIs" priority="2588" operator="greaterThan" aboveAverage="0" equalAverage="0" bottom="0" percent="0" rank="0" text="" dxfId="8">
      <formula>0</formula>
    </cfRule>
    <cfRule type="cellIs" priority="2589" operator="lessThan" aboveAverage="0" equalAverage="0" bottom="0" percent="0" rank="0" text="" dxfId="9">
      <formula>MaliyetEsik</formula>
    </cfRule>
  </conditionalFormatting>
  <conditionalFormatting sqref="D873">
    <cfRule type="cellIs" priority="2590" operator="lessThan" aboveAverage="0" equalAverage="0" bottom="0" percent="0" rank="0" text="" dxfId="10">
      <formula>18</formula>
    </cfRule>
  </conditionalFormatting>
  <conditionalFormatting sqref="B874">
    <cfRule type="cellIs" priority="2591" operator="greaterThan" aboveAverage="0" equalAverage="0" bottom="0" percent="0" rank="0" text="" dxfId="8">
      <formula>0</formula>
    </cfRule>
    <cfRule type="cellIs" priority="2592" operator="lessThan" aboveAverage="0" equalAverage="0" bottom="0" percent="0" rank="0" text="" dxfId="9">
      <formula>MaliyetEsik</formula>
    </cfRule>
  </conditionalFormatting>
  <conditionalFormatting sqref="D874">
    <cfRule type="cellIs" priority="2593" operator="lessThan" aboveAverage="0" equalAverage="0" bottom="0" percent="0" rank="0" text="" dxfId="10">
      <formula>18</formula>
    </cfRule>
  </conditionalFormatting>
  <conditionalFormatting sqref="B875">
    <cfRule type="cellIs" priority="2594" operator="greaterThan" aboveAverage="0" equalAverage="0" bottom="0" percent="0" rank="0" text="" dxfId="8">
      <formula>0</formula>
    </cfRule>
    <cfRule type="cellIs" priority="2595" operator="lessThan" aboveAverage="0" equalAverage="0" bottom="0" percent="0" rank="0" text="" dxfId="9">
      <formula>MaliyetEsik</formula>
    </cfRule>
  </conditionalFormatting>
  <conditionalFormatting sqref="D875">
    <cfRule type="cellIs" priority="2596" operator="lessThan" aboveAverage="0" equalAverage="0" bottom="0" percent="0" rank="0" text="" dxfId="10">
      <formula>18</formula>
    </cfRule>
  </conditionalFormatting>
  <conditionalFormatting sqref="B876">
    <cfRule type="cellIs" priority="2597" operator="greaterThan" aboveAverage="0" equalAverage="0" bottom="0" percent="0" rank="0" text="" dxfId="8">
      <formula>0</formula>
    </cfRule>
    <cfRule type="cellIs" priority="2598" operator="lessThan" aboveAverage="0" equalAverage="0" bottom="0" percent="0" rank="0" text="" dxfId="9">
      <formula>MaliyetEsik</formula>
    </cfRule>
  </conditionalFormatting>
  <conditionalFormatting sqref="D876">
    <cfRule type="cellIs" priority="2599" operator="lessThan" aboveAverage="0" equalAverage="0" bottom="0" percent="0" rank="0" text="" dxfId="10">
      <formula>18</formula>
    </cfRule>
  </conditionalFormatting>
  <conditionalFormatting sqref="B877">
    <cfRule type="cellIs" priority="2600" operator="greaterThan" aboveAverage="0" equalAverage="0" bottom="0" percent="0" rank="0" text="" dxfId="8">
      <formula>0</formula>
    </cfRule>
    <cfRule type="cellIs" priority="2601" operator="lessThan" aboveAverage="0" equalAverage="0" bottom="0" percent="0" rank="0" text="" dxfId="9">
      <formula>MaliyetEsik</formula>
    </cfRule>
  </conditionalFormatting>
  <conditionalFormatting sqref="D877">
    <cfRule type="cellIs" priority="2602" operator="lessThan" aboveAverage="0" equalAverage="0" bottom="0" percent="0" rank="0" text="" dxfId="10">
      <formula>18</formula>
    </cfRule>
  </conditionalFormatting>
  <conditionalFormatting sqref="B878">
    <cfRule type="cellIs" priority="2603" operator="greaterThan" aboveAverage="0" equalAverage="0" bottom="0" percent="0" rank="0" text="" dxfId="8">
      <formula>0</formula>
    </cfRule>
    <cfRule type="cellIs" priority="2604" operator="lessThan" aboveAverage="0" equalAverage="0" bottom="0" percent="0" rank="0" text="" dxfId="9">
      <formula>MaliyetEsik</formula>
    </cfRule>
  </conditionalFormatting>
  <conditionalFormatting sqref="D878">
    <cfRule type="cellIs" priority="2605" operator="lessThan" aboveAverage="0" equalAverage="0" bottom="0" percent="0" rank="0" text="" dxfId="10">
      <formula>18</formula>
    </cfRule>
  </conditionalFormatting>
  <conditionalFormatting sqref="B879">
    <cfRule type="cellIs" priority="2606" operator="greaterThan" aboveAverage="0" equalAverage="0" bottom="0" percent="0" rank="0" text="" dxfId="8">
      <formula>0</formula>
    </cfRule>
    <cfRule type="cellIs" priority="2607" operator="lessThan" aboveAverage="0" equalAverage="0" bottom="0" percent="0" rank="0" text="" dxfId="9">
      <formula>MaliyetEsik</formula>
    </cfRule>
  </conditionalFormatting>
  <conditionalFormatting sqref="D879">
    <cfRule type="cellIs" priority="2608" operator="lessThan" aboveAverage="0" equalAverage="0" bottom="0" percent="0" rank="0" text="" dxfId="10">
      <formula>18</formula>
    </cfRule>
  </conditionalFormatting>
  <conditionalFormatting sqref="B880">
    <cfRule type="cellIs" priority="2609" operator="greaterThan" aboveAverage="0" equalAverage="0" bottom="0" percent="0" rank="0" text="" dxfId="8">
      <formula>0</formula>
    </cfRule>
    <cfRule type="cellIs" priority="2610" operator="lessThan" aboveAverage="0" equalAverage="0" bottom="0" percent="0" rank="0" text="" dxfId="9">
      <formula>MaliyetEsik</formula>
    </cfRule>
  </conditionalFormatting>
  <conditionalFormatting sqref="D880">
    <cfRule type="cellIs" priority="2611" operator="lessThan" aboveAverage="0" equalAverage="0" bottom="0" percent="0" rank="0" text="" dxfId="10">
      <formula>18</formula>
    </cfRule>
  </conditionalFormatting>
  <conditionalFormatting sqref="B881">
    <cfRule type="cellIs" priority="2612" operator="greaterThan" aboveAverage="0" equalAverage="0" bottom="0" percent="0" rank="0" text="" dxfId="8">
      <formula>0</formula>
    </cfRule>
    <cfRule type="cellIs" priority="2613" operator="lessThan" aboveAverage="0" equalAverage="0" bottom="0" percent="0" rank="0" text="" dxfId="9">
      <formula>MaliyetEsik</formula>
    </cfRule>
  </conditionalFormatting>
  <conditionalFormatting sqref="D881">
    <cfRule type="cellIs" priority="2614" operator="lessThan" aboveAverage="0" equalAverage="0" bottom="0" percent="0" rank="0" text="" dxfId="10">
      <formula>18</formula>
    </cfRule>
  </conditionalFormatting>
  <conditionalFormatting sqref="B882">
    <cfRule type="cellIs" priority="2615" operator="greaterThan" aboveAverage="0" equalAverage="0" bottom="0" percent="0" rank="0" text="" dxfId="8">
      <formula>0</formula>
    </cfRule>
    <cfRule type="cellIs" priority="2616" operator="lessThan" aboveAverage="0" equalAverage="0" bottom="0" percent="0" rank="0" text="" dxfId="9">
      <formula>MaliyetEsik</formula>
    </cfRule>
  </conditionalFormatting>
  <conditionalFormatting sqref="D882">
    <cfRule type="cellIs" priority="2617" operator="lessThan" aboveAverage="0" equalAverage="0" bottom="0" percent="0" rank="0" text="" dxfId="10">
      <formula>18</formula>
    </cfRule>
  </conditionalFormatting>
  <conditionalFormatting sqref="B883">
    <cfRule type="cellIs" priority="2618" operator="greaterThan" aboveAverage="0" equalAverage="0" bottom="0" percent="0" rank="0" text="" dxfId="8">
      <formula>0</formula>
    </cfRule>
    <cfRule type="cellIs" priority="2619" operator="lessThan" aboveAverage="0" equalAverage="0" bottom="0" percent="0" rank="0" text="" dxfId="9">
      <formula>MaliyetEsik</formula>
    </cfRule>
  </conditionalFormatting>
  <conditionalFormatting sqref="D883">
    <cfRule type="cellIs" priority="2620" operator="lessThan" aboveAverage="0" equalAverage="0" bottom="0" percent="0" rank="0" text="" dxfId="10">
      <formula>18</formula>
    </cfRule>
  </conditionalFormatting>
  <conditionalFormatting sqref="B884">
    <cfRule type="cellIs" priority="2621" operator="greaterThan" aboveAverage="0" equalAverage="0" bottom="0" percent="0" rank="0" text="" dxfId="8">
      <formula>0</formula>
    </cfRule>
    <cfRule type="cellIs" priority="2622" operator="lessThan" aboveAverage="0" equalAverage="0" bottom="0" percent="0" rank="0" text="" dxfId="9">
      <formula>MaliyetEsik</formula>
    </cfRule>
  </conditionalFormatting>
  <conditionalFormatting sqref="D884">
    <cfRule type="cellIs" priority="2623" operator="lessThan" aboveAverage="0" equalAverage="0" bottom="0" percent="0" rank="0" text="" dxfId="10">
      <formula>18</formula>
    </cfRule>
  </conditionalFormatting>
  <conditionalFormatting sqref="B885">
    <cfRule type="cellIs" priority="2624" operator="greaterThan" aboveAverage="0" equalAverage="0" bottom="0" percent="0" rank="0" text="" dxfId="8">
      <formula>0</formula>
    </cfRule>
    <cfRule type="cellIs" priority="2625" operator="lessThan" aboveAverage="0" equalAverage="0" bottom="0" percent="0" rank="0" text="" dxfId="9">
      <formula>MaliyetEsik</formula>
    </cfRule>
  </conditionalFormatting>
  <conditionalFormatting sqref="D885">
    <cfRule type="cellIs" priority="2626" operator="lessThan" aboveAverage="0" equalAverage="0" bottom="0" percent="0" rank="0" text="" dxfId="10">
      <formula>18</formula>
    </cfRule>
  </conditionalFormatting>
  <conditionalFormatting sqref="B886">
    <cfRule type="cellIs" priority="2627" operator="greaterThan" aboveAverage="0" equalAverage="0" bottom="0" percent="0" rank="0" text="" dxfId="8">
      <formula>0</formula>
    </cfRule>
    <cfRule type="cellIs" priority="2628" operator="lessThan" aboveAverage="0" equalAverage="0" bottom="0" percent="0" rank="0" text="" dxfId="9">
      <formula>MaliyetEsik</formula>
    </cfRule>
  </conditionalFormatting>
  <conditionalFormatting sqref="D886">
    <cfRule type="cellIs" priority="2629" operator="lessThan" aboveAverage="0" equalAverage="0" bottom="0" percent="0" rank="0" text="" dxfId="10">
      <formula>18</formula>
    </cfRule>
  </conditionalFormatting>
  <conditionalFormatting sqref="B887">
    <cfRule type="cellIs" priority="2630" operator="greaterThan" aboveAverage="0" equalAverage="0" bottom="0" percent="0" rank="0" text="" dxfId="8">
      <formula>0</formula>
    </cfRule>
    <cfRule type="cellIs" priority="2631" operator="lessThan" aboveAverage="0" equalAverage="0" bottom="0" percent="0" rank="0" text="" dxfId="9">
      <formula>MaliyetEsik</formula>
    </cfRule>
  </conditionalFormatting>
  <conditionalFormatting sqref="D887">
    <cfRule type="cellIs" priority="2632" operator="lessThan" aboveAverage="0" equalAverage="0" bottom="0" percent="0" rank="0" text="" dxfId="10">
      <formula>18</formula>
    </cfRule>
  </conditionalFormatting>
  <conditionalFormatting sqref="B888">
    <cfRule type="cellIs" priority="2633" operator="greaterThan" aboveAverage="0" equalAverage="0" bottom="0" percent="0" rank="0" text="" dxfId="8">
      <formula>0</formula>
    </cfRule>
    <cfRule type="cellIs" priority="2634" operator="lessThan" aboveAverage="0" equalAverage="0" bottom="0" percent="0" rank="0" text="" dxfId="9">
      <formula>MaliyetEsik</formula>
    </cfRule>
  </conditionalFormatting>
  <conditionalFormatting sqref="D888">
    <cfRule type="cellIs" priority="2635" operator="lessThan" aboveAverage="0" equalAverage="0" bottom="0" percent="0" rank="0" text="" dxfId="10">
      <formula>18</formula>
    </cfRule>
  </conditionalFormatting>
  <conditionalFormatting sqref="B889">
    <cfRule type="cellIs" priority="2636" operator="greaterThan" aboveAverage="0" equalAverage="0" bottom="0" percent="0" rank="0" text="" dxfId="8">
      <formula>0</formula>
    </cfRule>
    <cfRule type="cellIs" priority="2637" operator="lessThan" aboveAverage="0" equalAverage="0" bottom="0" percent="0" rank="0" text="" dxfId="9">
      <formula>MaliyetEsik</formula>
    </cfRule>
  </conditionalFormatting>
  <conditionalFormatting sqref="D889">
    <cfRule type="cellIs" priority="2638" operator="lessThan" aboveAverage="0" equalAverage="0" bottom="0" percent="0" rank="0" text="" dxfId="10">
      <formula>18</formula>
    </cfRule>
  </conditionalFormatting>
  <conditionalFormatting sqref="B890">
    <cfRule type="cellIs" priority="2639" operator="greaterThan" aboveAverage="0" equalAverage="0" bottom="0" percent="0" rank="0" text="" dxfId="8">
      <formula>0</formula>
    </cfRule>
    <cfRule type="cellIs" priority="2640" operator="lessThan" aboveAverage="0" equalAverage="0" bottom="0" percent="0" rank="0" text="" dxfId="9">
      <formula>MaliyetEsik</formula>
    </cfRule>
  </conditionalFormatting>
  <conditionalFormatting sqref="D890">
    <cfRule type="cellIs" priority="2641" operator="lessThan" aboveAverage="0" equalAverage="0" bottom="0" percent="0" rank="0" text="" dxfId="10">
      <formula>18</formula>
    </cfRule>
  </conditionalFormatting>
  <conditionalFormatting sqref="B891">
    <cfRule type="cellIs" priority="2642" operator="greaterThan" aboveAverage="0" equalAverage="0" bottom="0" percent="0" rank="0" text="" dxfId="8">
      <formula>0</formula>
    </cfRule>
    <cfRule type="cellIs" priority="2643" operator="lessThan" aboveAverage="0" equalAverage="0" bottom="0" percent="0" rank="0" text="" dxfId="9">
      <formula>MaliyetEsik</formula>
    </cfRule>
  </conditionalFormatting>
  <conditionalFormatting sqref="D891">
    <cfRule type="cellIs" priority="2644" operator="lessThan" aboveAverage="0" equalAverage="0" bottom="0" percent="0" rank="0" text="" dxfId="10">
      <formula>18</formula>
    </cfRule>
  </conditionalFormatting>
  <conditionalFormatting sqref="B892">
    <cfRule type="cellIs" priority="2645" operator="greaterThan" aboveAverage="0" equalAverage="0" bottom="0" percent="0" rank="0" text="" dxfId="8">
      <formula>0</formula>
    </cfRule>
    <cfRule type="cellIs" priority="2646" operator="lessThan" aboveAverage="0" equalAverage="0" bottom="0" percent="0" rank="0" text="" dxfId="9">
      <formula>MaliyetEsik</formula>
    </cfRule>
  </conditionalFormatting>
  <conditionalFormatting sqref="D892">
    <cfRule type="cellIs" priority="2647" operator="lessThan" aboveAverage="0" equalAverage="0" bottom="0" percent="0" rank="0" text="" dxfId="10">
      <formula>18</formula>
    </cfRule>
  </conditionalFormatting>
  <conditionalFormatting sqref="B893">
    <cfRule type="cellIs" priority="2648" operator="greaterThan" aboveAverage="0" equalAverage="0" bottom="0" percent="0" rank="0" text="" dxfId="8">
      <formula>0</formula>
    </cfRule>
    <cfRule type="cellIs" priority="2649" operator="lessThan" aboveAverage="0" equalAverage="0" bottom="0" percent="0" rank="0" text="" dxfId="9">
      <formula>MaliyetEsik</formula>
    </cfRule>
  </conditionalFormatting>
  <conditionalFormatting sqref="D893">
    <cfRule type="cellIs" priority="2650" operator="lessThan" aboveAverage="0" equalAverage="0" bottom="0" percent="0" rank="0" text="" dxfId="10">
      <formula>18</formula>
    </cfRule>
  </conditionalFormatting>
  <conditionalFormatting sqref="B894">
    <cfRule type="cellIs" priority="2651" operator="greaterThan" aboveAverage="0" equalAverage="0" bottom="0" percent="0" rank="0" text="" dxfId="8">
      <formula>0</formula>
    </cfRule>
    <cfRule type="cellIs" priority="2652" operator="lessThan" aboveAverage="0" equalAverage="0" bottom="0" percent="0" rank="0" text="" dxfId="9">
      <formula>MaliyetEsik</formula>
    </cfRule>
  </conditionalFormatting>
  <conditionalFormatting sqref="D894">
    <cfRule type="cellIs" priority="2653" operator="lessThan" aboveAverage="0" equalAverage="0" bottom="0" percent="0" rank="0" text="" dxfId="10">
      <formula>18</formula>
    </cfRule>
  </conditionalFormatting>
  <conditionalFormatting sqref="B895">
    <cfRule type="cellIs" priority="2654" operator="greaterThan" aboveAverage="0" equalAverage="0" bottom="0" percent="0" rank="0" text="" dxfId="8">
      <formula>0</formula>
    </cfRule>
    <cfRule type="cellIs" priority="2655" operator="lessThan" aboveAverage="0" equalAverage="0" bottom="0" percent="0" rank="0" text="" dxfId="9">
      <formula>MaliyetEsik</formula>
    </cfRule>
  </conditionalFormatting>
  <conditionalFormatting sqref="D895">
    <cfRule type="cellIs" priority="2656" operator="lessThan" aboveAverage="0" equalAverage="0" bottom="0" percent="0" rank="0" text="" dxfId="10">
      <formula>18</formula>
    </cfRule>
  </conditionalFormatting>
  <conditionalFormatting sqref="B896">
    <cfRule type="cellIs" priority="2657" operator="greaterThan" aboveAverage="0" equalAverage="0" bottom="0" percent="0" rank="0" text="" dxfId="8">
      <formula>0</formula>
    </cfRule>
    <cfRule type="cellIs" priority="2658" operator="lessThan" aboveAverage="0" equalAverage="0" bottom="0" percent="0" rank="0" text="" dxfId="9">
      <formula>MaliyetEsik</formula>
    </cfRule>
  </conditionalFormatting>
  <conditionalFormatting sqref="D896">
    <cfRule type="cellIs" priority="2659" operator="lessThan" aboveAverage="0" equalAverage="0" bottom="0" percent="0" rank="0" text="" dxfId="10">
      <formula>18</formula>
    </cfRule>
  </conditionalFormatting>
  <conditionalFormatting sqref="B897">
    <cfRule type="cellIs" priority="2660" operator="greaterThan" aboveAverage="0" equalAverage="0" bottom="0" percent="0" rank="0" text="" dxfId="8">
      <formula>0</formula>
    </cfRule>
    <cfRule type="cellIs" priority="2661" operator="lessThan" aboveAverage="0" equalAverage="0" bottom="0" percent="0" rank="0" text="" dxfId="9">
      <formula>MaliyetEsik</formula>
    </cfRule>
  </conditionalFormatting>
  <conditionalFormatting sqref="D897">
    <cfRule type="cellIs" priority="2662" operator="lessThan" aboveAverage="0" equalAverage="0" bottom="0" percent="0" rank="0" text="" dxfId="10">
      <formula>18</formula>
    </cfRule>
  </conditionalFormatting>
  <conditionalFormatting sqref="B898">
    <cfRule type="cellIs" priority="2663" operator="greaterThan" aboveAverage="0" equalAverage="0" bottom="0" percent="0" rank="0" text="" dxfId="8">
      <formula>0</formula>
    </cfRule>
    <cfRule type="cellIs" priority="2664" operator="lessThan" aboveAverage="0" equalAverage="0" bottom="0" percent="0" rank="0" text="" dxfId="9">
      <formula>MaliyetEsik</formula>
    </cfRule>
  </conditionalFormatting>
  <conditionalFormatting sqref="D898">
    <cfRule type="cellIs" priority="2665" operator="lessThan" aboveAverage="0" equalAverage="0" bottom="0" percent="0" rank="0" text="" dxfId="10">
      <formula>18</formula>
    </cfRule>
  </conditionalFormatting>
  <conditionalFormatting sqref="B899">
    <cfRule type="cellIs" priority="2666" operator="greaterThan" aboveAverage="0" equalAverage="0" bottom="0" percent="0" rank="0" text="" dxfId="8">
      <formula>0</formula>
    </cfRule>
    <cfRule type="cellIs" priority="2667" operator="lessThan" aboveAverage="0" equalAverage="0" bottom="0" percent="0" rank="0" text="" dxfId="9">
      <formula>MaliyetEsik</formula>
    </cfRule>
  </conditionalFormatting>
  <conditionalFormatting sqref="D899">
    <cfRule type="cellIs" priority="2668" operator="lessThan" aboveAverage="0" equalAverage="0" bottom="0" percent="0" rank="0" text="" dxfId="10">
      <formula>18</formula>
    </cfRule>
  </conditionalFormatting>
  <conditionalFormatting sqref="B900">
    <cfRule type="cellIs" priority="2669" operator="greaterThan" aboveAverage="0" equalAverage="0" bottom="0" percent="0" rank="0" text="" dxfId="8">
      <formula>0</formula>
    </cfRule>
    <cfRule type="cellIs" priority="2670" operator="lessThan" aboveAverage="0" equalAverage="0" bottom="0" percent="0" rank="0" text="" dxfId="9">
      <formula>MaliyetEsik</formula>
    </cfRule>
  </conditionalFormatting>
  <conditionalFormatting sqref="D900">
    <cfRule type="cellIs" priority="2671" operator="lessThan" aboveAverage="0" equalAverage="0" bottom="0" percent="0" rank="0" text="" dxfId="10">
      <formula>18</formula>
    </cfRule>
  </conditionalFormatting>
  <conditionalFormatting sqref="B901">
    <cfRule type="cellIs" priority="2672" operator="greaterThan" aboveAverage="0" equalAverage="0" bottom="0" percent="0" rank="0" text="" dxfId="8">
      <formula>0</formula>
    </cfRule>
    <cfRule type="cellIs" priority="2673" operator="lessThan" aboveAverage="0" equalAverage="0" bottom="0" percent="0" rank="0" text="" dxfId="9">
      <formula>MaliyetEsik</formula>
    </cfRule>
  </conditionalFormatting>
  <conditionalFormatting sqref="D901">
    <cfRule type="cellIs" priority="2674" operator="lessThan" aboveAverage="0" equalAverage="0" bottom="0" percent="0" rank="0" text="" dxfId="10">
      <formula>18</formula>
    </cfRule>
  </conditionalFormatting>
  <conditionalFormatting sqref="B902">
    <cfRule type="cellIs" priority="2675" operator="greaterThan" aboveAverage="0" equalAverage="0" bottom="0" percent="0" rank="0" text="" dxfId="8">
      <formula>0</formula>
    </cfRule>
    <cfRule type="cellIs" priority="2676" operator="lessThan" aboveAverage="0" equalAverage="0" bottom="0" percent="0" rank="0" text="" dxfId="9">
      <formula>MaliyetEsik</formula>
    </cfRule>
  </conditionalFormatting>
  <conditionalFormatting sqref="D902">
    <cfRule type="cellIs" priority="2677" operator="lessThan" aboveAverage="0" equalAverage="0" bottom="0" percent="0" rank="0" text="" dxfId="10">
      <formula>18</formula>
    </cfRule>
  </conditionalFormatting>
  <conditionalFormatting sqref="B903">
    <cfRule type="cellIs" priority="2678" operator="greaterThan" aboveAverage="0" equalAverage="0" bottom="0" percent="0" rank="0" text="" dxfId="8">
      <formula>0</formula>
    </cfRule>
    <cfRule type="cellIs" priority="2679" operator="lessThan" aboveAverage="0" equalAverage="0" bottom="0" percent="0" rank="0" text="" dxfId="9">
      <formula>MaliyetEsik</formula>
    </cfRule>
  </conditionalFormatting>
  <conditionalFormatting sqref="D903">
    <cfRule type="cellIs" priority="2680" operator="lessThan" aboveAverage="0" equalAverage="0" bottom="0" percent="0" rank="0" text="" dxfId="10">
      <formula>18</formula>
    </cfRule>
  </conditionalFormatting>
  <conditionalFormatting sqref="B904">
    <cfRule type="cellIs" priority="2681" operator="greaterThan" aboveAverage="0" equalAverage="0" bottom="0" percent="0" rank="0" text="" dxfId="8">
      <formula>0</formula>
    </cfRule>
    <cfRule type="cellIs" priority="2682" operator="lessThan" aboveAverage="0" equalAverage="0" bottom="0" percent="0" rank="0" text="" dxfId="9">
      <formula>MaliyetEsik</formula>
    </cfRule>
  </conditionalFormatting>
  <conditionalFormatting sqref="D904">
    <cfRule type="cellIs" priority="2683" operator="lessThan" aboveAverage="0" equalAverage="0" bottom="0" percent="0" rank="0" text="" dxfId="10">
      <formula>18</formula>
    </cfRule>
  </conditionalFormatting>
  <conditionalFormatting sqref="B905">
    <cfRule type="cellIs" priority="2684" operator="greaterThan" aboveAverage="0" equalAverage="0" bottom="0" percent="0" rank="0" text="" dxfId="8">
      <formula>0</formula>
    </cfRule>
    <cfRule type="cellIs" priority="2685" operator="lessThan" aboveAverage="0" equalAverage="0" bottom="0" percent="0" rank="0" text="" dxfId="9">
      <formula>MaliyetEsik</formula>
    </cfRule>
  </conditionalFormatting>
  <conditionalFormatting sqref="D905">
    <cfRule type="cellIs" priority="2686" operator="lessThan" aboveAverage="0" equalAverage="0" bottom="0" percent="0" rank="0" text="" dxfId="10">
      <formula>18</formula>
    </cfRule>
  </conditionalFormatting>
  <conditionalFormatting sqref="B906">
    <cfRule type="cellIs" priority="2687" operator="greaterThan" aboveAverage="0" equalAverage="0" bottom="0" percent="0" rank="0" text="" dxfId="8">
      <formula>0</formula>
    </cfRule>
    <cfRule type="cellIs" priority="2688" operator="lessThan" aboveAverage="0" equalAverage="0" bottom="0" percent="0" rank="0" text="" dxfId="9">
      <formula>MaliyetEsik</formula>
    </cfRule>
  </conditionalFormatting>
  <conditionalFormatting sqref="D906">
    <cfRule type="cellIs" priority="2689" operator="lessThan" aboveAverage="0" equalAverage="0" bottom="0" percent="0" rank="0" text="" dxfId="10">
      <formula>18</formula>
    </cfRule>
  </conditionalFormatting>
  <conditionalFormatting sqref="B907">
    <cfRule type="cellIs" priority="2690" operator="greaterThan" aboveAverage="0" equalAverage="0" bottom="0" percent="0" rank="0" text="" dxfId="8">
      <formula>0</formula>
    </cfRule>
    <cfRule type="cellIs" priority="2691" operator="lessThan" aboveAverage="0" equalAverage="0" bottom="0" percent="0" rank="0" text="" dxfId="9">
      <formula>MaliyetEsik</formula>
    </cfRule>
  </conditionalFormatting>
  <conditionalFormatting sqref="D907">
    <cfRule type="cellIs" priority="2692" operator="lessThan" aboveAverage="0" equalAverage="0" bottom="0" percent="0" rank="0" text="" dxfId="10">
      <formula>18</formula>
    </cfRule>
  </conditionalFormatting>
  <conditionalFormatting sqref="B908">
    <cfRule type="cellIs" priority="2693" operator="greaterThan" aboveAverage="0" equalAverage="0" bottom="0" percent="0" rank="0" text="" dxfId="8">
      <formula>0</formula>
    </cfRule>
    <cfRule type="cellIs" priority="2694" operator="lessThan" aboveAverage="0" equalAverage="0" bottom="0" percent="0" rank="0" text="" dxfId="9">
      <formula>MaliyetEsik</formula>
    </cfRule>
  </conditionalFormatting>
  <conditionalFormatting sqref="D908">
    <cfRule type="cellIs" priority="2695" operator="lessThan" aboveAverage="0" equalAverage="0" bottom="0" percent="0" rank="0" text="" dxfId="10">
      <formula>18</formula>
    </cfRule>
  </conditionalFormatting>
  <conditionalFormatting sqref="B909">
    <cfRule type="cellIs" priority="2696" operator="greaterThan" aboveAverage="0" equalAverage="0" bottom="0" percent="0" rank="0" text="" dxfId="8">
      <formula>0</formula>
    </cfRule>
    <cfRule type="cellIs" priority="2697" operator="lessThan" aboveAverage="0" equalAverage="0" bottom="0" percent="0" rank="0" text="" dxfId="9">
      <formula>MaliyetEsik</formula>
    </cfRule>
  </conditionalFormatting>
  <conditionalFormatting sqref="D909">
    <cfRule type="cellIs" priority="2698" operator="lessThan" aboveAverage="0" equalAverage="0" bottom="0" percent="0" rank="0" text="" dxfId="10">
      <formula>18</formula>
    </cfRule>
  </conditionalFormatting>
  <conditionalFormatting sqref="B910">
    <cfRule type="cellIs" priority="2699" operator="greaterThan" aboveAverage="0" equalAverage="0" bottom="0" percent="0" rank="0" text="" dxfId="8">
      <formula>0</formula>
    </cfRule>
    <cfRule type="cellIs" priority="2700" operator="lessThan" aboveAverage="0" equalAverage="0" bottom="0" percent="0" rank="0" text="" dxfId="9">
      <formula>MaliyetEsik</formula>
    </cfRule>
  </conditionalFormatting>
  <conditionalFormatting sqref="D910">
    <cfRule type="cellIs" priority="2701" operator="lessThan" aboveAverage="0" equalAverage="0" bottom="0" percent="0" rank="0" text="" dxfId="10">
      <formula>18</formula>
    </cfRule>
  </conditionalFormatting>
  <conditionalFormatting sqref="B911">
    <cfRule type="cellIs" priority="2702" operator="greaterThan" aboveAverage="0" equalAverage="0" bottom="0" percent="0" rank="0" text="" dxfId="8">
      <formula>0</formula>
    </cfRule>
    <cfRule type="cellIs" priority="2703" operator="lessThan" aboveAverage="0" equalAverage="0" bottom="0" percent="0" rank="0" text="" dxfId="9">
      <formula>MaliyetEsik</formula>
    </cfRule>
  </conditionalFormatting>
  <conditionalFormatting sqref="D911">
    <cfRule type="cellIs" priority="2704" operator="lessThan" aboveAverage="0" equalAverage="0" bottom="0" percent="0" rank="0" text="" dxfId="10">
      <formula>18</formula>
    </cfRule>
  </conditionalFormatting>
  <conditionalFormatting sqref="B912">
    <cfRule type="cellIs" priority="2705" operator="greaterThan" aboveAverage="0" equalAverage="0" bottom="0" percent="0" rank="0" text="" dxfId="8">
      <formula>0</formula>
    </cfRule>
    <cfRule type="cellIs" priority="2706" operator="lessThan" aboveAverage="0" equalAverage="0" bottom="0" percent="0" rank="0" text="" dxfId="9">
      <formula>MaliyetEsik</formula>
    </cfRule>
  </conditionalFormatting>
  <conditionalFormatting sqref="D912">
    <cfRule type="cellIs" priority="2707" operator="lessThan" aboveAverage="0" equalAverage="0" bottom="0" percent="0" rank="0" text="" dxfId="10">
      <formula>18</formula>
    </cfRule>
  </conditionalFormatting>
  <conditionalFormatting sqref="B913">
    <cfRule type="cellIs" priority="2708" operator="greaterThan" aboveAverage="0" equalAverage="0" bottom="0" percent="0" rank="0" text="" dxfId="8">
      <formula>0</formula>
    </cfRule>
    <cfRule type="cellIs" priority="2709" operator="lessThan" aboveAverage="0" equalAverage="0" bottom="0" percent="0" rank="0" text="" dxfId="9">
      <formula>MaliyetEsik</formula>
    </cfRule>
  </conditionalFormatting>
  <conditionalFormatting sqref="D913">
    <cfRule type="cellIs" priority="2710" operator="lessThan" aboveAverage="0" equalAverage="0" bottom="0" percent="0" rank="0" text="" dxfId="10">
      <formula>18</formula>
    </cfRule>
  </conditionalFormatting>
  <conditionalFormatting sqref="B914">
    <cfRule type="cellIs" priority="2711" operator="greaterThan" aboveAverage="0" equalAverage="0" bottom="0" percent="0" rank="0" text="" dxfId="8">
      <formula>0</formula>
    </cfRule>
    <cfRule type="cellIs" priority="2712" operator="lessThan" aboveAverage="0" equalAverage="0" bottom="0" percent="0" rank="0" text="" dxfId="9">
      <formula>MaliyetEsik</formula>
    </cfRule>
  </conditionalFormatting>
  <conditionalFormatting sqref="D914">
    <cfRule type="cellIs" priority="2713" operator="lessThan" aboveAverage="0" equalAverage="0" bottom="0" percent="0" rank="0" text="" dxfId="10">
      <formula>18</formula>
    </cfRule>
  </conditionalFormatting>
  <conditionalFormatting sqref="B915">
    <cfRule type="cellIs" priority="2714" operator="greaterThan" aboveAverage="0" equalAverage="0" bottom="0" percent="0" rank="0" text="" dxfId="8">
      <formula>0</formula>
    </cfRule>
    <cfRule type="cellIs" priority="2715" operator="lessThan" aboveAverage="0" equalAverage="0" bottom="0" percent="0" rank="0" text="" dxfId="9">
      <formula>MaliyetEsik</formula>
    </cfRule>
  </conditionalFormatting>
  <conditionalFormatting sqref="D915">
    <cfRule type="cellIs" priority="2716" operator="lessThan" aboveAverage="0" equalAverage="0" bottom="0" percent="0" rank="0" text="" dxfId="10">
      <formula>18</formula>
    </cfRule>
  </conditionalFormatting>
  <conditionalFormatting sqref="B916">
    <cfRule type="cellIs" priority="2717" operator="greaterThan" aboveAverage="0" equalAverage="0" bottom="0" percent="0" rank="0" text="" dxfId="8">
      <formula>0</formula>
    </cfRule>
    <cfRule type="cellIs" priority="2718" operator="lessThan" aboveAverage="0" equalAverage="0" bottom="0" percent="0" rank="0" text="" dxfId="9">
      <formula>MaliyetEsik</formula>
    </cfRule>
  </conditionalFormatting>
  <conditionalFormatting sqref="D916">
    <cfRule type="cellIs" priority="2719" operator="lessThan" aboveAverage="0" equalAverage="0" bottom="0" percent="0" rank="0" text="" dxfId="10">
      <formula>18</formula>
    </cfRule>
  </conditionalFormatting>
  <conditionalFormatting sqref="B917">
    <cfRule type="cellIs" priority="2720" operator="greaterThan" aboveAverage="0" equalAverage="0" bottom="0" percent="0" rank="0" text="" dxfId="8">
      <formula>0</formula>
    </cfRule>
    <cfRule type="cellIs" priority="2721" operator="lessThan" aboveAverage="0" equalAverage="0" bottom="0" percent="0" rank="0" text="" dxfId="9">
      <formula>MaliyetEsik</formula>
    </cfRule>
  </conditionalFormatting>
  <conditionalFormatting sqref="D917">
    <cfRule type="cellIs" priority="2722" operator="lessThan" aboveAverage="0" equalAverage="0" bottom="0" percent="0" rank="0" text="" dxfId="10">
      <formula>18</formula>
    </cfRule>
  </conditionalFormatting>
  <conditionalFormatting sqref="B918">
    <cfRule type="cellIs" priority="2723" operator="greaterThan" aboveAverage="0" equalAverage="0" bottom="0" percent="0" rank="0" text="" dxfId="8">
      <formula>0</formula>
    </cfRule>
    <cfRule type="cellIs" priority="2724" operator="lessThan" aboveAverage="0" equalAverage="0" bottom="0" percent="0" rank="0" text="" dxfId="9">
      <formula>MaliyetEsik</formula>
    </cfRule>
  </conditionalFormatting>
  <conditionalFormatting sqref="D918">
    <cfRule type="cellIs" priority="2725" operator="lessThan" aboveAverage="0" equalAverage="0" bottom="0" percent="0" rank="0" text="" dxfId="10">
      <formula>18</formula>
    </cfRule>
  </conditionalFormatting>
  <conditionalFormatting sqref="B919">
    <cfRule type="cellIs" priority="2726" operator="greaterThan" aboveAverage="0" equalAverage="0" bottom="0" percent="0" rank="0" text="" dxfId="8">
      <formula>0</formula>
    </cfRule>
    <cfRule type="cellIs" priority="2727" operator="lessThan" aboveAverage="0" equalAverage="0" bottom="0" percent="0" rank="0" text="" dxfId="9">
      <formula>MaliyetEsik</formula>
    </cfRule>
  </conditionalFormatting>
  <conditionalFormatting sqref="D919">
    <cfRule type="cellIs" priority="2728" operator="lessThan" aboveAverage="0" equalAverage="0" bottom="0" percent="0" rank="0" text="" dxfId="10">
      <formula>18</formula>
    </cfRule>
  </conditionalFormatting>
  <conditionalFormatting sqref="B920">
    <cfRule type="cellIs" priority="2729" operator="greaterThan" aboveAverage="0" equalAverage="0" bottom="0" percent="0" rank="0" text="" dxfId="8">
      <formula>0</formula>
    </cfRule>
    <cfRule type="cellIs" priority="2730" operator="lessThan" aboveAverage="0" equalAverage="0" bottom="0" percent="0" rank="0" text="" dxfId="9">
      <formula>MaliyetEsik</formula>
    </cfRule>
  </conditionalFormatting>
  <conditionalFormatting sqref="D920">
    <cfRule type="cellIs" priority="2731" operator="lessThan" aboveAverage="0" equalAverage="0" bottom="0" percent="0" rank="0" text="" dxfId="10">
      <formula>18</formula>
    </cfRule>
  </conditionalFormatting>
  <conditionalFormatting sqref="B921">
    <cfRule type="cellIs" priority="2732" operator="greaterThan" aboveAverage="0" equalAverage="0" bottom="0" percent="0" rank="0" text="" dxfId="8">
      <formula>0</formula>
    </cfRule>
    <cfRule type="cellIs" priority="2733" operator="lessThan" aboveAverage="0" equalAverage="0" bottom="0" percent="0" rank="0" text="" dxfId="9">
      <formula>MaliyetEsik</formula>
    </cfRule>
  </conditionalFormatting>
  <conditionalFormatting sqref="D921">
    <cfRule type="cellIs" priority="2734" operator="lessThan" aboveAverage="0" equalAverage="0" bottom="0" percent="0" rank="0" text="" dxfId="10">
      <formula>18</formula>
    </cfRule>
  </conditionalFormatting>
  <conditionalFormatting sqref="B922">
    <cfRule type="cellIs" priority="2735" operator="greaterThan" aboveAverage="0" equalAverage="0" bottom="0" percent="0" rank="0" text="" dxfId="8">
      <formula>0</formula>
    </cfRule>
    <cfRule type="cellIs" priority="2736" operator="lessThan" aboveAverage="0" equalAverage="0" bottom="0" percent="0" rank="0" text="" dxfId="9">
      <formula>MaliyetEsik</formula>
    </cfRule>
  </conditionalFormatting>
  <conditionalFormatting sqref="D922">
    <cfRule type="cellIs" priority="2737" operator="lessThan" aboveAverage="0" equalAverage="0" bottom="0" percent="0" rank="0" text="" dxfId="10">
      <formula>18</formula>
    </cfRule>
  </conditionalFormatting>
  <conditionalFormatting sqref="B923">
    <cfRule type="cellIs" priority="2738" operator="greaterThan" aboveAverage="0" equalAverage="0" bottom="0" percent="0" rank="0" text="" dxfId="8">
      <formula>0</formula>
    </cfRule>
    <cfRule type="cellIs" priority="2739" operator="lessThan" aboveAverage="0" equalAverage="0" bottom="0" percent="0" rank="0" text="" dxfId="9">
      <formula>MaliyetEsik</formula>
    </cfRule>
  </conditionalFormatting>
  <conditionalFormatting sqref="D923">
    <cfRule type="cellIs" priority="2740" operator="lessThan" aboveAverage="0" equalAverage="0" bottom="0" percent="0" rank="0" text="" dxfId="10">
      <formula>18</formula>
    </cfRule>
  </conditionalFormatting>
  <conditionalFormatting sqref="B924">
    <cfRule type="cellIs" priority="2741" operator="greaterThan" aboveAverage="0" equalAverage="0" bottom="0" percent="0" rank="0" text="" dxfId="8">
      <formula>0</formula>
    </cfRule>
    <cfRule type="cellIs" priority="2742" operator="lessThan" aboveAverage="0" equalAverage="0" bottom="0" percent="0" rank="0" text="" dxfId="9">
      <formula>MaliyetEsik</formula>
    </cfRule>
  </conditionalFormatting>
  <conditionalFormatting sqref="D924">
    <cfRule type="cellIs" priority="2743" operator="lessThan" aboveAverage="0" equalAverage="0" bottom="0" percent="0" rank="0" text="" dxfId="10">
      <formula>18</formula>
    </cfRule>
  </conditionalFormatting>
  <conditionalFormatting sqref="B925">
    <cfRule type="cellIs" priority="2744" operator="greaterThan" aboveAverage="0" equalAverage="0" bottom="0" percent="0" rank="0" text="" dxfId="8">
      <formula>0</formula>
    </cfRule>
    <cfRule type="cellIs" priority="2745" operator="lessThan" aboveAverage="0" equalAverage="0" bottom="0" percent="0" rank="0" text="" dxfId="9">
      <formula>MaliyetEsik</formula>
    </cfRule>
  </conditionalFormatting>
  <conditionalFormatting sqref="D925">
    <cfRule type="cellIs" priority="2746" operator="lessThan" aboveAverage="0" equalAverage="0" bottom="0" percent="0" rank="0" text="" dxfId="10">
      <formula>18</formula>
    </cfRule>
  </conditionalFormatting>
  <conditionalFormatting sqref="B926">
    <cfRule type="cellIs" priority="2747" operator="greaterThan" aboveAverage="0" equalAverage="0" bottom="0" percent="0" rank="0" text="" dxfId="8">
      <formula>0</formula>
    </cfRule>
    <cfRule type="cellIs" priority="2748" operator="lessThan" aboveAverage="0" equalAverage="0" bottom="0" percent="0" rank="0" text="" dxfId="9">
      <formula>MaliyetEsik</formula>
    </cfRule>
  </conditionalFormatting>
  <conditionalFormatting sqref="D926">
    <cfRule type="cellIs" priority="2749" operator="lessThan" aboveAverage="0" equalAverage="0" bottom="0" percent="0" rank="0" text="" dxfId="10">
      <formula>18</formula>
    </cfRule>
  </conditionalFormatting>
  <conditionalFormatting sqref="B927">
    <cfRule type="cellIs" priority="2750" operator="greaterThan" aboveAverage="0" equalAverage="0" bottom="0" percent="0" rank="0" text="" dxfId="8">
      <formula>0</formula>
    </cfRule>
    <cfRule type="cellIs" priority="2751" operator="lessThan" aboveAverage="0" equalAverage="0" bottom="0" percent="0" rank="0" text="" dxfId="9">
      <formula>MaliyetEsik</formula>
    </cfRule>
  </conditionalFormatting>
  <conditionalFormatting sqref="D927">
    <cfRule type="cellIs" priority="2752" operator="lessThan" aboveAverage="0" equalAverage="0" bottom="0" percent="0" rank="0" text="" dxfId="10">
      <formula>18</formula>
    </cfRule>
  </conditionalFormatting>
  <conditionalFormatting sqref="B928">
    <cfRule type="cellIs" priority="2753" operator="greaterThan" aboveAverage="0" equalAverage="0" bottom="0" percent="0" rank="0" text="" dxfId="8">
      <formula>0</formula>
    </cfRule>
    <cfRule type="cellIs" priority="2754" operator="lessThan" aboveAverage="0" equalAverage="0" bottom="0" percent="0" rank="0" text="" dxfId="9">
      <formula>MaliyetEsik</formula>
    </cfRule>
  </conditionalFormatting>
  <conditionalFormatting sqref="D928">
    <cfRule type="cellIs" priority="2755" operator="lessThan" aboveAverage="0" equalAverage="0" bottom="0" percent="0" rank="0" text="" dxfId="10">
      <formula>18</formula>
    </cfRule>
  </conditionalFormatting>
  <conditionalFormatting sqref="B929">
    <cfRule type="cellIs" priority="2756" operator="greaterThan" aboveAverage="0" equalAverage="0" bottom="0" percent="0" rank="0" text="" dxfId="8">
      <formula>0</formula>
    </cfRule>
    <cfRule type="cellIs" priority="2757" operator="lessThan" aboveAverage="0" equalAverage="0" bottom="0" percent="0" rank="0" text="" dxfId="9">
      <formula>MaliyetEsik</formula>
    </cfRule>
  </conditionalFormatting>
  <conditionalFormatting sqref="D929">
    <cfRule type="cellIs" priority="2758" operator="lessThan" aboveAverage="0" equalAverage="0" bottom="0" percent="0" rank="0" text="" dxfId="10">
      <formula>18</formula>
    </cfRule>
  </conditionalFormatting>
  <conditionalFormatting sqref="B930">
    <cfRule type="cellIs" priority="2759" operator="greaterThan" aboveAverage="0" equalAverage="0" bottom="0" percent="0" rank="0" text="" dxfId="8">
      <formula>0</formula>
    </cfRule>
    <cfRule type="cellIs" priority="2760" operator="lessThan" aboveAverage="0" equalAverage="0" bottom="0" percent="0" rank="0" text="" dxfId="9">
      <formula>MaliyetEsik</formula>
    </cfRule>
  </conditionalFormatting>
  <conditionalFormatting sqref="D930">
    <cfRule type="cellIs" priority="2761" operator="lessThan" aboveAverage="0" equalAverage="0" bottom="0" percent="0" rank="0" text="" dxfId="10">
      <formula>18</formula>
    </cfRule>
  </conditionalFormatting>
  <conditionalFormatting sqref="B931">
    <cfRule type="cellIs" priority="2762" operator="greaterThan" aboveAverage="0" equalAverage="0" bottom="0" percent="0" rank="0" text="" dxfId="8">
      <formula>0</formula>
    </cfRule>
    <cfRule type="cellIs" priority="2763" operator="lessThan" aboveAverage="0" equalAverage="0" bottom="0" percent="0" rank="0" text="" dxfId="9">
      <formula>MaliyetEsik</formula>
    </cfRule>
  </conditionalFormatting>
  <conditionalFormatting sqref="D931">
    <cfRule type="cellIs" priority="2764" operator="lessThan" aboveAverage="0" equalAverage="0" bottom="0" percent="0" rank="0" text="" dxfId="10">
      <formula>18</formula>
    </cfRule>
  </conditionalFormatting>
  <conditionalFormatting sqref="B932">
    <cfRule type="cellIs" priority="2765" operator="greaterThan" aboveAverage="0" equalAverage="0" bottom="0" percent="0" rank="0" text="" dxfId="8">
      <formula>0</formula>
    </cfRule>
    <cfRule type="cellIs" priority="2766" operator="lessThan" aboveAverage="0" equalAverage="0" bottom="0" percent="0" rank="0" text="" dxfId="9">
      <formula>MaliyetEsik</formula>
    </cfRule>
  </conditionalFormatting>
  <conditionalFormatting sqref="D932">
    <cfRule type="cellIs" priority="2767" operator="lessThan" aboveAverage="0" equalAverage="0" bottom="0" percent="0" rank="0" text="" dxfId="10">
      <formula>18</formula>
    </cfRule>
  </conditionalFormatting>
  <conditionalFormatting sqref="B933">
    <cfRule type="cellIs" priority="2768" operator="greaterThan" aboveAverage="0" equalAverage="0" bottom="0" percent="0" rank="0" text="" dxfId="8">
      <formula>0</formula>
    </cfRule>
    <cfRule type="cellIs" priority="2769" operator="lessThan" aboveAverage="0" equalAverage="0" bottom="0" percent="0" rank="0" text="" dxfId="9">
      <formula>MaliyetEsik</formula>
    </cfRule>
  </conditionalFormatting>
  <conditionalFormatting sqref="D933">
    <cfRule type="cellIs" priority="2770" operator="lessThan" aboveAverage="0" equalAverage="0" bottom="0" percent="0" rank="0" text="" dxfId="10">
      <formula>18</formula>
    </cfRule>
  </conditionalFormatting>
  <conditionalFormatting sqref="B934">
    <cfRule type="cellIs" priority="2771" operator="greaterThan" aboveAverage="0" equalAverage="0" bottom="0" percent="0" rank="0" text="" dxfId="8">
      <formula>0</formula>
    </cfRule>
    <cfRule type="cellIs" priority="2772" operator="lessThan" aboveAverage="0" equalAverage="0" bottom="0" percent="0" rank="0" text="" dxfId="9">
      <formula>MaliyetEsik</formula>
    </cfRule>
  </conditionalFormatting>
  <conditionalFormatting sqref="D934">
    <cfRule type="cellIs" priority="2773" operator="lessThan" aboveAverage="0" equalAverage="0" bottom="0" percent="0" rank="0" text="" dxfId="10">
      <formula>18</formula>
    </cfRule>
  </conditionalFormatting>
  <conditionalFormatting sqref="B935">
    <cfRule type="cellIs" priority="2774" operator="greaterThan" aboveAverage="0" equalAverage="0" bottom="0" percent="0" rank="0" text="" dxfId="8">
      <formula>0</formula>
    </cfRule>
    <cfRule type="cellIs" priority="2775" operator="lessThan" aboveAverage="0" equalAverage="0" bottom="0" percent="0" rank="0" text="" dxfId="9">
      <formula>MaliyetEsik</formula>
    </cfRule>
  </conditionalFormatting>
  <conditionalFormatting sqref="D935">
    <cfRule type="cellIs" priority="2776" operator="lessThan" aboveAverage="0" equalAverage="0" bottom="0" percent="0" rank="0" text="" dxfId="10">
      <formula>18</formula>
    </cfRule>
  </conditionalFormatting>
  <conditionalFormatting sqref="B936">
    <cfRule type="cellIs" priority="2777" operator="greaterThan" aboveAverage="0" equalAverage="0" bottom="0" percent="0" rank="0" text="" dxfId="8">
      <formula>0</formula>
    </cfRule>
    <cfRule type="cellIs" priority="2778" operator="lessThan" aboveAverage="0" equalAverage="0" bottom="0" percent="0" rank="0" text="" dxfId="9">
      <formula>MaliyetEsik</formula>
    </cfRule>
  </conditionalFormatting>
  <conditionalFormatting sqref="D936">
    <cfRule type="cellIs" priority="2779" operator="lessThan" aboveAverage="0" equalAverage="0" bottom="0" percent="0" rank="0" text="" dxfId="10">
      <formula>18</formula>
    </cfRule>
  </conditionalFormatting>
  <conditionalFormatting sqref="B937">
    <cfRule type="cellIs" priority="2780" operator="greaterThan" aboveAverage="0" equalAverage="0" bottom="0" percent="0" rank="0" text="" dxfId="8">
      <formula>0</formula>
    </cfRule>
    <cfRule type="cellIs" priority="2781" operator="lessThan" aboveAverage="0" equalAverage="0" bottom="0" percent="0" rank="0" text="" dxfId="9">
      <formula>MaliyetEsik</formula>
    </cfRule>
  </conditionalFormatting>
  <conditionalFormatting sqref="D937">
    <cfRule type="cellIs" priority="2782" operator="lessThan" aboveAverage="0" equalAverage="0" bottom="0" percent="0" rank="0" text="" dxfId="10">
      <formula>18</formula>
    </cfRule>
  </conditionalFormatting>
  <conditionalFormatting sqref="B938">
    <cfRule type="cellIs" priority="2783" operator="greaterThan" aboveAverage="0" equalAverage="0" bottom="0" percent="0" rank="0" text="" dxfId="8">
      <formula>0</formula>
    </cfRule>
    <cfRule type="cellIs" priority="2784" operator="lessThan" aboveAverage="0" equalAverage="0" bottom="0" percent="0" rank="0" text="" dxfId="9">
      <formula>MaliyetEsik</formula>
    </cfRule>
  </conditionalFormatting>
  <conditionalFormatting sqref="D938">
    <cfRule type="cellIs" priority="2785" operator="lessThan" aboveAverage="0" equalAverage="0" bottom="0" percent="0" rank="0" text="" dxfId="10">
      <formula>18</formula>
    </cfRule>
  </conditionalFormatting>
  <conditionalFormatting sqref="B939">
    <cfRule type="cellIs" priority="2786" operator="greaterThan" aboveAverage="0" equalAverage="0" bottom="0" percent="0" rank="0" text="" dxfId="8">
      <formula>0</formula>
    </cfRule>
    <cfRule type="cellIs" priority="2787" operator="lessThan" aboveAverage="0" equalAverage="0" bottom="0" percent="0" rank="0" text="" dxfId="9">
      <formula>MaliyetEsik</formula>
    </cfRule>
  </conditionalFormatting>
  <conditionalFormatting sqref="D939">
    <cfRule type="cellIs" priority="2788" operator="lessThan" aboveAverage="0" equalAverage="0" bottom="0" percent="0" rank="0" text="" dxfId="10">
      <formula>18</formula>
    </cfRule>
  </conditionalFormatting>
  <conditionalFormatting sqref="B940">
    <cfRule type="cellIs" priority="2789" operator="greaterThan" aboveAverage="0" equalAverage="0" bottom="0" percent="0" rank="0" text="" dxfId="8">
      <formula>0</formula>
    </cfRule>
    <cfRule type="cellIs" priority="2790" operator="lessThan" aboveAverage="0" equalAverage="0" bottom="0" percent="0" rank="0" text="" dxfId="9">
      <formula>MaliyetEsik</formula>
    </cfRule>
  </conditionalFormatting>
  <conditionalFormatting sqref="D940">
    <cfRule type="cellIs" priority="2791" operator="lessThan" aboveAverage="0" equalAverage="0" bottom="0" percent="0" rank="0" text="" dxfId="10">
      <formula>18</formula>
    </cfRule>
  </conditionalFormatting>
  <conditionalFormatting sqref="B941">
    <cfRule type="cellIs" priority="2792" operator="greaterThan" aboveAverage="0" equalAverage="0" bottom="0" percent="0" rank="0" text="" dxfId="8">
      <formula>0</formula>
    </cfRule>
    <cfRule type="cellIs" priority="2793" operator="lessThan" aboveAverage="0" equalAverage="0" bottom="0" percent="0" rank="0" text="" dxfId="9">
      <formula>MaliyetEsik</formula>
    </cfRule>
  </conditionalFormatting>
  <conditionalFormatting sqref="D941">
    <cfRule type="cellIs" priority="2794" operator="lessThan" aboveAverage="0" equalAverage="0" bottom="0" percent="0" rank="0" text="" dxfId="10">
      <formula>18</formula>
    </cfRule>
  </conditionalFormatting>
  <conditionalFormatting sqref="B942">
    <cfRule type="cellIs" priority="2795" operator="greaterThan" aboveAverage="0" equalAverage="0" bottom="0" percent="0" rank="0" text="" dxfId="8">
      <formula>0</formula>
    </cfRule>
    <cfRule type="cellIs" priority="2796" operator="lessThan" aboveAverage="0" equalAverage="0" bottom="0" percent="0" rank="0" text="" dxfId="9">
      <formula>MaliyetEsik</formula>
    </cfRule>
  </conditionalFormatting>
  <conditionalFormatting sqref="D942">
    <cfRule type="cellIs" priority="2797" operator="lessThan" aboveAverage="0" equalAverage="0" bottom="0" percent="0" rank="0" text="" dxfId="10">
      <formula>18</formula>
    </cfRule>
  </conditionalFormatting>
  <conditionalFormatting sqref="B943">
    <cfRule type="cellIs" priority="2798" operator="greaterThan" aboveAverage="0" equalAverage="0" bottom="0" percent="0" rank="0" text="" dxfId="8">
      <formula>0</formula>
    </cfRule>
    <cfRule type="cellIs" priority="2799" operator="lessThan" aboveAverage="0" equalAverage="0" bottom="0" percent="0" rank="0" text="" dxfId="9">
      <formula>MaliyetEsik</formula>
    </cfRule>
  </conditionalFormatting>
  <conditionalFormatting sqref="D943">
    <cfRule type="cellIs" priority="2800" operator="lessThan" aboveAverage="0" equalAverage="0" bottom="0" percent="0" rank="0" text="" dxfId="10">
      <formula>18</formula>
    </cfRule>
  </conditionalFormatting>
  <conditionalFormatting sqref="B944">
    <cfRule type="cellIs" priority="2801" operator="greaterThan" aboveAverage="0" equalAverage="0" bottom="0" percent="0" rank="0" text="" dxfId="8">
      <formula>0</formula>
    </cfRule>
    <cfRule type="cellIs" priority="2802" operator="lessThan" aboveAverage="0" equalAverage="0" bottom="0" percent="0" rank="0" text="" dxfId="9">
      <formula>MaliyetEsik</formula>
    </cfRule>
  </conditionalFormatting>
  <conditionalFormatting sqref="D944">
    <cfRule type="cellIs" priority="2803" operator="lessThan" aboveAverage="0" equalAverage="0" bottom="0" percent="0" rank="0" text="" dxfId="10">
      <formula>18</formula>
    </cfRule>
  </conditionalFormatting>
  <conditionalFormatting sqref="B945">
    <cfRule type="cellIs" priority="2804" operator="greaterThan" aboveAverage="0" equalAverage="0" bottom="0" percent="0" rank="0" text="" dxfId="8">
      <formula>0</formula>
    </cfRule>
    <cfRule type="cellIs" priority="2805" operator="lessThan" aboveAverage="0" equalAverage="0" bottom="0" percent="0" rank="0" text="" dxfId="9">
      <formula>MaliyetEsik</formula>
    </cfRule>
  </conditionalFormatting>
  <conditionalFormatting sqref="D945">
    <cfRule type="cellIs" priority="2806" operator="lessThan" aboveAverage="0" equalAverage="0" bottom="0" percent="0" rank="0" text="" dxfId="10">
      <formula>18</formula>
    </cfRule>
  </conditionalFormatting>
  <conditionalFormatting sqref="B946">
    <cfRule type="cellIs" priority="2807" operator="greaterThan" aboveAverage="0" equalAverage="0" bottom="0" percent="0" rank="0" text="" dxfId="8">
      <formula>0</formula>
    </cfRule>
    <cfRule type="cellIs" priority="2808" operator="lessThan" aboveAverage="0" equalAverage="0" bottom="0" percent="0" rank="0" text="" dxfId="9">
      <formula>MaliyetEsik</formula>
    </cfRule>
  </conditionalFormatting>
  <conditionalFormatting sqref="D946">
    <cfRule type="cellIs" priority="2809" operator="lessThan" aboveAverage="0" equalAverage="0" bottom="0" percent="0" rank="0" text="" dxfId="10">
      <formula>18</formula>
    </cfRule>
  </conditionalFormatting>
  <conditionalFormatting sqref="B947">
    <cfRule type="cellIs" priority="2810" operator="greaterThan" aboveAverage="0" equalAverage="0" bottom="0" percent="0" rank="0" text="" dxfId="8">
      <formula>0</formula>
    </cfRule>
    <cfRule type="cellIs" priority="2811" operator="lessThan" aboveAverage="0" equalAverage="0" bottom="0" percent="0" rank="0" text="" dxfId="9">
      <formula>MaliyetEsik</formula>
    </cfRule>
  </conditionalFormatting>
  <conditionalFormatting sqref="D947">
    <cfRule type="cellIs" priority="2812" operator="lessThan" aboveAverage="0" equalAverage="0" bottom="0" percent="0" rank="0" text="" dxfId="10">
      <formula>18</formula>
    </cfRule>
  </conditionalFormatting>
  <conditionalFormatting sqref="B948">
    <cfRule type="cellIs" priority="2813" operator="greaterThan" aboveAverage="0" equalAverage="0" bottom="0" percent="0" rank="0" text="" dxfId="8">
      <formula>0</formula>
    </cfRule>
    <cfRule type="cellIs" priority="2814" operator="lessThan" aboveAverage="0" equalAverage="0" bottom="0" percent="0" rank="0" text="" dxfId="9">
      <formula>MaliyetEsik</formula>
    </cfRule>
  </conditionalFormatting>
  <conditionalFormatting sqref="D948">
    <cfRule type="cellIs" priority="2815" operator="lessThan" aboveAverage="0" equalAverage="0" bottom="0" percent="0" rank="0" text="" dxfId="10">
      <formula>18</formula>
    </cfRule>
  </conditionalFormatting>
  <conditionalFormatting sqref="B949">
    <cfRule type="cellIs" priority="2816" operator="greaterThan" aboveAverage="0" equalAverage="0" bottom="0" percent="0" rank="0" text="" dxfId="8">
      <formula>0</formula>
    </cfRule>
    <cfRule type="cellIs" priority="2817" operator="lessThan" aboveAverage="0" equalAverage="0" bottom="0" percent="0" rank="0" text="" dxfId="9">
      <formula>MaliyetEsik</formula>
    </cfRule>
  </conditionalFormatting>
  <conditionalFormatting sqref="D949">
    <cfRule type="cellIs" priority="2818" operator="lessThan" aboveAverage="0" equalAverage="0" bottom="0" percent="0" rank="0" text="" dxfId="10">
      <formula>18</formula>
    </cfRule>
  </conditionalFormatting>
  <conditionalFormatting sqref="B950">
    <cfRule type="cellIs" priority="2819" operator="greaterThan" aboveAverage="0" equalAverage="0" bottom="0" percent="0" rank="0" text="" dxfId="8">
      <formula>0</formula>
    </cfRule>
    <cfRule type="cellIs" priority="2820" operator="lessThan" aboveAverage="0" equalAverage="0" bottom="0" percent="0" rank="0" text="" dxfId="9">
      <formula>MaliyetEsik</formula>
    </cfRule>
  </conditionalFormatting>
  <conditionalFormatting sqref="D950">
    <cfRule type="cellIs" priority="2821" operator="lessThan" aboveAverage="0" equalAverage="0" bottom="0" percent="0" rank="0" text="" dxfId="10">
      <formula>18</formula>
    </cfRule>
  </conditionalFormatting>
  <conditionalFormatting sqref="B951">
    <cfRule type="cellIs" priority="2822" operator="greaterThan" aboveAverage="0" equalAverage="0" bottom="0" percent="0" rank="0" text="" dxfId="8">
      <formula>0</formula>
    </cfRule>
    <cfRule type="cellIs" priority="2823" operator="lessThan" aboveAverage="0" equalAverage="0" bottom="0" percent="0" rank="0" text="" dxfId="9">
      <formula>MaliyetEsik</formula>
    </cfRule>
  </conditionalFormatting>
  <conditionalFormatting sqref="D951">
    <cfRule type="cellIs" priority="2824" operator="lessThan" aboveAverage="0" equalAverage="0" bottom="0" percent="0" rank="0" text="" dxfId="10">
      <formula>18</formula>
    </cfRule>
  </conditionalFormatting>
  <conditionalFormatting sqref="B952">
    <cfRule type="cellIs" priority="2825" operator="greaterThan" aboveAverage="0" equalAverage="0" bottom="0" percent="0" rank="0" text="" dxfId="8">
      <formula>0</formula>
    </cfRule>
    <cfRule type="cellIs" priority="2826" operator="lessThan" aboveAverage="0" equalAverage="0" bottom="0" percent="0" rank="0" text="" dxfId="9">
      <formula>MaliyetEsik</formula>
    </cfRule>
  </conditionalFormatting>
  <conditionalFormatting sqref="D952">
    <cfRule type="cellIs" priority="2827" operator="lessThan" aboveAverage="0" equalAverage="0" bottom="0" percent="0" rank="0" text="" dxfId="10">
      <formula>18</formula>
    </cfRule>
  </conditionalFormatting>
  <conditionalFormatting sqref="B953">
    <cfRule type="cellIs" priority="2828" operator="greaterThan" aboveAverage="0" equalAverage="0" bottom="0" percent="0" rank="0" text="" dxfId="8">
      <formula>0</formula>
    </cfRule>
    <cfRule type="cellIs" priority="2829" operator="lessThan" aboveAverage="0" equalAverage="0" bottom="0" percent="0" rank="0" text="" dxfId="9">
      <formula>MaliyetEsik</formula>
    </cfRule>
  </conditionalFormatting>
  <conditionalFormatting sqref="D953">
    <cfRule type="cellIs" priority="2830" operator="lessThan" aboveAverage="0" equalAverage="0" bottom="0" percent="0" rank="0" text="" dxfId="10">
      <formula>18</formula>
    </cfRule>
  </conditionalFormatting>
  <conditionalFormatting sqref="B954">
    <cfRule type="cellIs" priority="2831" operator="greaterThan" aboveAverage="0" equalAverage="0" bottom="0" percent="0" rank="0" text="" dxfId="8">
      <formula>0</formula>
    </cfRule>
    <cfRule type="cellIs" priority="2832" operator="lessThan" aboveAverage="0" equalAverage="0" bottom="0" percent="0" rank="0" text="" dxfId="9">
      <formula>MaliyetEsik</formula>
    </cfRule>
  </conditionalFormatting>
  <conditionalFormatting sqref="D954">
    <cfRule type="cellIs" priority="2833" operator="lessThan" aboveAverage="0" equalAverage="0" bottom="0" percent="0" rank="0" text="" dxfId="10">
      <formula>18</formula>
    </cfRule>
  </conditionalFormatting>
  <conditionalFormatting sqref="B955">
    <cfRule type="cellIs" priority="2834" operator="greaterThan" aboveAverage="0" equalAverage="0" bottom="0" percent="0" rank="0" text="" dxfId="8">
      <formula>0</formula>
    </cfRule>
    <cfRule type="cellIs" priority="2835" operator="lessThan" aboveAverage="0" equalAverage="0" bottom="0" percent="0" rank="0" text="" dxfId="9">
      <formula>MaliyetEsik</formula>
    </cfRule>
  </conditionalFormatting>
  <conditionalFormatting sqref="D955">
    <cfRule type="cellIs" priority="2836" operator="lessThan" aboveAverage="0" equalAverage="0" bottom="0" percent="0" rank="0" text="" dxfId="10">
      <formula>18</formula>
    </cfRule>
  </conditionalFormatting>
  <conditionalFormatting sqref="B956">
    <cfRule type="cellIs" priority="2837" operator="greaterThan" aboveAverage="0" equalAverage="0" bottom="0" percent="0" rank="0" text="" dxfId="8">
      <formula>0</formula>
    </cfRule>
    <cfRule type="cellIs" priority="2838" operator="lessThan" aboveAverage="0" equalAverage="0" bottom="0" percent="0" rank="0" text="" dxfId="9">
      <formula>MaliyetEsik</formula>
    </cfRule>
  </conditionalFormatting>
  <conditionalFormatting sqref="D956">
    <cfRule type="cellIs" priority="2839" operator="lessThan" aboveAverage="0" equalAverage="0" bottom="0" percent="0" rank="0" text="" dxfId="10">
      <formula>18</formula>
    </cfRule>
  </conditionalFormatting>
  <conditionalFormatting sqref="B957">
    <cfRule type="cellIs" priority="2840" operator="greaterThan" aboveAverage="0" equalAverage="0" bottom="0" percent="0" rank="0" text="" dxfId="8">
      <formula>0</formula>
    </cfRule>
    <cfRule type="cellIs" priority="2841" operator="lessThan" aboveAverage="0" equalAverage="0" bottom="0" percent="0" rank="0" text="" dxfId="9">
      <formula>MaliyetEsik</formula>
    </cfRule>
  </conditionalFormatting>
  <conditionalFormatting sqref="D957">
    <cfRule type="cellIs" priority="2842" operator="lessThan" aboveAverage="0" equalAverage="0" bottom="0" percent="0" rank="0" text="" dxfId="10">
      <formula>18</formula>
    </cfRule>
  </conditionalFormatting>
  <conditionalFormatting sqref="B958">
    <cfRule type="cellIs" priority="2843" operator="greaterThan" aboveAverage="0" equalAverage="0" bottom="0" percent="0" rank="0" text="" dxfId="8">
      <formula>0</formula>
    </cfRule>
    <cfRule type="cellIs" priority="2844" operator="lessThan" aboveAverage="0" equalAverage="0" bottom="0" percent="0" rank="0" text="" dxfId="9">
      <formula>MaliyetEsik</formula>
    </cfRule>
  </conditionalFormatting>
  <conditionalFormatting sqref="D958">
    <cfRule type="cellIs" priority="2845" operator="lessThan" aboveAverage="0" equalAverage="0" bottom="0" percent="0" rank="0" text="" dxfId="10">
      <formula>18</formula>
    </cfRule>
  </conditionalFormatting>
  <conditionalFormatting sqref="B959">
    <cfRule type="cellIs" priority="2846" operator="greaterThan" aboveAverage="0" equalAverage="0" bottom="0" percent="0" rank="0" text="" dxfId="8">
      <formula>0</formula>
    </cfRule>
    <cfRule type="cellIs" priority="2847" operator="lessThan" aboveAverage="0" equalAverage="0" bottom="0" percent="0" rank="0" text="" dxfId="9">
      <formula>MaliyetEsik</formula>
    </cfRule>
  </conditionalFormatting>
  <conditionalFormatting sqref="D959">
    <cfRule type="cellIs" priority="2848" operator="lessThan" aboveAverage="0" equalAverage="0" bottom="0" percent="0" rank="0" text="" dxfId="10">
      <formula>18</formula>
    </cfRule>
  </conditionalFormatting>
  <conditionalFormatting sqref="B960">
    <cfRule type="cellIs" priority="2849" operator="greaterThan" aboveAverage="0" equalAverage="0" bottom="0" percent="0" rank="0" text="" dxfId="8">
      <formula>0</formula>
    </cfRule>
    <cfRule type="cellIs" priority="2850" operator="lessThan" aboveAverage="0" equalAverage="0" bottom="0" percent="0" rank="0" text="" dxfId="9">
      <formula>MaliyetEsik</formula>
    </cfRule>
  </conditionalFormatting>
  <conditionalFormatting sqref="D960">
    <cfRule type="cellIs" priority="2851" operator="lessThan" aboveAverage="0" equalAverage="0" bottom="0" percent="0" rank="0" text="" dxfId="10">
      <formula>18</formula>
    </cfRule>
  </conditionalFormatting>
  <conditionalFormatting sqref="B961">
    <cfRule type="cellIs" priority="2852" operator="greaterThan" aboveAverage="0" equalAverage="0" bottom="0" percent="0" rank="0" text="" dxfId="8">
      <formula>0</formula>
    </cfRule>
    <cfRule type="cellIs" priority="2853" operator="lessThan" aboveAverage="0" equalAverage="0" bottom="0" percent="0" rank="0" text="" dxfId="9">
      <formula>MaliyetEsik</formula>
    </cfRule>
  </conditionalFormatting>
  <conditionalFormatting sqref="D961">
    <cfRule type="cellIs" priority="2854" operator="lessThan" aboveAverage="0" equalAverage="0" bottom="0" percent="0" rank="0" text="" dxfId="10">
      <formula>18</formula>
    </cfRule>
  </conditionalFormatting>
  <conditionalFormatting sqref="B962">
    <cfRule type="cellIs" priority="2855" operator="greaterThan" aboveAverage="0" equalAverage="0" bottom="0" percent="0" rank="0" text="" dxfId="8">
      <formula>0</formula>
    </cfRule>
    <cfRule type="cellIs" priority="2856" operator="lessThan" aboveAverage="0" equalAverage="0" bottom="0" percent="0" rank="0" text="" dxfId="9">
      <formula>MaliyetEsik</formula>
    </cfRule>
  </conditionalFormatting>
  <conditionalFormatting sqref="D962">
    <cfRule type="cellIs" priority="2857" operator="lessThan" aboveAverage="0" equalAverage="0" bottom="0" percent="0" rank="0" text="" dxfId="10">
      <formula>18</formula>
    </cfRule>
  </conditionalFormatting>
  <conditionalFormatting sqref="B963">
    <cfRule type="cellIs" priority="2858" operator="greaterThan" aboveAverage="0" equalAverage="0" bottom="0" percent="0" rank="0" text="" dxfId="8">
      <formula>0</formula>
    </cfRule>
    <cfRule type="cellIs" priority="2859" operator="lessThan" aboveAverage="0" equalAverage="0" bottom="0" percent="0" rank="0" text="" dxfId="9">
      <formula>MaliyetEsik</formula>
    </cfRule>
  </conditionalFormatting>
  <conditionalFormatting sqref="D963">
    <cfRule type="cellIs" priority="2860" operator="lessThan" aboveAverage="0" equalAverage="0" bottom="0" percent="0" rank="0" text="" dxfId="10">
      <formula>18</formula>
    </cfRule>
  </conditionalFormatting>
  <conditionalFormatting sqref="B964">
    <cfRule type="cellIs" priority="2861" operator="greaterThan" aboveAverage="0" equalAverage="0" bottom="0" percent="0" rank="0" text="" dxfId="8">
      <formula>0</formula>
    </cfRule>
    <cfRule type="cellIs" priority="2862" operator="lessThan" aboveAverage="0" equalAverage="0" bottom="0" percent="0" rank="0" text="" dxfId="9">
      <formula>MaliyetEsik</formula>
    </cfRule>
  </conditionalFormatting>
  <conditionalFormatting sqref="D964">
    <cfRule type="cellIs" priority="2863" operator="lessThan" aboveAverage="0" equalAverage="0" bottom="0" percent="0" rank="0" text="" dxfId="10">
      <formula>18</formula>
    </cfRule>
  </conditionalFormatting>
  <conditionalFormatting sqref="B965">
    <cfRule type="cellIs" priority="2864" operator="greaterThan" aboveAverage="0" equalAverage="0" bottom="0" percent="0" rank="0" text="" dxfId="8">
      <formula>0</formula>
    </cfRule>
    <cfRule type="cellIs" priority="2865" operator="lessThan" aboveAverage="0" equalAverage="0" bottom="0" percent="0" rank="0" text="" dxfId="9">
      <formula>MaliyetEsik</formula>
    </cfRule>
  </conditionalFormatting>
  <conditionalFormatting sqref="D965">
    <cfRule type="cellIs" priority="2866" operator="lessThan" aboveAverage="0" equalAverage="0" bottom="0" percent="0" rank="0" text="" dxfId="10">
      <formula>18</formula>
    </cfRule>
  </conditionalFormatting>
  <conditionalFormatting sqref="B966">
    <cfRule type="cellIs" priority="2867" operator="greaterThan" aboveAverage="0" equalAverage="0" bottom="0" percent="0" rank="0" text="" dxfId="8">
      <formula>0</formula>
    </cfRule>
    <cfRule type="cellIs" priority="2868" operator="lessThan" aboveAverage="0" equalAverage="0" bottom="0" percent="0" rank="0" text="" dxfId="9">
      <formula>MaliyetEsik</formula>
    </cfRule>
  </conditionalFormatting>
  <conditionalFormatting sqref="D966">
    <cfRule type="cellIs" priority="2869" operator="lessThan" aboveAverage="0" equalAverage="0" bottom="0" percent="0" rank="0" text="" dxfId="10">
      <formula>18</formula>
    </cfRule>
  </conditionalFormatting>
  <conditionalFormatting sqref="B967">
    <cfRule type="cellIs" priority="2870" operator="greaterThan" aboveAverage="0" equalAverage="0" bottom="0" percent="0" rank="0" text="" dxfId="8">
      <formula>0</formula>
    </cfRule>
    <cfRule type="cellIs" priority="2871" operator="lessThan" aboveAverage="0" equalAverage="0" bottom="0" percent="0" rank="0" text="" dxfId="9">
      <formula>MaliyetEsik</formula>
    </cfRule>
  </conditionalFormatting>
  <conditionalFormatting sqref="D967">
    <cfRule type="cellIs" priority="2872" operator="lessThan" aboveAverage="0" equalAverage="0" bottom="0" percent="0" rank="0" text="" dxfId="10">
      <formula>18</formula>
    </cfRule>
  </conditionalFormatting>
  <conditionalFormatting sqref="B968">
    <cfRule type="cellIs" priority="2873" operator="greaterThan" aboveAverage="0" equalAverage="0" bottom="0" percent="0" rank="0" text="" dxfId="8">
      <formula>0</formula>
    </cfRule>
    <cfRule type="cellIs" priority="2874" operator="lessThan" aboveAverage="0" equalAverage="0" bottom="0" percent="0" rank="0" text="" dxfId="9">
      <formula>MaliyetEsik</formula>
    </cfRule>
  </conditionalFormatting>
  <conditionalFormatting sqref="D968">
    <cfRule type="cellIs" priority="2875" operator="lessThan" aboveAverage="0" equalAverage="0" bottom="0" percent="0" rank="0" text="" dxfId="10">
      <formula>18</formula>
    </cfRule>
  </conditionalFormatting>
  <conditionalFormatting sqref="B969">
    <cfRule type="cellIs" priority="2876" operator="greaterThan" aboveAverage="0" equalAverage="0" bottom="0" percent="0" rank="0" text="" dxfId="8">
      <formula>0</formula>
    </cfRule>
    <cfRule type="cellIs" priority="2877" operator="lessThan" aboveAverage="0" equalAverage="0" bottom="0" percent="0" rank="0" text="" dxfId="9">
      <formula>MaliyetEsik</formula>
    </cfRule>
  </conditionalFormatting>
  <conditionalFormatting sqref="D969">
    <cfRule type="cellIs" priority="2878" operator="lessThan" aboveAverage="0" equalAverage="0" bottom="0" percent="0" rank="0" text="" dxfId="10">
      <formula>18</formula>
    </cfRule>
  </conditionalFormatting>
  <conditionalFormatting sqref="B970">
    <cfRule type="cellIs" priority="2879" operator="greaterThan" aboveAverage="0" equalAverage="0" bottom="0" percent="0" rank="0" text="" dxfId="8">
      <formula>0</formula>
    </cfRule>
    <cfRule type="cellIs" priority="2880" operator="lessThan" aboveAverage="0" equalAverage="0" bottom="0" percent="0" rank="0" text="" dxfId="9">
      <formula>MaliyetEsik</formula>
    </cfRule>
  </conditionalFormatting>
  <conditionalFormatting sqref="D970">
    <cfRule type="cellIs" priority="2881" operator="lessThan" aboveAverage="0" equalAverage="0" bottom="0" percent="0" rank="0" text="" dxfId="10">
      <formula>18</formula>
    </cfRule>
  </conditionalFormatting>
  <conditionalFormatting sqref="B971">
    <cfRule type="cellIs" priority="2882" operator="greaterThan" aboveAverage="0" equalAverage="0" bottom="0" percent="0" rank="0" text="" dxfId="8">
      <formula>0</formula>
    </cfRule>
    <cfRule type="cellIs" priority="2883" operator="lessThan" aboveAverage="0" equalAverage="0" bottom="0" percent="0" rank="0" text="" dxfId="9">
      <formula>MaliyetEsik</formula>
    </cfRule>
  </conditionalFormatting>
  <conditionalFormatting sqref="D971">
    <cfRule type="cellIs" priority="2884" operator="lessThan" aboveAverage="0" equalAverage="0" bottom="0" percent="0" rank="0" text="" dxfId="10">
      <formula>18</formula>
    </cfRule>
  </conditionalFormatting>
  <conditionalFormatting sqref="B972">
    <cfRule type="cellIs" priority="2885" operator="greaterThan" aboveAverage="0" equalAverage="0" bottom="0" percent="0" rank="0" text="" dxfId="8">
      <formula>0</formula>
    </cfRule>
    <cfRule type="cellIs" priority="2886" operator="lessThan" aboveAverage="0" equalAverage="0" bottom="0" percent="0" rank="0" text="" dxfId="9">
      <formula>MaliyetEsik</formula>
    </cfRule>
  </conditionalFormatting>
  <conditionalFormatting sqref="D972">
    <cfRule type="cellIs" priority="2887" operator="lessThan" aboveAverage="0" equalAverage="0" bottom="0" percent="0" rank="0" text="" dxfId="10">
      <formula>18</formula>
    </cfRule>
  </conditionalFormatting>
  <conditionalFormatting sqref="B973">
    <cfRule type="cellIs" priority="2888" operator="greaterThan" aboveAverage="0" equalAverage="0" bottom="0" percent="0" rank="0" text="" dxfId="8">
      <formula>0</formula>
    </cfRule>
    <cfRule type="cellIs" priority="2889" operator="lessThan" aboveAverage="0" equalAverage="0" bottom="0" percent="0" rank="0" text="" dxfId="9">
      <formula>MaliyetEsik</formula>
    </cfRule>
  </conditionalFormatting>
  <conditionalFormatting sqref="D973">
    <cfRule type="cellIs" priority="2890" operator="lessThan" aboveAverage="0" equalAverage="0" bottom="0" percent="0" rank="0" text="" dxfId="10">
      <formula>18</formula>
    </cfRule>
  </conditionalFormatting>
  <conditionalFormatting sqref="B974">
    <cfRule type="cellIs" priority="2891" operator="greaterThan" aboveAverage="0" equalAverage="0" bottom="0" percent="0" rank="0" text="" dxfId="8">
      <formula>0</formula>
    </cfRule>
    <cfRule type="cellIs" priority="2892" operator="lessThan" aboveAverage="0" equalAverage="0" bottom="0" percent="0" rank="0" text="" dxfId="9">
      <formula>MaliyetEsik</formula>
    </cfRule>
  </conditionalFormatting>
  <conditionalFormatting sqref="D974">
    <cfRule type="cellIs" priority="2893" operator="lessThan" aboveAverage="0" equalAverage="0" bottom="0" percent="0" rank="0" text="" dxfId="10">
      <formula>18</formula>
    </cfRule>
  </conditionalFormatting>
  <conditionalFormatting sqref="B975">
    <cfRule type="cellIs" priority="2894" operator="greaterThan" aboveAverage="0" equalAverage="0" bottom="0" percent="0" rank="0" text="" dxfId="8">
      <formula>0</formula>
    </cfRule>
    <cfRule type="cellIs" priority="2895" operator="lessThan" aboveAverage="0" equalAverage="0" bottom="0" percent="0" rank="0" text="" dxfId="9">
      <formula>MaliyetEsik</formula>
    </cfRule>
  </conditionalFormatting>
  <conditionalFormatting sqref="D975">
    <cfRule type="cellIs" priority="2896" operator="lessThan" aboveAverage="0" equalAverage="0" bottom="0" percent="0" rank="0" text="" dxfId="10">
      <formula>18</formula>
    </cfRule>
  </conditionalFormatting>
  <conditionalFormatting sqref="B976">
    <cfRule type="cellIs" priority="2897" operator="greaterThan" aboveAverage="0" equalAverage="0" bottom="0" percent="0" rank="0" text="" dxfId="8">
      <formula>0</formula>
    </cfRule>
    <cfRule type="cellIs" priority="2898" operator="lessThan" aboveAverage="0" equalAverage="0" bottom="0" percent="0" rank="0" text="" dxfId="9">
      <formula>MaliyetEsik</formula>
    </cfRule>
  </conditionalFormatting>
  <conditionalFormatting sqref="D976">
    <cfRule type="cellIs" priority="2899" operator="lessThan" aboveAverage="0" equalAverage="0" bottom="0" percent="0" rank="0" text="" dxfId="10">
      <formula>18</formula>
    </cfRule>
  </conditionalFormatting>
  <conditionalFormatting sqref="B977">
    <cfRule type="cellIs" priority="2900" operator="greaterThan" aboveAverage="0" equalAverage="0" bottom="0" percent="0" rank="0" text="" dxfId="8">
      <formula>0</formula>
    </cfRule>
    <cfRule type="cellIs" priority="2901" operator="lessThan" aboveAverage="0" equalAverage="0" bottom="0" percent="0" rank="0" text="" dxfId="9">
      <formula>MaliyetEsik</formula>
    </cfRule>
  </conditionalFormatting>
  <conditionalFormatting sqref="D977">
    <cfRule type="cellIs" priority="2902" operator="lessThan" aboveAverage="0" equalAverage="0" bottom="0" percent="0" rank="0" text="" dxfId="10">
      <formula>18</formula>
    </cfRule>
  </conditionalFormatting>
  <conditionalFormatting sqref="B978">
    <cfRule type="cellIs" priority="2903" operator="greaterThan" aboveAverage="0" equalAverage="0" bottom="0" percent="0" rank="0" text="" dxfId="8">
      <formula>0</formula>
    </cfRule>
    <cfRule type="cellIs" priority="2904" operator="lessThan" aboveAverage="0" equalAverage="0" bottom="0" percent="0" rank="0" text="" dxfId="9">
      <formula>MaliyetEsik</formula>
    </cfRule>
  </conditionalFormatting>
  <conditionalFormatting sqref="D978">
    <cfRule type="cellIs" priority="2905" operator="lessThan" aboveAverage="0" equalAverage="0" bottom="0" percent="0" rank="0" text="" dxfId="10">
      <formula>18</formula>
    </cfRule>
  </conditionalFormatting>
  <conditionalFormatting sqref="B979">
    <cfRule type="cellIs" priority="2906" operator="greaterThan" aboveAverage="0" equalAverage="0" bottom="0" percent="0" rank="0" text="" dxfId="8">
      <formula>0</formula>
    </cfRule>
    <cfRule type="cellIs" priority="2907" operator="lessThan" aboveAverage="0" equalAverage="0" bottom="0" percent="0" rank="0" text="" dxfId="9">
      <formula>MaliyetEsik</formula>
    </cfRule>
  </conditionalFormatting>
  <conditionalFormatting sqref="D979">
    <cfRule type="cellIs" priority="2908" operator="lessThan" aboveAverage="0" equalAverage="0" bottom="0" percent="0" rank="0" text="" dxfId="10">
      <formula>18</formula>
    </cfRule>
  </conditionalFormatting>
  <conditionalFormatting sqref="B980">
    <cfRule type="cellIs" priority="2909" operator="greaterThan" aboveAverage="0" equalAverage="0" bottom="0" percent="0" rank="0" text="" dxfId="8">
      <formula>0</formula>
    </cfRule>
    <cfRule type="cellIs" priority="2910" operator="lessThan" aboveAverage="0" equalAverage="0" bottom="0" percent="0" rank="0" text="" dxfId="9">
      <formula>MaliyetEsik</formula>
    </cfRule>
  </conditionalFormatting>
  <conditionalFormatting sqref="D980">
    <cfRule type="cellIs" priority="2911" operator="lessThan" aboveAverage="0" equalAverage="0" bottom="0" percent="0" rank="0" text="" dxfId="10">
      <formula>18</formula>
    </cfRule>
  </conditionalFormatting>
  <conditionalFormatting sqref="B981">
    <cfRule type="cellIs" priority="2912" operator="greaterThan" aboveAverage="0" equalAverage="0" bottom="0" percent="0" rank="0" text="" dxfId="8">
      <formula>0</formula>
    </cfRule>
    <cfRule type="cellIs" priority="2913" operator="lessThan" aboveAverage="0" equalAverage="0" bottom="0" percent="0" rank="0" text="" dxfId="9">
      <formula>MaliyetEsik</formula>
    </cfRule>
  </conditionalFormatting>
  <conditionalFormatting sqref="D981">
    <cfRule type="cellIs" priority="2914" operator="lessThan" aboveAverage="0" equalAverage="0" bottom="0" percent="0" rank="0" text="" dxfId="10">
      <formula>18</formula>
    </cfRule>
  </conditionalFormatting>
  <conditionalFormatting sqref="B982">
    <cfRule type="cellIs" priority="2915" operator="greaterThan" aboveAverage="0" equalAverage="0" bottom="0" percent="0" rank="0" text="" dxfId="8">
      <formula>0</formula>
    </cfRule>
    <cfRule type="cellIs" priority="2916" operator="lessThan" aboveAverage="0" equalAverage="0" bottom="0" percent="0" rank="0" text="" dxfId="9">
      <formula>MaliyetEsik</formula>
    </cfRule>
  </conditionalFormatting>
  <conditionalFormatting sqref="D982">
    <cfRule type="cellIs" priority="2917" operator="lessThan" aboveAverage="0" equalAverage="0" bottom="0" percent="0" rank="0" text="" dxfId="10">
      <formula>18</formula>
    </cfRule>
  </conditionalFormatting>
  <conditionalFormatting sqref="B983">
    <cfRule type="cellIs" priority="2918" operator="greaterThan" aboveAverage="0" equalAverage="0" bottom="0" percent="0" rank="0" text="" dxfId="8">
      <formula>0</formula>
    </cfRule>
    <cfRule type="cellIs" priority="2919" operator="lessThan" aboveAverage="0" equalAverage="0" bottom="0" percent="0" rank="0" text="" dxfId="9">
      <formula>MaliyetEsik</formula>
    </cfRule>
  </conditionalFormatting>
  <conditionalFormatting sqref="D983">
    <cfRule type="cellIs" priority="2920" operator="lessThan" aboveAverage="0" equalAverage="0" bottom="0" percent="0" rank="0" text="" dxfId="10">
      <formula>18</formula>
    </cfRule>
  </conditionalFormatting>
  <conditionalFormatting sqref="B984">
    <cfRule type="cellIs" priority="2921" operator="greaterThan" aboveAverage="0" equalAverage="0" bottom="0" percent="0" rank="0" text="" dxfId="8">
      <formula>0</formula>
    </cfRule>
    <cfRule type="cellIs" priority="2922" operator="lessThan" aboveAverage="0" equalAverage="0" bottom="0" percent="0" rank="0" text="" dxfId="9">
      <formula>MaliyetEsik</formula>
    </cfRule>
  </conditionalFormatting>
  <conditionalFormatting sqref="D984">
    <cfRule type="cellIs" priority="2923" operator="lessThan" aboveAverage="0" equalAverage="0" bottom="0" percent="0" rank="0" text="" dxfId="10">
      <formula>18</formula>
    </cfRule>
  </conditionalFormatting>
  <conditionalFormatting sqref="B985">
    <cfRule type="cellIs" priority="2924" operator="greaterThan" aboveAverage="0" equalAverage="0" bottom="0" percent="0" rank="0" text="" dxfId="8">
      <formula>0</formula>
    </cfRule>
    <cfRule type="cellIs" priority="2925" operator="lessThan" aboveAverage="0" equalAverage="0" bottom="0" percent="0" rank="0" text="" dxfId="9">
      <formula>MaliyetEsik</formula>
    </cfRule>
  </conditionalFormatting>
  <conditionalFormatting sqref="D985">
    <cfRule type="cellIs" priority="2926" operator="lessThan" aboveAverage="0" equalAverage="0" bottom="0" percent="0" rank="0" text="" dxfId="10">
      <formula>18</formula>
    </cfRule>
  </conditionalFormatting>
  <conditionalFormatting sqref="B986">
    <cfRule type="cellIs" priority="2927" operator="greaterThan" aboveAverage="0" equalAverage="0" bottom="0" percent="0" rank="0" text="" dxfId="8">
      <formula>0</formula>
    </cfRule>
    <cfRule type="cellIs" priority="2928" operator="lessThan" aboveAverage="0" equalAverage="0" bottom="0" percent="0" rank="0" text="" dxfId="9">
      <formula>MaliyetEsik</formula>
    </cfRule>
  </conditionalFormatting>
  <conditionalFormatting sqref="D986">
    <cfRule type="cellIs" priority="2929" operator="lessThan" aboveAverage="0" equalAverage="0" bottom="0" percent="0" rank="0" text="" dxfId="10">
      <formula>18</formula>
    </cfRule>
  </conditionalFormatting>
  <conditionalFormatting sqref="B987">
    <cfRule type="cellIs" priority="2930" operator="greaterThan" aboveAverage="0" equalAverage="0" bottom="0" percent="0" rank="0" text="" dxfId="8">
      <formula>0</formula>
    </cfRule>
    <cfRule type="cellIs" priority="2931" operator="lessThan" aboveAverage="0" equalAverage="0" bottom="0" percent="0" rank="0" text="" dxfId="9">
      <formula>MaliyetEsik</formula>
    </cfRule>
  </conditionalFormatting>
  <conditionalFormatting sqref="D987">
    <cfRule type="cellIs" priority="2932" operator="lessThan" aboveAverage="0" equalAverage="0" bottom="0" percent="0" rank="0" text="" dxfId="10">
      <formula>18</formula>
    </cfRule>
  </conditionalFormatting>
  <conditionalFormatting sqref="B988">
    <cfRule type="cellIs" priority="2933" operator="greaterThan" aboveAverage="0" equalAverage="0" bottom="0" percent="0" rank="0" text="" dxfId="8">
      <formula>0</formula>
    </cfRule>
    <cfRule type="cellIs" priority="2934" operator="lessThan" aboveAverage="0" equalAverage="0" bottom="0" percent="0" rank="0" text="" dxfId="9">
      <formula>MaliyetEsik</formula>
    </cfRule>
  </conditionalFormatting>
  <conditionalFormatting sqref="D988">
    <cfRule type="cellIs" priority="2935" operator="lessThan" aboveAverage="0" equalAverage="0" bottom="0" percent="0" rank="0" text="" dxfId="10">
      <formula>18</formula>
    </cfRule>
  </conditionalFormatting>
  <conditionalFormatting sqref="B989">
    <cfRule type="cellIs" priority="2936" operator="greaterThan" aboveAverage="0" equalAverage="0" bottom="0" percent="0" rank="0" text="" dxfId="8">
      <formula>0</formula>
    </cfRule>
    <cfRule type="cellIs" priority="2937" operator="lessThan" aboveAverage="0" equalAverage="0" bottom="0" percent="0" rank="0" text="" dxfId="9">
      <formula>MaliyetEsik</formula>
    </cfRule>
  </conditionalFormatting>
  <conditionalFormatting sqref="D989">
    <cfRule type="cellIs" priority="2938" operator="lessThan" aboveAverage="0" equalAverage="0" bottom="0" percent="0" rank="0" text="" dxfId="10">
      <formula>18</formula>
    </cfRule>
  </conditionalFormatting>
  <conditionalFormatting sqref="B990">
    <cfRule type="cellIs" priority="2939" operator="greaterThan" aboveAverage="0" equalAverage="0" bottom="0" percent="0" rank="0" text="" dxfId="8">
      <formula>0</formula>
    </cfRule>
    <cfRule type="cellIs" priority="2940" operator="lessThan" aboveAverage="0" equalAverage="0" bottom="0" percent="0" rank="0" text="" dxfId="9">
      <formula>MaliyetEsik</formula>
    </cfRule>
  </conditionalFormatting>
  <conditionalFormatting sqref="D990">
    <cfRule type="cellIs" priority="2941" operator="lessThan" aboveAverage="0" equalAverage="0" bottom="0" percent="0" rank="0" text="" dxfId="10">
      <formula>18</formula>
    </cfRule>
  </conditionalFormatting>
  <conditionalFormatting sqref="B991">
    <cfRule type="cellIs" priority="2942" operator="greaterThan" aboveAverage="0" equalAverage="0" bottom="0" percent="0" rank="0" text="" dxfId="8">
      <formula>0</formula>
    </cfRule>
    <cfRule type="cellIs" priority="2943" operator="lessThan" aboveAverage="0" equalAverage="0" bottom="0" percent="0" rank="0" text="" dxfId="9">
      <formula>MaliyetEsik</formula>
    </cfRule>
  </conditionalFormatting>
  <conditionalFormatting sqref="D991">
    <cfRule type="cellIs" priority="2944" operator="lessThan" aboveAverage="0" equalAverage="0" bottom="0" percent="0" rank="0" text="" dxfId="10">
      <formula>18</formula>
    </cfRule>
  </conditionalFormatting>
  <conditionalFormatting sqref="B992">
    <cfRule type="cellIs" priority="2945" operator="greaterThan" aboveAverage="0" equalAverage="0" bottom="0" percent="0" rank="0" text="" dxfId="8">
      <formula>0</formula>
    </cfRule>
    <cfRule type="cellIs" priority="2946" operator="lessThan" aboveAverage="0" equalAverage="0" bottom="0" percent="0" rank="0" text="" dxfId="9">
      <formula>MaliyetEsik</formula>
    </cfRule>
  </conditionalFormatting>
  <conditionalFormatting sqref="D992">
    <cfRule type="cellIs" priority="2947" operator="lessThan" aboveAverage="0" equalAverage="0" bottom="0" percent="0" rank="0" text="" dxfId="10">
      <formula>18</formula>
    </cfRule>
  </conditionalFormatting>
  <conditionalFormatting sqref="B993">
    <cfRule type="cellIs" priority="2948" operator="greaterThan" aboveAverage="0" equalAverage="0" bottom="0" percent="0" rank="0" text="" dxfId="8">
      <formula>0</formula>
    </cfRule>
    <cfRule type="cellIs" priority="2949" operator="lessThan" aboveAverage="0" equalAverage="0" bottom="0" percent="0" rank="0" text="" dxfId="9">
      <formula>MaliyetEsik</formula>
    </cfRule>
  </conditionalFormatting>
  <conditionalFormatting sqref="D993">
    <cfRule type="cellIs" priority="2950" operator="lessThan" aboveAverage="0" equalAverage="0" bottom="0" percent="0" rank="0" text="" dxfId="10">
      <formula>18</formula>
    </cfRule>
  </conditionalFormatting>
  <conditionalFormatting sqref="B994">
    <cfRule type="cellIs" priority="2951" operator="greaterThan" aboveAverage="0" equalAverage="0" bottom="0" percent="0" rank="0" text="" dxfId="8">
      <formula>0</formula>
    </cfRule>
    <cfRule type="cellIs" priority="2952" operator="lessThan" aboveAverage="0" equalAverage="0" bottom="0" percent="0" rank="0" text="" dxfId="9">
      <formula>MaliyetEsik</formula>
    </cfRule>
  </conditionalFormatting>
  <conditionalFormatting sqref="D994">
    <cfRule type="cellIs" priority="2953" operator="lessThan" aboveAverage="0" equalAverage="0" bottom="0" percent="0" rank="0" text="" dxfId="10">
      <formula>18</formula>
    </cfRule>
  </conditionalFormatting>
  <conditionalFormatting sqref="B995">
    <cfRule type="cellIs" priority="2954" operator="greaterThan" aboveAverage="0" equalAverage="0" bottom="0" percent="0" rank="0" text="" dxfId="8">
      <formula>0</formula>
    </cfRule>
    <cfRule type="cellIs" priority="2955" operator="lessThan" aboveAverage="0" equalAverage="0" bottom="0" percent="0" rank="0" text="" dxfId="9">
      <formula>MaliyetEsik</formula>
    </cfRule>
  </conditionalFormatting>
  <conditionalFormatting sqref="D995">
    <cfRule type="cellIs" priority="2956" operator="lessThan" aboveAverage="0" equalAverage="0" bottom="0" percent="0" rank="0" text="" dxfId="10">
      <formula>18</formula>
    </cfRule>
  </conditionalFormatting>
  <conditionalFormatting sqref="B996">
    <cfRule type="cellIs" priority="2957" operator="greaterThan" aboveAverage="0" equalAverage="0" bottom="0" percent="0" rank="0" text="" dxfId="8">
      <formula>0</formula>
    </cfRule>
    <cfRule type="cellIs" priority="2958" operator="lessThan" aboveAverage="0" equalAverage="0" bottom="0" percent="0" rank="0" text="" dxfId="9">
      <formula>MaliyetEsik</formula>
    </cfRule>
  </conditionalFormatting>
  <conditionalFormatting sqref="D996">
    <cfRule type="cellIs" priority="2959" operator="lessThan" aboveAverage="0" equalAverage="0" bottom="0" percent="0" rank="0" text="" dxfId="10">
      <formula>18</formula>
    </cfRule>
  </conditionalFormatting>
  <conditionalFormatting sqref="B997">
    <cfRule type="cellIs" priority="2960" operator="greaterThan" aboveAverage="0" equalAverage="0" bottom="0" percent="0" rank="0" text="" dxfId="8">
      <formula>0</formula>
    </cfRule>
    <cfRule type="cellIs" priority="2961" operator="lessThan" aboveAverage="0" equalAverage="0" bottom="0" percent="0" rank="0" text="" dxfId="9">
      <formula>MaliyetEsik</formula>
    </cfRule>
  </conditionalFormatting>
  <conditionalFormatting sqref="D997">
    <cfRule type="cellIs" priority="2962" operator="lessThan" aboveAverage="0" equalAverage="0" bottom="0" percent="0" rank="0" text="" dxfId="10">
      <formula>18</formula>
    </cfRule>
  </conditionalFormatting>
  <conditionalFormatting sqref="B998">
    <cfRule type="cellIs" priority="2963" operator="greaterThan" aboveAverage="0" equalAverage="0" bottom="0" percent="0" rank="0" text="" dxfId="8">
      <formula>0</formula>
    </cfRule>
    <cfRule type="cellIs" priority="2964" operator="lessThan" aboveAverage="0" equalAverage="0" bottom="0" percent="0" rank="0" text="" dxfId="9">
      <formula>MaliyetEsik</formula>
    </cfRule>
  </conditionalFormatting>
  <conditionalFormatting sqref="D998">
    <cfRule type="cellIs" priority="2965" operator="lessThan" aboveAverage="0" equalAverage="0" bottom="0" percent="0" rank="0" text="" dxfId="10">
      <formula>18</formula>
    </cfRule>
  </conditionalFormatting>
  <conditionalFormatting sqref="B999">
    <cfRule type="cellIs" priority="2966" operator="greaterThan" aboveAverage="0" equalAverage="0" bottom="0" percent="0" rank="0" text="" dxfId="8">
      <formula>0</formula>
    </cfRule>
    <cfRule type="cellIs" priority="2967" operator="lessThan" aboveAverage="0" equalAverage="0" bottom="0" percent="0" rank="0" text="" dxfId="9">
      <formula>MaliyetEsik</formula>
    </cfRule>
  </conditionalFormatting>
  <conditionalFormatting sqref="D999">
    <cfRule type="cellIs" priority="2968" operator="lessThan" aboveAverage="0" equalAverage="0" bottom="0" percent="0" rank="0" text="" dxfId="10">
      <formula>18</formula>
    </cfRule>
  </conditionalFormatting>
  <conditionalFormatting sqref="B1000">
    <cfRule type="cellIs" priority="2969" operator="greaterThan" aboveAverage="0" equalAverage="0" bottom="0" percent="0" rank="0" text="" dxfId="8">
      <formula>0</formula>
    </cfRule>
    <cfRule type="cellIs" priority="2970" operator="lessThan" aboveAverage="0" equalAverage="0" bottom="0" percent="0" rank="0" text="" dxfId="9">
      <formula>MaliyetEsik</formula>
    </cfRule>
  </conditionalFormatting>
  <conditionalFormatting sqref="D1000">
    <cfRule type="cellIs" priority="2971" operator="lessThan" aboveAverage="0" equalAverage="0" bottom="0" percent="0" rank="0" text="" dxfId="10">
      <formula>18</formula>
    </cfRule>
  </conditionalFormatting>
  <conditionalFormatting sqref="B1001">
    <cfRule type="cellIs" priority="2972" operator="greaterThan" aboveAverage="0" equalAverage="0" bottom="0" percent="0" rank="0" text="" dxfId="8">
      <formula>0</formula>
    </cfRule>
    <cfRule type="cellIs" priority="2973" operator="lessThan" aboveAverage="0" equalAverage="0" bottom="0" percent="0" rank="0" text="" dxfId="9">
      <formula>MaliyetEsik</formula>
    </cfRule>
  </conditionalFormatting>
  <conditionalFormatting sqref="D1001">
    <cfRule type="cellIs" priority="2974" operator="lessThan" aboveAverage="0" equalAverage="0" bottom="0" percent="0" rank="0" text="" dxfId="10">
      <formula>18</formula>
    </cfRule>
  </conditionalFormatting>
  <conditionalFormatting sqref="B1002">
    <cfRule type="cellIs" priority="2975" operator="greaterThan" aboveAverage="0" equalAverage="0" bottom="0" percent="0" rank="0" text="" dxfId="8">
      <formula>0</formula>
    </cfRule>
    <cfRule type="cellIs" priority="2976" operator="lessThan" aboveAverage="0" equalAverage="0" bottom="0" percent="0" rank="0" text="" dxfId="9">
      <formula>MaliyetEsik</formula>
    </cfRule>
  </conditionalFormatting>
  <conditionalFormatting sqref="D1002">
    <cfRule type="cellIs" priority="2977" operator="lessThan" aboveAverage="0" equalAverage="0" bottom="0" percent="0" rank="0" text="" dxfId="10">
      <formula>18</formula>
    </cfRule>
  </conditionalFormatting>
  <conditionalFormatting sqref="B1003">
    <cfRule type="cellIs" priority="2978" operator="greaterThan" aboveAverage="0" equalAverage="0" bottom="0" percent="0" rank="0" text="" dxfId="8">
      <formula>0</formula>
    </cfRule>
    <cfRule type="cellIs" priority="2979" operator="lessThan" aboveAverage="0" equalAverage="0" bottom="0" percent="0" rank="0" text="" dxfId="9">
      <formula>MaliyetEsik</formula>
    </cfRule>
  </conditionalFormatting>
  <conditionalFormatting sqref="D1003">
    <cfRule type="cellIs" priority="2980" operator="lessThan" aboveAverage="0" equalAverage="0" bottom="0" percent="0" rank="0" text="" dxfId="10">
      <formula>18</formula>
    </cfRule>
  </conditionalFormatting>
  <conditionalFormatting sqref="B1004">
    <cfRule type="cellIs" priority="2981" operator="greaterThan" aboveAverage="0" equalAverage="0" bottom="0" percent="0" rank="0" text="" dxfId="8">
      <formula>0</formula>
    </cfRule>
    <cfRule type="cellIs" priority="2982" operator="lessThan" aboveAverage="0" equalAverage="0" bottom="0" percent="0" rank="0" text="" dxfId="9">
      <formula>MaliyetEsik</formula>
    </cfRule>
  </conditionalFormatting>
  <conditionalFormatting sqref="D1004">
    <cfRule type="cellIs" priority="2983" operator="lessThan" aboveAverage="0" equalAverage="0" bottom="0" percent="0" rank="0" text="" dxfId="10">
      <formula>18</formula>
    </cfRule>
  </conditionalFormatting>
  <conditionalFormatting sqref="B1005">
    <cfRule type="cellIs" priority="2984" operator="greaterThan" aboveAverage="0" equalAverage="0" bottom="0" percent="0" rank="0" text="" dxfId="8">
      <formula>0</formula>
    </cfRule>
    <cfRule type="cellIs" priority="2985" operator="lessThan" aboveAverage="0" equalAverage="0" bottom="0" percent="0" rank="0" text="" dxfId="9">
      <formula>MaliyetEsik</formula>
    </cfRule>
  </conditionalFormatting>
  <conditionalFormatting sqref="D1005">
    <cfRule type="cellIs" priority="2986" operator="lessThan" aboveAverage="0" equalAverage="0" bottom="0" percent="0" rank="0" text="" dxfId="10">
      <formula>18</formula>
    </cfRule>
  </conditionalFormatting>
  <conditionalFormatting sqref="B1006">
    <cfRule type="cellIs" priority="2987" operator="greaterThan" aboveAverage="0" equalAverage="0" bottom="0" percent="0" rank="0" text="" dxfId="8">
      <formula>0</formula>
    </cfRule>
    <cfRule type="cellIs" priority="2988" operator="lessThan" aboveAverage="0" equalAverage="0" bottom="0" percent="0" rank="0" text="" dxfId="9">
      <formula>MaliyetEsik</formula>
    </cfRule>
  </conditionalFormatting>
  <conditionalFormatting sqref="D1006">
    <cfRule type="cellIs" priority="2989" operator="lessThan" aboveAverage="0" equalAverage="0" bottom="0" percent="0" rank="0" text="" dxfId="10">
      <formula>18</formula>
    </cfRule>
  </conditionalFormatting>
  <conditionalFormatting sqref="B1007">
    <cfRule type="cellIs" priority="2990" operator="greaterThan" aboveAverage="0" equalAverage="0" bottom="0" percent="0" rank="0" text="" dxfId="8">
      <formula>0</formula>
    </cfRule>
    <cfRule type="cellIs" priority="2991" operator="lessThan" aboveAverage="0" equalAverage="0" bottom="0" percent="0" rank="0" text="" dxfId="9">
      <formula>MaliyetEsik</formula>
    </cfRule>
  </conditionalFormatting>
  <conditionalFormatting sqref="D1007">
    <cfRule type="cellIs" priority="2992" operator="lessThan" aboveAverage="0" equalAverage="0" bottom="0" percent="0" rank="0" text="" dxfId="10">
      <formula>18</formula>
    </cfRule>
  </conditionalFormatting>
  <conditionalFormatting sqref="B1008">
    <cfRule type="cellIs" priority="2993" operator="greaterThan" aboveAverage="0" equalAverage="0" bottom="0" percent="0" rank="0" text="" dxfId="8">
      <formula>0</formula>
    </cfRule>
    <cfRule type="cellIs" priority="2994" operator="lessThan" aboveAverage="0" equalAverage="0" bottom="0" percent="0" rank="0" text="" dxfId="9">
      <formula>MaliyetEsik</formula>
    </cfRule>
  </conditionalFormatting>
  <conditionalFormatting sqref="D1008">
    <cfRule type="cellIs" priority="2995" operator="lessThan" aboveAverage="0" equalAverage="0" bottom="0" percent="0" rank="0" text="" dxfId="10">
      <formula>18</formula>
    </cfRule>
  </conditionalFormatting>
  <conditionalFormatting sqref="B1009">
    <cfRule type="cellIs" priority="2996" operator="greaterThan" aboveAverage="0" equalAverage="0" bottom="0" percent="0" rank="0" text="" dxfId="8">
      <formula>0</formula>
    </cfRule>
    <cfRule type="cellIs" priority="2997" operator="lessThan" aboveAverage="0" equalAverage="0" bottom="0" percent="0" rank="0" text="" dxfId="9">
      <formula>MaliyetEsik</formula>
    </cfRule>
  </conditionalFormatting>
  <conditionalFormatting sqref="D1009">
    <cfRule type="cellIs" priority="2998" operator="lessThan" aboveAverage="0" equalAverage="0" bottom="0" percent="0" rank="0" text="" dxfId="10">
      <formula>18</formula>
    </cfRule>
  </conditionalFormatting>
  <conditionalFormatting sqref="B1010">
    <cfRule type="cellIs" priority="2999" operator="greaterThan" aboveAverage="0" equalAverage="0" bottom="0" percent="0" rank="0" text="" dxfId="8">
      <formula>0</formula>
    </cfRule>
    <cfRule type="cellIs" priority="3000" operator="lessThan" aboveAverage="0" equalAverage="0" bottom="0" percent="0" rank="0" text="" dxfId="9">
      <formula>MaliyetEsik</formula>
    </cfRule>
  </conditionalFormatting>
  <conditionalFormatting sqref="D1010">
    <cfRule type="cellIs" priority="3001" operator="lessThan" aboveAverage="0" equalAverage="0" bottom="0" percent="0" rank="0" text="" dxfId="10">
      <formula>18</formula>
    </cfRule>
  </conditionalFormatting>
  <dataValidations count="1004">
    <dataValidation allowBlank="true" error="Metin girin." errorStyle="stop" errorTitle="Geçersiz değer" operator="between" prompt="İşletmenin ticari unvanı" promptTitle="Firma Unvanı" showDropDown="false" showErrorMessage="true" showInputMessage="true" sqref="B4" type="list">
      <formula1>ListeMetin</formula1>
      <formula2>0</formula2>
    </dataValidation>
    <dataValidation allowBlank="true" error="Metin girin." errorStyle="stop" errorTitle="Geçersiz değer" operator="between" prompt="İşveren SGK sicil numarası" promptTitle="SGK Sicil Numarası" showDropDown="false" showErrorMessage="true" showInputMessage="true" sqref="B5" type="list">
      <formula1>ListeMetin</formula1>
      <formula2>0</formula2>
    </dataValidation>
    <dataValidation allowBlank="true" error="Değer 0'dan büyük olmalı." errorStyle="stop" errorTitle="Geçersiz değer" operator="greaterThan" prompt="Aylık toplam prim günü" promptTitle="Aylık Prim Gün Sayısı (Toplam)" showDropDown="false" showErrorMessage="true" showInputMessage="true" sqref="B6" type="whole">
      <formula1>0</formula1>
      <formula2>0</formula2>
    </dataValidation>
    <dataValidation allowBlank="true" error="Değer 0'dan büyük olmalı." errorStyle="stop" errorTitle="Geçersiz değer" operator="greaterThan" prompt="Ay ortalaması çalışan sayısı" promptTitle="Ortalama Çalışan Sayısı" showDropDown="false" showErrorMessage="true" showInputMessage="true" sqref="B7" type="whole">
      <formula1>0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:H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:H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:H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:H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:H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:H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:H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:H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:H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:H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:H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:H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:H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:H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:H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:H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:H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:H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:H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:H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:H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:H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:H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:H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:H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:H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:H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:H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:H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:H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:H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:H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:H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:H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:H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:H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:H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:H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:H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:H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:H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:H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:H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:H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:H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:H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:H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:H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:H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:H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:H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:H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:H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:H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:H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:H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:H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:H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:H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:H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:H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:H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:H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:H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:H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:H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:H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:H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:H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:H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:H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:H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:H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:H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:H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:H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:H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:H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:H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:H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:H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:H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:H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:H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:H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:H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:H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:H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:H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:H1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1:H1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2:H1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3:H1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4:H1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5:H1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6:H1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7:H1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8:H1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9:H1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0:H1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1:H1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2:H1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3:H1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4:H1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5:H1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6:H1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7:H1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8:H1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19:H1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0:H1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1:H1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2:H1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3:H1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4:H1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5:H1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6:H1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7:H1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8:H1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29:H1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0:H1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1:H1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2:H1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3:H1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4:H1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5:H1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6:H1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7:H1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8:H1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39:H1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0:H1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1:H1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2:H1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3:H1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4:H1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5:H1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6:H1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7:H1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8:H1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49:H1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0:H1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1:H1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2:H1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3:H1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4:H1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5:H1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6:H1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7:H1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8:H1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59:H1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0:H1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1:H1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2:H1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3:H1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4:H1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5:H1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6:H1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7:H1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8:H1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69:H1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0:H1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1:H1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2:H1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3:H1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4:H1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5:H1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6:H1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7:H1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8:H1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79:H1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0:H1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1:H1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2:H1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3:H1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4:H1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5:H1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6:H1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7:H1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8:H1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89:H1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0:H1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1:H1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2:H1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3:H1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4:H1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5:H1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6:H1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7:H1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8:H1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99:H1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0:H2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1:H2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2:H2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3:H2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4:H2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5:H2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6:H2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7:H2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8:H2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09:H2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0:H2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1:H2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2:H2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3:H2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4:H2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5:H2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6:H2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7:H2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8:H2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19:H2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0:H2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1:H2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2:H2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3:H2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4:H2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5:H2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6:H2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7:H2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8:H2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29:H2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0:H2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1:H2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2:H2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3:H2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4:H2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5:H2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6:H2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7:H2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8:H2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39:H2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0:H2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1:H2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2:H2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3:H2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4:H2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5:H2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6:H2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7:H2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8:H2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49:H2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0:H2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1:H2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2:H2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3:H2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4:H2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5:H2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6:H2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7:H2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8:H2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59:H2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0:H2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1:H2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2:H2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3:H2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4:H2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5:H2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6:H2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7:H2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8:H2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69:H2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0:H2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1:H2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2:H2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3:H2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4:H2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5:H2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6:H2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7:H2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8:H2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79:H2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0:H2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1:H2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2:H2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3:H2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4:H2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5:H2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6:H2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7:H2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8:H2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89:H2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0:H2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1:H2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2:H2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3:H2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4:H2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5:H2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6:H2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7:H2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8:H2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299:H2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0:H3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1:H3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2:H3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3:H3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4:H3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5:H3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6:H3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7:H3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8:H3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09:H3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0:H3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1:H3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2:H3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3:H3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4:H3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5:H3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6:H3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7:H3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8:H3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19:H3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0:H3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1:H3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2:H3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3:H3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4:H3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5:H3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6:H3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7:H3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8:H3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29:H3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0:H3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1:H3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2:H3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3:H3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4:H3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5:H3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6:H3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7:H3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8:H3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39:H3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0:H3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1:H3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2:H3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3:H3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4:H3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5:H3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6:H3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7:H3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8:H3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49:H3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0:H3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1:H3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2:H3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3:H3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4:H3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5:H3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6:H3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7:H3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8:H3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59:H3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0:H3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1:H3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2:H3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3:H3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4:H3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5:H3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6:H3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7:H3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8:H3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69:H3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0:H3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1:H3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2:H3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3:H3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4:H3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5:H3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6:H3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7:H3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8:H3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79:H3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0:H3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1:H3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2:H3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3:H3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4:H3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5:H3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6:H3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7:H3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8:H3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89:H3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0:H3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1:H3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2:H3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3:H3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4:H3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5:H3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6:H3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7:H3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8:H3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399:H3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0:H4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1:H4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2:H4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3:H4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4:H4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5:H4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6:H4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7:H4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8:H4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09:H4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0:H4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1:H4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2:H4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3:H4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4:H4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5:H4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6:H4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7:H4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8:H4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19:H4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0:H4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1:H4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2:H4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3:H4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4:H4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5:H4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6:H4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7:H4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8:H4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29:H4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0:H4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1:H4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2:H4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3:H4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4:H4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5:H4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6:H4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7:H4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8:H4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39:H4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0:H4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1:H4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2:H4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3:H4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4:H4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5:H4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6:H4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7:H4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8:H4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49:H4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0:H4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1:H4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2:H4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3:H4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4:H4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5:H4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6:H4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7:H4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8:H4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59:H4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0:H4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1:H4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2:H4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3:H4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4:H4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5:H4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6:H4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7:H4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8:H4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69:H4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0:H4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1:H4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2:H4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3:H4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4:H4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5:H4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6:H4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7:H4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8:H4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79:H4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0:H4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1:H4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2:H4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3:H4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4:H4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5:H4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6:H4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7:H4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8:H4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89:H4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0:H4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1:H4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2:H4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3:H4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4:H4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5:H4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6:H4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7:H4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8:H4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499:H4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0:H5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1:H5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2:H5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3:H5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4:H5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5:H5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6:H5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7:H5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8:H5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09:H5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0:H5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1:H5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2:H5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3:H5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4:H5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5:H5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6:H5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7:H5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8:H5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19:H5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0:H5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1:H5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2:H5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3:H5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4:H5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5:H5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6:H5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7:H5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8:H5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29:H5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0:H5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1:H5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2:H5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3:H5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4:H5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5:H5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6:H5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7:H5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8:H5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39:H5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0:H5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1:H5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2:H5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3:H5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4:H5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5:H5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6:H5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7:H5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8:H5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49:H5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0:H5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1:H5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2:H5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3:H5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4:H5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5:H5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6:H5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7:H5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8:H5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59:H5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0:H5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1:H5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2:H5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3:H5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4:H5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5:H5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6:H5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7:H5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8:H5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69:H5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0:H5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1:H5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2:H5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3:H5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4:H5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5:H5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6:H5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7:H5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8:H5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79:H5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0:H5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1:H5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2:H5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3:H5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4:H5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5:H5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6:H5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7:H5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8:H5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89:H5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0:H5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1:H5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2:H5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3:H5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4:H5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5:H5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6:H5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7:H5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8:H5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599:H5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0:H6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1:H6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2:H6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3:H6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4:H6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5:H6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6:H6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7:H6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8:H6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09:H6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0:H6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1:H6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2:H6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3:H6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4:H6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5:H6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6:H6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7:H6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8:H6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19:H6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0:H6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1:H6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2:H6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3:H6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4:H6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5:H6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6:H6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7:H6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8:H6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29:H6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0:H6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1:H6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2:H6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3:H6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4:H6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5:H6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6:H6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7:H6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8:H6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39:H6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0:H6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1:H6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2:H6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3:H6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4:H6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5:H6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6:H6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7:H6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8:H6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49:H6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0:H6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1:H6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2:H6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3:H6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4:H6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5:H6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6:H6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7:H6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8:H6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59:H6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0:H6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1:H6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2:H6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3:H6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4:H6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5:H6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6:H6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7:H6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8:H6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69:H6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0:H6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1:H6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2:H6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3:H6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4:H6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5:H6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6:H6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7:H6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8:H6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79:H6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0:H6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1:H6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2:H6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3:H6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4:H6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5:H6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6:H6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7:H6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8:H6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89:H6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0:H6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1:H6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2:H6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3:H6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4:H6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5:H6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6:H6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7:H6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8:H6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699:H6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0:H7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1:H7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2:H7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3:H7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4:H7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5:H7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6:H7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7:H7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8:H7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09:H7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0:H7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1:H7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2:H7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3:H7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4:H7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5:H7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6:H7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7:H7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8:H7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19:H7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0:H7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1:H7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2:H7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3:H7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4:H7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5:H7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6:H7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7:H7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8:H7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29:H7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0:H7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1:H7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2:H7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3:H7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4:H7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5:H7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6:H7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7:H7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8:H7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39:H7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0:H7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1:H7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2:H7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3:H7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4:H7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5:H7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6:H7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7:H7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8:H7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49:H7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0:H7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1:H7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2:H7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3:H7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4:H7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5:H7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6:H7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7:H7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8:H7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59:H7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0:H7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1:H7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2:H7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3:H7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4:H7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5:H7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6:H7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7:H7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8:H7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69:H7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0:H7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1:H7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2:H7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3:H7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4:H7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5:H7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6:H7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7:H7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8:H7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79:H7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0:H7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1:H7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2:H7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3:H7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4:H7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5:H7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6:H7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7:H7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8:H7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89:H7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0:H7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1:H7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2:H7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3:H7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4:H7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5:H7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6:H7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7:H7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8:H7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799:H7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0:H8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1:H8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2:H8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3:H8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4:H8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5:H8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6:H8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7:H8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8:H8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09:H8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0:H8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1:H8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2:H8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3:H8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4:H8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5:H8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6:H8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7:H8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8:H8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19:H8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0:H8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1:H8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2:H8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3:H8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4:H8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5:H8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6:H8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7:H8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8:H8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29:H8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0:H8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1:H8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2:H8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3:H8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4:H8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5:H8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6:H8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7:H8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8:H8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39:H8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0:H8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1:H8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2:H8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3:H8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4:H8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5:H8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6:H8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7:H8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8:H8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49:H8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0:H8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1:H8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2:H8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3:H8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4:H8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5:H8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6:H8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7:H8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8:H8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59:H8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0:H8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1:H8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2:H8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3:H8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4:H8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5:H8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6:H8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7:H8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8:H8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69:H8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0:H8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1:H8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2:H8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3:H8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4:H8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5:H8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6:H8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7:H8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8:H8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79:H8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0:H8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1:H8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2:H8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3:H8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4:H8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5:H8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6:H8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7:H8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8:H8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89:H8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0:H8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1:H8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2:H8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3:H8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4:H8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5:H8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6:H8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7:H8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8:H8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899:H8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0:H9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1:H9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2:H9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3:H9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4:H9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5:H9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6:H9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7:H9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8:H9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09:H9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0:H91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1:H91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2:H91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3:H91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4:H91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5:H91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6:H91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7:H91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8:H91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19:H91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0:H92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1:H92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2:H92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3:H92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4:H92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5:H92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6:H92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7:H92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8:H92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29:H92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0:H93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1:H93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2:H93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3:H93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4:H93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5:H93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6:H93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7:H93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8:H93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39:H93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0:H94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1:H94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2:H94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3:H94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4:H94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5:H94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6:H94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7:H94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8:H94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49:H94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0:H95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1:H95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2:H95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3:H95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4:H95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5:H95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6:H95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7:H95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8:H95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59:H95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0:H96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1:H96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2:H96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3:H96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4:H96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5:H96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6:H96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7:H96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8:H96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69:H96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0:H97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1:H97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2:H97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3:H97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4:H97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5:H97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6:H97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7:H97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8:H97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79:H97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0:H98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1:H98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2:H98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3:H98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4:H98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5:H98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6:H98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7:H98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8:H98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89:H98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0:H99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1:H99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2:H99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3:H99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4:H99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5:H99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6:H99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7:H99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8:H99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999:H99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0:H1000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1:H1001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2:H1002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3:H1003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4:H1004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5:H1005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6:H1006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7:H1007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8:H1008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09:H1009" type="list">
      <formula1>ListeEvetHayir</formula1>
      <formula2>0</formula2>
    </dataValidation>
    <dataValidation allowBlank="true" error="Evet veya Hayır seçin." errorStyle="stop" errorTitle="Geçersiz seçim" operator="between" prompt="Sadece listeden seçim yapın." promptTitle="Evet / Hayır" showDropDown="false" showErrorMessage="true" showInputMessage="true" sqref="F1010:H1010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6" min="3" style="0" width="15"/>
    <col collapsed="false" customWidth="true" hidden="false" outlineLevel="0" max="8" min="7" style="0" width="18"/>
  </cols>
  <sheetData>
    <row r="1" customFormat="false" ht="25.5" hidden="false" customHeight="true" outlineLevel="0" collapsed="false">
      <c r="A1" s="12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61</v>
      </c>
    </row>
    <row r="4" customFormat="false" ht="15" hidden="false" customHeight="false" outlineLevel="0" collapsed="false">
      <c r="A4" s="7" t="s">
        <v>62</v>
      </c>
      <c r="B4" s="7"/>
      <c r="C4" s="7"/>
      <c r="D4" s="7"/>
      <c r="E4" s="7"/>
      <c r="F4" s="7"/>
      <c r="G4" s="7"/>
      <c r="H4" s="7"/>
    </row>
    <row r="6" customFormat="false" ht="30" hidden="false" customHeight="true" outlineLevel="0" collapsed="false">
      <c r="A6" s="18" t="s">
        <v>32</v>
      </c>
      <c r="B6" s="18" t="s">
        <v>33</v>
      </c>
      <c r="C6" s="18" t="s">
        <v>63</v>
      </c>
      <c r="D6" s="18" t="s">
        <v>64</v>
      </c>
      <c r="E6" s="18" t="s">
        <v>65</v>
      </c>
      <c r="F6" s="18" t="s">
        <v>66</v>
      </c>
      <c r="G6" s="18" t="s">
        <v>67</v>
      </c>
      <c r="H6" s="18" t="s">
        <v>68</v>
      </c>
    </row>
    <row r="7" customFormat="false" ht="15" hidden="false" customHeight="false" outlineLevel="0" collapsed="false">
      <c r="A7" s="19" t="s">
        <v>41</v>
      </c>
      <c r="B7" s="22" t="n">
        <f aca="false">IF($A7="","",IFERROR(INDEX(tblCalisan[Brüt Ücret (₺)],MATCH($A7,tblCalisan[Çalışan Adı],0)),""))</f>
        <v>35000</v>
      </c>
      <c r="C7" s="22" t="n">
        <f aca="false">IF($A7="","",$B7*IsverenPayiOrani)</f>
        <v>7175</v>
      </c>
      <c r="D7" s="22" t="n">
        <f aca="false">IF($A7="","",$B7*IssizlikOrani)</f>
        <v>700</v>
      </c>
      <c r="E7" s="22" t="n">
        <f aca="false">IF($A7="","",$B7*KidemKarsilikOrani)</f>
        <v>2915.5</v>
      </c>
      <c r="F7" s="20" t="n">
        <v>3000</v>
      </c>
      <c r="G7" s="22" t="n">
        <f aca="false">IF($A7="","",$B7+$C7+$D7+$E7+$F7)</f>
        <v>48790.5</v>
      </c>
      <c r="H7" s="22" t="n">
        <f aca="false">IF($A7="","",$G7*AySayisi)</f>
        <v>585486</v>
      </c>
    </row>
    <row r="8" customFormat="false" ht="15" hidden="false" customHeight="false" outlineLevel="0" collapsed="false">
      <c r="A8" s="19" t="s">
        <v>45</v>
      </c>
      <c r="B8" s="22" t="n">
        <f aca="false">IF($A8="","",IFERROR(INDEX(tblCalisan[Brüt Ücret (₺)],MATCH($A8,tblCalisan[Çalışan Adı],0)),""))</f>
        <v>42000</v>
      </c>
      <c r="C8" s="22" t="n">
        <f aca="false">IF($A8="","",$B8*IsverenPayiOrani)</f>
        <v>8610</v>
      </c>
      <c r="D8" s="22" t="n">
        <f aca="false">IF($A8="","",$B8*IssizlikOrani)</f>
        <v>840</v>
      </c>
      <c r="E8" s="22" t="n">
        <f aca="false">IF($A8="","",$B8*KidemKarsilikOrani)</f>
        <v>3498.6</v>
      </c>
      <c r="F8" s="20" t="n">
        <v>3000</v>
      </c>
      <c r="G8" s="22" t="n">
        <f aca="false">IF($A8="","",$B8+$C8+$D8+$E8+$F8)</f>
        <v>57948.6</v>
      </c>
      <c r="H8" s="22" t="n">
        <f aca="false">IF($A8="","",$G8*AySayisi)</f>
        <v>695383.2</v>
      </c>
    </row>
    <row r="9" customFormat="false" ht="15" hidden="false" customHeight="false" outlineLevel="0" collapsed="false">
      <c r="A9" s="19" t="s">
        <v>47</v>
      </c>
      <c r="B9" s="22" t="n">
        <f aca="false">IF($A9="","",IFERROR(INDEX(tblCalisan[Brüt Ücret (₺)],MATCH($A9,tblCalisan[Çalışan Adı],0)),""))</f>
        <v>28000</v>
      </c>
      <c r="C9" s="22" t="n">
        <f aca="false">IF($A9="","",$B9*IsverenPayiOrani)</f>
        <v>5740</v>
      </c>
      <c r="D9" s="22" t="n">
        <f aca="false">IF($A9="","",$B9*IssizlikOrani)</f>
        <v>560</v>
      </c>
      <c r="E9" s="22" t="n">
        <f aca="false">IF($A9="","",$B9*KidemKarsilikOrani)</f>
        <v>2332.4</v>
      </c>
      <c r="F9" s="20" t="n">
        <v>3000</v>
      </c>
      <c r="G9" s="22" t="n">
        <f aca="false">IF($A9="","",$B9+$C9+$D9+$E9+$F9)</f>
        <v>39632.4</v>
      </c>
      <c r="H9" s="22" t="n">
        <f aca="false">IF($A9="","",$G9*AySayisi)</f>
        <v>475588.8</v>
      </c>
    </row>
    <row r="10" customFormat="false" ht="15" hidden="false" customHeight="false" outlineLevel="0" collapsed="false">
      <c r="A10" s="19" t="s">
        <v>48</v>
      </c>
      <c r="B10" s="22" t="n">
        <f aca="false">IF($A10="","",IFERROR(INDEX(tblCalisan[Brüt Ücret (₺)],MATCH($A10,tblCalisan[Çalışan Adı],0)),""))</f>
        <v>38000</v>
      </c>
      <c r="C10" s="22" t="n">
        <f aca="false">IF($A10="","",$B10*IsverenPayiOrani)</f>
        <v>7790</v>
      </c>
      <c r="D10" s="22" t="n">
        <f aca="false">IF($A10="","",$B10*IssizlikOrani)</f>
        <v>760</v>
      </c>
      <c r="E10" s="22" t="n">
        <f aca="false">IF($A10="","",$B10*KidemKarsilikOrani)</f>
        <v>3165.4</v>
      </c>
      <c r="F10" s="20" t="n">
        <v>3000</v>
      </c>
      <c r="G10" s="22" t="n">
        <f aca="false">IF($A10="","",$B10+$C10+$D10+$E10+$F10)</f>
        <v>52715.4</v>
      </c>
      <c r="H10" s="22" t="n">
        <f aca="false">IF($A10="","",$G10*AySayisi)</f>
        <v>632584.8</v>
      </c>
    </row>
    <row r="11" customFormat="false" ht="15" hidden="false" customHeight="false" outlineLevel="0" collapsed="false">
      <c r="A11" s="19" t="s">
        <v>49</v>
      </c>
      <c r="B11" s="22" t="n">
        <f aca="false">IF($A11="","",IFERROR(INDEX(tblCalisan[Brüt Ücret (₺)],MATCH($A11,tblCalisan[Çalışan Adı],0)),""))</f>
        <v>31000</v>
      </c>
      <c r="C11" s="22" t="n">
        <f aca="false">IF($A11="","",$B11*IsverenPayiOrani)</f>
        <v>6355</v>
      </c>
      <c r="D11" s="22" t="n">
        <f aca="false">IF($A11="","",$B11*IssizlikOrani)</f>
        <v>620</v>
      </c>
      <c r="E11" s="22" t="n">
        <f aca="false">IF($A11="","",$B11*KidemKarsilikOrani)</f>
        <v>2582.3</v>
      </c>
      <c r="F11" s="20" t="n">
        <v>3000</v>
      </c>
      <c r="G11" s="22" t="n">
        <f aca="false">IF($A11="","",$B11+$C11+$D11+$E11+$F11)</f>
        <v>43557.3</v>
      </c>
      <c r="H11" s="22" t="n">
        <f aca="false">IF($A11="","",$G11*AySayisi)</f>
        <v>522687.6</v>
      </c>
    </row>
    <row r="12" customFormat="false" ht="15" hidden="false" customHeight="false" outlineLevel="0" collapsed="false">
      <c r="A12" s="19" t="s">
        <v>50</v>
      </c>
      <c r="B12" s="22" t="n">
        <f aca="false">IF($A12="","",IFERROR(INDEX(tblCalisan[Brüt Ücret (₺)],MATCH($A12,tblCalisan[Çalışan Adı],0)),""))</f>
        <v>45000</v>
      </c>
      <c r="C12" s="22" t="n">
        <f aca="false">IF($A12="","",$B12*IsverenPayiOrani)</f>
        <v>9225</v>
      </c>
      <c r="D12" s="22" t="n">
        <f aca="false">IF($A12="","",$B12*IssizlikOrani)</f>
        <v>900</v>
      </c>
      <c r="E12" s="22" t="n">
        <f aca="false">IF($A12="","",$B12*KidemKarsilikOrani)</f>
        <v>3748.5</v>
      </c>
      <c r="F12" s="20" t="n">
        <v>3000</v>
      </c>
      <c r="G12" s="22" t="n">
        <f aca="false">IF($A12="","",$B12+$C12+$D12+$E12+$F12)</f>
        <v>61873.5</v>
      </c>
      <c r="H12" s="22" t="n">
        <f aca="false">IF($A12="","",$G12*AySayisi)</f>
        <v>742482</v>
      </c>
    </row>
    <row r="13" customFormat="false" ht="15" hidden="false" customHeight="false" outlineLevel="0" collapsed="false">
      <c r="A13" s="19" t="s">
        <v>51</v>
      </c>
      <c r="B13" s="22" t="n">
        <f aca="false">IF($A13="","",IFERROR(INDEX(tblCalisan[Brüt Ücret (₺)],MATCH($A13,tblCalisan[Çalışan Adı],0)),""))</f>
        <v>27000</v>
      </c>
      <c r="C13" s="22" t="n">
        <f aca="false">IF($A13="","",$B13*IsverenPayiOrani)</f>
        <v>5535</v>
      </c>
      <c r="D13" s="22" t="n">
        <f aca="false">IF($A13="","",$B13*IssizlikOrani)</f>
        <v>540</v>
      </c>
      <c r="E13" s="22" t="n">
        <f aca="false">IF($A13="","",$B13*KidemKarsilikOrani)</f>
        <v>2249.1</v>
      </c>
      <c r="F13" s="20" t="n">
        <v>3000</v>
      </c>
      <c r="G13" s="22" t="n">
        <f aca="false">IF($A13="","",$B13+$C13+$D13+$E13+$F13)</f>
        <v>38324.1</v>
      </c>
      <c r="H13" s="22" t="n">
        <f aca="false">IF($A13="","",$G13*AySayisi)</f>
        <v>459889.2</v>
      </c>
    </row>
    <row r="14" customFormat="false" ht="15" hidden="false" customHeight="false" outlineLevel="0" collapsed="false">
      <c r="A14" s="19" t="s">
        <v>52</v>
      </c>
      <c r="B14" s="22" t="n">
        <f aca="false">IF($A14="","",IFERROR(INDEX(tblCalisan[Brüt Ücret (₺)],MATCH($A14,tblCalisan[Çalışan Adı],0)),""))</f>
        <v>33000</v>
      </c>
      <c r="C14" s="22" t="n">
        <f aca="false">IF($A14="","",$B14*IsverenPayiOrani)</f>
        <v>6765</v>
      </c>
      <c r="D14" s="22" t="n">
        <f aca="false">IF($A14="","",$B14*IssizlikOrani)</f>
        <v>660</v>
      </c>
      <c r="E14" s="22" t="n">
        <f aca="false">IF($A14="","",$B14*KidemKarsilikOrani)</f>
        <v>2748.9</v>
      </c>
      <c r="F14" s="20" t="n">
        <v>3000</v>
      </c>
      <c r="G14" s="22" t="n">
        <f aca="false">IF($A14="","",$B14+$C14+$D14+$E14+$F14)</f>
        <v>46173.9</v>
      </c>
      <c r="H14" s="22" t="n">
        <f aca="false">IF($A14="","",$G14*AySayisi)</f>
        <v>554086.8</v>
      </c>
    </row>
    <row r="15" customFormat="false" ht="15" hidden="false" customHeight="false" outlineLevel="0" collapsed="false">
      <c r="A15" s="19" t="s">
        <v>53</v>
      </c>
      <c r="B15" s="22" t="n">
        <f aca="false">IF($A15="","",IFERROR(INDEX(tblCalisan[Brüt Ücret (₺)],MATCH($A15,tblCalisan[Çalışan Adı],0)),""))</f>
        <v>26000</v>
      </c>
      <c r="C15" s="22" t="n">
        <f aca="false">IF($A15="","",$B15*IsverenPayiOrani)</f>
        <v>5330</v>
      </c>
      <c r="D15" s="22" t="n">
        <f aca="false">IF($A15="","",$B15*IssizlikOrani)</f>
        <v>520</v>
      </c>
      <c r="E15" s="22" t="n">
        <f aca="false">IF($A15="","",$B15*KidemKarsilikOrani)</f>
        <v>2165.8</v>
      </c>
      <c r="F15" s="20" t="n">
        <v>3000</v>
      </c>
      <c r="G15" s="22" t="n">
        <f aca="false">IF($A15="","",$B15+$C15+$D15+$E15+$F15)</f>
        <v>37015.8</v>
      </c>
      <c r="H15" s="22" t="n">
        <f aca="false">IF($A15="","",$G15*AySayisi)</f>
        <v>444189.6</v>
      </c>
    </row>
    <row r="16" customFormat="false" ht="15" hidden="false" customHeight="false" outlineLevel="0" collapsed="false">
      <c r="A16" s="19" t="s">
        <v>54</v>
      </c>
      <c r="B16" s="22" t="n">
        <f aca="false">IF($A16="","",IFERROR(INDEX(tblCalisan[Brüt Ücret (₺)],MATCH($A16,tblCalisan[Çalışan Adı],0)),""))</f>
        <v>40000</v>
      </c>
      <c r="C16" s="22" t="n">
        <f aca="false">IF($A16="","",$B16*IsverenPayiOrani)</f>
        <v>8200</v>
      </c>
      <c r="D16" s="22" t="n">
        <f aca="false">IF($A16="","",$B16*IssizlikOrani)</f>
        <v>800</v>
      </c>
      <c r="E16" s="22" t="n">
        <f aca="false">IF($A16="","",$B16*KidemKarsilikOrani)</f>
        <v>3332</v>
      </c>
      <c r="F16" s="20" t="n">
        <v>3000</v>
      </c>
      <c r="G16" s="22" t="n">
        <f aca="false">IF($A16="","",$B16+$C16+$D16+$E16+$F16)</f>
        <v>55332</v>
      </c>
      <c r="H16" s="22" t="n">
        <f aca="false">IF($A16="","",$G16*AySayisi)</f>
        <v>663984</v>
      </c>
    </row>
    <row r="17" customFormat="false" ht="15" hidden="false" customHeight="false" outlineLevel="0" collapsed="false">
      <c r="A17" s="19" t="s">
        <v>55</v>
      </c>
      <c r="B17" s="22" t="n">
        <f aca="false">IF($A17="","",IFERROR(INDEX(tblCalisan[Brüt Ücret (₺)],MATCH($A17,tblCalisan[Çalışan Adı],0)),""))</f>
        <v>36000</v>
      </c>
      <c r="C17" s="22" t="n">
        <f aca="false">IF($A17="","",$B17*IsverenPayiOrani)</f>
        <v>7380</v>
      </c>
      <c r="D17" s="22" t="n">
        <f aca="false">IF($A17="","",$B17*IssizlikOrani)</f>
        <v>720</v>
      </c>
      <c r="E17" s="22" t="n">
        <f aca="false">IF($A17="","",$B17*KidemKarsilikOrani)</f>
        <v>2998.8</v>
      </c>
      <c r="F17" s="20" t="n">
        <v>3000</v>
      </c>
      <c r="G17" s="22" t="n">
        <f aca="false">IF($A17="","",$B17+$C17+$D17+$E17+$F17)</f>
        <v>50098.8</v>
      </c>
      <c r="H17" s="22" t="n">
        <f aca="false">IF($A17="","",$G17*AySayisi)</f>
        <v>601185.6</v>
      </c>
    </row>
    <row r="18" customFormat="false" ht="15" hidden="false" customHeight="false" outlineLevel="0" collapsed="false">
      <c r="A18" s="19" t="s">
        <v>56</v>
      </c>
      <c r="B18" s="22" t="n">
        <f aca="false">IF($A18="","",IFERROR(INDEX(tblCalisan[Brüt Ücret (₺)],MATCH($A18,tblCalisan[Çalışan Adı],0)),""))</f>
        <v>29000</v>
      </c>
      <c r="C18" s="22" t="n">
        <f aca="false">IF($A18="","",$B18*IsverenPayiOrani)</f>
        <v>5945</v>
      </c>
      <c r="D18" s="22" t="n">
        <f aca="false">IF($A18="","",$B18*IssizlikOrani)</f>
        <v>580</v>
      </c>
      <c r="E18" s="22" t="n">
        <f aca="false">IF($A18="","",$B18*KidemKarsilikOrani)</f>
        <v>2415.7</v>
      </c>
      <c r="F18" s="20" t="n">
        <v>3000</v>
      </c>
      <c r="G18" s="22" t="n">
        <f aca="false">IF($A18="","",$B18+$C18+$D18+$E18+$F18)</f>
        <v>40940.7</v>
      </c>
      <c r="H18" s="22" t="n">
        <f aca="false">IF($A18="","",$G18*AySayisi)</f>
        <v>491288.4</v>
      </c>
    </row>
    <row r="19" customFormat="false" ht="15" hidden="false" customHeight="false" outlineLevel="0" collapsed="false">
      <c r="A19" s="19" t="s">
        <v>57</v>
      </c>
      <c r="B19" s="22" t="n">
        <f aca="false">IF($A19="","",IFERROR(INDEX(tblCalisan[Brüt Ücret (₺)],MATCH($A19,tblCalisan[Çalışan Adı],0)),""))</f>
        <v>24000</v>
      </c>
      <c r="C19" s="22" t="n">
        <f aca="false">IF($A19="","",$B19*IsverenPayiOrani)</f>
        <v>4920</v>
      </c>
      <c r="D19" s="22" t="n">
        <f aca="false">IF($A19="","",$B19*IssizlikOrani)</f>
        <v>480</v>
      </c>
      <c r="E19" s="22" t="n">
        <f aca="false">IF($A19="","",$B19*KidemKarsilikOrani)</f>
        <v>1999.2</v>
      </c>
      <c r="F19" s="20" t="n">
        <v>3000</v>
      </c>
      <c r="G19" s="22" t="n">
        <f aca="false">IF($A19="","",$B19+$C19+$D19+$E19+$F19)</f>
        <v>34399.2</v>
      </c>
      <c r="H19" s="22" t="n">
        <f aca="false">IF($A19="","",$G19*AySayisi)</f>
        <v>412790.4</v>
      </c>
    </row>
    <row r="20" customFormat="false" ht="15" hidden="false" customHeight="false" outlineLevel="0" collapsed="false">
      <c r="A20" s="19" t="s">
        <v>58</v>
      </c>
      <c r="B20" s="22" t="n">
        <f aca="false">IF($A20="","",IFERROR(INDEX(tblCalisan[Brüt Ücret (₺)],MATCH($A20,tblCalisan[Çalışan Adı],0)),""))</f>
        <v>47000</v>
      </c>
      <c r="C20" s="22" t="n">
        <f aca="false">IF($A20="","",$B20*IsverenPayiOrani)</f>
        <v>9635</v>
      </c>
      <c r="D20" s="22" t="n">
        <f aca="false">IF($A20="","",$B20*IssizlikOrani)</f>
        <v>940</v>
      </c>
      <c r="E20" s="22" t="n">
        <f aca="false">IF($A20="","",$B20*KidemKarsilikOrani)</f>
        <v>3915.1</v>
      </c>
      <c r="F20" s="20" t="n">
        <v>3000</v>
      </c>
      <c r="G20" s="22" t="n">
        <f aca="false">IF($A20="","",$B20+$C20+$D20+$E20+$F20)</f>
        <v>64490.1</v>
      </c>
      <c r="H20" s="22" t="n">
        <f aca="false">IF($A20="","",$G20*AySayisi)</f>
        <v>773881.2</v>
      </c>
    </row>
    <row r="21" customFormat="false" ht="15" hidden="false" customHeight="false" outlineLevel="0" collapsed="false">
      <c r="A21" s="19"/>
      <c r="B21" s="22" t="str">
        <f aca="false">IF($A21="","",IFERROR(INDEX(tblCalisan[Brüt Ücret (₺)],MATCH($A21,tblCalisan[Çalışan Adı],0)),""))</f>
        <v/>
      </c>
      <c r="C21" s="22" t="str">
        <f aca="false">IF($A21="","",$B21*IsverenPayiOrani)</f>
        <v/>
      </c>
      <c r="D21" s="22" t="str">
        <f aca="false">IF($A21="","",$B21*IssizlikOrani)</f>
        <v/>
      </c>
      <c r="E21" s="22" t="str">
        <f aca="false">IF($A21="","",$B21*KidemKarsilikOrani)</f>
        <v/>
      </c>
      <c r="F21" s="20"/>
      <c r="G21" s="22" t="str">
        <f aca="false">IF($A21="","",$B21+$C21+$D21+$E21+$F21)</f>
        <v/>
      </c>
      <c r="H21" s="22" t="str">
        <f aca="false">IF($A21="","",$G21*AySayisi)</f>
        <v/>
      </c>
    </row>
    <row r="22" customFormat="false" ht="15" hidden="false" customHeight="false" outlineLevel="0" collapsed="false">
      <c r="A22" s="19"/>
      <c r="B22" s="22" t="str">
        <f aca="false">IF($A22="","",IFERROR(INDEX(tblCalisan[Brüt Ücret (₺)],MATCH($A22,tblCalisan[Çalışan Adı],0)),""))</f>
        <v/>
      </c>
      <c r="C22" s="22" t="str">
        <f aca="false">IF($A22="","",$B22*IsverenPayiOrani)</f>
        <v/>
      </c>
      <c r="D22" s="22" t="str">
        <f aca="false">IF($A22="","",$B22*IssizlikOrani)</f>
        <v/>
      </c>
      <c r="E22" s="22" t="str">
        <f aca="false">IF($A22="","",$B22*KidemKarsilikOrani)</f>
        <v/>
      </c>
      <c r="F22" s="20"/>
      <c r="G22" s="22" t="str">
        <f aca="false">IF($A22="","",$B22+$C22+$D22+$E22+$F22)</f>
        <v/>
      </c>
      <c r="H22" s="22" t="str">
        <f aca="false">IF($A22="","",$G22*AySayisi)</f>
        <v/>
      </c>
    </row>
    <row r="23" customFormat="false" ht="15" hidden="false" customHeight="false" outlineLevel="0" collapsed="false">
      <c r="A23" s="19"/>
      <c r="B23" s="22" t="str">
        <f aca="false">IF($A23="","",IFERROR(INDEX(tblCalisan[Brüt Ücret (₺)],MATCH($A23,tblCalisan[Çalışan Adı],0)),""))</f>
        <v/>
      </c>
      <c r="C23" s="22" t="str">
        <f aca="false">IF($A23="","",$B23*IsverenPayiOrani)</f>
        <v/>
      </c>
      <c r="D23" s="22" t="str">
        <f aca="false">IF($A23="","",$B23*IssizlikOrani)</f>
        <v/>
      </c>
      <c r="E23" s="22" t="str">
        <f aca="false">IF($A23="","",$B23*KidemKarsilikOrani)</f>
        <v/>
      </c>
      <c r="F23" s="20"/>
      <c r="G23" s="22" t="str">
        <f aca="false">IF($A23="","",$B23+$C23+$D23+$E23+$F23)</f>
        <v/>
      </c>
      <c r="H23" s="22" t="str">
        <f aca="false">IF($A23="","",$G23*AySayisi)</f>
        <v/>
      </c>
    </row>
    <row r="24" customFormat="false" ht="15" hidden="false" customHeight="false" outlineLevel="0" collapsed="false">
      <c r="A24" s="19"/>
      <c r="B24" s="22" t="str">
        <f aca="false">IF($A24="","",IFERROR(INDEX(tblCalisan[Brüt Ücret (₺)],MATCH($A24,tblCalisan[Çalışan Adı],0)),""))</f>
        <v/>
      </c>
      <c r="C24" s="22" t="str">
        <f aca="false">IF($A24="","",$B24*IsverenPayiOrani)</f>
        <v/>
      </c>
      <c r="D24" s="22" t="str">
        <f aca="false">IF($A24="","",$B24*IssizlikOrani)</f>
        <v/>
      </c>
      <c r="E24" s="22" t="str">
        <f aca="false">IF($A24="","",$B24*KidemKarsilikOrani)</f>
        <v/>
      </c>
      <c r="F24" s="20"/>
      <c r="G24" s="22" t="str">
        <f aca="false">IF($A24="","",$B24+$C24+$D24+$E24+$F24)</f>
        <v/>
      </c>
      <c r="H24" s="22" t="str">
        <f aca="false">IF($A24="","",$G24*AySayisi)</f>
        <v/>
      </c>
    </row>
    <row r="25" customFormat="false" ht="15" hidden="false" customHeight="false" outlineLevel="0" collapsed="false">
      <c r="A25" s="19"/>
      <c r="B25" s="22" t="str">
        <f aca="false">IF($A25="","",IFERROR(INDEX(tblCalisan[Brüt Ücret (₺)],MATCH($A25,tblCalisan[Çalışan Adı],0)),""))</f>
        <v/>
      </c>
      <c r="C25" s="22" t="str">
        <f aca="false">IF($A25="","",$B25*IsverenPayiOrani)</f>
        <v/>
      </c>
      <c r="D25" s="22" t="str">
        <f aca="false">IF($A25="","",$B25*IssizlikOrani)</f>
        <v/>
      </c>
      <c r="E25" s="22" t="str">
        <f aca="false">IF($A25="","",$B25*KidemKarsilikOrani)</f>
        <v/>
      </c>
      <c r="F25" s="20"/>
      <c r="G25" s="22" t="str">
        <f aca="false">IF($A25="","",$B25+$C25+$D25+$E25+$F25)</f>
        <v/>
      </c>
      <c r="H25" s="22" t="str">
        <f aca="false">IF($A25="","",$G25*AySayisi)</f>
        <v/>
      </c>
    </row>
    <row r="26" customFormat="false" ht="15" hidden="false" customHeight="false" outlineLevel="0" collapsed="false">
      <c r="A26" s="19"/>
      <c r="B26" s="22" t="str">
        <f aca="false">IF($A26="","",IFERROR(INDEX(tblCalisan[Brüt Ücret (₺)],MATCH($A26,tblCalisan[Çalışan Adı],0)),""))</f>
        <v/>
      </c>
      <c r="C26" s="22" t="str">
        <f aca="false">IF($A26="","",$B26*IsverenPayiOrani)</f>
        <v/>
      </c>
      <c r="D26" s="22" t="str">
        <f aca="false">IF($A26="","",$B26*IssizlikOrani)</f>
        <v/>
      </c>
      <c r="E26" s="22" t="str">
        <f aca="false">IF($A26="","",$B26*KidemKarsilikOrani)</f>
        <v/>
      </c>
      <c r="F26" s="20"/>
      <c r="G26" s="22" t="str">
        <f aca="false">IF($A26="","",$B26+$C26+$D26+$E26+$F26)</f>
        <v/>
      </c>
      <c r="H26" s="22" t="str">
        <f aca="false">IF($A26="","",$G26*AySayisi)</f>
        <v/>
      </c>
    </row>
    <row r="27" customFormat="false" ht="15" hidden="false" customHeight="false" outlineLevel="0" collapsed="false">
      <c r="A27" s="19"/>
      <c r="B27" s="22" t="str">
        <f aca="false">IF($A27="","",IFERROR(INDEX(tblCalisan[Brüt Ücret (₺)],MATCH($A27,tblCalisan[Çalışan Adı],0)),""))</f>
        <v/>
      </c>
      <c r="C27" s="22" t="str">
        <f aca="false">IF($A27="","",$B27*IsverenPayiOrani)</f>
        <v/>
      </c>
      <c r="D27" s="22" t="str">
        <f aca="false">IF($A27="","",$B27*IssizlikOrani)</f>
        <v/>
      </c>
      <c r="E27" s="22" t="str">
        <f aca="false">IF($A27="","",$B27*KidemKarsilikOrani)</f>
        <v/>
      </c>
      <c r="F27" s="20"/>
      <c r="G27" s="22" t="str">
        <f aca="false">IF($A27="","",$B27+$C27+$D27+$E27+$F27)</f>
        <v/>
      </c>
      <c r="H27" s="22" t="str">
        <f aca="false">IF($A27="","",$G27*AySayisi)</f>
        <v/>
      </c>
    </row>
    <row r="28" customFormat="false" ht="15" hidden="false" customHeight="false" outlineLevel="0" collapsed="false">
      <c r="A28" s="19"/>
      <c r="B28" s="22" t="str">
        <f aca="false">IF($A28="","",IFERROR(INDEX(tblCalisan[Brüt Ücret (₺)],MATCH($A28,tblCalisan[Çalışan Adı],0)),""))</f>
        <v/>
      </c>
      <c r="C28" s="22" t="str">
        <f aca="false">IF($A28="","",$B28*IsverenPayiOrani)</f>
        <v/>
      </c>
      <c r="D28" s="22" t="str">
        <f aca="false">IF($A28="","",$B28*IssizlikOrani)</f>
        <v/>
      </c>
      <c r="E28" s="22" t="str">
        <f aca="false">IF($A28="","",$B28*KidemKarsilikOrani)</f>
        <v/>
      </c>
      <c r="F28" s="20"/>
      <c r="G28" s="22" t="str">
        <f aca="false">IF($A28="","",$B28+$C28+$D28+$E28+$F28)</f>
        <v/>
      </c>
      <c r="H28" s="22" t="str">
        <f aca="false">IF($A28="","",$G28*AySayisi)</f>
        <v/>
      </c>
    </row>
    <row r="29" customFormat="false" ht="15" hidden="false" customHeight="false" outlineLevel="0" collapsed="false">
      <c r="A29" s="19"/>
      <c r="B29" s="22" t="str">
        <f aca="false">IF($A29="","",IFERROR(INDEX(tblCalisan[Brüt Ücret (₺)],MATCH($A29,tblCalisan[Çalışan Adı],0)),""))</f>
        <v/>
      </c>
      <c r="C29" s="22" t="str">
        <f aca="false">IF($A29="","",$B29*IsverenPayiOrani)</f>
        <v/>
      </c>
      <c r="D29" s="22" t="str">
        <f aca="false">IF($A29="","",$B29*IssizlikOrani)</f>
        <v/>
      </c>
      <c r="E29" s="22" t="str">
        <f aca="false">IF($A29="","",$B29*KidemKarsilikOrani)</f>
        <v/>
      </c>
      <c r="F29" s="20"/>
      <c r="G29" s="22" t="str">
        <f aca="false">IF($A29="","",$B29+$C29+$D29+$E29+$F29)</f>
        <v/>
      </c>
      <c r="H29" s="22" t="str">
        <f aca="false">IF($A29="","",$G29*AySayisi)</f>
        <v/>
      </c>
    </row>
    <row r="30" customFormat="false" ht="15" hidden="false" customHeight="false" outlineLevel="0" collapsed="false">
      <c r="A30" s="19"/>
      <c r="B30" s="22" t="str">
        <f aca="false">IF($A30="","",IFERROR(INDEX(tblCalisan[Brüt Ücret (₺)],MATCH($A30,tblCalisan[Çalışan Adı],0)),""))</f>
        <v/>
      </c>
      <c r="C30" s="22" t="str">
        <f aca="false">IF($A30="","",$B30*IsverenPayiOrani)</f>
        <v/>
      </c>
      <c r="D30" s="22" t="str">
        <f aca="false">IF($A30="","",$B30*IssizlikOrani)</f>
        <v/>
      </c>
      <c r="E30" s="22" t="str">
        <f aca="false">IF($A30="","",$B30*KidemKarsilikOrani)</f>
        <v/>
      </c>
      <c r="F30" s="20"/>
      <c r="G30" s="22" t="str">
        <f aca="false">IF($A30="","",$B30+$C30+$D30+$E30+$F30)</f>
        <v/>
      </c>
      <c r="H30" s="22" t="str">
        <f aca="false">IF($A30="","",$G30*AySayisi)</f>
        <v/>
      </c>
    </row>
    <row r="31" customFormat="false" ht="15" hidden="false" customHeight="false" outlineLevel="0" collapsed="false">
      <c r="A31" s="19"/>
      <c r="B31" s="22" t="str">
        <f aca="false">IF($A31="","",IFERROR(INDEX(tblCalisan[Brüt Ücret (₺)],MATCH($A31,tblCalisan[Çalışan Adı],0)),""))</f>
        <v/>
      </c>
      <c r="C31" s="22" t="str">
        <f aca="false">IF($A31="","",$B31*IsverenPayiOrani)</f>
        <v/>
      </c>
      <c r="D31" s="22" t="str">
        <f aca="false">IF($A31="","",$B31*IssizlikOrani)</f>
        <v/>
      </c>
      <c r="E31" s="22" t="str">
        <f aca="false">IF($A31="","",$B31*KidemKarsilikOrani)</f>
        <v/>
      </c>
      <c r="F31" s="20"/>
      <c r="G31" s="22" t="str">
        <f aca="false">IF($A31="","",$B31+$C31+$D31+$E31+$F31)</f>
        <v/>
      </c>
      <c r="H31" s="22" t="str">
        <f aca="false">IF($A31="","",$G31*AySayisi)</f>
        <v/>
      </c>
    </row>
    <row r="32" customFormat="false" ht="15" hidden="false" customHeight="false" outlineLevel="0" collapsed="false">
      <c r="A32" s="19"/>
      <c r="B32" s="22" t="str">
        <f aca="false">IF($A32="","",IFERROR(INDEX(tblCalisan[Brüt Ücret (₺)],MATCH($A32,tblCalisan[Çalışan Adı],0)),""))</f>
        <v/>
      </c>
      <c r="C32" s="22" t="str">
        <f aca="false">IF($A32="","",$B32*IsverenPayiOrani)</f>
        <v/>
      </c>
      <c r="D32" s="22" t="str">
        <f aca="false">IF($A32="","",$B32*IssizlikOrani)</f>
        <v/>
      </c>
      <c r="E32" s="22" t="str">
        <f aca="false">IF($A32="","",$B32*KidemKarsilikOrani)</f>
        <v/>
      </c>
      <c r="F32" s="20"/>
      <c r="G32" s="22" t="str">
        <f aca="false">IF($A32="","",$B32+$C32+$D32+$E32+$F32)</f>
        <v/>
      </c>
      <c r="H32" s="22" t="str">
        <f aca="false">IF($A32="","",$G32*AySayisi)</f>
        <v/>
      </c>
    </row>
    <row r="33" customFormat="false" ht="15" hidden="false" customHeight="false" outlineLevel="0" collapsed="false">
      <c r="A33" s="19"/>
      <c r="B33" s="22" t="str">
        <f aca="false">IF($A33="","",IFERROR(INDEX(tblCalisan[Brüt Ücret (₺)],MATCH($A33,tblCalisan[Çalışan Adı],0)),""))</f>
        <v/>
      </c>
      <c r="C33" s="22" t="str">
        <f aca="false">IF($A33="","",$B33*IsverenPayiOrani)</f>
        <v/>
      </c>
      <c r="D33" s="22" t="str">
        <f aca="false">IF($A33="","",$B33*IssizlikOrani)</f>
        <v/>
      </c>
      <c r="E33" s="22" t="str">
        <f aca="false">IF($A33="","",$B33*KidemKarsilikOrani)</f>
        <v/>
      </c>
      <c r="F33" s="20"/>
      <c r="G33" s="22" t="str">
        <f aca="false">IF($A33="","",$B33+$C33+$D33+$E33+$F33)</f>
        <v/>
      </c>
      <c r="H33" s="22" t="str">
        <f aca="false">IF($A33="","",$G33*AySayisi)</f>
        <v/>
      </c>
    </row>
    <row r="34" customFormat="false" ht="15" hidden="false" customHeight="false" outlineLevel="0" collapsed="false">
      <c r="A34" s="19"/>
      <c r="B34" s="22" t="str">
        <f aca="false">IF($A34="","",IFERROR(INDEX(tblCalisan[Brüt Ücret (₺)],MATCH($A34,tblCalisan[Çalışan Adı],0)),""))</f>
        <v/>
      </c>
      <c r="C34" s="22" t="str">
        <f aca="false">IF($A34="","",$B34*IsverenPayiOrani)</f>
        <v/>
      </c>
      <c r="D34" s="22" t="str">
        <f aca="false">IF($A34="","",$B34*IssizlikOrani)</f>
        <v/>
      </c>
      <c r="E34" s="22" t="str">
        <f aca="false">IF($A34="","",$B34*KidemKarsilikOrani)</f>
        <v/>
      </c>
      <c r="F34" s="20"/>
      <c r="G34" s="22" t="str">
        <f aca="false">IF($A34="","",$B34+$C34+$D34+$E34+$F34)</f>
        <v/>
      </c>
      <c r="H34" s="22" t="str">
        <f aca="false">IF($A34="","",$G34*AySayisi)</f>
        <v/>
      </c>
    </row>
    <row r="35" customFormat="false" ht="15" hidden="false" customHeight="false" outlineLevel="0" collapsed="false">
      <c r="A35" s="19"/>
      <c r="B35" s="22" t="str">
        <f aca="false">IF($A35="","",IFERROR(INDEX(tblCalisan[Brüt Ücret (₺)],MATCH($A35,tblCalisan[Çalışan Adı],0)),""))</f>
        <v/>
      </c>
      <c r="C35" s="22" t="str">
        <f aca="false">IF($A35="","",$B35*IsverenPayiOrani)</f>
        <v/>
      </c>
      <c r="D35" s="22" t="str">
        <f aca="false">IF($A35="","",$B35*IssizlikOrani)</f>
        <v/>
      </c>
      <c r="E35" s="22" t="str">
        <f aca="false">IF($A35="","",$B35*KidemKarsilikOrani)</f>
        <v/>
      </c>
      <c r="F35" s="20"/>
      <c r="G35" s="22" t="str">
        <f aca="false">IF($A35="","",$B35+$C35+$D35+$E35+$F35)</f>
        <v/>
      </c>
      <c r="H35" s="22" t="str">
        <f aca="false">IF($A35="","",$G35*AySayisi)</f>
        <v/>
      </c>
    </row>
    <row r="36" customFormat="false" ht="15" hidden="false" customHeight="false" outlineLevel="0" collapsed="false">
      <c r="A36" s="19"/>
      <c r="B36" s="22" t="str">
        <f aca="false">IF($A36="","",IFERROR(INDEX(tblCalisan[Brüt Ücret (₺)],MATCH($A36,tblCalisan[Çalışan Adı],0)),""))</f>
        <v/>
      </c>
      <c r="C36" s="22" t="str">
        <f aca="false">IF($A36="","",$B36*IsverenPayiOrani)</f>
        <v/>
      </c>
      <c r="D36" s="22" t="str">
        <f aca="false">IF($A36="","",$B36*IssizlikOrani)</f>
        <v/>
      </c>
      <c r="E36" s="22" t="str">
        <f aca="false">IF($A36="","",$B36*KidemKarsilikOrani)</f>
        <v/>
      </c>
      <c r="F36" s="20"/>
      <c r="G36" s="22" t="str">
        <f aca="false">IF($A36="","",$B36+$C36+$D36+$E36+$F36)</f>
        <v/>
      </c>
      <c r="H36" s="22" t="str">
        <f aca="false">IF($A36="","",$G36*AySayisi)</f>
        <v/>
      </c>
    </row>
    <row r="37" customFormat="false" ht="15" hidden="false" customHeight="false" outlineLevel="0" collapsed="false">
      <c r="A37" s="19"/>
      <c r="B37" s="22" t="str">
        <f aca="false">IF($A37="","",IFERROR(INDEX(tblCalisan[Brüt Ücret (₺)],MATCH($A37,tblCalisan[Çalışan Adı],0)),""))</f>
        <v/>
      </c>
      <c r="C37" s="22" t="str">
        <f aca="false">IF($A37="","",$B37*IsverenPayiOrani)</f>
        <v/>
      </c>
      <c r="D37" s="22" t="str">
        <f aca="false">IF($A37="","",$B37*IssizlikOrani)</f>
        <v/>
      </c>
      <c r="E37" s="22" t="str">
        <f aca="false">IF($A37="","",$B37*KidemKarsilikOrani)</f>
        <v/>
      </c>
      <c r="F37" s="20"/>
      <c r="G37" s="22" t="str">
        <f aca="false">IF($A37="","",$B37+$C37+$D37+$E37+$F37)</f>
        <v/>
      </c>
      <c r="H37" s="22" t="str">
        <f aca="false">IF($A37="","",$G37*AySayisi)</f>
        <v/>
      </c>
    </row>
    <row r="38" customFormat="false" ht="15" hidden="false" customHeight="false" outlineLevel="0" collapsed="false">
      <c r="A38" s="19"/>
      <c r="B38" s="22" t="str">
        <f aca="false">IF($A38="","",IFERROR(INDEX(tblCalisan[Brüt Ücret (₺)],MATCH($A38,tblCalisan[Çalışan Adı],0)),""))</f>
        <v/>
      </c>
      <c r="C38" s="22" t="str">
        <f aca="false">IF($A38="","",$B38*IsverenPayiOrani)</f>
        <v/>
      </c>
      <c r="D38" s="22" t="str">
        <f aca="false">IF($A38="","",$B38*IssizlikOrani)</f>
        <v/>
      </c>
      <c r="E38" s="22" t="str">
        <f aca="false">IF($A38="","",$B38*KidemKarsilikOrani)</f>
        <v/>
      </c>
      <c r="F38" s="20"/>
      <c r="G38" s="22" t="str">
        <f aca="false">IF($A38="","",$B38+$C38+$D38+$E38+$F38)</f>
        <v/>
      </c>
      <c r="H38" s="22" t="str">
        <f aca="false">IF($A38="","",$G38*AySayisi)</f>
        <v/>
      </c>
    </row>
    <row r="39" customFormat="false" ht="15" hidden="false" customHeight="false" outlineLevel="0" collapsed="false">
      <c r="A39" s="19"/>
      <c r="B39" s="22" t="str">
        <f aca="false">IF($A39="","",IFERROR(INDEX(tblCalisan[Brüt Ücret (₺)],MATCH($A39,tblCalisan[Çalışan Adı],0)),""))</f>
        <v/>
      </c>
      <c r="C39" s="22" t="str">
        <f aca="false">IF($A39="","",$B39*IsverenPayiOrani)</f>
        <v/>
      </c>
      <c r="D39" s="22" t="str">
        <f aca="false">IF($A39="","",$B39*IssizlikOrani)</f>
        <v/>
      </c>
      <c r="E39" s="22" t="str">
        <f aca="false">IF($A39="","",$B39*KidemKarsilikOrani)</f>
        <v/>
      </c>
      <c r="F39" s="20"/>
      <c r="G39" s="22" t="str">
        <f aca="false">IF($A39="","",$B39+$C39+$D39+$E39+$F39)</f>
        <v/>
      </c>
      <c r="H39" s="22" t="str">
        <f aca="false">IF($A39="","",$G39*AySayisi)</f>
        <v/>
      </c>
    </row>
    <row r="40" customFormat="false" ht="15" hidden="false" customHeight="false" outlineLevel="0" collapsed="false">
      <c r="A40" s="19"/>
      <c r="B40" s="22" t="str">
        <f aca="false">IF($A40="","",IFERROR(INDEX(tblCalisan[Brüt Ücret (₺)],MATCH($A40,tblCalisan[Çalışan Adı],0)),""))</f>
        <v/>
      </c>
      <c r="C40" s="22" t="str">
        <f aca="false">IF($A40="","",$B40*IsverenPayiOrani)</f>
        <v/>
      </c>
      <c r="D40" s="22" t="str">
        <f aca="false">IF($A40="","",$B40*IssizlikOrani)</f>
        <v/>
      </c>
      <c r="E40" s="22" t="str">
        <f aca="false">IF($A40="","",$B40*KidemKarsilikOrani)</f>
        <v/>
      </c>
      <c r="F40" s="20"/>
      <c r="G40" s="22" t="str">
        <f aca="false">IF($A40="","",$B40+$C40+$D40+$E40+$F40)</f>
        <v/>
      </c>
      <c r="H40" s="22" t="str">
        <f aca="false">IF($A40="","",$G40*AySayisi)</f>
        <v/>
      </c>
    </row>
    <row r="41" customFormat="false" ht="15" hidden="false" customHeight="false" outlineLevel="0" collapsed="false">
      <c r="A41" s="19"/>
      <c r="B41" s="22" t="str">
        <f aca="false">IF($A41="","",IFERROR(INDEX(tblCalisan[Brüt Ücret (₺)],MATCH($A41,tblCalisan[Çalışan Adı],0)),""))</f>
        <v/>
      </c>
      <c r="C41" s="22" t="str">
        <f aca="false">IF($A41="","",$B41*IsverenPayiOrani)</f>
        <v/>
      </c>
      <c r="D41" s="22" t="str">
        <f aca="false">IF($A41="","",$B41*IssizlikOrani)</f>
        <v/>
      </c>
      <c r="E41" s="22" t="str">
        <f aca="false">IF($A41="","",$B41*KidemKarsilikOrani)</f>
        <v/>
      </c>
      <c r="F41" s="20"/>
      <c r="G41" s="22" t="str">
        <f aca="false">IF($A41="","",$B41+$C41+$D41+$E41+$F41)</f>
        <v/>
      </c>
      <c r="H41" s="22" t="str">
        <f aca="false">IF($A41="","",$G41*AySayisi)</f>
        <v/>
      </c>
    </row>
    <row r="42" customFormat="false" ht="15" hidden="false" customHeight="false" outlineLevel="0" collapsed="false">
      <c r="A42" s="19"/>
      <c r="B42" s="22" t="str">
        <f aca="false">IF($A42="","",IFERROR(INDEX(tblCalisan[Brüt Ücret (₺)],MATCH($A42,tblCalisan[Çalışan Adı],0)),""))</f>
        <v/>
      </c>
      <c r="C42" s="22" t="str">
        <f aca="false">IF($A42="","",$B42*IsverenPayiOrani)</f>
        <v/>
      </c>
      <c r="D42" s="22" t="str">
        <f aca="false">IF($A42="","",$B42*IssizlikOrani)</f>
        <v/>
      </c>
      <c r="E42" s="22" t="str">
        <f aca="false">IF($A42="","",$B42*KidemKarsilikOrani)</f>
        <v/>
      </c>
      <c r="F42" s="20"/>
      <c r="G42" s="22" t="str">
        <f aca="false">IF($A42="","",$B42+$C42+$D42+$E42+$F42)</f>
        <v/>
      </c>
      <c r="H42" s="22" t="str">
        <f aca="false">IF($A42="","",$G42*AySayisi)</f>
        <v/>
      </c>
    </row>
    <row r="43" customFormat="false" ht="15" hidden="false" customHeight="false" outlineLevel="0" collapsed="false">
      <c r="A43" s="19"/>
      <c r="B43" s="22" t="str">
        <f aca="false">IF($A43="","",IFERROR(INDEX(tblCalisan[Brüt Ücret (₺)],MATCH($A43,tblCalisan[Çalışan Adı],0)),""))</f>
        <v/>
      </c>
      <c r="C43" s="22" t="str">
        <f aca="false">IF($A43="","",$B43*IsverenPayiOrani)</f>
        <v/>
      </c>
      <c r="D43" s="22" t="str">
        <f aca="false">IF($A43="","",$B43*IssizlikOrani)</f>
        <v/>
      </c>
      <c r="E43" s="22" t="str">
        <f aca="false">IF($A43="","",$B43*KidemKarsilikOrani)</f>
        <v/>
      </c>
      <c r="F43" s="20"/>
      <c r="G43" s="22" t="str">
        <f aca="false">IF($A43="","",$B43+$C43+$D43+$E43+$F43)</f>
        <v/>
      </c>
      <c r="H43" s="22" t="str">
        <f aca="false">IF($A43="","",$G43*AySayisi)</f>
        <v/>
      </c>
    </row>
    <row r="44" customFormat="false" ht="15" hidden="false" customHeight="false" outlineLevel="0" collapsed="false">
      <c r="A44" s="19"/>
      <c r="B44" s="22" t="str">
        <f aca="false">IF($A44="","",IFERROR(INDEX(tblCalisan[Brüt Ücret (₺)],MATCH($A44,tblCalisan[Çalışan Adı],0)),""))</f>
        <v/>
      </c>
      <c r="C44" s="22" t="str">
        <f aca="false">IF($A44="","",$B44*IsverenPayiOrani)</f>
        <v/>
      </c>
      <c r="D44" s="22" t="str">
        <f aca="false">IF($A44="","",$B44*IssizlikOrani)</f>
        <v/>
      </c>
      <c r="E44" s="22" t="str">
        <f aca="false">IF($A44="","",$B44*KidemKarsilikOrani)</f>
        <v/>
      </c>
      <c r="F44" s="20"/>
      <c r="G44" s="22" t="str">
        <f aca="false">IF($A44="","",$B44+$C44+$D44+$E44+$F44)</f>
        <v/>
      </c>
      <c r="H44" s="22" t="str">
        <f aca="false">IF($A44="","",$G44*AySayisi)</f>
        <v/>
      </c>
    </row>
    <row r="45" customFormat="false" ht="15" hidden="false" customHeight="false" outlineLevel="0" collapsed="false">
      <c r="A45" s="19"/>
      <c r="B45" s="22" t="str">
        <f aca="false">IF($A45="","",IFERROR(INDEX(tblCalisan[Brüt Ücret (₺)],MATCH($A45,tblCalisan[Çalışan Adı],0)),""))</f>
        <v/>
      </c>
      <c r="C45" s="22" t="str">
        <f aca="false">IF($A45="","",$B45*IsverenPayiOrani)</f>
        <v/>
      </c>
      <c r="D45" s="22" t="str">
        <f aca="false">IF($A45="","",$B45*IssizlikOrani)</f>
        <v/>
      </c>
      <c r="E45" s="22" t="str">
        <f aca="false">IF($A45="","",$B45*KidemKarsilikOrani)</f>
        <v/>
      </c>
      <c r="F45" s="20"/>
      <c r="G45" s="22" t="str">
        <f aca="false">IF($A45="","",$B45+$C45+$D45+$E45+$F45)</f>
        <v/>
      </c>
      <c r="H45" s="22" t="str">
        <f aca="false">IF($A45="","",$G45*AySayisi)</f>
        <v/>
      </c>
    </row>
    <row r="46" customFormat="false" ht="15" hidden="false" customHeight="false" outlineLevel="0" collapsed="false">
      <c r="A46" s="19"/>
      <c r="B46" s="22" t="str">
        <f aca="false">IF($A46="","",IFERROR(INDEX(tblCalisan[Brüt Ücret (₺)],MATCH($A46,tblCalisan[Çalışan Adı],0)),""))</f>
        <v/>
      </c>
      <c r="C46" s="22" t="str">
        <f aca="false">IF($A46="","",$B46*IsverenPayiOrani)</f>
        <v/>
      </c>
      <c r="D46" s="22" t="str">
        <f aca="false">IF($A46="","",$B46*IssizlikOrani)</f>
        <v/>
      </c>
      <c r="E46" s="22" t="str">
        <f aca="false">IF($A46="","",$B46*KidemKarsilikOrani)</f>
        <v/>
      </c>
      <c r="F46" s="20"/>
      <c r="G46" s="22" t="str">
        <f aca="false">IF($A46="","",$B46+$C46+$D46+$E46+$F46)</f>
        <v/>
      </c>
      <c r="H46" s="22" t="str">
        <f aca="false">IF($A46="","",$G46*AySayisi)</f>
        <v/>
      </c>
    </row>
    <row r="47" customFormat="false" ht="15" hidden="false" customHeight="false" outlineLevel="0" collapsed="false">
      <c r="A47" s="19"/>
      <c r="B47" s="22" t="str">
        <f aca="false">IF($A47="","",IFERROR(INDEX(tblCalisan[Brüt Ücret (₺)],MATCH($A47,tblCalisan[Çalışan Adı],0)),""))</f>
        <v/>
      </c>
      <c r="C47" s="22" t="str">
        <f aca="false">IF($A47="","",$B47*IsverenPayiOrani)</f>
        <v/>
      </c>
      <c r="D47" s="22" t="str">
        <f aca="false">IF($A47="","",$B47*IssizlikOrani)</f>
        <v/>
      </c>
      <c r="E47" s="22" t="str">
        <f aca="false">IF($A47="","",$B47*KidemKarsilikOrani)</f>
        <v/>
      </c>
      <c r="F47" s="20"/>
      <c r="G47" s="22" t="str">
        <f aca="false">IF($A47="","",$B47+$C47+$D47+$E47+$F47)</f>
        <v/>
      </c>
      <c r="H47" s="22" t="str">
        <f aca="false">IF($A47="","",$G47*AySayisi)</f>
        <v/>
      </c>
    </row>
    <row r="48" customFormat="false" ht="15" hidden="false" customHeight="false" outlineLevel="0" collapsed="false">
      <c r="A48" s="19"/>
      <c r="B48" s="22" t="str">
        <f aca="false">IF($A48="","",IFERROR(INDEX(tblCalisan[Brüt Ücret (₺)],MATCH($A48,tblCalisan[Çalışan Adı],0)),""))</f>
        <v/>
      </c>
      <c r="C48" s="22" t="str">
        <f aca="false">IF($A48="","",$B48*IsverenPayiOrani)</f>
        <v/>
      </c>
      <c r="D48" s="22" t="str">
        <f aca="false">IF($A48="","",$B48*IssizlikOrani)</f>
        <v/>
      </c>
      <c r="E48" s="22" t="str">
        <f aca="false">IF($A48="","",$B48*KidemKarsilikOrani)</f>
        <v/>
      </c>
      <c r="F48" s="20"/>
      <c r="G48" s="22" t="str">
        <f aca="false">IF($A48="","",$B48+$C48+$D48+$E48+$F48)</f>
        <v/>
      </c>
      <c r="H48" s="22" t="str">
        <f aca="false">IF($A48="","",$G48*AySayisi)</f>
        <v/>
      </c>
    </row>
    <row r="49" customFormat="false" ht="15" hidden="false" customHeight="false" outlineLevel="0" collapsed="false">
      <c r="A49" s="19"/>
      <c r="B49" s="22" t="str">
        <f aca="false">IF($A49="","",IFERROR(INDEX(tblCalisan[Brüt Ücret (₺)],MATCH($A49,tblCalisan[Çalışan Adı],0)),""))</f>
        <v/>
      </c>
      <c r="C49" s="22" t="str">
        <f aca="false">IF($A49="","",$B49*IsverenPayiOrani)</f>
        <v/>
      </c>
      <c r="D49" s="22" t="str">
        <f aca="false">IF($A49="","",$B49*IssizlikOrani)</f>
        <v/>
      </c>
      <c r="E49" s="22" t="str">
        <f aca="false">IF($A49="","",$B49*KidemKarsilikOrani)</f>
        <v/>
      </c>
      <c r="F49" s="20"/>
      <c r="G49" s="22" t="str">
        <f aca="false">IF($A49="","",$B49+$C49+$D49+$E49+$F49)</f>
        <v/>
      </c>
      <c r="H49" s="22" t="str">
        <f aca="false">IF($A49="","",$G49*AySayisi)</f>
        <v/>
      </c>
    </row>
    <row r="50" customFormat="false" ht="15" hidden="false" customHeight="false" outlineLevel="0" collapsed="false">
      <c r="A50" s="19"/>
      <c r="B50" s="22" t="str">
        <f aca="false">IF($A50="","",IFERROR(INDEX(tblCalisan[Brüt Ücret (₺)],MATCH($A50,tblCalisan[Çalışan Adı],0)),""))</f>
        <v/>
      </c>
      <c r="C50" s="22" t="str">
        <f aca="false">IF($A50="","",$B50*IsverenPayiOrani)</f>
        <v/>
      </c>
      <c r="D50" s="22" t="str">
        <f aca="false">IF($A50="","",$B50*IssizlikOrani)</f>
        <v/>
      </c>
      <c r="E50" s="22" t="str">
        <f aca="false">IF($A50="","",$B50*KidemKarsilikOrani)</f>
        <v/>
      </c>
      <c r="F50" s="20"/>
      <c r="G50" s="22" t="str">
        <f aca="false">IF($A50="","",$B50+$C50+$D50+$E50+$F50)</f>
        <v/>
      </c>
      <c r="H50" s="22" t="str">
        <f aca="false">IF($A50="","",$G50*AySayisi)</f>
        <v/>
      </c>
    </row>
    <row r="51" customFormat="false" ht="15" hidden="false" customHeight="false" outlineLevel="0" collapsed="false">
      <c r="A51" s="19"/>
      <c r="B51" s="22" t="str">
        <f aca="false">IF($A51="","",IFERROR(INDEX(tblCalisan[Brüt Ücret (₺)],MATCH($A51,tblCalisan[Çalışan Adı],0)),""))</f>
        <v/>
      </c>
      <c r="C51" s="22" t="str">
        <f aca="false">IF($A51="","",$B51*IsverenPayiOrani)</f>
        <v/>
      </c>
      <c r="D51" s="22" t="str">
        <f aca="false">IF($A51="","",$B51*IssizlikOrani)</f>
        <v/>
      </c>
      <c r="E51" s="22" t="str">
        <f aca="false">IF($A51="","",$B51*KidemKarsilikOrani)</f>
        <v/>
      </c>
      <c r="F51" s="20"/>
      <c r="G51" s="22" t="str">
        <f aca="false">IF($A51="","",$B51+$C51+$D51+$E51+$F51)</f>
        <v/>
      </c>
      <c r="H51" s="22" t="str">
        <f aca="false">IF($A51="","",$G51*AySayisi)</f>
        <v/>
      </c>
    </row>
    <row r="52" customFormat="false" ht="15" hidden="false" customHeight="false" outlineLevel="0" collapsed="false">
      <c r="A52" s="19"/>
      <c r="B52" s="22" t="str">
        <f aca="false">IF($A52="","",IFERROR(INDEX(tblCalisan[Brüt Ücret (₺)],MATCH($A52,tblCalisan[Çalışan Adı],0)),""))</f>
        <v/>
      </c>
      <c r="C52" s="22" t="str">
        <f aca="false">IF($A52="","",$B52*IsverenPayiOrani)</f>
        <v/>
      </c>
      <c r="D52" s="22" t="str">
        <f aca="false">IF($A52="","",$B52*IssizlikOrani)</f>
        <v/>
      </c>
      <c r="E52" s="22" t="str">
        <f aca="false">IF($A52="","",$B52*KidemKarsilikOrani)</f>
        <v/>
      </c>
      <c r="F52" s="20"/>
      <c r="G52" s="22" t="str">
        <f aca="false">IF($A52="","",$B52+$C52+$D52+$E52+$F52)</f>
        <v/>
      </c>
      <c r="H52" s="22" t="str">
        <f aca="false">IF($A52="","",$G52*AySayisi)</f>
        <v/>
      </c>
    </row>
    <row r="53" customFormat="false" ht="15" hidden="false" customHeight="false" outlineLevel="0" collapsed="false">
      <c r="A53" s="19"/>
      <c r="B53" s="22" t="str">
        <f aca="false">IF($A53="","",IFERROR(INDEX(tblCalisan[Brüt Ücret (₺)],MATCH($A53,tblCalisan[Çalışan Adı],0)),""))</f>
        <v/>
      </c>
      <c r="C53" s="22" t="str">
        <f aca="false">IF($A53="","",$B53*IsverenPayiOrani)</f>
        <v/>
      </c>
      <c r="D53" s="22" t="str">
        <f aca="false">IF($A53="","",$B53*IssizlikOrani)</f>
        <v/>
      </c>
      <c r="E53" s="22" t="str">
        <f aca="false">IF($A53="","",$B53*KidemKarsilikOrani)</f>
        <v/>
      </c>
      <c r="F53" s="20"/>
      <c r="G53" s="22" t="str">
        <f aca="false">IF($A53="","",$B53+$C53+$D53+$E53+$F53)</f>
        <v/>
      </c>
      <c r="H53" s="22" t="str">
        <f aca="false">IF($A53="","",$G53*AySayisi)</f>
        <v/>
      </c>
    </row>
    <row r="54" customFormat="false" ht="15" hidden="false" customHeight="false" outlineLevel="0" collapsed="false">
      <c r="A54" s="19"/>
      <c r="B54" s="22" t="str">
        <f aca="false">IF($A54="","",IFERROR(INDEX(tblCalisan[Brüt Ücret (₺)],MATCH($A54,tblCalisan[Çalışan Adı],0)),""))</f>
        <v/>
      </c>
      <c r="C54" s="22" t="str">
        <f aca="false">IF($A54="","",$B54*IsverenPayiOrani)</f>
        <v/>
      </c>
      <c r="D54" s="22" t="str">
        <f aca="false">IF($A54="","",$B54*IssizlikOrani)</f>
        <v/>
      </c>
      <c r="E54" s="22" t="str">
        <f aca="false">IF($A54="","",$B54*KidemKarsilikOrani)</f>
        <v/>
      </c>
      <c r="F54" s="20"/>
      <c r="G54" s="22" t="str">
        <f aca="false">IF($A54="","",$B54+$C54+$D54+$E54+$F54)</f>
        <v/>
      </c>
      <c r="H54" s="22" t="str">
        <f aca="false">IF($A54="","",$G54*AySayisi)</f>
        <v/>
      </c>
    </row>
    <row r="55" customFormat="false" ht="15" hidden="false" customHeight="false" outlineLevel="0" collapsed="false">
      <c r="A55" s="19"/>
      <c r="B55" s="22" t="str">
        <f aca="false">IF($A55="","",IFERROR(INDEX(tblCalisan[Brüt Ücret (₺)],MATCH($A55,tblCalisan[Çalışan Adı],0)),""))</f>
        <v/>
      </c>
      <c r="C55" s="22" t="str">
        <f aca="false">IF($A55="","",$B55*IsverenPayiOrani)</f>
        <v/>
      </c>
      <c r="D55" s="22" t="str">
        <f aca="false">IF($A55="","",$B55*IssizlikOrani)</f>
        <v/>
      </c>
      <c r="E55" s="22" t="str">
        <f aca="false">IF($A55="","",$B55*KidemKarsilikOrani)</f>
        <v/>
      </c>
      <c r="F55" s="20"/>
      <c r="G55" s="22" t="str">
        <f aca="false">IF($A55="","",$B55+$C55+$D55+$E55+$F55)</f>
        <v/>
      </c>
      <c r="H55" s="22" t="str">
        <f aca="false">IF($A55="","",$G55*AySayisi)</f>
        <v/>
      </c>
    </row>
    <row r="56" customFormat="false" ht="15" hidden="false" customHeight="false" outlineLevel="0" collapsed="false">
      <c r="A56" s="19"/>
      <c r="B56" s="22" t="str">
        <f aca="false">IF($A56="","",IFERROR(INDEX(tblCalisan[Brüt Ücret (₺)],MATCH($A56,tblCalisan[Çalışan Adı],0)),""))</f>
        <v/>
      </c>
      <c r="C56" s="22" t="str">
        <f aca="false">IF($A56="","",$B56*IsverenPayiOrani)</f>
        <v/>
      </c>
      <c r="D56" s="22" t="str">
        <f aca="false">IF($A56="","",$B56*IssizlikOrani)</f>
        <v/>
      </c>
      <c r="E56" s="22" t="str">
        <f aca="false">IF($A56="","",$B56*KidemKarsilikOrani)</f>
        <v/>
      </c>
      <c r="F56" s="20"/>
      <c r="G56" s="22" t="str">
        <f aca="false">IF($A56="","",$B56+$C56+$D56+$E56+$F56)</f>
        <v/>
      </c>
      <c r="H56" s="22" t="str">
        <f aca="false">IF($A56="","",$G56*AySayisi)</f>
        <v/>
      </c>
    </row>
    <row r="57" customFormat="false" ht="15" hidden="false" customHeight="false" outlineLevel="0" collapsed="false">
      <c r="A57" s="19"/>
      <c r="B57" s="22" t="str">
        <f aca="false">IF($A57="","",IFERROR(INDEX(tblCalisan[Brüt Ücret (₺)],MATCH($A57,tblCalisan[Çalışan Adı],0)),""))</f>
        <v/>
      </c>
      <c r="C57" s="22" t="str">
        <f aca="false">IF($A57="","",$B57*IsverenPayiOrani)</f>
        <v/>
      </c>
      <c r="D57" s="22" t="str">
        <f aca="false">IF($A57="","",$B57*IssizlikOrani)</f>
        <v/>
      </c>
      <c r="E57" s="22" t="str">
        <f aca="false">IF($A57="","",$B57*KidemKarsilikOrani)</f>
        <v/>
      </c>
      <c r="F57" s="20"/>
      <c r="G57" s="22" t="str">
        <f aca="false">IF($A57="","",$B57+$C57+$D57+$E57+$F57)</f>
        <v/>
      </c>
      <c r="H57" s="22" t="str">
        <f aca="false">IF($A57="","",$G57*AySayisi)</f>
        <v/>
      </c>
    </row>
    <row r="58" customFormat="false" ht="15" hidden="false" customHeight="false" outlineLevel="0" collapsed="false">
      <c r="A58" s="19"/>
      <c r="B58" s="22" t="str">
        <f aca="false">IF($A58="","",IFERROR(INDEX(tblCalisan[Brüt Ücret (₺)],MATCH($A58,tblCalisan[Çalışan Adı],0)),""))</f>
        <v/>
      </c>
      <c r="C58" s="22" t="str">
        <f aca="false">IF($A58="","",$B58*IsverenPayiOrani)</f>
        <v/>
      </c>
      <c r="D58" s="22" t="str">
        <f aca="false">IF($A58="","",$B58*IssizlikOrani)</f>
        <v/>
      </c>
      <c r="E58" s="22" t="str">
        <f aca="false">IF($A58="","",$B58*KidemKarsilikOrani)</f>
        <v/>
      </c>
      <c r="F58" s="20"/>
      <c r="G58" s="22" t="str">
        <f aca="false">IF($A58="","",$B58+$C58+$D58+$E58+$F58)</f>
        <v/>
      </c>
      <c r="H58" s="22" t="str">
        <f aca="false">IF($A58="","",$G58*AySayisi)</f>
        <v/>
      </c>
    </row>
    <row r="59" customFormat="false" ht="15" hidden="false" customHeight="false" outlineLevel="0" collapsed="false">
      <c r="A59" s="19"/>
      <c r="B59" s="22" t="str">
        <f aca="false">IF($A59="","",IFERROR(INDEX(tblCalisan[Brüt Ücret (₺)],MATCH($A59,tblCalisan[Çalışan Adı],0)),""))</f>
        <v/>
      </c>
      <c r="C59" s="22" t="str">
        <f aca="false">IF($A59="","",$B59*IsverenPayiOrani)</f>
        <v/>
      </c>
      <c r="D59" s="22" t="str">
        <f aca="false">IF($A59="","",$B59*IssizlikOrani)</f>
        <v/>
      </c>
      <c r="E59" s="22" t="str">
        <f aca="false">IF($A59="","",$B59*KidemKarsilikOrani)</f>
        <v/>
      </c>
      <c r="F59" s="20"/>
      <c r="G59" s="22" t="str">
        <f aca="false">IF($A59="","",$B59+$C59+$D59+$E59+$F59)</f>
        <v/>
      </c>
      <c r="H59" s="22" t="str">
        <f aca="false">IF($A59="","",$G59*AySayisi)</f>
        <v/>
      </c>
    </row>
    <row r="60" customFormat="false" ht="15" hidden="false" customHeight="false" outlineLevel="0" collapsed="false">
      <c r="A60" s="19"/>
      <c r="B60" s="22" t="str">
        <f aca="false">IF($A60="","",IFERROR(INDEX(tblCalisan[Brüt Ücret (₺)],MATCH($A60,tblCalisan[Çalışan Adı],0)),""))</f>
        <v/>
      </c>
      <c r="C60" s="22" t="str">
        <f aca="false">IF($A60="","",$B60*IsverenPayiOrani)</f>
        <v/>
      </c>
      <c r="D60" s="22" t="str">
        <f aca="false">IF($A60="","",$B60*IssizlikOrani)</f>
        <v/>
      </c>
      <c r="E60" s="22" t="str">
        <f aca="false">IF($A60="","",$B60*KidemKarsilikOrani)</f>
        <v/>
      </c>
      <c r="F60" s="20"/>
      <c r="G60" s="22" t="str">
        <f aca="false">IF($A60="","",$B60+$C60+$D60+$E60+$F60)</f>
        <v/>
      </c>
      <c r="H60" s="22" t="str">
        <f aca="false">IF($A60="","",$G60*AySayisi)</f>
        <v/>
      </c>
    </row>
    <row r="61" customFormat="false" ht="15" hidden="false" customHeight="false" outlineLevel="0" collapsed="false">
      <c r="A61" s="19"/>
      <c r="B61" s="22" t="str">
        <f aca="false">IF($A61="","",IFERROR(INDEX(tblCalisan[Brüt Ücret (₺)],MATCH($A61,tblCalisan[Çalışan Adı],0)),""))</f>
        <v/>
      </c>
      <c r="C61" s="22" t="str">
        <f aca="false">IF($A61="","",$B61*IsverenPayiOrani)</f>
        <v/>
      </c>
      <c r="D61" s="22" t="str">
        <f aca="false">IF($A61="","",$B61*IssizlikOrani)</f>
        <v/>
      </c>
      <c r="E61" s="22" t="str">
        <f aca="false">IF($A61="","",$B61*KidemKarsilikOrani)</f>
        <v/>
      </c>
      <c r="F61" s="20"/>
      <c r="G61" s="22" t="str">
        <f aca="false">IF($A61="","",$B61+$C61+$D61+$E61+$F61)</f>
        <v/>
      </c>
      <c r="H61" s="22" t="str">
        <f aca="false">IF($A61="","",$G61*AySayisi)</f>
        <v/>
      </c>
    </row>
    <row r="62" customFormat="false" ht="15" hidden="false" customHeight="false" outlineLevel="0" collapsed="false">
      <c r="A62" s="19"/>
      <c r="B62" s="22" t="str">
        <f aca="false">IF($A62="","",IFERROR(INDEX(tblCalisan[Brüt Ücret (₺)],MATCH($A62,tblCalisan[Çalışan Adı],0)),""))</f>
        <v/>
      </c>
      <c r="C62" s="22" t="str">
        <f aca="false">IF($A62="","",$B62*IsverenPayiOrani)</f>
        <v/>
      </c>
      <c r="D62" s="22" t="str">
        <f aca="false">IF($A62="","",$B62*IssizlikOrani)</f>
        <v/>
      </c>
      <c r="E62" s="22" t="str">
        <f aca="false">IF($A62="","",$B62*KidemKarsilikOrani)</f>
        <v/>
      </c>
      <c r="F62" s="20"/>
      <c r="G62" s="22" t="str">
        <f aca="false">IF($A62="","",$B62+$C62+$D62+$E62+$F62)</f>
        <v/>
      </c>
      <c r="H62" s="22" t="str">
        <f aca="false">IF($A62="","",$G62*AySayisi)</f>
        <v/>
      </c>
    </row>
    <row r="63" customFormat="false" ht="15" hidden="false" customHeight="false" outlineLevel="0" collapsed="false">
      <c r="A63" s="19"/>
      <c r="B63" s="22" t="str">
        <f aca="false">IF($A63="","",IFERROR(INDEX(tblCalisan[Brüt Ücret (₺)],MATCH($A63,tblCalisan[Çalışan Adı],0)),""))</f>
        <v/>
      </c>
      <c r="C63" s="22" t="str">
        <f aca="false">IF($A63="","",$B63*IsverenPayiOrani)</f>
        <v/>
      </c>
      <c r="D63" s="22" t="str">
        <f aca="false">IF($A63="","",$B63*IssizlikOrani)</f>
        <v/>
      </c>
      <c r="E63" s="22" t="str">
        <f aca="false">IF($A63="","",$B63*KidemKarsilikOrani)</f>
        <v/>
      </c>
      <c r="F63" s="20"/>
      <c r="G63" s="22" t="str">
        <f aca="false">IF($A63="","",$B63+$C63+$D63+$E63+$F63)</f>
        <v/>
      </c>
      <c r="H63" s="22" t="str">
        <f aca="false">IF($A63="","",$G63*AySayisi)</f>
        <v/>
      </c>
    </row>
    <row r="64" customFormat="false" ht="15" hidden="false" customHeight="false" outlineLevel="0" collapsed="false">
      <c r="A64" s="19"/>
      <c r="B64" s="22" t="str">
        <f aca="false">IF($A64="","",IFERROR(INDEX(tblCalisan[Brüt Ücret (₺)],MATCH($A64,tblCalisan[Çalışan Adı],0)),""))</f>
        <v/>
      </c>
      <c r="C64" s="22" t="str">
        <f aca="false">IF($A64="","",$B64*IsverenPayiOrani)</f>
        <v/>
      </c>
      <c r="D64" s="22" t="str">
        <f aca="false">IF($A64="","",$B64*IssizlikOrani)</f>
        <v/>
      </c>
      <c r="E64" s="22" t="str">
        <f aca="false">IF($A64="","",$B64*KidemKarsilikOrani)</f>
        <v/>
      </c>
      <c r="F64" s="20"/>
      <c r="G64" s="22" t="str">
        <f aca="false">IF($A64="","",$B64+$C64+$D64+$E64+$F64)</f>
        <v/>
      </c>
      <c r="H64" s="22" t="str">
        <f aca="false">IF($A64="","",$G64*AySayisi)</f>
        <v/>
      </c>
    </row>
    <row r="65" customFormat="false" ht="15" hidden="false" customHeight="false" outlineLevel="0" collapsed="false">
      <c r="A65" s="19"/>
      <c r="B65" s="22" t="str">
        <f aca="false">IF($A65="","",IFERROR(INDEX(tblCalisan[Brüt Ücret (₺)],MATCH($A65,tblCalisan[Çalışan Adı],0)),""))</f>
        <v/>
      </c>
      <c r="C65" s="22" t="str">
        <f aca="false">IF($A65="","",$B65*IsverenPayiOrani)</f>
        <v/>
      </c>
      <c r="D65" s="22" t="str">
        <f aca="false">IF($A65="","",$B65*IssizlikOrani)</f>
        <v/>
      </c>
      <c r="E65" s="22" t="str">
        <f aca="false">IF($A65="","",$B65*KidemKarsilikOrani)</f>
        <v/>
      </c>
      <c r="F65" s="20"/>
      <c r="G65" s="22" t="str">
        <f aca="false">IF($A65="","",$B65+$C65+$D65+$E65+$F65)</f>
        <v/>
      </c>
      <c r="H65" s="22" t="str">
        <f aca="false">IF($A65="","",$G65*AySayisi)</f>
        <v/>
      </c>
    </row>
    <row r="66" customFormat="false" ht="15" hidden="false" customHeight="false" outlineLevel="0" collapsed="false">
      <c r="A66" s="19"/>
      <c r="B66" s="22" t="str">
        <f aca="false">IF($A66="","",IFERROR(INDEX(tblCalisan[Brüt Ücret (₺)],MATCH($A66,tblCalisan[Çalışan Adı],0)),""))</f>
        <v/>
      </c>
      <c r="C66" s="22" t="str">
        <f aca="false">IF($A66="","",$B66*IsverenPayiOrani)</f>
        <v/>
      </c>
      <c r="D66" s="22" t="str">
        <f aca="false">IF($A66="","",$B66*IssizlikOrani)</f>
        <v/>
      </c>
      <c r="E66" s="22" t="str">
        <f aca="false">IF($A66="","",$B66*KidemKarsilikOrani)</f>
        <v/>
      </c>
      <c r="F66" s="20"/>
      <c r="G66" s="22" t="str">
        <f aca="false">IF($A66="","",$B66+$C66+$D66+$E66+$F66)</f>
        <v/>
      </c>
      <c r="H66" s="22" t="str">
        <f aca="false">IF($A66="","",$G66*AySayisi)</f>
        <v/>
      </c>
    </row>
    <row r="67" customFormat="false" ht="15" hidden="false" customHeight="false" outlineLevel="0" collapsed="false">
      <c r="A67" s="19"/>
      <c r="B67" s="22" t="str">
        <f aca="false">IF($A67="","",IFERROR(INDEX(tblCalisan[Brüt Ücret (₺)],MATCH($A67,tblCalisan[Çalışan Adı],0)),""))</f>
        <v/>
      </c>
      <c r="C67" s="22" t="str">
        <f aca="false">IF($A67="","",$B67*IsverenPayiOrani)</f>
        <v/>
      </c>
      <c r="D67" s="22" t="str">
        <f aca="false">IF($A67="","",$B67*IssizlikOrani)</f>
        <v/>
      </c>
      <c r="E67" s="22" t="str">
        <f aca="false">IF($A67="","",$B67*KidemKarsilikOrani)</f>
        <v/>
      </c>
      <c r="F67" s="20"/>
      <c r="G67" s="22" t="str">
        <f aca="false">IF($A67="","",$B67+$C67+$D67+$E67+$F67)</f>
        <v/>
      </c>
      <c r="H67" s="22" t="str">
        <f aca="false">IF($A67="","",$G67*AySayisi)</f>
        <v/>
      </c>
    </row>
    <row r="68" customFormat="false" ht="15" hidden="false" customHeight="false" outlineLevel="0" collapsed="false">
      <c r="A68" s="19"/>
      <c r="B68" s="22" t="str">
        <f aca="false">IF($A68="","",IFERROR(INDEX(tblCalisan[Brüt Ücret (₺)],MATCH($A68,tblCalisan[Çalışan Adı],0)),""))</f>
        <v/>
      </c>
      <c r="C68" s="22" t="str">
        <f aca="false">IF($A68="","",$B68*IsverenPayiOrani)</f>
        <v/>
      </c>
      <c r="D68" s="22" t="str">
        <f aca="false">IF($A68="","",$B68*IssizlikOrani)</f>
        <v/>
      </c>
      <c r="E68" s="22" t="str">
        <f aca="false">IF($A68="","",$B68*KidemKarsilikOrani)</f>
        <v/>
      </c>
      <c r="F68" s="20"/>
      <c r="G68" s="22" t="str">
        <f aca="false">IF($A68="","",$B68+$C68+$D68+$E68+$F68)</f>
        <v/>
      </c>
      <c r="H68" s="22" t="str">
        <f aca="false">IF($A68="","",$G68*AySayisi)</f>
        <v/>
      </c>
    </row>
    <row r="69" customFormat="false" ht="15" hidden="false" customHeight="false" outlineLevel="0" collapsed="false">
      <c r="A69" s="19"/>
      <c r="B69" s="22" t="str">
        <f aca="false">IF($A69="","",IFERROR(INDEX(tblCalisan[Brüt Ücret (₺)],MATCH($A69,tblCalisan[Çalışan Adı],0)),""))</f>
        <v/>
      </c>
      <c r="C69" s="22" t="str">
        <f aca="false">IF($A69="","",$B69*IsverenPayiOrani)</f>
        <v/>
      </c>
      <c r="D69" s="22" t="str">
        <f aca="false">IF($A69="","",$B69*IssizlikOrani)</f>
        <v/>
      </c>
      <c r="E69" s="22" t="str">
        <f aca="false">IF($A69="","",$B69*KidemKarsilikOrani)</f>
        <v/>
      </c>
      <c r="F69" s="20"/>
      <c r="G69" s="22" t="str">
        <f aca="false">IF($A69="","",$B69+$C69+$D69+$E69+$F69)</f>
        <v/>
      </c>
      <c r="H69" s="22" t="str">
        <f aca="false">IF($A69="","",$G69*AySayisi)</f>
        <v/>
      </c>
    </row>
    <row r="70" customFormat="false" ht="15" hidden="false" customHeight="false" outlineLevel="0" collapsed="false">
      <c r="A70" s="19"/>
      <c r="B70" s="22" t="str">
        <f aca="false">IF($A70="","",IFERROR(INDEX(tblCalisan[Brüt Ücret (₺)],MATCH($A70,tblCalisan[Çalışan Adı],0)),""))</f>
        <v/>
      </c>
      <c r="C70" s="22" t="str">
        <f aca="false">IF($A70="","",$B70*IsverenPayiOrani)</f>
        <v/>
      </c>
      <c r="D70" s="22" t="str">
        <f aca="false">IF($A70="","",$B70*IssizlikOrani)</f>
        <v/>
      </c>
      <c r="E70" s="22" t="str">
        <f aca="false">IF($A70="","",$B70*KidemKarsilikOrani)</f>
        <v/>
      </c>
      <c r="F70" s="20"/>
      <c r="G70" s="22" t="str">
        <f aca="false">IF($A70="","",$B70+$C70+$D70+$E70+$F70)</f>
        <v/>
      </c>
      <c r="H70" s="22" t="str">
        <f aca="false">IF($A70="","",$G70*AySayisi)</f>
        <v/>
      </c>
    </row>
    <row r="71" customFormat="false" ht="15" hidden="false" customHeight="false" outlineLevel="0" collapsed="false">
      <c r="A71" s="19"/>
      <c r="B71" s="22" t="str">
        <f aca="false">IF($A71="","",IFERROR(INDEX(tblCalisan[Brüt Ücret (₺)],MATCH($A71,tblCalisan[Çalışan Adı],0)),""))</f>
        <v/>
      </c>
      <c r="C71" s="22" t="str">
        <f aca="false">IF($A71="","",$B71*IsverenPayiOrani)</f>
        <v/>
      </c>
      <c r="D71" s="22" t="str">
        <f aca="false">IF($A71="","",$B71*IssizlikOrani)</f>
        <v/>
      </c>
      <c r="E71" s="22" t="str">
        <f aca="false">IF($A71="","",$B71*KidemKarsilikOrani)</f>
        <v/>
      </c>
      <c r="F71" s="20"/>
      <c r="G71" s="22" t="str">
        <f aca="false">IF($A71="","",$B71+$C71+$D71+$E71+$F71)</f>
        <v/>
      </c>
      <c r="H71" s="22" t="str">
        <f aca="false">IF($A71="","",$G71*AySayisi)</f>
        <v/>
      </c>
    </row>
    <row r="72" customFormat="false" ht="15" hidden="false" customHeight="false" outlineLevel="0" collapsed="false">
      <c r="A72" s="19"/>
      <c r="B72" s="22" t="str">
        <f aca="false">IF($A72="","",IFERROR(INDEX(tblCalisan[Brüt Ücret (₺)],MATCH($A72,tblCalisan[Çalışan Adı],0)),""))</f>
        <v/>
      </c>
      <c r="C72" s="22" t="str">
        <f aca="false">IF($A72="","",$B72*IsverenPayiOrani)</f>
        <v/>
      </c>
      <c r="D72" s="22" t="str">
        <f aca="false">IF($A72="","",$B72*IssizlikOrani)</f>
        <v/>
      </c>
      <c r="E72" s="22" t="str">
        <f aca="false">IF($A72="","",$B72*KidemKarsilikOrani)</f>
        <v/>
      </c>
      <c r="F72" s="20"/>
      <c r="G72" s="22" t="str">
        <f aca="false">IF($A72="","",$B72+$C72+$D72+$E72+$F72)</f>
        <v/>
      </c>
      <c r="H72" s="22" t="str">
        <f aca="false">IF($A72="","",$G72*AySayisi)</f>
        <v/>
      </c>
    </row>
    <row r="73" customFormat="false" ht="15" hidden="false" customHeight="false" outlineLevel="0" collapsed="false">
      <c r="A73" s="19"/>
      <c r="B73" s="22" t="str">
        <f aca="false">IF($A73="","",IFERROR(INDEX(tblCalisan[Brüt Ücret (₺)],MATCH($A73,tblCalisan[Çalışan Adı],0)),""))</f>
        <v/>
      </c>
      <c r="C73" s="22" t="str">
        <f aca="false">IF($A73="","",$B73*IsverenPayiOrani)</f>
        <v/>
      </c>
      <c r="D73" s="22" t="str">
        <f aca="false">IF($A73="","",$B73*IssizlikOrani)</f>
        <v/>
      </c>
      <c r="E73" s="22" t="str">
        <f aca="false">IF($A73="","",$B73*KidemKarsilikOrani)</f>
        <v/>
      </c>
      <c r="F73" s="20"/>
      <c r="G73" s="22" t="str">
        <f aca="false">IF($A73="","",$B73+$C73+$D73+$E73+$F73)</f>
        <v/>
      </c>
      <c r="H73" s="22" t="str">
        <f aca="false">IF($A73="","",$G73*AySayisi)</f>
        <v/>
      </c>
    </row>
    <row r="74" customFormat="false" ht="15" hidden="false" customHeight="false" outlineLevel="0" collapsed="false">
      <c r="A74" s="19"/>
      <c r="B74" s="22" t="str">
        <f aca="false">IF($A74="","",IFERROR(INDEX(tblCalisan[Brüt Ücret (₺)],MATCH($A74,tblCalisan[Çalışan Adı],0)),""))</f>
        <v/>
      </c>
      <c r="C74" s="22" t="str">
        <f aca="false">IF($A74="","",$B74*IsverenPayiOrani)</f>
        <v/>
      </c>
      <c r="D74" s="22" t="str">
        <f aca="false">IF($A74="","",$B74*IssizlikOrani)</f>
        <v/>
      </c>
      <c r="E74" s="22" t="str">
        <f aca="false">IF($A74="","",$B74*KidemKarsilikOrani)</f>
        <v/>
      </c>
      <c r="F74" s="20"/>
      <c r="G74" s="22" t="str">
        <f aca="false">IF($A74="","",$B74+$C74+$D74+$E74+$F74)</f>
        <v/>
      </c>
      <c r="H74" s="22" t="str">
        <f aca="false">IF($A74="","",$G74*AySayisi)</f>
        <v/>
      </c>
    </row>
    <row r="75" customFormat="false" ht="15" hidden="false" customHeight="false" outlineLevel="0" collapsed="false">
      <c r="A75" s="19"/>
      <c r="B75" s="22" t="str">
        <f aca="false">IF($A75="","",IFERROR(INDEX(tblCalisan[Brüt Ücret (₺)],MATCH($A75,tblCalisan[Çalışan Adı],0)),""))</f>
        <v/>
      </c>
      <c r="C75" s="22" t="str">
        <f aca="false">IF($A75="","",$B75*IsverenPayiOrani)</f>
        <v/>
      </c>
      <c r="D75" s="22" t="str">
        <f aca="false">IF($A75="","",$B75*IssizlikOrani)</f>
        <v/>
      </c>
      <c r="E75" s="22" t="str">
        <f aca="false">IF($A75="","",$B75*KidemKarsilikOrani)</f>
        <v/>
      </c>
      <c r="F75" s="20"/>
      <c r="G75" s="22" t="str">
        <f aca="false">IF($A75="","",$B75+$C75+$D75+$E75+$F75)</f>
        <v/>
      </c>
      <c r="H75" s="22" t="str">
        <f aca="false">IF($A75="","",$G75*AySayisi)</f>
        <v/>
      </c>
    </row>
    <row r="76" customFormat="false" ht="15" hidden="false" customHeight="false" outlineLevel="0" collapsed="false">
      <c r="A76" s="19"/>
      <c r="B76" s="22" t="str">
        <f aca="false">IF($A76="","",IFERROR(INDEX(tblCalisan[Brüt Ücret (₺)],MATCH($A76,tblCalisan[Çalışan Adı],0)),""))</f>
        <v/>
      </c>
      <c r="C76" s="22" t="str">
        <f aca="false">IF($A76="","",$B76*IsverenPayiOrani)</f>
        <v/>
      </c>
      <c r="D76" s="22" t="str">
        <f aca="false">IF($A76="","",$B76*IssizlikOrani)</f>
        <v/>
      </c>
      <c r="E76" s="22" t="str">
        <f aca="false">IF($A76="","",$B76*KidemKarsilikOrani)</f>
        <v/>
      </c>
      <c r="F76" s="20"/>
      <c r="G76" s="22" t="str">
        <f aca="false">IF($A76="","",$B76+$C76+$D76+$E76+$F76)</f>
        <v/>
      </c>
      <c r="H76" s="22" t="str">
        <f aca="false">IF($A76="","",$G76*AySayisi)</f>
        <v/>
      </c>
    </row>
    <row r="77" customFormat="false" ht="15" hidden="false" customHeight="false" outlineLevel="0" collapsed="false">
      <c r="A77" s="19"/>
      <c r="B77" s="22" t="str">
        <f aca="false">IF($A77="","",IFERROR(INDEX(tblCalisan[Brüt Ücret (₺)],MATCH($A77,tblCalisan[Çalışan Adı],0)),""))</f>
        <v/>
      </c>
      <c r="C77" s="22" t="str">
        <f aca="false">IF($A77="","",$B77*IsverenPayiOrani)</f>
        <v/>
      </c>
      <c r="D77" s="22" t="str">
        <f aca="false">IF($A77="","",$B77*IssizlikOrani)</f>
        <v/>
      </c>
      <c r="E77" s="22" t="str">
        <f aca="false">IF($A77="","",$B77*KidemKarsilikOrani)</f>
        <v/>
      </c>
      <c r="F77" s="20"/>
      <c r="G77" s="22" t="str">
        <f aca="false">IF($A77="","",$B77+$C77+$D77+$E77+$F77)</f>
        <v/>
      </c>
      <c r="H77" s="22" t="str">
        <f aca="false">IF($A77="","",$G77*AySayisi)</f>
        <v/>
      </c>
    </row>
    <row r="78" customFormat="false" ht="15" hidden="false" customHeight="false" outlineLevel="0" collapsed="false">
      <c r="A78" s="19"/>
      <c r="B78" s="22" t="str">
        <f aca="false">IF($A78="","",IFERROR(INDEX(tblCalisan[Brüt Ücret (₺)],MATCH($A78,tblCalisan[Çalışan Adı],0)),""))</f>
        <v/>
      </c>
      <c r="C78" s="22" t="str">
        <f aca="false">IF($A78="","",$B78*IsverenPayiOrani)</f>
        <v/>
      </c>
      <c r="D78" s="22" t="str">
        <f aca="false">IF($A78="","",$B78*IssizlikOrani)</f>
        <v/>
      </c>
      <c r="E78" s="22" t="str">
        <f aca="false">IF($A78="","",$B78*KidemKarsilikOrani)</f>
        <v/>
      </c>
      <c r="F78" s="20"/>
      <c r="G78" s="22" t="str">
        <f aca="false">IF($A78="","",$B78+$C78+$D78+$E78+$F78)</f>
        <v/>
      </c>
      <c r="H78" s="22" t="str">
        <f aca="false">IF($A78="","",$G78*AySayisi)</f>
        <v/>
      </c>
    </row>
    <row r="79" customFormat="false" ht="15" hidden="false" customHeight="false" outlineLevel="0" collapsed="false">
      <c r="A79" s="19"/>
      <c r="B79" s="22" t="str">
        <f aca="false">IF($A79="","",IFERROR(INDEX(tblCalisan[Brüt Ücret (₺)],MATCH($A79,tblCalisan[Çalışan Adı],0)),""))</f>
        <v/>
      </c>
      <c r="C79" s="22" t="str">
        <f aca="false">IF($A79="","",$B79*IsverenPayiOrani)</f>
        <v/>
      </c>
      <c r="D79" s="22" t="str">
        <f aca="false">IF($A79="","",$B79*IssizlikOrani)</f>
        <v/>
      </c>
      <c r="E79" s="22" t="str">
        <f aca="false">IF($A79="","",$B79*KidemKarsilikOrani)</f>
        <v/>
      </c>
      <c r="F79" s="20"/>
      <c r="G79" s="22" t="str">
        <f aca="false">IF($A79="","",$B79+$C79+$D79+$E79+$F79)</f>
        <v/>
      </c>
      <c r="H79" s="22" t="str">
        <f aca="false">IF($A79="","",$G79*AySayisi)</f>
        <v/>
      </c>
    </row>
    <row r="80" customFormat="false" ht="15" hidden="false" customHeight="false" outlineLevel="0" collapsed="false">
      <c r="A80" s="19"/>
      <c r="B80" s="22" t="str">
        <f aca="false">IF($A80="","",IFERROR(INDEX(tblCalisan[Brüt Ücret (₺)],MATCH($A80,tblCalisan[Çalışan Adı],0)),""))</f>
        <v/>
      </c>
      <c r="C80" s="22" t="str">
        <f aca="false">IF($A80="","",$B80*IsverenPayiOrani)</f>
        <v/>
      </c>
      <c r="D80" s="22" t="str">
        <f aca="false">IF($A80="","",$B80*IssizlikOrani)</f>
        <v/>
      </c>
      <c r="E80" s="22" t="str">
        <f aca="false">IF($A80="","",$B80*KidemKarsilikOrani)</f>
        <v/>
      </c>
      <c r="F80" s="20"/>
      <c r="G80" s="22" t="str">
        <f aca="false">IF($A80="","",$B80+$C80+$D80+$E80+$F80)</f>
        <v/>
      </c>
      <c r="H80" s="22" t="str">
        <f aca="false">IF($A80="","",$G80*AySayisi)</f>
        <v/>
      </c>
    </row>
    <row r="81" customFormat="false" ht="15" hidden="false" customHeight="false" outlineLevel="0" collapsed="false">
      <c r="A81" s="19"/>
      <c r="B81" s="22" t="str">
        <f aca="false">IF($A81="","",IFERROR(INDEX(tblCalisan[Brüt Ücret (₺)],MATCH($A81,tblCalisan[Çalışan Adı],0)),""))</f>
        <v/>
      </c>
      <c r="C81" s="22" t="str">
        <f aca="false">IF($A81="","",$B81*IsverenPayiOrani)</f>
        <v/>
      </c>
      <c r="D81" s="22" t="str">
        <f aca="false">IF($A81="","",$B81*IssizlikOrani)</f>
        <v/>
      </c>
      <c r="E81" s="22" t="str">
        <f aca="false">IF($A81="","",$B81*KidemKarsilikOrani)</f>
        <v/>
      </c>
      <c r="F81" s="20"/>
      <c r="G81" s="22" t="str">
        <f aca="false">IF($A81="","",$B81+$C81+$D81+$E81+$F81)</f>
        <v/>
      </c>
      <c r="H81" s="22" t="str">
        <f aca="false">IF($A81="","",$G81*AySayisi)</f>
        <v/>
      </c>
    </row>
    <row r="82" customFormat="false" ht="15" hidden="false" customHeight="false" outlineLevel="0" collapsed="false">
      <c r="A82" s="19"/>
      <c r="B82" s="22" t="str">
        <f aca="false">IF($A82="","",IFERROR(INDEX(tblCalisan[Brüt Ücret (₺)],MATCH($A82,tblCalisan[Çalışan Adı],0)),""))</f>
        <v/>
      </c>
      <c r="C82" s="22" t="str">
        <f aca="false">IF($A82="","",$B82*IsverenPayiOrani)</f>
        <v/>
      </c>
      <c r="D82" s="22" t="str">
        <f aca="false">IF($A82="","",$B82*IssizlikOrani)</f>
        <v/>
      </c>
      <c r="E82" s="22" t="str">
        <f aca="false">IF($A82="","",$B82*KidemKarsilikOrani)</f>
        <v/>
      </c>
      <c r="F82" s="20"/>
      <c r="G82" s="22" t="str">
        <f aca="false">IF($A82="","",$B82+$C82+$D82+$E82+$F82)</f>
        <v/>
      </c>
      <c r="H82" s="22" t="str">
        <f aca="false">IF($A82="","",$G82*AySayisi)</f>
        <v/>
      </c>
    </row>
    <row r="83" customFormat="false" ht="15" hidden="false" customHeight="false" outlineLevel="0" collapsed="false">
      <c r="A83" s="19"/>
      <c r="B83" s="22" t="str">
        <f aca="false">IF($A83="","",IFERROR(INDEX(tblCalisan[Brüt Ücret (₺)],MATCH($A83,tblCalisan[Çalışan Adı],0)),""))</f>
        <v/>
      </c>
      <c r="C83" s="22" t="str">
        <f aca="false">IF($A83="","",$B83*IsverenPayiOrani)</f>
        <v/>
      </c>
      <c r="D83" s="22" t="str">
        <f aca="false">IF($A83="","",$B83*IssizlikOrani)</f>
        <v/>
      </c>
      <c r="E83" s="22" t="str">
        <f aca="false">IF($A83="","",$B83*KidemKarsilikOrani)</f>
        <v/>
      </c>
      <c r="F83" s="20"/>
      <c r="G83" s="22" t="str">
        <f aca="false">IF($A83="","",$B83+$C83+$D83+$E83+$F83)</f>
        <v/>
      </c>
      <c r="H83" s="22" t="str">
        <f aca="false">IF($A83="","",$G83*AySayisi)</f>
        <v/>
      </c>
    </row>
    <row r="84" customFormat="false" ht="15" hidden="false" customHeight="false" outlineLevel="0" collapsed="false">
      <c r="A84" s="19"/>
      <c r="B84" s="22" t="str">
        <f aca="false">IF($A84="","",IFERROR(INDEX(tblCalisan[Brüt Ücret (₺)],MATCH($A84,tblCalisan[Çalışan Adı],0)),""))</f>
        <v/>
      </c>
      <c r="C84" s="22" t="str">
        <f aca="false">IF($A84="","",$B84*IsverenPayiOrani)</f>
        <v/>
      </c>
      <c r="D84" s="22" t="str">
        <f aca="false">IF($A84="","",$B84*IssizlikOrani)</f>
        <v/>
      </c>
      <c r="E84" s="22" t="str">
        <f aca="false">IF($A84="","",$B84*KidemKarsilikOrani)</f>
        <v/>
      </c>
      <c r="F84" s="20"/>
      <c r="G84" s="22" t="str">
        <f aca="false">IF($A84="","",$B84+$C84+$D84+$E84+$F84)</f>
        <v/>
      </c>
      <c r="H84" s="22" t="str">
        <f aca="false">IF($A84="","",$G84*AySayisi)</f>
        <v/>
      </c>
    </row>
    <row r="85" customFormat="false" ht="15" hidden="false" customHeight="false" outlineLevel="0" collapsed="false">
      <c r="A85" s="19"/>
      <c r="B85" s="22" t="str">
        <f aca="false">IF($A85="","",IFERROR(INDEX(tblCalisan[Brüt Ücret (₺)],MATCH($A85,tblCalisan[Çalışan Adı],0)),""))</f>
        <v/>
      </c>
      <c r="C85" s="22" t="str">
        <f aca="false">IF($A85="","",$B85*IsverenPayiOrani)</f>
        <v/>
      </c>
      <c r="D85" s="22" t="str">
        <f aca="false">IF($A85="","",$B85*IssizlikOrani)</f>
        <v/>
      </c>
      <c r="E85" s="22" t="str">
        <f aca="false">IF($A85="","",$B85*KidemKarsilikOrani)</f>
        <v/>
      </c>
      <c r="F85" s="20"/>
      <c r="G85" s="22" t="str">
        <f aca="false">IF($A85="","",$B85+$C85+$D85+$E85+$F85)</f>
        <v/>
      </c>
      <c r="H85" s="22" t="str">
        <f aca="false">IF($A85="","",$G85*AySayisi)</f>
        <v/>
      </c>
    </row>
    <row r="86" customFormat="false" ht="15" hidden="false" customHeight="false" outlineLevel="0" collapsed="false">
      <c r="A86" s="19"/>
      <c r="B86" s="22" t="str">
        <f aca="false">IF($A86="","",IFERROR(INDEX(tblCalisan[Brüt Ücret (₺)],MATCH($A86,tblCalisan[Çalışan Adı],0)),""))</f>
        <v/>
      </c>
      <c r="C86" s="22" t="str">
        <f aca="false">IF($A86="","",$B86*IsverenPayiOrani)</f>
        <v/>
      </c>
      <c r="D86" s="22" t="str">
        <f aca="false">IF($A86="","",$B86*IssizlikOrani)</f>
        <v/>
      </c>
      <c r="E86" s="22" t="str">
        <f aca="false">IF($A86="","",$B86*KidemKarsilikOrani)</f>
        <v/>
      </c>
      <c r="F86" s="20"/>
      <c r="G86" s="22" t="str">
        <f aca="false">IF($A86="","",$B86+$C86+$D86+$E86+$F86)</f>
        <v/>
      </c>
      <c r="H86" s="22" t="str">
        <f aca="false">IF($A86="","",$G86*AySayisi)</f>
        <v/>
      </c>
    </row>
    <row r="87" customFormat="false" ht="15" hidden="false" customHeight="false" outlineLevel="0" collapsed="false">
      <c r="A87" s="19"/>
      <c r="B87" s="22" t="str">
        <f aca="false">IF($A87="","",IFERROR(INDEX(tblCalisan[Brüt Ücret (₺)],MATCH($A87,tblCalisan[Çalışan Adı],0)),""))</f>
        <v/>
      </c>
      <c r="C87" s="22" t="str">
        <f aca="false">IF($A87="","",$B87*IsverenPayiOrani)</f>
        <v/>
      </c>
      <c r="D87" s="22" t="str">
        <f aca="false">IF($A87="","",$B87*IssizlikOrani)</f>
        <v/>
      </c>
      <c r="E87" s="22" t="str">
        <f aca="false">IF($A87="","",$B87*KidemKarsilikOrani)</f>
        <v/>
      </c>
      <c r="F87" s="20"/>
      <c r="G87" s="22" t="str">
        <f aca="false">IF($A87="","",$B87+$C87+$D87+$E87+$F87)</f>
        <v/>
      </c>
      <c r="H87" s="22" t="str">
        <f aca="false">IF($A87="","",$G87*AySayisi)</f>
        <v/>
      </c>
    </row>
    <row r="88" customFormat="false" ht="15" hidden="false" customHeight="false" outlineLevel="0" collapsed="false">
      <c r="A88" s="19"/>
      <c r="B88" s="22" t="str">
        <f aca="false">IF($A88="","",IFERROR(INDEX(tblCalisan[Brüt Ücret (₺)],MATCH($A88,tblCalisan[Çalışan Adı],0)),""))</f>
        <v/>
      </c>
      <c r="C88" s="22" t="str">
        <f aca="false">IF($A88="","",$B88*IsverenPayiOrani)</f>
        <v/>
      </c>
      <c r="D88" s="22" t="str">
        <f aca="false">IF($A88="","",$B88*IssizlikOrani)</f>
        <v/>
      </c>
      <c r="E88" s="22" t="str">
        <f aca="false">IF($A88="","",$B88*KidemKarsilikOrani)</f>
        <v/>
      </c>
      <c r="F88" s="20"/>
      <c r="G88" s="22" t="str">
        <f aca="false">IF($A88="","",$B88+$C88+$D88+$E88+$F88)</f>
        <v/>
      </c>
      <c r="H88" s="22" t="str">
        <f aca="false">IF($A88="","",$G88*AySayisi)</f>
        <v/>
      </c>
    </row>
    <row r="89" customFormat="false" ht="15" hidden="false" customHeight="false" outlineLevel="0" collapsed="false">
      <c r="A89" s="19"/>
      <c r="B89" s="22" t="str">
        <f aca="false">IF($A89="","",IFERROR(INDEX(tblCalisan[Brüt Ücret (₺)],MATCH($A89,tblCalisan[Çalışan Adı],0)),""))</f>
        <v/>
      </c>
      <c r="C89" s="22" t="str">
        <f aca="false">IF($A89="","",$B89*IsverenPayiOrani)</f>
        <v/>
      </c>
      <c r="D89" s="22" t="str">
        <f aca="false">IF($A89="","",$B89*IssizlikOrani)</f>
        <v/>
      </c>
      <c r="E89" s="22" t="str">
        <f aca="false">IF($A89="","",$B89*KidemKarsilikOrani)</f>
        <v/>
      </c>
      <c r="F89" s="20"/>
      <c r="G89" s="22" t="str">
        <f aca="false">IF($A89="","",$B89+$C89+$D89+$E89+$F89)</f>
        <v/>
      </c>
      <c r="H89" s="22" t="str">
        <f aca="false">IF($A89="","",$G89*AySayisi)</f>
        <v/>
      </c>
    </row>
    <row r="90" customFormat="false" ht="15" hidden="false" customHeight="false" outlineLevel="0" collapsed="false">
      <c r="A90" s="19"/>
      <c r="B90" s="22" t="str">
        <f aca="false">IF($A90="","",IFERROR(INDEX(tblCalisan[Brüt Ücret (₺)],MATCH($A90,tblCalisan[Çalışan Adı],0)),""))</f>
        <v/>
      </c>
      <c r="C90" s="22" t="str">
        <f aca="false">IF($A90="","",$B90*IsverenPayiOrani)</f>
        <v/>
      </c>
      <c r="D90" s="22" t="str">
        <f aca="false">IF($A90="","",$B90*IssizlikOrani)</f>
        <v/>
      </c>
      <c r="E90" s="22" t="str">
        <f aca="false">IF($A90="","",$B90*KidemKarsilikOrani)</f>
        <v/>
      </c>
      <c r="F90" s="20"/>
      <c r="G90" s="22" t="str">
        <f aca="false">IF($A90="","",$B90+$C90+$D90+$E90+$F90)</f>
        <v/>
      </c>
      <c r="H90" s="22" t="str">
        <f aca="false">IF($A90="","",$G90*AySayisi)</f>
        <v/>
      </c>
    </row>
    <row r="91" customFormat="false" ht="15" hidden="false" customHeight="false" outlineLevel="0" collapsed="false">
      <c r="A91" s="19"/>
      <c r="B91" s="22" t="str">
        <f aca="false">IF($A91="","",IFERROR(INDEX(tblCalisan[Brüt Ücret (₺)],MATCH($A91,tblCalisan[Çalışan Adı],0)),""))</f>
        <v/>
      </c>
      <c r="C91" s="22" t="str">
        <f aca="false">IF($A91="","",$B91*IsverenPayiOrani)</f>
        <v/>
      </c>
      <c r="D91" s="22" t="str">
        <f aca="false">IF($A91="","",$B91*IssizlikOrani)</f>
        <v/>
      </c>
      <c r="E91" s="22" t="str">
        <f aca="false">IF($A91="","",$B91*KidemKarsilikOrani)</f>
        <v/>
      </c>
      <c r="F91" s="20"/>
      <c r="G91" s="22" t="str">
        <f aca="false">IF($A91="","",$B91+$C91+$D91+$E91+$F91)</f>
        <v/>
      </c>
      <c r="H91" s="22" t="str">
        <f aca="false">IF($A91="","",$G91*AySayisi)</f>
        <v/>
      </c>
    </row>
    <row r="92" customFormat="false" ht="15" hidden="false" customHeight="false" outlineLevel="0" collapsed="false">
      <c r="A92" s="19"/>
      <c r="B92" s="22" t="str">
        <f aca="false">IF($A92="","",IFERROR(INDEX(tblCalisan[Brüt Ücret (₺)],MATCH($A92,tblCalisan[Çalışan Adı],0)),""))</f>
        <v/>
      </c>
      <c r="C92" s="22" t="str">
        <f aca="false">IF($A92="","",$B92*IsverenPayiOrani)</f>
        <v/>
      </c>
      <c r="D92" s="22" t="str">
        <f aca="false">IF($A92="","",$B92*IssizlikOrani)</f>
        <v/>
      </c>
      <c r="E92" s="22" t="str">
        <f aca="false">IF($A92="","",$B92*KidemKarsilikOrani)</f>
        <v/>
      </c>
      <c r="F92" s="20"/>
      <c r="G92" s="22" t="str">
        <f aca="false">IF($A92="","",$B92+$C92+$D92+$E92+$F92)</f>
        <v/>
      </c>
      <c r="H92" s="22" t="str">
        <f aca="false">IF($A92="","",$G92*AySayisi)</f>
        <v/>
      </c>
    </row>
    <row r="93" customFormat="false" ht="15" hidden="false" customHeight="false" outlineLevel="0" collapsed="false">
      <c r="A93" s="19"/>
      <c r="B93" s="22" t="str">
        <f aca="false">IF($A93="","",IFERROR(INDEX(tblCalisan[Brüt Ücret (₺)],MATCH($A93,tblCalisan[Çalışan Adı],0)),""))</f>
        <v/>
      </c>
      <c r="C93" s="22" t="str">
        <f aca="false">IF($A93="","",$B93*IsverenPayiOrani)</f>
        <v/>
      </c>
      <c r="D93" s="22" t="str">
        <f aca="false">IF($A93="","",$B93*IssizlikOrani)</f>
        <v/>
      </c>
      <c r="E93" s="22" t="str">
        <f aca="false">IF($A93="","",$B93*KidemKarsilikOrani)</f>
        <v/>
      </c>
      <c r="F93" s="20"/>
      <c r="G93" s="22" t="str">
        <f aca="false">IF($A93="","",$B93+$C93+$D93+$E93+$F93)</f>
        <v/>
      </c>
      <c r="H93" s="22" t="str">
        <f aca="false">IF($A93="","",$G93*AySayisi)</f>
        <v/>
      </c>
    </row>
    <row r="94" customFormat="false" ht="15" hidden="false" customHeight="false" outlineLevel="0" collapsed="false">
      <c r="A94" s="19"/>
      <c r="B94" s="22" t="str">
        <f aca="false">IF($A94="","",IFERROR(INDEX(tblCalisan[Brüt Ücret (₺)],MATCH($A94,tblCalisan[Çalışan Adı],0)),""))</f>
        <v/>
      </c>
      <c r="C94" s="22" t="str">
        <f aca="false">IF($A94="","",$B94*IsverenPayiOrani)</f>
        <v/>
      </c>
      <c r="D94" s="22" t="str">
        <f aca="false">IF($A94="","",$B94*IssizlikOrani)</f>
        <v/>
      </c>
      <c r="E94" s="22" t="str">
        <f aca="false">IF($A94="","",$B94*KidemKarsilikOrani)</f>
        <v/>
      </c>
      <c r="F94" s="20"/>
      <c r="G94" s="22" t="str">
        <f aca="false">IF($A94="","",$B94+$C94+$D94+$E94+$F94)</f>
        <v/>
      </c>
      <c r="H94" s="22" t="str">
        <f aca="false">IF($A94="","",$G94*AySayisi)</f>
        <v/>
      </c>
    </row>
    <row r="95" customFormat="false" ht="15" hidden="false" customHeight="false" outlineLevel="0" collapsed="false">
      <c r="A95" s="19"/>
      <c r="B95" s="22" t="str">
        <f aca="false">IF($A95="","",IFERROR(INDEX(tblCalisan[Brüt Ücret (₺)],MATCH($A95,tblCalisan[Çalışan Adı],0)),""))</f>
        <v/>
      </c>
      <c r="C95" s="22" t="str">
        <f aca="false">IF($A95="","",$B95*IsverenPayiOrani)</f>
        <v/>
      </c>
      <c r="D95" s="22" t="str">
        <f aca="false">IF($A95="","",$B95*IssizlikOrani)</f>
        <v/>
      </c>
      <c r="E95" s="22" t="str">
        <f aca="false">IF($A95="","",$B95*KidemKarsilikOrani)</f>
        <v/>
      </c>
      <c r="F95" s="20"/>
      <c r="G95" s="22" t="str">
        <f aca="false">IF($A95="","",$B95+$C95+$D95+$E95+$F95)</f>
        <v/>
      </c>
      <c r="H95" s="22" t="str">
        <f aca="false">IF($A95="","",$G95*AySayisi)</f>
        <v/>
      </c>
    </row>
    <row r="96" customFormat="false" ht="15" hidden="false" customHeight="false" outlineLevel="0" collapsed="false">
      <c r="A96" s="19"/>
      <c r="B96" s="22" t="str">
        <f aca="false">IF($A96="","",IFERROR(INDEX(tblCalisan[Brüt Ücret (₺)],MATCH($A96,tblCalisan[Çalışan Adı],0)),""))</f>
        <v/>
      </c>
      <c r="C96" s="22" t="str">
        <f aca="false">IF($A96="","",$B96*IsverenPayiOrani)</f>
        <v/>
      </c>
      <c r="D96" s="22" t="str">
        <f aca="false">IF($A96="","",$B96*IssizlikOrani)</f>
        <v/>
      </c>
      <c r="E96" s="22" t="str">
        <f aca="false">IF($A96="","",$B96*KidemKarsilikOrani)</f>
        <v/>
      </c>
      <c r="F96" s="20"/>
      <c r="G96" s="22" t="str">
        <f aca="false">IF($A96="","",$B96+$C96+$D96+$E96+$F96)</f>
        <v/>
      </c>
      <c r="H96" s="22" t="str">
        <f aca="false">IF($A96="","",$G96*AySayisi)</f>
        <v/>
      </c>
    </row>
    <row r="97" customFormat="false" ht="15" hidden="false" customHeight="false" outlineLevel="0" collapsed="false">
      <c r="A97" s="19"/>
      <c r="B97" s="22" t="str">
        <f aca="false">IF($A97="","",IFERROR(INDEX(tblCalisan[Brüt Ücret (₺)],MATCH($A97,tblCalisan[Çalışan Adı],0)),""))</f>
        <v/>
      </c>
      <c r="C97" s="22" t="str">
        <f aca="false">IF($A97="","",$B97*IsverenPayiOrani)</f>
        <v/>
      </c>
      <c r="D97" s="22" t="str">
        <f aca="false">IF($A97="","",$B97*IssizlikOrani)</f>
        <v/>
      </c>
      <c r="E97" s="22" t="str">
        <f aca="false">IF($A97="","",$B97*KidemKarsilikOrani)</f>
        <v/>
      </c>
      <c r="F97" s="20"/>
      <c r="G97" s="22" t="str">
        <f aca="false">IF($A97="","",$B97+$C97+$D97+$E97+$F97)</f>
        <v/>
      </c>
      <c r="H97" s="22" t="str">
        <f aca="false">IF($A97="","",$G97*AySayisi)</f>
        <v/>
      </c>
    </row>
    <row r="98" customFormat="false" ht="15" hidden="false" customHeight="false" outlineLevel="0" collapsed="false">
      <c r="A98" s="19"/>
      <c r="B98" s="22" t="str">
        <f aca="false">IF($A98="","",IFERROR(INDEX(tblCalisan[Brüt Ücret (₺)],MATCH($A98,tblCalisan[Çalışan Adı],0)),""))</f>
        <v/>
      </c>
      <c r="C98" s="22" t="str">
        <f aca="false">IF($A98="","",$B98*IsverenPayiOrani)</f>
        <v/>
      </c>
      <c r="D98" s="22" t="str">
        <f aca="false">IF($A98="","",$B98*IssizlikOrani)</f>
        <v/>
      </c>
      <c r="E98" s="22" t="str">
        <f aca="false">IF($A98="","",$B98*KidemKarsilikOrani)</f>
        <v/>
      </c>
      <c r="F98" s="20"/>
      <c r="G98" s="22" t="str">
        <f aca="false">IF($A98="","",$B98+$C98+$D98+$E98+$F98)</f>
        <v/>
      </c>
      <c r="H98" s="22" t="str">
        <f aca="false">IF($A98="","",$G98*AySayisi)</f>
        <v/>
      </c>
    </row>
    <row r="99" customFormat="false" ht="15" hidden="false" customHeight="false" outlineLevel="0" collapsed="false">
      <c r="A99" s="19"/>
      <c r="B99" s="22" t="str">
        <f aca="false">IF($A99="","",IFERROR(INDEX(tblCalisan[Brüt Ücret (₺)],MATCH($A99,tblCalisan[Çalışan Adı],0)),""))</f>
        <v/>
      </c>
      <c r="C99" s="22" t="str">
        <f aca="false">IF($A99="","",$B99*IsverenPayiOrani)</f>
        <v/>
      </c>
      <c r="D99" s="22" t="str">
        <f aca="false">IF($A99="","",$B99*IssizlikOrani)</f>
        <v/>
      </c>
      <c r="E99" s="22" t="str">
        <f aca="false">IF($A99="","",$B99*KidemKarsilikOrani)</f>
        <v/>
      </c>
      <c r="F99" s="20"/>
      <c r="G99" s="22" t="str">
        <f aca="false">IF($A99="","",$B99+$C99+$D99+$E99+$F99)</f>
        <v/>
      </c>
      <c r="H99" s="22" t="str">
        <f aca="false">IF($A99="","",$G99*AySayisi)</f>
        <v/>
      </c>
    </row>
    <row r="100" customFormat="false" ht="15" hidden="false" customHeight="false" outlineLevel="0" collapsed="false">
      <c r="A100" s="19"/>
      <c r="B100" s="22" t="str">
        <f aca="false">IF($A100="","",IFERROR(INDEX(tblCalisan[Brüt Ücret (₺)],MATCH($A100,tblCalisan[Çalışan Adı],0)),""))</f>
        <v/>
      </c>
      <c r="C100" s="22" t="str">
        <f aca="false">IF($A100="","",$B100*IsverenPayiOrani)</f>
        <v/>
      </c>
      <c r="D100" s="22" t="str">
        <f aca="false">IF($A100="","",$B100*IssizlikOrani)</f>
        <v/>
      </c>
      <c r="E100" s="22" t="str">
        <f aca="false">IF($A100="","",$B100*KidemKarsilikOrani)</f>
        <v/>
      </c>
      <c r="F100" s="20"/>
      <c r="G100" s="22" t="str">
        <f aca="false">IF($A100="","",$B100+$C100+$D100+$E100+$F100)</f>
        <v/>
      </c>
      <c r="H100" s="22" t="str">
        <f aca="false">IF($A100="","",$G100*AySayisi)</f>
        <v/>
      </c>
    </row>
    <row r="101" customFormat="false" ht="15" hidden="false" customHeight="false" outlineLevel="0" collapsed="false">
      <c r="A101" s="19"/>
      <c r="B101" s="22" t="str">
        <f aca="false">IF($A101="","",IFERROR(INDEX(tblCalisan[Brüt Ücret (₺)],MATCH($A101,tblCalisan[Çalışan Adı],0)),""))</f>
        <v/>
      </c>
      <c r="C101" s="22" t="str">
        <f aca="false">IF($A101="","",$B101*IsverenPayiOrani)</f>
        <v/>
      </c>
      <c r="D101" s="22" t="str">
        <f aca="false">IF($A101="","",$B101*IssizlikOrani)</f>
        <v/>
      </c>
      <c r="E101" s="22" t="str">
        <f aca="false">IF($A101="","",$B101*KidemKarsilikOrani)</f>
        <v/>
      </c>
      <c r="F101" s="20"/>
      <c r="G101" s="22" t="str">
        <f aca="false">IF($A101="","",$B101+$C101+$D101+$E101+$F101)</f>
        <v/>
      </c>
      <c r="H101" s="22" t="str">
        <f aca="false">IF($A101="","",$G101*AySayisi)</f>
        <v/>
      </c>
    </row>
    <row r="102" customFormat="false" ht="15" hidden="false" customHeight="false" outlineLevel="0" collapsed="false">
      <c r="A102" s="19"/>
      <c r="B102" s="22" t="str">
        <f aca="false">IF($A102="","",IFERROR(INDEX(tblCalisan[Brüt Ücret (₺)],MATCH($A102,tblCalisan[Çalışan Adı],0)),""))</f>
        <v/>
      </c>
      <c r="C102" s="22" t="str">
        <f aca="false">IF($A102="","",$B102*IsverenPayiOrani)</f>
        <v/>
      </c>
      <c r="D102" s="22" t="str">
        <f aca="false">IF($A102="","",$B102*IssizlikOrani)</f>
        <v/>
      </c>
      <c r="E102" s="22" t="str">
        <f aca="false">IF($A102="","",$B102*KidemKarsilikOrani)</f>
        <v/>
      </c>
      <c r="F102" s="20"/>
      <c r="G102" s="22" t="str">
        <f aca="false">IF($A102="","",$B102+$C102+$D102+$E102+$F102)</f>
        <v/>
      </c>
      <c r="H102" s="22" t="str">
        <f aca="false">IF($A102="","",$G102*AySayisi)</f>
        <v/>
      </c>
    </row>
    <row r="103" customFormat="false" ht="15" hidden="false" customHeight="false" outlineLevel="0" collapsed="false">
      <c r="A103" s="19"/>
      <c r="B103" s="22" t="str">
        <f aca="false">IF($A103="","",IFERROR(INDEX(tblCalisan[Brüt Ücret (₺)],MATCH($A103,tblCalisan[Çalışan Adı],0)),""))</f>
        <v/>
      </c>
      <c r="C103" s="22" t="str">
        <f aca="false">IF($A103="","",$B103*IsverenPayiOrani)</f>
        <v/>
      </c>
      <c r="D103" s="22" t="str">
        <f aca="false">IF($A103="","",$B103*IssizlikOrani)</f>
        <v/>
      </c>
      <c r="E103" s="22" t="str">
        <f aca="false">IF($A103="","",$B103*KidemKarsilikOrani)</f>
        <v/>
      </c>
      <c r="F103" s="20"/>
      <c r="G103" s="22" t="str">
        <f aca="false">IF($A103="","",$B103+$C103+$D103+$E103+$F103)</f>
        <v/>
      </c>
      <c r="H103" s="22" t="str">
        <f aca="false">IF($A103="","",$G103*AySayisi)</f>
        <v/>
      </c>
    </row>
    <row r="104" customFormat="false" ht="15" hidden="false" customHeight="false" outlineLevel="0" collapsed="false">
      <c r="A104" s="19"/>
      <c r="B104" s="22" t="str">
        <f aca="false">IF($A104="","",IFERROR(INDEX(tblCalisan[Brüt Ücret (₺)],MATCH($A104,tblCalisan[Çalışan Adı],0)),""))</f>
        <v/>
      </c>
      <c r="C104" s="22" t="str">
        <f aca="false">IF($A104="","",$B104*IsverenPayiOrani)</f>
        <v/>
      </c>
      <c r="D104" s="22" t="str">
        <f aca="false">IF($A104="","",$B104*IssizlikOrani)</f>
        <v/>
      </c>
      <c r="E104" s="22" t="str">
        <f aca="false">IF($A104="","",$B104*KidemKarsilikOrani)</f>
        <v/>
      </c>
      <c r="F104" s="20"/>
      <c r="G104" s="22" t="str">
        <f aca="false">IF($A104="","",$B104+$C104+$D104+$E104+$F104)</f>
        <v/>
      </c>
      <c r="H104" s="22" t="str">
        <f aca="false">IF($A104="","",$G104*AySayisi)</f>
        <v/>
      </c>
    </row>
    <row r="105" customFormat="false" ht="15" hidden="false" customHeight="false" outlineLevel="0" collapsed="false">
      <c r="A105" s="19"/>
      <c r="B105" s="22" t="str">
        <f aca="false">IF($A105="","",IFERROR(INDEX(tblCalisan[Brüt Ücret (₺)],MATCH($A105,tblCalisan[Çalışan Adı],0)),""))</f>
        <v/>
      </c>
      <c r="C105" s="22" t="str">
        <f aca="false">IF($A105="","",$B105*IsverenPayiOrani)</f>
        <v/>
      </c>
      <c r="D105" s="22" t="str">
        <f aca="false">IF($A105="","",$B105*IssizlikOrani)</f>
        <v/>
      </c>
      <c r="E105" s="22" t="str">
        <f aca="false">IF($A105="","",$B105*KidemKarsilikOrani)</f>
        <v/>
      </c>
      <c r="F105" s="20"/>
      <c r="G105" s="22" t="str">
        <f aca="false">IF($A105="","",$B105+$C105+$D105+$E105+$F105)</f>
        <v/>
      </c>
      <c r="H105" s="22" t="str">
        <f aca="false">IF($A105="","",$G105*AySayisi)</f>
        <v/>
      </c>
    </row>
    <row r="106" customFormat="false" ht="15" hidden="false" customHeight="false" outlineLevel="0" collapsed="false">
      <c r="A106" s="19"/>
      <c r="B106" s="22" t="str">
        <f aca="false">IF($A106="","",IFERROR(INDEX(tblCalisan[Brüt Ücret (₺)],MATCH($A106,tblCalisan[Çalışan Adı],0)),""))</f>
        <v/>
      </c>
      <c r="C106" s="22" t="str">
        <f aca="false">IF($A106="","",$B106*IsverenPayiOrani)</f>
        <v/>
      </c>
      <c r="D106" s="22" t="str">
        <f aca="false">IF($A106="","",$B106*IssizlikOrani)</f>
        <v/>
      </c>
      <c r="E106" s="22" t="str">
        <f aca="false">IF($A106="","",$B106*KidemKarsilikOrani)</f>
        <v/>
      </c>
      <c r="F106" s="20"/>
      <c r="G106" s="22" t="str">
        <f aca="false">IF($A106="","",$B106+$C106+$D106+$E106+$F106)</f>
        <v/>
      </c>
      <c r="H106" s="22" t="str">
        <f aca="false">IF($A106="","",$G106*AySayisi)</f>
        <v/>
      </c>
    </row>
    <row r="107" customFormat="false" ht="15" hidden="false" customHeight="false" outlineLevel="0" collapsed="false">
      <c r="A107" s="19"/>
      <c r="B107" s="22" t="str">
        <f aca="false">IF($A107="","",IFERROR(INDEX(tblCalisan[Brüt Ücret (₺)],MATCH($A107,tblCalisan[Çalışan Adı],0)),""))</f>
        <v/>
      </c>
      <c r="C107" s="22" t="str">
        <f aca="false">IF($A107="","",$B107*IsverenPayiOrani)</f>
        <v/>
      </c>
      <c r="D107" s="22" t="str">
        <f aca="false">IF($A107="","",$B107*IssizlikOrani)</f>
        <v/>
      </c>
      <c r="E107" s="22" t="str">
        <f aca="false">IF($A107="","",$B107*KidemKarsilikOrani)</f>
        <v/>
      </c>
      <c r="F107" s="20"/>
      <c r="G107" s="22" t="str">
        <f aca="false">IF($A107="","",$B107+$C107+$D107+$E107+$F107)</f>
        <v/>
      </c>
      <c r="H107" s="22" t="str">
        <f aca="false">IF($A107="","",$G107*AySayisi)</f>
        <v/>
      </c>
    </row>
    <row r="108" customFormat="false" ht="15" hidden="false" customHeight="false" outlineLevel="0" collapsed="false">
      <c r="A108" s="19"/>
      <c r="B108" s="22" t="str">
        <f aca="false">IF($A108="","",IFERROR(INDEX(tblCalisan[Brüt Ücret (₺)],MATCH($A108,tblCalisan[Çalışan Adı],0)),""))</f>
        <v/>
      </c>
      <c r="C108" s="22" t="str">
        <f aca="false">IF($A108="","",$B108*IsverenPayiOrani)</f>
        <v/>
      </c>
      <c r="D108" s="22" t="str">
        <f aca="false">IF($A108="","",$B108*IssizlikOrani)</f>
        <v/>
      </c>
      <c r="E108" s="22" t="str">
        <f aca="false">IF($A108="","",$B108*KidemKarsilikOrani)</f>
        <v/>
      </c>
      <c r="F108" s="20"/>
      <c r="G108" s="22" t="str">
        <f aca="false">IF($A108="","",$B108+$C108+$D108+$E108+$F108)</f>
        <v/>
      </c>
      <c r="H108" s="22" t="str">
        <f aca="false">IF($A108="","",$G108*AySayisi)</f>
        <v/>
      </c>
    </row>
    <row r="109" customFormat="false" ht="15" hidden="false" customHeight="false" outlineLevel="0" collapsed="false">
      <c r="A109" s="19"/>
      <c r="B109" s="22" t="str">
        <f aca="false">IF($A109="","",IFERROR(INDEX(tblCalisan[Brüt Ücret (₺)],MATCH($A109,tblCalisan[Çalışan Adı],0)),""))</f>
        <v/>
      </c>
      <c r="C109" s="22" t="str">
        <f aca="false">IF($A109="","",$B109*IsverenPayiOrani)</f>
        <v/>
      </c>
      <c r="D109" s="22" t="str">
        <f aca="false">IF($A109="","",$B109*IssizlikOrani)</f>
        <v/>
      </c>
      <c r="E109" s="22" t="str">
        <f aca="false">IF($A109="","",$B109*KidemKarsilikOrani)</f>
        <v/>
      </c>
      <c r="F109" s="20"/>
      <c r="G109" s="22" t="str">
        <f aca="false">IF($A109="","",$B109+$C109+$D109+$E109+$F109)</f>
        <v/>
      </c>
      <c r="H109" s="22" t="str">
        <f aca="false">IF($A109="","",$G109*AySayisi)</f>
        <v/>
      </c>
    </row>
    <row r="110" customFormat="false" ht="15" hidden="false" customHeight="false" outlineLevel="0" collapsed="false">
      <c r="A110" s="19"/>
      <c r="B110" s="22" t="str">
        <f aca="false">IF($A110="","",IFERROR(INDEX(tblCalisan[Brüt Ücret (₺)],MATCH($A110,tblCalisan[Çalışan Adı],0)),""))</f>
        <v/>
      </c>
      <c r="C110" s="22" t="str">
        <f aca="false">IF($A110="","",$B110*IsverenPayiOrani)</f>
        <v/>
      </c>
      <c r="D110" s="22" t="str">
        <f aca="false">IF($A110="","",$B110*IssizlikOrani)</f>
        <v/>
      </c>
      <c r="E110" s="22" t="str">
        <f aca="false">IF($A110="","",$B110*KidemKarsilikOrani)</f>
        <v/>
      </c>
      <c r="F110" s="20"/>
      <c r="G110" s="22" t="str">
        <f aca="false">IF($A110="","",$B110+$C110+$D110+$E110+$F110)</f>
        <v/>
      </c>
      <c r="H110" s="22" t="str">
        <f aca="false">IF($A110="","",$G110*AySayisi)</f>
        <v/>
      </c>
    </row>
    <row r="111" customFormat="false" ht="15" hidden="false" customHeight="false" outlineLevel="0" collapsed="false">
      <c r="A111" s="19"/>
      <c r="B111" s="22" t="str">
        <f aca="false">IF($A111="","",IFERROR(INDEX(tblCalisan[Brüt Ücret (₺)],MATCH($A111,tblCalisan[Çalışan Adı],0)),""))</f>
        <v/>
      </c>
      <c r="C111" s="22" t="str">
        <f aca="false">IF($A111="","",$B111*IsverenPayiOrani)</f>
        <v/>
      </c>
      <c r="D111" s="22" t="str">
        <f aca="false">IF($A111="","",$B111*IssizlikOrani)</f>
        <v/>
      </c>
      <c r="E111" s="22" t="str">
        <f aca="false">IF($A111="","",$B111*KidemKarsilikOrani)</f>
        <v/>
      </c>
      <c r="F111" s="20"/>
      <c r="G111" s="22" t="str">
        <f aca="false">IF($A111="","",$B111+$C111+$D111+$E111+$F111)</f>
        <v/>
      </c>
      <c r="H111" s="22" t="str">
        <f aca="false">IF($A111="","",$G111*AySayisi)</f>
        <v/>
      </c>
    </row>
    <row r="112" customFormat="false" ht="15" hidden="false" customHeight="false" outlineLevel="0" collapsed="false">
      <c r="A112" s="19"/>
      <c r="B112" s="22" t="str">
        <f aca="false">IF($A112="","",IFERROR(INDEX(tblCalisan[Brüt Ücret (₺)],MATCH($A112,tblCalisan[Çalışan Adı],0)),""))</f>
        <v/>
      </c>
      <c r="C112" s="22" t="str">
        <f aca="false">IF($A112="","",$B112*IsverenPayiOrani)</f>
        <v/>
      </c>
      <c r="D112" s="22" t="str">
        <f aca="false">IF($A112="","",$B112*IssizlikOrani)</f>
        <v/>
      </c>
      <c r="E112" s="22" t="str">
        <f aca="false">IF($A112="","",$B112*KidemKarsilikOrani)</f>
        <v/>
      </c>
      <c r="F112" s="20"/>
      <c r="G112" s="22" t="str">
        <f aca="false">IF($A112="","",$B112+$C112+$D112+$E112+$F112)</f>
        <v/>
      </c>
      <c r="H112" s="22" t="str">
        <f aca="false">IF($A112="","",$G112*AySayisi)</f>
        <v/>
      </c>
    </row>
    <row r="113" customFormat="false" ht="15" hidden="false" customHeight="false" outlineLevel="0" collapsed="false">
      <c r="A113" s="19"/>
      <c r="B113" s="22" t="str">
        <f aca="false">IF($A113="","",IFERROR(INDEX(tblCalisan[Brüt Ücret (₺)],MATCH($A113,tblCalisan[Çalışan Adı],0)),""))</f>
        <v/>
      </c>
      <c r="C113" s="22" t="str">
        <f aca="false">IF($A113="","",$B113*IsverenPayiOrani)</f>
        <v/>
      </c>
      <c r="D113" s="22" t="str">
        <f aca="false">IF($A113="","",$B113*IssizlikOrani)</f>
        <v/>
      </c>
      <c r="E113" s="22" t="str">
        <f aca="false">IF($A113="","",$B113*KidemKarsilikOrani)</f>
        <v/>
      </c>
      <c r="F113" s="20"/>
      <c r="G113" s="22" t="str">
        <f aca="false">IF($A113="","",$B113+$C113+$D113+$E113+$F113)</f>
        <v/>
      </c>
      <c r="H113" s="22" t="str">
        <f aca="false">IF($A113="","",$G113*AySayisi)</f>
        <v/>
      </c>
    </row>
    <row r="114" customFormat="false" ht="15" hidden="false" customHeight="false" outlineLevel="0" collapsed="false">
      <c r="A114" s="19"/>
      <c r="B114" s="22" t="str">
        <f aca="false">IF($A114="","",IFERROR(INDEX(tblCalisan[Brüt Ücret (₺)],MATCH($A114,tblCalisan[Çalışan Adı],0)),""))</f>
        <v/>
      </c>
      <c r="C114" s="22" t="str">
        <f aca="false">IF($A114="","",$B114*IsverenPayiOrani)</f>
        <v/>
      </c>
      <c r="D114" s="22" t="str">
        <f aca="false">IF($A114="","",$B114*IssizlikOrani)</f>
        <v/>
      </c>
      <c r="E114" s="22" t="str">
        <f aca="false">IF($A114="","",$B114*KidemKarsilikOrani)</f>
        <v/>
      </c>
      <c r="F114" s="20"/>
      <c r="G114" s="22" t="str">
        <f aca="false">IF($A114="","",$B114+$C114+$D114+$E114+$F114)</f>
        <v/>
      </c>
      <c r="H114" s="22" t="str">
        <f aca="false">IF($A114="","",$G114*AySayisi)</f>
        <v/>
      </c>
    </row>
    <row r="115" customFormat="false" ht="15" hidden="false" customHeight="false" outlineLevel="0" collapsed="false">
      <c r="A115" s="19"/>
      <c r="B115" s="22" t="str">
        <f aca="false">IF($A115="","",IFERROR(INDEX(tblCalisan[Brüt Ücret (₺)],MATCH($A115,tblCalisan[Çalışan Adı],0)),""))</f>
        <v/>
      </c>
      <c r="C115" s="22" t="str">
        <f aca="false">IF($A115="","",$B115*IsverenPayiOrani)</f>
        <v/>
      </c>
      <c r="D115" s="22" t="str">
        <f aca="false">IF($A115="","",$B115*IssizlikOrani)</f>
        <v/>
      </c>
      <c r="E115" s="22" t="str">
        <f aca="false">IF($A115="","",$B115*KidemKarsilikOrani)</f>
        <v/>
      </c>
      <c r="F115" s="20"/>
      <c r="G115" s="22" t="str">
        <f aca="false">IF($A115="","",$B115+$C115+$D115+$E115+$F115)</f>
        <v/>
      </c>
      <c r="H115" s="22" t="str">
        <f aca="false">IF($A115="","",$G115*AySayisi)</f>
        <v/>
      </c>
    </row>
    <row r="116" customFormat="false" ht="15" hidden="false" customHeight="false" outlineLevel="0" collapsed="false">
      <c r="A116" s="19"/>
      <c r="B116" s="22" t="str">
        <f aca="false">IF($A116="","",IFERROR(INDEX(tblCalisan[Brüt Ücret (₺)],MATCH($A116,tblCalisan[Çalışan Adı],0)),""))</f>
        <v/>
      </c>
      <c r="C116" s="22" t="str">
        <f aca="false">IF($A116="","",$B116*IsverenPayiOrani)</f>
        <v/>
      </c>
      <c r="D116" s="22" t="str">
        <f aca="false">IF($A116="","",$B116*IssizlikOrani)</f>
        <v/>
      </c>
      <c r="E116" s="22" t="str">
        <f aca="false">IF($A116="","",$B116*KidemKarsilikOrani)</f>
        <v/>
      </c>
      <c r="F116" s="20"/>
      <c r="G116" s="22" t="str">
        <f aca="false">IF($A116="","",$B116+$C116+$D116+$E116+$F116)</f>
        <v/>
      </c>
      <c r="H116" s="22" t="str">
        <f aca="false">IF($A116="","",$G116*AySayisi)</f>
        <v/>
      </c>
    </row>
    <row r="117" customFormat="false" ht="15" hidden="false" customHeight="false" outlineLevel="0" collapsed="false">
      <c r="A117" s="19"/>
      <c r="B117" s="22" t="str">
        <f aca="false">IF($A117="","",IFERROR(INDEX(tblCalisan[Brüt Ücret (₺)],MATCH($A117,tblCalisan[Çalışan Adı],0)),""))</f>
        <v/>
      </c>
      <c r="C117" s="22" t="str">
        <f aca="false">IF($A117="","",$B117*IsverenPayiOrani)</f>
        <v/>
      </c>
      <c r="D117" s="22" t="str">
        <f aca="false">IF($A117="","",$B117*IssizlikOrani)</f>
        <v/>
      </c>
      <c r="E117" s="22" t="str">
        <f aca="false">IF($A117="","",$B117*KidemKarsilikOrani)</f>
        <v/>
      </c>
      <c r="F117" s="20"/>
      <c r="G117" s="22" t="str">
        <f aca="false">IF($A117="","",$B117+$C117+$D117+$E117+$F117)</f>
        <v/>
      </c>
      <c r="H117" s="22" t="str">
        <f aca="false">IF($A117="","",$G117*AySayisi)</f>
        <v/>
      </c>
    </row>
    <row r="118" customFormat="false" ht="15" hidden="false" customHeight="false" outlineLevel="0" collapsed="false">
      <c r="A118" s="19"/>
      <c r="B118" s="22" t="str">
        <f aca="false">IF($A118="","",IFERROR(INDEX(tblCalisan[Brüt Ücret (₺)],MATCH($A118,tblCalisan[Çalışan Adı],0)),""))</f>
        <v/>
      </c>
      <c r="C118" s="22" t="str">
        <f aca="false">IF($A118="","",$B118*IsverenPayiOrani)</f>
        <v/>
      </c>
      <c r="D118" s="22" t="str">
        <f aca="false">IF($A118="","",$B118*IssizlikOrani)</f>
        <v/>
      </c>
      <c r="E118" s="22" t="str">
        <f aca="false">IF($A118="","",$B118*KidemKarsilikOrani)</f>
        <v/>
      </c>
      <c r="F118" s="20"/>
      <c r="G118" s="22" t="str">
        <f aca="false">IF($A118="","",$B118+$C118+$D118+$E118+$F118)</f>
        <v/>
      </c>
      <c r="H118" s="22" t="str">
        <f aca="false">IF($A118="","",$G118*AySayisi)</f>
        <v/>
      </c>
    </row>
    <row r="119" customFormat="false" ht="15" hidden="false" customHeight="false" outlineLevel="0" collapsed="false">
      <c r="A119" s="19"/>
      <c r="B119" s="22" t="str">
        <f aca="false">IF($A119="","",IFERROR(INDEX(tblCalisan[Brüt Ücret (₺)],MATCH($A119,tblCalisan[Çalışan Adı],0)),""))</f>
        <v/>
      </c>
      <c r="C119" s="22" t="str">
        <f aca="false">IF($A119="","",$B119*IsverenPayiOrani)</f>
        <v/>
      </c>
      <c r="D119" s="22" t="str">
        <f aca="false">IF($A119="","",$B119*IssizlikOrani)</f>
        <v/>
      </c>
      <c r="E119" s="22" t="str">
        <f aca="false">IF($A119="","",$B119*KidemKarsilikOrani)</f>
        <v/>
      </c>
      <c r="F119" s="20"/>
      <c r="G119" s="22" t="str">
        <f aca="false">IF($A119="","",$B119+$C119+$D119+$E119+$F119)</f>
        <v/>
      </c>
      <c r="H119" s="22" t="str">
        <f aca="false">IF($A119="","",$G119*AySayisi)</f>
        <v/>
      </c>
    </row>
    <row r="120" customFormat="false" ht="15" hidden="false" customHeight="false" outlineLevel="0" collapsed="false">
      <c r="A120" s="19"/>
      <c r="B120" s="22" t="str">
        <f aca="false">IF($A120="","",IFERROR(INDEX(tblCalisan[Brüt Ücret (₺)],MATCH($A120,tblCalisan[Çalışan Adı],0)),""))</f>
        <v/>
      </c>
      <c r="C120" s="22" t="str">
        <f aca="false">IF($A120="","",$B120*IsverenPayiOrani)</f>
        <v/>
      </c>
      <c r="D120" s="22" t="str">
        <f aca="false">IF($A120="","",$B120*IssizlikOrani)</f>
        <v/>
      </c>
      <c r="E120" s="22" t="str">
        <f aca="false">IF($A120="","",$B120*KidemKarsilikOrani)</f>
        <v/>
      </c>
      <c r="F120" s="20"/>
      <c r="G120" s="22" t="str">
        <f aca="false">IF($A120="","",$B120+$C120+$D120+$E120+$F120)</f>
        <v/>
      </c>
      <c r="H120" s="22" t="str">
        <f aca="false">IF($A120="","",$G120*AySayisi)</f>
        <v/>
      </c>
    </row>
    <row r="121" customFormat="false" ht="15" hidden="false" customHeight="false" outlineLevel="0" collapsed="false">
      <c r="A121" s="19"/>
      <c r="B121" s="22" t="str">
        <f aca="false">IF($A121="","",IFERROR(INDEX(tblCalisan[Brüt Ücret (₺)],MATCH($A121,tblCalisan[Çalışan Adı],0)),""))</f>
        <v/>
      </c>
      <c r="C121" s="22" t="str">
        <f aca="false">IF($A121="","",$B121*IsverenPayiOrani)</f>
        <v/>
      </c>
      <c r="D121" s="22" t="str">
        <f aca="false">IF($A121="","",$B121*IssizlikOrani)</f>
        <v/>
      </c>
      <c r="E121" s="22" t="str">
        <f aca="false">IF($A121="","",$B121*KidemKarsilikOrani)</f>
        <v/>
      </c>
      <c r="F121" s="20"/>
      <c r="G121" s="22" t="str">
        <f aca="false">IF($A121="","",$B121+$C121+$D121+$E121+$F121)</f>
        <v/>
      </c>
      <c r="H121" s="22" t="str">
        <f aca="false">IF($A121="","",$G121*AySayisi)</f>
        <v/>
      </c>
    </row>
    <row r="122" customFormat="false" ht="15" hidden="false" customHeight="false" outlineLevel="0" collapsed="false">
      <c r="A122" s="19"/>
      <c r="B122" s="22" t="str">
        <f aca="false">IF($A122="","",IFERROR(INDEX(tblCalisan[Brüt Ücret (₺)],MATCH($A122,tblCalisan[Çalışan Adı],0)),""))</f>
        <v/>
      </c>
      <c r="C122" s="22" t="str">
        <f aca="false">IF($A122="","",$B122*IsverenPayiOrani)</f>
        <v/>
      </c>
      <c r="D122" s="22" t="str">
        <f aca="false">IF($A122="","",$B122*IssizlikOrani)</f>
        <v/>
      </c>
      <c r="E122" s="22" t="str">
        <f aca="false">IF($A122="","",$B122*KidemKarsilikOrani)</f>
        <v/>
      </c>
      <c r="F122" s="20"/>
      <c r="G122" s="22" t="str">
        <f aca="false">IF($A122="","",$B122+$C122+$D122+$E122+$F122)</f>
        <v/>
      </c>
      <c r="H122" s="22" t="str">
        <f aca="false">IF($A122="","",$G122*AySayisi)</f>
        <v/>
      </c>
    </row>
    <row r="123" customFormat="false" ht="15" hidden="false" customHeight="false" outlineLevel="0" collapsed="false">
      <c r="A123" s="19"/>
      <c r="B123" s="22" t="str">
        <f aca="false">IF($A123="","",IFERROR(INDEX(tblCalisan[Brüt Ücret (₺)],MATCH($A123,tblCalisan[Çalışan Adı],0)),""))</f>
        <v/>
      </c>
      <c r="C123" s="22" t="str">
        <f aca="false">IF($A123="","",$B123*IsverenPayiOrani)</f>
        <v/>
      </c>
      <c r="D123" s="22" t="str">
        <f aca="false">IF($A123="","",$B123*IssizlikOrani)</f>
        <v/>
      </c>
      <c r="E123" s="22" t="str">
        <f aca="false">IF($A123="","",$B123*KidemKarsilikOrani)</f>
        <v/>
      </c>
      <c r="F123" s="20"/>
      <c r="G123" s="22" t="str">
        <f aca="false">IF($A123="","",$B123+$C123+$D123+$E123+$F123)</f>
        <v/>
      </c>
      <c r="H123" s="22" t="str">
        <f aca="false">IF($A123="","",$G123*AySayisi)</f>
        <v/>
      </c>
    </row>
    <row r="124" customFormat="false" ht="15" hidden="false" customHeight="false" outlineLevel="0" collapsed="false">
      <c r="A124" s="19"/>
      <c r="B124" s="22" t="str">
        <f aca="false">IF($A124="","",IFERROR(INDEX(tblCalisan[Brüt Ücret (₺)],MATCH($A124,tblCalisan[Çalışan Adı],0)),""))</f>
        <v/>
      </c>
      <c r="C124" s="22" t="str">
        <f aca="false">IF($A124="","",$B124*IsverenPayiOrani)</f>
        <v/>
      </c>
      <c r="D124" s="22" t="str">
        <f aca="false">IF($A124="","",$B124*IssizlikOrani)</f>
        <v/>
      </c>
      <c r="E124" s="22" t="str">
        <f aca="false">IF($A124="","",$B124*KidemKarsilikOrani)</f>
        <v/>
      </c>
      <c r="F124" s="20"/>
      <c r="G124" s="22" t="str">
        <f aca="false">IF($A124="","",$B124+$C124+$D124+$E124+$F124)</f>
        <v/>
      </c>
      <c r="H124" s="22" t="str">
        <f aca="false">IF($A124="","",$G124*AySayisi)</f>
        <v/>
      </c>
    </row>
    <row r="125" customFormat="false" ht="15" hidden="false" customHeight="false" outlineLevel="0" collapsed="false">
      <c r="A125" s="19"/>
      <c r="B125" s="22" t="str">
        <f aca="false">IF($A125="","",IFERROR(INDEX(tblCalisan[Brüt Ücret (₺)],MATCH($A125,tblCalisan[Çalışan Adı],0)),""))</f>
        <v/>
      </c>
      <c r="C125" s="22" t="str">
        <f aca="false">IF($A125="","",$B125*IsverenPayiOrani)</f>
        <v/>
      </c>
      <c r="D125" s="22" t="str">
        <f aca="false">IF($A125="","",$B125*IssizlikOrani)</f>
        <v/>
      </c>
      <c r="E125" s="22" t="str">
        <f aca="false">IF($A125="","",$B125*KidemKarsilikOrani)</f>
        <v/>
      </c>
      <c r="F125" s="20"/>
      <c r="G125" s="22" t="str">
        <f aca="false">IF($A125="","",$B125+$C125+$D125+$E125+$F125)</f>
        <v/>
      </c>
      <c r="H125" s="22" t="str">
        <f aca="false">IF($A125="","",$G125*AySayisi)</f>
        <v/>
      </c>
    </row>
    <row r="126" customFormat="false" ht="15" hidden="false" customHeight="false" outlineLevel="0" collapsed="false">
      <c r="A126" s="19"/>
      <c r="B126" s="22" t="str">
        <f aca="false">IF($A126="","",IFERROR(INDEX(tblCalisan[Brüt Ücret (₺)],MATCH($A126,tblCalisan[Çalışan Adı],0)),""))</f>
        <v/>
      </c>
      <c r="C126" s="22" t="str">
        <f aca="false">IF($A126="","",$B126*IsverenPayiOrani)</f>
        <v/>
      </c>
      <c r="D126" s="22" t="str">
        <f aca="false">IF($A126="","",$B126*IssizlikOrani)</f>
        <v/>
      </c>
      <c r="E126" s="22" t="str">
        <f aca="false">IF($A126="","",$B126*KidemKarsilikOrani)</f>
        <v/>
      </c>
      <c r="F126" s="20"/>
      <c r="G126" s="22" t="str">
        <f aca="false">IF($A126="","",$B126+$C126+$D126+$E126+$F126)</f>
        <v/>
      </c>
      <c r="H126" s="22" t="str">
        <f aca="false">IF($A126="","",$G126*AySayisi)</f>
        <v/>
      </c>
    </row>
    <row r="127" customFormat="false" ht="15" hidden="false" customHeight="false" outlineLevel="0" collapsed="false">
      <c r="A127" s="19"/>
      <c r="B127" s="22" t="str">
        <f aca="false">IF($A127="","",IFERROR(INDEX(tblCalisan[Brüt Ücret (₺)],MATCH($A127,tblCalisan[Çalışan Adı],0)),""))</f>
        <v/>
      </c>
      <c r="C127" s="22" t="str">
        <f aca="false">IF($A127="","",$B127*IsverenPayiOrani)</f>
        <v/>
      </c>
      <c r="D127" s="22" t="str">
        <f aca="false">IF($A127="","",$B127*IssizlikOrani)</f>
        <v/>
      </c>
      <c r="E127" s="22" t="str">
        <f aca="false">IF($A127="","",$B127*KidemKarsilikOrani)</f>
        <v/>
      </c>
      <c r="F127" s="20"/>
      <c r="G127" s="22" t="str">
        <f aca="false">IF($A127="","",$B127+$C127+$D127+$E127+$F127)</f>
        <v/>
      </c>
      <c r="H127" s="22" t="str">
        <f aca="false">IF($A127="","",$G127*AySayisi)</f>
        <v/>
      </c>
    </row>
    <row r="128" customFormat="false" ht="15" hidden="false" customHeight="false" outlineLevel="0" collapsed="false">
      <c r="A128" s="19"/>
      <c r="B128" s="22" t="str">
        <f aca="false">IF($A128="","",IFERROR(INDEX(tblCalisan[Brüt Ücret (₺)],MATCH($A128,tblCalisan[Çalışan Adı],0)),""))</f>
        <v/>
      </c>
      <c r="C128" s="22" t="str">
        <f aca="false">IF($A128="","",$B128*IsverenPayiOrani)</f>
        <v/>
      </c>
      <c r="D128" s="22" t="str">
        <f aca="false">IF($A128="","",$B128*IssizlikOrani)</f>
        <v/>
      </c>
      <c r="E128" s="22" t="str">
        <f aca="false">IF($A128="","",$B128*KidemKarsilikOrani)</f>
        <v/>
      </c>
      <c r="F128" s="20"/>
      <c r="G128" s="22" t="str">
        <f aca="false">IF($A128="","",$B128+$C128+$D128+$E128+$F128)</f>
        <v/>
      </c>
      <c r="H128" s="22" t="str">
        <f aca="false">IF($A128="","",$G128*AySayisi)</f>
        <v/>
      </c>
    </row>
    <row r="129" customFormat="false" ht="15" hidden="false" customHeight="false" outlineLevel="0" collapsed="false">
      <c r="A129" s="19"/>
      <c r="B129" s="22" t="str">
        <f aca="false">IF($A129="","",IFERROR(INDEX(tblCalisan[Brüt Ücret (₺)],MATCH($A129,tblCalisan[Çalışan Adı],0)),""))</f>
        <v/>
      </c>
      <c r="C129" s="22" t="str">
        <f aca="false">IF($A129="","",$B129*IsverenPayiOrani)</f>
        <v/>
      </c>
      <c r="D129" s="22" t="str">
        <f aca="false">IF($A129="","",$B129*IssizlikOrani)</f>
        <v/>
      </c>
      <c r="E129" s="22" t="str">
        <f aca="false">IF($A129="","",$B129*KidemKarsilikOrani)</f>
        <v/>
      </c>
      <c r="F129" s="20"/>
      <c r="G129" s="22" t="str">
        <f aca="false">IF($A129="","",$B129+$C129+$D129+$E129+$F129)</f>
        <v/>
      </c>
      <c r="H129" s="22" t="str">
        <f aca="false">IF($A129="","",$G129*AySayisi)</f>
        <v/>
      </c>
    </row>
    <row r="130" customFormat="false" ht="15" hidden="false" customHeight="false" outlineLevel="0" collapsed="false">
      <c r="A130" s="19"/>
      <c r="B130" s="22" t="str">
        <f aca="false">IF($A130="","",IFERROR(INDEX(tblCalisan[Brüt Ücret (₺)],MATCH($A130,tblCalisan[Çalışan Adı],0)),""))</f>
        <v/>
      </c>
      <c r="C130" s="22" t="str">
        <f aca="false">IF($A130="","",$B130*IsverenPayiOrani)</f>
        <v/>
      </c>
      <c r="D130" s="22" t="str">
        <f aca="false">IF($A130="","",$B130*IssizlikOrani)</f>
        <v/>
      </c>
      <c r="E130" s="22" t="str">
        <f aca="false">IF($A130="","",$B130*KidemKarsilikOrani)</f>
        <v/>
      </c>
      <c r="F130" s="20"/>
      <c r="G130" s="22" t="str">
        <f aca="false">IF($A130="","",$B130+$C130+$D130+$E130+$F130)</f>
        <v/>
      </c>
      <c r="H130" s="22" t="str">
        <f aca="false">IF($A130="","",$G130*AySayisi)</f>
        <v/>
      </c>
    </row>
    <row r="131" customFormat="false" ht="15" hidden="false" customHeight="false" outlineLevel="0" collapsed="false">
      <c r="A131" s="19"/>
      <c r="B131" s="22" t="str">
        <f aca="false">IF($A131="","",IFERROR(INDEX(tblCalisan[Brüt Ücret (₺)],MATCH($A131,tblCalisan[Çalışan Adı],0)),""))</f>
        <v/>
      </c>
      <c r="C131" s="22" t="str">
        <f aca="false">IF($A131="","",$B131*IsverenPayiOrani)</f>
        <v/>
      </c>
      <c r="D131" s="22" t="str">
        <f aca="false">IF($A131="","",$B131*IssizlikOrani)</f>
        <v/>
      </c>
      <c r="E131" s="22" t="str">
        <f aca="false">IF($A131="","",$B131*KidemKarsilikOrani)</f>
        <v/>
      </c>
      <c r="F131" s="20"/>
      <c r="G131" s="22" t="str">
        <f aca="false">IF($A131="","",$B131+$C131+$D131+$E131+$F131)</f>
        <v/>
      </c>
      <c r="H131" s="22" t="str">
        <f aca="false">IF($A131="","",$G131*AySayisi)</f>
        <v/>
      </c>
    </row>
    <row r="132" customFormat="false" ht="15" hidden="false" customHeight="false" outlineLevel="0" collapsed="false">
      <c r="A132" s="19"/>
      <c r="B132" s="22" t="str">
        <f aca="false">IF($A132="","",IFERROR(INDEX(tblCalisan[Brüt Ücret (₺)],MATCH($A132,tblCalisan[Çalışan Adı],0)),""))</f>
        <v/>
      </c>
      <c r="C132" s="22" t="str">
        <f aca="false">IF($A132="","",$B132*IsverenPayiOrani)</f>
        <v/>
      </c>
      <c r="D132" s="22" t="str">
        <f aca="false">IF($A132="","",$B132*IssizlikOrani)</f>
        <v/>
      </c>
      <c r="E132" s="22" t="str">
        <f aca="false">IF($A132="","",$B132*KidemKarsilikOrani)</f>
        <v/>
      </c>
      <c r="F132" s="20"/>
      <c r="G132" s="22" t="str">
        <f aca="false">IF($A132="","",$B132+$C132+$D132+$E132+$F132)</f>
        <v/>
      </c>
      <c r="H132" s="22" t="str">
        <f aca="false">IF($A132="","",$G132*AySayisi)</f>
        <v/>
      </c>
    </row>
    <row r="133" customFormat="false" ht="15" hidden="false" customHeight="false" outlineLevel="0" collapsed="false">
      <c r="A133" s="19"/>
      <c r="B133" s="22" t="str">
        <f aca="false">IF($A133="","",IFERROR(INDEX(tblCalisan[Brüt Ücret (₺)],MATCH($A133,tblCalisan[Çalışan Adı],0)),""))</f>
        <v/>
      </c>
      <c r="C133" s="22" t="str">
        <f aca="false">IF($A133="","",$B133*IsverenPayiOrani)</f>
        <v/>
      </c>
      <c r="D133" s="22" t="str">
        <f aca="false">IF($A133="","",$B133*IssizlikOrani)</f>
        <v/>
      </c>
      <c r="E133" s="22" t="str">
        <f aca="false">IF($A133="","",$B133*KidemKarsilikOrani)</f>
        <v/>
      </c>
      <c r="F133" s="20"/>
      <c r="G133" s="22" t="str">
        <f aca="false">IF($A133="","",$B133+$C133+$D133+$E133+$F133)</f>
        <v/>
      </c>
      <c r="H133" s="22" t="str">
        <f aca="false">IF($A133="","",$G133*AySayisi)</f>
        <v/>
      </c>
    </row>
    <row r="134" customFormat="false" ht="15" hidden="false" customHeight="false" outlineLevel="0" collapsed="false">
      <c r="A134" s="19"/>
      <c r="B134" s="22" t="str">
        <f aca="false">IF($A134="","",IFERROR(INDEX(tblCalisan[Brüt Ücret (₺)],MATCH($A134,tblCalisan[Çalışan Adı],0)),""))</f>
        <v/>
      </c>
      <c r="C134" s="22" t="str">
        <f aca="false">IF($A134="","",$B134*IsverenPayiOrani)</f>
        <v/>
      </c>
      <c r="D134" s="22" t="str">
        <f aca="false">IF($A134="","",$B134*IssizlikOrani)</f>
        <v/>
      </c>
      <c r="E134" s="22" t="str">
        <f aca="false">IF($A134="","",$B134*KidemKarsilikOrani)</f>
        <v/>
      </c>
      <c r="F134" s="20"/>
      <c r="G134" s="22" t="str">
        <f aca="false">IF($A134="","",$B134+$C134+$D134+$E134+$F134)</f>
        <v/>
      </c>
      <c r="H134" s="22" t="str">
        <f aca="false">IF($A134="","",$G134*AySayisi)</f>
        <v/>
      </c>
    </row>
    <row r="135" customFormat="false" ht="15" hidden="false" customHeight="false" outlineLevel="0" collapsed="false">
      <c r="A135" s="19"/>
      <c r="B135" s="22" t="str">
        <f aca="false">IF($A135="","",IFERROR(INDEX(tblCalisan[Brüt Ücret (₺)],MATCH($A135,tblCalisan[Çalışan Adı],0)),""))</f>
        <v/>
      </c>
      <c r="C135" s="22" t="str">
        <f aca="false">IF($A135="","",$B135*IsverenPayiOrani)</f>
        <v/>
      </c>
      <c r="D135" s="22" t="str">
        <f aca="false">IF($A135="","",$B135*IssizlikOrani)</f>
        <v/>
      </c>
      <c r="E135" s="22" t="str">
        <f aca="false">IF($A135="","",$B135*KidemKarsilikOrani)</f>
        <v/>
      </c>
      <c r="F135" s="20"/>
      <c r="G135" s="22" t="str">
        <f aca="false">IF($A135="","",$B135+$C135+$D135+$E135+$F135)</f>
        <v/>
      </c>
      <c r="H135" s="22" t="str">
        <f aca="false">IF($A135="","",$G135*AySayisi)</f>
        <v/>
      </c>
    </row>
    <row r="136" customFormat="false" ht="15" hidden="false" customHeight="false" outlineLevel="0" collapsed="false">
      <c r="A136" s="19"/>
      <c r="B136" s="22" t="str">
        <f aca="false">IF($A136="","",IFERROR(INDEX(tblCalisan[Brüt Ücret (₺)],MATCH($A136,tblCalisan[Çalışan Adı],0)),""))</f>
        <v/>
      </c>
      <c r="C136" s="22" t="str">
        <f aca="false">IF($A136="","",$B136*IsverenPayiOrani)</f>
        <v/>
      </c>
      <c r="D136" s="22" t="str">
        <f aca="false">IF($A136="","",$B136*IssizlikOrani)</f>
        <v/>
      </c>
      <c r="E136" s="22" t="str">
        <f aca="false">IF($A136="","",$B136*KidemKarsilikOrani)</f>
        <v/>
      </c>
      <c r="F136" s="20"/>
      <c r="G136" s="22" t="str">
        <f aca="false">IF($A136="","",$B136+$C136+$D136+$E136+$F136)</f>
        <v/>
      </c>
      <c r="H136" s="22" t="str">
        <f aca="false">IF($A136="","",$G136*AySayisi)</f>
        <v/>
      </c>
    </row>
    <row r="137" customFormat="false" ht="15" hidden="false" customHeight="false" outlineLevel="0" collapsed="false">
      <c r="A137" s="19"/>
      <c r="B137" s="22" t="str">
        <f aca="false">IF($A137="","",IFERROR(INDEX(tblCalisan[Brüt Ücret (₺)],MATCH($A137,tblCalisan[Çalışan Adı],0)),""))</f>
        <v/>
      </c>
      <c r="C137" s="22" t="str">
        <f aca="false">IF($A137="","",$B137*IsverenPayiOrani)</f>
        <v/>
      </c>
      <c r="D137" s="22" t="str">
        <f aca="false">IF($A137="","",$B137*IssizlikOrani)</f>
        <v/>
      </c>
      <c r="E137" s="22" t="str">
        <f aca="false">IF($A137="","",$B137*KidemKarsilikOrani)</f>
        <v/>
      </c>
      <c r="F137" s="20"/>
      <c r="G137" s="22" t="str">
        <f aca="false">IF($A137="","",$B137+$C137+$D137+$E137+$F137)</f>
        <v/>
      </c>
      <c r="H137" s="22" t="str">
        <f aca="false">IF($A137="","",$G137*AySayisi)</f>
        <v/>
      </c>
    </row>
    <row r="138" customFormat="false" ht="15" hidden="false" customHeight="false" outlineLevel="0" collapsed="false">
      <c r="A138" s="19"/>
      <c r="B138" s="22" t="str">
        <f aca="false">IF($A138="","",IFERROR(INDEX(tblCalisan[Brüt Ücret (₺)],MATCH($A138,tblCalisan[Çalışan Adı],0)),""))</f>
        <v/>
      </c>
      <c r="C138" s="22" t="str">
        <f aca="false">IF($A138="","",$B138*IsverenPayiOrani)</f>
        <v/>
      </c>
      <c r="D138" s="22" t="str">
        <f aca="false">IF($A138="","",$B138*IssizlikOrani)</f>
        <v/>
      </c>
      <c r="E138" s="22" t="str">
        <f aca="false">IF($A138="","",$B138*KidemKarsilikOrani)</f>
        <v/>
      </c>
      <c r="F138" s="20"/>
      <c r="G138" s="22" t="str">
        <f aca="false">IF($A138="","",$B138+$C138+$D138+$E138+$F138)</f>
        <v/>
      </c>
      <c r="H138" s="22" t="str">
        <f aca="false">IF($A138="","",$G138*AySayisi)</f>
        <v/>
      </c>
    </row>
    <row r="139" customFormat="false" ht="15" hidden="false" customHeight="false" outlineLevel="0" collapsed="false">
      <c r="A139" s="19"/>
      <c r="B139" s="22" t="str">
        <f aca="false">IF($A139="","",IFERROR(INDEX(tblCalisan[Brüt Ücret (₺)],MATCH($A139,tblCalisan[Çalışan Adı],0)),""))</f>
        <v/>
      </c>
      <c r="C139" s="22" t="str">
        <f aca="false">IF($A139="","",$B139*IsverenPayiOrani)</f>
        <v/>
      </c>
      <c r="D139" s="22" t="str">
        <f aca="false">IF($A139="","",$B139*IssizlikOrani)</f>
        <v/>
      </c>
      <c r="E139" s="22" t="str">
        <f aca="false">IF($A139="","",$B139*KidemKarsilikOrani)</f>
        <v/>
      </c>
      <c r="F139" s="20"/>
      <c r="G139" s="22" t="str">
        <f aca="false">IF($A139="","",$B139+$C139+$D139+$E139+$F139)</f>
        <v/>
      </c>
      <c r="H139" s="22" t="str">
        <f aca="false">IF($A139="","",$G139*AySayisi)</f>
        <v/>
      </c>
    </row>
    <row r="140" customFormat="false" ht="15" hidden="false" customHeight="false" outlineLevel="0" collapsed="false">
      <c r="A140" s="19"/>
      <c r="B140" s="22" t="str">
        <f aca="false">IF($A140="","",IFERROR(INDEX(tblCalisan[Brüt Ücret (₺)],MATCH($A140,tblCalisan[Çalışan Adı],0)),""))</f>
        <v/>
      </c>
      <c r="C140" s="22" t="str">
        <f aca="false">IF($A140="","",$B140*IsverenPayiOrani)</f>
        <v/>
      </c>
      <c r="D140" s="22" t="str">
        <f aca="false">IF($A140="","",$B140*IssizlikOrani)</f>
        <v/>
      </c>
      <c r="E140" s="22" t="str">
        <f aca="false">IF($A140="","",$B140*KidemKarsilikOrani)</f>
        <v/>
      </c>
      <c r="F140" s="20"/>
      <c r="G140" s="22" t="str">
        <f aca="false">IF($A140="","",$B140+$C140+$D140+$E140+$F140)</f>
        <v/>
      </c>
      <c r="H140" s="22" t="str">
        <f aca="false">IF($A140="","",$G140*AySayisi)</f>
        <v/>
      </c>
    </row>
    <row r="141" customFormat="false" ht="15" hidden="false" customHeight="false" outlineLevel="0" collapsed="false">
      <c r="A141" s="19"/>
      <c r="B141" s="22" t="str">
        <f aca="false">IF($A141="","",IFERROR(INDEX(tblCalisan[Brüt Ücret (₺)],MATCH($A141,tblCalisan[Çalışan Adı],0)),""))</f>
        <v/>
      </c>
      <c r="C141" s="22" t="str">
        <f aca="false">IF($A141="","",$B141*IsverenPayiOrani)</f>
        <v/>
      </c>
      <c r="D141" s="22" t="str">
        <f aca="false">IF($A141="","",$B141*IssizlikOrani)</f>
        <v/>
      </c>
      <c r="E141" s="22" t="str">
        <f aca="false">IF($A141="","",$B141*KidemKarsilikOrani)</f>
        <v/>
      </c>
      <c r="F141" s="20"/>
      <c r="G141" s="22" t="str">
        <f aca="false">IF($A141="","",$B141+$C141+$D141+$E141+$F141)</f>
        <v/>
      </c>
      <c r="H141" s="22" t="str">
        <f aca="false">IF($A141="","",$G141*AySayisi)</f>
        <v/>
      </c>
    </row>
    <row r="142" customFormat="false" ht="15" hidden="false" customHeight="false" outlineLevel="0" collapsed="false">
      <c r="A142" s="19"/>
      <c r="B142" s="22" t="str">
        <f aca="false">IF($A142="","",IFERROR(INDEX(tblCalisan[Brüt Ücret (₺)],MATCH($A142,tblCalisan[Çalışan Adı],0)),""))</f>
        <v/>
      </c>
      <c r="C142" s="22" t="str">
        <f aca="false">IF($A142="","",$B142*IsverenPayiOrani)</f>
        <v/>
      </c>
      <c r="D142" s="22" t="str">
        <f aca="false">IF($A142="","",$B142*IssizlikOrani)</f>
        <v/>
      </c>
      <c r="E142" s="22" t="str">
        <f aca="false">IF($A142="","",$B142*KidemKarsilikOrani)</f>
        <v/>
      </c>
      <c r="F142" s="20"/>
      <c r="G142" s="22" t="str">
        <f aca="false">IF($A142="","",$B142+$C142+$D142+$E142+$F142)</f>
        <v/>
      </c>
      <c r="H142" s="22" t="str">
        <f aca="false">IF($A142="","",$G142*AySayisi)</f>
        <v/>
      </c>
    </row>
    <row r="143" customFormat="false" ht="15" hidden="false" customHeight="false" outlineLevel="0" collapsed="false">
      <c r="A143" s="19"/>
      <c r="B143" s="22" t="str">
        <f aca="false">IF($A143="","",IFERROR(INDEX(tblCalisan[Brüt Ücret (₺)],MATCH($A143,tblCalisan[Çalışan Adı],0)),""))</f>
        <v/>
      </c>
      <c r="C143" s="22" t="str">
        <f aca="false">IF($A143="","",$B143*IsverenPayiOrani)</f>
        <v/>
      </c>
      <c r="D143" s="22" t="str">
        <f aca="false">IF($A143="","",$B143*IssizlikOrani)</f>
        <v/>
      </c>
      <c r="E143" s="22" t="str">
        <f aca="false">IF($A143="","",$B143*KidemKarsilikOrani)</f>
        <v/>
      </c>
      <c r="F143" s="20"/>
      <c r="G143" s="22" t="str">
        <f aca="false">IF($A143="","",$B143+$C143+$D143+$E143+$F143)</f>
        <v/>
      </c>
      <c r="H143" s="22" t="str">
        <f aca="false">IF($A143="","",$G143*AySayisi)</f>
        <v/>
      </c>
    </row>
    <row r="144" customFormat="false" ht="15" hidden="false" customHeight="false" outlineLevel="0" collapsed="false">
      <c r="A144" s="19"/>
      <c r="B144" s="22" t="str">
        <f aca="false">IF($A144="","",IFERROR(INDEX(tblCalisan[Brüt Ücret (₺)],MATCH($A144,tblCalisan[Çalışan Adı],0)),""))</f>
        <v/>
      </c>
      <c r="C144" s="22" t="str">
        <f aca="false">IF($A144="","",$B144*IsverenPayiOrani)</f>
        <v/>
      </c>
      <c r="D144" s="22" t="str">
        <f aca="false">IF($A144="","",$B144*IssizlikOrani)</f>
        <v/>
      </c>
      <c r="E144" s="22" t="str">
        <f aca="false">IF($A144="","",$B144*KidemKarsilikOrani)</f>
        <v/>
      </c>
      <c r="F144" s="20"/>
      <c r="G144" s="22" t="str">
        <f aca="false">IF($A144="","",$B144+$C144+$D144+$E144+$F144)</f>
        <v/>
      </c>
      <c r="H144" s="22" t="str">
        <f aca="false">IF($A144="","",$G144*AySayisi)</f>
        <v/>
      </c>
    </row>
    <row r="145" customFormat="false" ht="15" hidden="false" customHeight="false" outlineLevel="0" collapsed="false">
      <c r="A145" s="19"/>
      <c r="B145" s="22" t="str">
        <f aca="false">IF($A145="","",IFERROR(INDEX(tblCalisan[Brüt Ücret (₺)],MATCH($A145,tblCalisan[Çalışan Adı],0)),""))</f>
        <v/>
      </c>
      <c r="C145" s="22" t="str">
        <f aca="false">IF($A145="","",$B145*IsverenPayiOrani)</f>
        <v/>
      </c>
      <c r="D145" s="22" t="str">
        <f aca="false">IF($A145="","",$B145*IssizlikOrani)</f>
        <v/>
      </c>
      <c r="E145" s="22" t="str">
        <f aca="false">IF($A145="","",$B145*KidemKarsilikOrani)</f>
        <v/>
      </c>
      <c r="F145" s="20"/>
      <c r="G145" s="22" t="str">
        <f aca="false">IF($A145="","",$B145+$C145+$D145+$E145+$F145)</f>
        <v/>
      </c>
      <c r="H145" s="22" t="str">
        <f aca="false">IF($A145="","",$G145*AySayisi)</f>
        <v/>
      </c>
    </row>
    <row r="146" customFormat="false" ht="15" hidden="false" customHeight="false" outlineLevel="0" collapsed="false">
      <c r="A146" s="19"/>
      <c r="B146" s="22" t="str">
        <f aca="false">IF($A146="","",IFERROR(INDEX(tblCalisan[Brüt Ücret (₺)],MATCH($A146,tblCalisan[Çalışan Adı],0)),""))</f>
        <v/>
      </c>
      <c r="C146" s="22" t="str">
        <f aca="false">IF($A146="","",$B146*IsverenPayiOrani)</f>
        <v/>
      </c>
      <c r="D146" s="22" t="str">
        <f aca="false">IF($A146="","",$B146*IssizlikOrani)</f>
        <v/>
      </c>
      <c r="E146" s="22" t="str">
        <f aca="false">IF($A146="","",$B146*KidemKarsilikOrani)</f>
        <v/>
      </c>
      <c r="F146" s="20"/>
      <c r="G146" s="22" t="str">
        <f aca="false">IF($A146="","",$B146+$C146+$D146+$E146+$F146)</f>
        <v/>
      </c>
      <c r="H146" s="22" t="str">
        <f aca="false">IF($A146="","",$G146*AySayisi)</f>
        <v/>
      </c>
    </row>
    <row r="147" customFormat="false" ht="15" hidden="false" customHeight="false" outlineLevel="0" collapsed="false">
      <c r="A147" s="19"/>
      <c r="B147" s="22" t="str">
        <f aca="false">IF($A147="","",IFERROR(INDEX(tblCalisan[Brüt Ücret (₺)],MATCH($A147,tblCalisan[Çalışan Adı],0)),""))</f>
        <v/>
      </c>
      <c r="C147" s="22" t="str">
        <f aca="false">IF($A147="","",$B147*IsverenPayiOrani)</f>
        <v/>
      </c>
      <c r="D147" s="22" t="str">
        <f aca="false">IF($A147="","",$B147*IssizlikOrani)</f>
        <v/>
      </c>
      <c r="E147" s="22" t="str">
        <f aca="false">IF($A147="","",$B147*KidemKarsilikOrani)</f>
        <v/>
      </c>
      <c r="F147" s="20"/>
      <c r="G147" s="22" t="str">
        <f aca="false">IF($A147="","",$B147+$C147+$D147+$E147+$F147)</f>
        <v/>
      </c>
      <c r="H147" s="22" t="str">
        <f aca="false">IF($A147="","",$G147*AySayisi)</f>
        <v/>
      </c>
    </row>
    <row r="148" customFormat="false" ht="15" hidden="false" customHeight="false" outlineLevel="0" collapsed="false">
      <c r="A148" s="19"/>
      <c r="B148" s="22" t="str">
        <f aca="false">IF($A148="","",IFERROR(INDEX(tblCalisan[Brüt Ücret (₺)],MATCH($A148,tblCalisan[Çalışan Adı],0)),""))</f>
        <v/>
      </c>
      <c r="C148" s="22" t="str">
        <f aca="false">IF($A148="","",$B148*IsverenPayiOrani)</f>
        <v/>
      </c>
      <c r="D148" s="22" t="str">
        <f aca="false">IF($A148="","",$B148*IssizlikOrani)</f>
        <v/>
      </c>
      <c r="E148" s="22" t="str">
        <f aca="false">IF($A148="","",$B148*KidemKarsilikOrani)</f>
        <v/>
      </c>
      <c r="F148" s="20"/>
      <c r="G148" s="22" t="str">
        <f aca="false">IF($A148="","",$B148+$C148+$D148+$E148+$F148)</f>
        <v/>
      </c>
      <c r="H148" s="22" t="str">
        <f aca="false">IF($A148="","",$G148*AySayisi)</f>
        <v/>
      </c>
    </row>
    <row r="149" customFormat="false" ht="15" hidden="false" customHeight="false" outlineLevel="0" collapsed="false">
      <c r="A149" s="19"/>
      <c r="B149" s="22" t="str">
        <f aca="false">IF($A149="","",IFERROR(INDEX(tblCalisan[Brüt Ücret (₺)],MATCH($A149,tblCalisan[Çalışan Adı],0)),""))</f>
        <v/>
      </c>
      <c r="C149" s="22" t="str">
        <f aca="false">IF($A149="","",$B149*IsverenPayiOrani)</f>
        <v/>
      </c>
      <c r="D149" s="22" t="str">
        <f aca="false">IF($A149="","",$B149*IssizlikOrani)</f>
        <v/>
      </c>
      <c r="E149" s="22" t="str">
        <f aca="false">IF($A149="","",$B149*KidemKarsilikOrani)</f>
        <v/>
      </c>
      <c r="F149" s="20"/>
      <c r="G149" s="22" t="str">
        <f aca="false">IF($A149="","",$B149+$C149+$D149+$E149+$F149)</f>
        <v/>
      </c>
      <c r="H149" s="22" t="str">
        <f aca="false">IF($A149="","",$G149*AySayisi)</f>
        <v/>
      </c>
    </row>
    <row r="150" customFormat="false" ht="15" hidden="false" customHeight="false" outlineLevel="0" collapsed="false">
      <c r="A150" s="19"/>
      <c r="B150" s="22" t="str">
        <f aca="false">IF($A150="","",IFERROR(INDEX(tblCalisan[Brüt Ücret (₺)],MATCH($A150,tblCalisan[Çalışan Adı],0)),""))</f>
        <v/>
      </c>
      <c r="C150" s="22" t="str">
        <f aca="false">IF($A150="","",$B150*IsverenPayiOrani)</f>
        <v/>
      </c>
      <c r="D150" s="22" t="str">
        <f aca="false">IF($A150="","",$B150*IssizlikOrani)</f>
        <v/>
      </c>
      <c r="E150" s="22" t="str">
        <f aca="false">IF($A150="","",$B150*KidemKarsilikOrani)</f>
        <v/>
      </c>
      <c r="F150" s="20"/>
      <c r="G150" s="22" t="str">
        <f aca="false">IF($A150="","",$B150+$C150+$D150+$E150+$F150)</f>
        <v/>
      </c>
      <c r="H150" s="22" t="str">
        <f aca="false">IF($A150="","",$G150*AySayisi)</f>
        <v/>
      </c>
    </row>
    <row r="151" customFormat="false" ht="15" hidden="false" customHeight="false" outlineLevel="0" collapsed="false">
      <c r="A151" s="19"/>
      <c r="B151" s="22" t="str">
        <f aca="false">IF($A151="","",IFERROR(INDEX(tblCalisan[Brüt Ücret (₺)],MATCH($A151,tblCalisan[Çalışan Adı],0)),""))</f>
        <v/>
      </c>
      <c r="C151" s="22" t="str">
        <f aca="false">IF($A151="","",$B151*IsverenPayiOrani)</f>
        <v/>
      </c>
      <c r="D151" s="22" t="str">
        <f aca="false">IF($A151="","",$B151*IssizlikOrani)</f>
        <v/>
      </c>
      <c r="E151" s="22" t="str">
        <f aca="false">IF($A151="","",$B151*KidemKarsilikOrani)</f>
        <v/>
      </c>
      <c r="F151" s="20"/>
      <c r="G151" s="22" t="str">
        <f aca="false">IF($A151="","",$B151+$C151+$D151+$E151+$F151)</f>
        <v/>
      </c>
      <c r="H151" s="22" t="str">
        <f aca="false">IF($A151="","",$G151*AySayisi)</f>
        <v/>
      </c>
    </row>
    <row r="152" customFormat="false" ht="15" hidden="false" customHeight="false" outlineLevel="0" collapsed="false">
      <c r="A152" s="19"/>
      <c r="B152" s="22" t="str">
        <f aca="false">IF($A152="","",IFERROR(INDEX(tblCalisan[Brüt Ücret (₺)],MATCH($A152,tblCalisan[Çalışan Adı],0)),""))</f>
        <v/>
      </c>
      <c r="C152" s="22" t="str">
        <f aca="false">IF($A152="","",$B152*IsverenPayiOrani)</f>
        <v/>
      </c>
      <c r="D152" s="22" t="str">
        <f aca="false">IF($A152="","",$B152*IssizlikOrani)</f>
        <v/>
      </c>
      <c r="E152" s="22" t="str">
        <f aca="false">IF($A152="","",$B152*KidemKarsilikOrani)</f>
        <v/>
      </c>
      <c r="F152" s="20"/>
      <c r="G152" s="22" t="str">
        <f aca="false">IF($A152="","",$B152+$C152+$D152+$E152+$F152)</f>
        <v/>
      </c>
      <c r="H152" s="22" t="str">
        <f aca="false">IF($A152="","",$G152*AySayisi)</f>
        <v/>
      </c>
    </row>
    <row r="153" customFormat="false" ht="15" hidden="false" customHeight="false" outlineLevel="0" collapsed="false">
      <c r="A153" s="19"/>
      <c r="B153" s="22" t="str">
        <f aca="false">IF($A153="","",IFERROR(INDEX(tblCalisan[Brüt Ücret (₺)],MATCH($A153,tblCalisan[Çalışan Adı],0)),""))</f>
        <v/>
      </c>
      <c r="C153" s="22" t="str">
        <f aca="false">IF($A153="","",$B153*IsverenPayiOrani)</f>
        <v/>
      </c>
      <c r="D153" s="22" t="str">
        <f aca="false">IF($A153="","",$B153*IssizlikOrani)</f>
        <v/>
      </c>
      <c r="E153" s="22" t="str">
        <f aca="false">IF($A153="","",$B153*KidemKarsilikOrani)</f>
        <v/>
      </c>
      <c r="F153" s="20"/>
      <c r="G153" s="22" t="str">
        <f aca="false">IF($A153="","",$B153+$C153+$D153+$E153+$F153)</f>
        <v/>
      </c>
      <c r="H153" s="22" t="str">
        <f aca="false">IF($A153="","",$G153*AySayisi)</f>
        <v/>
      </c>
    </row>
    <row r="154" customFormat="false" ht="15" hidden="false" customHeight="false" outlineLevel="0" collapsed="false">
      <c r="A154" s="19"/>
      <c r="B154" s="22" t="str">
        <f aca="false">IF($A154="","",IFERROR(INDEX(tblCalisan[Brüt Ücret (₺)],MATCH($A154,tblCalisan[Çalışan Adı],0)),""))</f>
        <v/>
      </c>
      <c r="C154" s="22" t="str">
        <f aca="false">IF($A154="","",$B154*IsverenPayiOrani)</f>
        <v/>
      </c>
      <c r="D154" s="22" t="str">
        <f aca="false">IF($A154="","",$B154*IssizlikOrani)</f>
        <v/>
      </c>
      <c r="E154" s="22" t="str">
        <f aca="false">IF($A154="","",$B154*KidemKarsilikOrani)</f>
        <v/>
      </c>
      <c r="F154" s="20"/>
      <c r="G154" s="22" t="str">
        <f aca="false">IF($A154="","",$B154+$C154+$D154+$E154+$F154)</f>
        <v/>
      </c>
      <c r="H154" s="22" t="str">
        <f aca="false">IF($A154="","",$G154*AySayisi)</f>
        <v/>
      </c>
    </row>
    <row r="155" customFormat="false" ht="15" hidden="false" customHeight="false" outlineLevel="0" collapsed="false">
      <c r="A155" s="19"/>
      <c r="B155" s="22" t="str">
        <f aca="false">IF($A155="","",IFERROR(INDEX(tblCalisan[Brüt Ücret (₺)],MATCH($A155,tblCalisan[Çalışan Adı],0)),""))</f>
        <v/>
      </c>
      <c r="C155" s="22" t="str">
        <f aca="false">IF($A155="","",$B155*IsverenPayiOrani)</f>
        <v/>
      </c>
      <c r="D155" s="22" t="str">
        <f aca="false">IF($A155="","",$B155*IssizlikOrani)</f>
        <v/>
      </c>
      <c r="E155" s="22" t="str">
        <f aca="false">IF($A155="","",$B155*KidemKarsilikOrani)</f>
        <v/>
      </c>
      <c r="F155" s="20"/>
      <c r="G155" s="22" t="str">
        <f aca="false">IF($A155="","",$B155+$C155+$D155+$E155+$F155)</f>
        <v/>
      </c>
      <c r="H155" s="22" t="str">
        <f aca="false">IF($A155="","",$G155*AySayisi)</f>
        <v/>
      </c>
    </row>
    <row r="156" customFormat="false" ht="15" hidden="false" customHeight="false" outlineLevel="0" collapsed="false">
      <c r="A156" s="19"/>
      <c r="B156" s="22" t="str">
        <f aca="false">IF($A156="","",IFERROR(INDEX(tblCalisan[Brüt Ücret (₺)],MATCH($A156,tblCalisan[Çalışan Adı],0)),""))</f>
        <v/>
      </c>
      <c r="C156" s="22" t="str">
        <f aca="false">IF($A156="","",$B156*IsverenPayiOrani)</f>
        <v/>
      </c>
      <c r="D156" s="22" t="str">
        <f aca="false">IF($A156="","",$B156*IssizlikOrani)</f>
        <v/>
      </c>
      <c r="E156" s="22" t="str">
        <f aca="false">IF($A156="","",$B156*KidemKarsilikOrani)</f>
        <v/>
      </c>
      <c r="F156" s="20"/>
      <c r="G156" s="22" t="str">
        <f aca="false">IF($A156="","",$B156+$C156+$D156+$E156+$F156)</f>
        <v/>
      </c>
      <c r="H156" s="22" t="str">
        <f aca="false">IF($A156="","",$G156*AySayisi)</f>
        <v/>
      </c>
    </row>
    <row r="157" customFormat="false" ht="15" hidden="false" customHeight="false" outlineLevel="0" collapsed="false">
      <c r="A157" s="19"/>
      <c r="B157" s="22" t="str">
        <f aca="false">IF($A157="","",IFERROR(INDEX(tblCalisan[Brüt Ücret (₺)],MATCH($A157,tblCalisan[Çalışan Adı],0)),""))</f>
        <v/>
      </c>
      <c r="C157" s="22" t="str">
        <f aca="false">IF($A157="","",$B157*IsverenPayiOrani)</f>
        <v/>
      </c>
      <c r="D157" s="22" t="str">
        <f aca="false">IF($A157="","",$B157*IssizlikOrani)</f>
        <v/>
      </c>
      <c r="E157" s="22" t="str">
        <f aca="false">IF($A157="","",$B157*KidemKarsilikOrani)</f>
        <v/>
      </c>
      <c r="F157" s="20"/>
      <c r="G157" s="22" t="str">
        <f aca="false">IF($A157="","",$B157+$C157+$D157+$E157+$F157)</f>
        <v/>
      </c>
      <c r="H157" s="22" t="str">
        <f aca="false">IF($A157="","",$G157*AySayisi)</f>
        <v/>
      </c>
    </row>
    <row r="158" customFormat="false" ht="15" hidden="false" customHeight="false" outlineLevel="0" collapsed="false">
      <c r="A158" s="19"/>
      <c r="B158" s="22" t="str">
        <f aca="false">IF($A158="","",IFERROR(INDEX(tblCalisan[Brüt Ücret (₺)],MATCH($A158,tblCalisan[Çalışan Adı],0)),""))</f>
        <v/>
      </c>
      <c r="C158" s="22" t="str">
        <f aca="false">IF($A158="","",$B158*IsverenPayiOrani)</f>
        <v/>
      </c>
      <c r="D158" s="22" t="str">
        <f aca="false">IF($A158="","",$B158*IssizlikOrani)</f>
        <v/>
      </c>
      <c r="E158" s="22" t="str">
        <f aca="false">IF($A158="","",$B158*KidemKarsilikOrani)</f>
        <v/>
      </c>
      <c r="F158" s="20"/>
      <c r="G158" s="22" t="str">
        <f aca="false">IF($A158="","",$B158+$C158+$D158+$E158+$F158)</f>
        <v/>
      </c>
      <c r="H158" s="22" t="str">
        <f aca="false">IF($A158="","",$G158*AySayisi)</f>
        <v/>
      </c>
    </row>
    <row r="159" customFormat="false" ht="15" hidden="false" customHeight="false" outlineLevel="0" collapsed="false">
      <c r="A159" s="19"/>
      <c r="B159" s="22" t="str">
        <f aca="false">IF($A159="","",IFERROR(INDEX(tblCalisan[Brüt Ücret (₺)],MATCH($A159,tblCalisan[Çalışan Adı],0)),""))</f>
        <v/>
      </c>
      <c r="C159" s="22" t="str">
        <f aca="false">IF($A159="","",$B159*IsverenPayiOrani)</f>
        <v/>
      </c>
      <c r="D159" s="22" t="str">
        <f aca="false">IF($A159="","",$B159*IssizlikOrani)</f>
        <v/>
      </c>
      <c r="E159" s="22" t="str">
        <f aca="false">IF($A159="","",$B159*KidemKarsilikOrani)</f>
        <v/>
      </c>
      <c r="F159" s="20"/>
      <c r="G159" s="22" t="str">
        <f aca="false">IF($A159="","",$B159+$C159+$D159+$E159+$F159)</f>
        <v/>
      </c>
      <c r="H159" s="22" t="str">
        <f aca="false">IF($A159="","",$G159*AySayisi)</f>
        <v/>
      </c>
    </row>
    <row r="160" customFormat="false" ht="15" hidden="false" customHeight="false" outlineLevel="0" collapsed="false">
      <c r="A160" s="19"/>
      <c r="B160" s="22" t="str">
        <f aca="false">IF($A160="","",IFERROR(INDEX(tblCalisan[Brüt Ücret (₺)],MATCH($A160,tblCalisan[Çalışan Adı],0)),""))</f>
        <v/>
      </c>
      <c r="C160" s="22" t="str">
        <f aca="false">IF($A160="","",$B160*IsverenPayiOrani)</f>
        <v/>
      </c>
      <c r="D160" s="22" t="str">
        <f aca="false">IF($A160="","",$B160*IssizlikOrani)</f>
        <v/>
      </c>
      <c r="E160" s="22" t="str">
        <f aca="false">IF($A160="","",$B160*KidemKarsilikOrani)</f>
        <v/>
      </c>
      <c r="F160" s="20"/>
      <c r="G160" s="22" t="str">
        <f aca="false">IF($A160="","",$B160+$C160+$D160+$E160+$F160)</f>
        <v/>
      </c>
      <c r="H160" s="22" t="str">
        <f aca="false">IF($A160="","",$G160*AySayisi)</f>
        <v/>
      </c>
    </row>
    <row r="161" customFormat="false" ht="15" hidden="false" customHeight="false" outlineLevel="0" collapsed="false">
      <c r="A161" s="19"/>
      <c r="B161" s="22" t="str">
        <f aca="false">IF($A161="","",IFERROR(INDEX(tblCalisan[Brüt Ücret (₺)],MATCH($A161,tblCalisan[Çalışan Adı],0)),""))</f>
        <v/>
      </c>
      <c r="C161" s="22" t="str">
        <f aca="false">IF($A161="","",$B161*IsverenPayiOrani)</f>
        <v/>
      </c>
      <c r="D161" s="22" t="str">
        <f aca="false">IF($A161="","",$B161*IssizlikOrani)</f>
        <v/>
      </c>
      <c r="E161" s="22" t="str">
        <f aca="false">IF($A161="","",$B161*KidemKarsilikOrani)</f>
        <v/>
      </c>
      <c r="F161" s="20"/>
      <c r="G161" s="22" t="str">
        <f aca="false">IF($A161="","",$B161+$C161+$D161+$E161+$F161)</f>
        <v/>
      </c>
      <c r="H161" s="22" t="str">
        <f aca="false">IF($A161="","",$G161*AySayisi)</f>
        <v/>
      </c>
    </row>
    <row r="162" customFormat="false" ht="15" hidden="false" customHeight="false" outlineLevel="0" collapsed="false">
      <c r="A162" s="19"/>
      <c r="B162" s="22" t="str">
        <f aca="false">IF($A162="","",IFERROR(INDEX(tblCalisan[Brüt Ücret (₺)],MATCH($A162,tblCalisan[Çalışan Adı],0)),""))</f>
        <v/>
      </c>
      <c r="C162" s="22" t="str">
        <f aca="false">IF($A162="","",$B162*IsverenPayiOrani)</f>
        <v/>
      </c>
      <c r="D162" s="22" t="str">
        <f aca="false">IF($A162="","",$B162*IssizlikOrani)</f>
        <v/>
      </c>
      <c r="E162" s="22" t="str">
        <f aca="false">IF($A162="","",$B162*KidemKarsilikOrani)</f>
        <v/>
      </c>
      <c r="F162" s="20"/>
      <c r="G162" s="22" t="str">
        <f aca="false">IF($A162="","",$B162+$C162+$D162+$E162+$F162)</f>
        <v/>
      </c>
      <c r="H162" s="22" t="str">
        <f aca="false">IF($A162="","",$G162*AySayisi)</f>
        <v/>
      </c>
    </row>
    <row r="163" customFormat="false" ht="15" hidden="false" customHeight="false" outlineLevel="0" collapsed="false">
      <c r="A163" s="19"/>
      <c r="B163" s="22" t="str">
        <f aca="false">IF($A163="","",IFERROR(INDEX(tblCalisan[Brüt Ücret (₺)],MATCH($A163,tblCalisan[Çalışan Adı],0)),""))</f>
        <v/>
      </c>
      <c r="C163" s="22" t="str">
        <f aca="false">IF($A163="","",$B163*IsverenPayiOrani)</f>
        <v/>
      </c>
      <c r="D163" s="22" t="str">
        <f aca="false">IF($A163="","",$B163*IssizlikOrani)</f>
        <v/>
      </c>
      <c r="E163" s="22" t="str">
        <f aca="false">IF($A163="","",$B163*KidemKarsilikOrani)</f>
        <v/>
      </c>
      <c r="F163" s="20"/>
      <c r="G163" s="22" t="str">
        <f aca="false">IF($A163="","",$B163+$C163+$D163+$E163+$F163)</f>
        <v/>
      </c>
      <c r="H163" s="22" t="str">
        <f aca="false">IF($A163="","",$G163*AySayisi)</f>
        <v/>
      </c>
    </row>
    <row r="164" customFormat="false" ht="15" hidden="false" customHeight="false" outlineLevel="0" collapsed="false">
      <c r="A164" s="19"/>
      <c r="B164" s="22" t="str">
        <f aca="false">IF($A164="","",IFERROR(INDEX(tblCalisan[Brüt Ücret (₺)],MATCH($A164,tblCalisan[Çalışan Adı],0)),""))</f>
        <v/>
      </c>
      <c r="C164" s="22" t="str">
        <f aca="false">IF($A164="","",$B164*IsverenPayiOrani)</f>
        <v/>
      </c>
      <c r="D164" s="22" t="str">
        <f aca="false">IF($A164="","",$B164*IssizlikOrani)</f>
        <v/>
      </c>
      <c r="E164" s="22" t="str">
        <f aca="false">IF($A164="","",$B164*KidemKarsilikOrani)</f>
        <v/>
      </c>
      <c r="F164" s="20"/>
      <c r="G164" s="22" t="str">
        <f aca="false">IF($A164="","",$B164+$C164+$D164+$E164+$F164)</f>
        <v/>
      </c>
      <c r="H164" s="22" t="str">
        <f aca="false">IF($A164="","",$G164*AySayisi)</f>
        <v/>
      </c>
    </row>
    <row r="165" customFormat="false" ht="15" hidden="false" customHeight="false" outlineLevel="0" collapsed="false">
      <c r="A165" s="19"/>
      <c r="B165" s="22" t="str">
        <f aca="false">IF($A165="","",IFERROR(INDEX(tblCalisan[Brüt Ücret (₺)],MATCH($A165,tblCalisan[Çalışan Adı],0)),""))</f>
        <v/>
      </c>
      <c r="C165" s="22" t="str">
        <f aca="false">IF($A165="","",$B165*IsverenPayiOrani)</f>
        <v/>
      </c>
      <c r="D165" s="22" t="str">
        <f aca="false">IF($A165="","",$B165*IssizlikOrani)</f>
        <v/>
      </c>
      <c r="E165" s="22" t="str">
        <f aca="false">IF($A165="","",$B165*KidemKarsilikOrani)</f>
        <v/>
      </c>
      <c r="F165" s="20"/>
      <c r="G165" s="22" t="str">
        <f aca="false">IF($A165="","",$B165+$C165+$D165+$E165+$F165)</f>
        <v/>
      </c>
      <c r="H165" s="22" t="str">
        <f aca="false">IF($A165="","",$G165*AySayisi)</f>
        <v/>
      </c>
    </row>
    <row r="166" customFormat="false" ht="15" hidden="false" customHeight="false" outlineLevel="0" collapsed="false">
      <c r="A166" s="19"/>
      <c r="B166" s="22" t="str">
        <f aca="false">IF($A166="","",IFERROR(INDEX(tblCalisan[Brüt Ücret (₺)],MATCH($A166,tblCalisan[Çalışan Adı],0)),""))</f>
        <v/>
      </c>
      <c r="C166" s="22" t="str">
        <f aca="false">IF($A166="","",$B166*IsverenPayiOrani)</f>
        <v/>
      </c>
      <c r="D166" s="22" t="str">
        <f aca="false">IF($A166="","",$B166*IssizlikOrani)</f>
        <v/>
      </c>
      <c r="E166" s="22" t="str">
        <f aca="false">IF($A166="","",$B166*KidemKarsilikOrani)</f>
        <v/>
      </c>
      <c r="F166" s="20"/>
      <c r="G166" s="22" t="str">
        <f aca="false">IF($A166="","",$B166+$C166+$D166+$E166+$F166)</f>
        <v/>
      </c>
      <c r="H166" s="22" t="str">
        <f aca="false">IF($A166="","",$G166*AySayisi)</f>
        <v/>
      </c>
    </row>
    <row r="167" customFormat="false" ht="15" hidden="false" customHeight="false" outlineLevel="0" collapsed="false">
      <c r="A167" s="19"/>
      <c r="B167" s="22" t="str">
        <f aca="false">IF($A167="","",IFERROR(INDEX(tblCalisan[Brüt Ücret (₺)],MATCH($A167,tblCalisan[Çalışan Adı],0)),""))</f>
        <v/>
      </c>
      <c r="C167" s="22" t="str">
        <f aca="false">IF($A167="","",$B167*IsverenPayiOrani)</f>
        <v/>
      </c>
      <c r="D167" s="22" t="str">
        <f aca="false">IF($A167="","",$B167*IssizlikOrani)</f>
        <v/>
      </c>
      <c r="E167" s="22" t="str">
        <f aca="false">IF($A167="","",$B167*KidemKarsilikOrani)</f>
        <v/>
      </c>
      <c r="F167" s="20"/>
      <c r="G167" s="22" t="str">
        <f aca="false">IF($A167="","",$B167+$C167+$D167+$E167+$F167)</f>
        <v/>
      </c>
      <c r="H167" s="22" t="str">
        <f aca="false">IF($A167="","",$G167*AySayisi)</f>
        <v/>
      </c>
    </row>
    <row r="168" customFormat="false" ht="15" hidden="false" customHeight="false" outlineLevel="0" collapsed="false">
      <c r="A168" s="19"/>
      <c r="B168" s="22" t="str">
        <f aca="false">IF($A168="","",IFERROR(INDEX(tblCalisan[Brüt Ücret (₺)],MATCH($A168,tblCalisan[Çalışan Adı],0)),""))</f>
        <v/>
      </c>
      <c r="C168" s="22" t="str">
        <f aca="false">IF($A168="","",$B168*IsverenPayiOrani)</f>
        <v/>
      </c>
      <c r="D168" s="22" t="str">
        <f aca="false">IF($A168="","",$B168*IssizlikOrani)</f>
        <v/>
      </c>
      <c r="E168" s="22" t="str">
        <f aca="false">IF($A168="","",$B168*KidemKarsilikOrani)</f>
        <v/>
      </c>
      <c r="F168" s="20"/>
      <c r="G168" s="22" t="str">
        <f aca="false">IF($A168="","",$B168+$C168+$D168+$E168+$F168)</f>
        <v/>
      </c>
      <c r="H168" s="22" t="str">
        <f aca="false">IF($A168="","",$G168*AySayisi)</f>
        <v/>
      </c>
    </row>
    <row r="169" customFormat="false" ht="15" hidden="false" customHeight="false" outlineLevel="0" collapsed="false">
      <c r="A169" s="19"/>
      <c r="B169" s="22" t="str">
        <f aca="false">IF($A169="","",IFERROR(INDEX(tblCalisan[Brüt Ücret (₺)],MATCH($A169,tblCalisan[Çalışan Adı],0)),""))</f>
        <v/>
      </c>
      <c r="C169" s="22" t="str">
        <f aca="false">IF($A169="","",$B169*IsverenPayiOrani)</f>
        <v/>
      </c>
      <c r="D169" s="22" t="str">
        <f aca="false">IF($A169="","",$B169*IssizlikOrani)</f>
        <v/>
      </c>
      <c r="E169" s="22" t="str">
        <f aca="false">IF($A169="","",$B169*KidemKarsilikOrani)</f>
        <v/>
      </c>
      <c r="F169" s="20"/>
      <c r="G169" s="22" t="str">
        <f aca="false">IF($A169="","",$B169+$C169+$D169+$E169+$F169)</f>
        <v/>
      </c>
      <c r="H169" s="22" t="str">
        <f aca="false">IF($A169="","",$G169*AySayisi)</f>
        <v/>
      </c>
    </row>
    <row r="170" customFormat="false" ht="15" hidden="false" customHeight="false" outlineLevel="0" collapsed="false">
      <c r="A170" s="19"/>
      <c r="B170" s="22" t="str">
        <f aca="false">IF($A170="","",IFERROR(INDEX(tblCalisan[Brüt Ücret (₺)],MATCH($A170,tblCalisan[Çalışan Adı],0)),""))</f>
        <v/>
      </c>
      <c r="C170" s="22" t="str">
        <f aca="false">IF($A170="","",$B170*IsverenPayiOrani)</f>
        <v/>
      </c>
      <c r="D170" s="22" t="str">
        <f aca="false">IF($A170="","",$B170*IssizlikOrani)</f>
        <v/>
      </c>
      <c r="E170" s="22" t="str">
        <f aca="false">IF($A170="","",$B170*KidemKarsilikOrani)</f>
        <v/>
      </c>
      <c r="F170" s="20"/>
      <c r="G170" s="22" t="str">
        <f aca="false">IF($A170="","",$B170+$C170+$D170+$E170+$F170)</f>
        <v/>
      </c>
      <c r="H170" s="22" t="str">
        <f aca="false">IF($A170="","",$G170*AySayisi)</f>
        <v/>
      </c>
    </row>
    <row r="171" customFormat="false" ht="15" hidden="false" customHeight="false" outlineLevel="0" collapsed="false">
      <c r="A171" s="19"/>
      <c r="B171" s="22" t="str">
        <f aca="false">IF($A171="","",IFERROR(INDEX(tblCalisan[Brüt Ücret (₺)],MATCH($A171,tblCalisan[Çalışan Adı],0)),""))</f>
        <v/>
      </c>
      <c r="C171" s="22" t="str">
        <f aca="false">IF($A171="","",$B171*IsverenPayiOrani)</f>
        <v/>
      </c>
      <c r="D171" s="22" t="str">
        <f aca="false">IF($A171="","",$B171*IssizlikOrani)</f>
        <v/>
      </c>
      <c r="E171" s="22" t="str">
        <f aca="false">IF($A171="","",$B171*KidemKarsilikOrani)</f>
        <v/>
      </c>
      <c r="F171" s="20"/>
      <c r="G171" s="22" t="str">
        <f aca="false">IF($A171="","",$B171+$C171+$D171+$E171+$F171)</f>
        <v/>
      </c>
      <c r="H171" s="22" t="str">
        <f aca="false">IF($A171="","",$G171*AySayisi)</f>
        <v/>
      </c>
    </row>
    <row r="172" customFormat="false" ht="15" hidden="false" customHeight="false" outlineLevel="0" collapsed="false">
      <c r="A172" s="19"/>
      <c r="B172" s="22" t="str">
        <f aca="false">IF($A172="","",IFERROR(INDEX(tblCalisan[Brüt Ücret (₺)],MATCH($A172,tblCalisan[Çalışan Adı],0)),""))</f>
        <v/>
      </c>
      <c r="C172" s="22" t="str">
        <f aca="false">IF($A172="","",$B172*IsverenPayiOrani)</f>
        <v/>
      </c>
      <c r="D172" s="22" t="str">
        <f aca="false">IF($A172="","",$B172*IssizlikOrani)</f>
        <v/>
      </c>
      <c r="E172" s="22" t="str">
        <f aca="false">IF($A172="","",$B172*KidemKarsilikOrani)</f>
        <v/>
      </c>
      <c r="F172" s="20"/>
      <c r="G172" s="22" t="str">
        <f aca="false">IF($A172="","",$B172+$C172+$D172+$E172+$F172)</f>
        <v/>
      </c>
      <c r="H172" s="22" t="str">
        <f aca="false">IF($A172="","",$G172*AySayisi)</f>
        <v/>
      </c>
    </row>
    <row r="173" customFormat="false" ht="15" hidden="false" customHeight="false" outlineLevel="0" collapsed="false">
      <c r="A173" s="19"/>
      <c r="B173" s="22" t="str">
        <f aca="false">IF($A173="","",IFERROR(INDEX(tblCalisan[Brüt Ücret (₺)],MATCH($A173,tblCalisan[Çalışan Adı],0)),""))</f>
        <v/>
      </c>
      <c r="C173" s="22" t="str">
        <f aca="false">IF($A173="","",$B173*IsverenPayiOrani)</f>
        <v/>
      </c>
      <c r="D173" s="22" t="str">
        <f aca="false">IF($A173="","",$B173*IssizlikOrani)</f>
        <v/>
      </c>
      <c r="E173" s="22" t="str">
        <f aca="false">IF($A173="","",$B173*KidemKarsilikOrani)</f>
        <v/>
      </c>
      <c r="F173" s="20"/>
      <c r="G173" s="22" t="str">
        <f aca="false">IF($A173="","",$B173+$C173+$D173+$E173+$F173)</f>
        <v/>
      </c>
      <c r="H173" s="22" t="str">
        <f aca="false">IF($A173="","",$G173*AySayisi)</f>
        <v/>
      </c>
    </row>
    <row r="174" customFormat="false" ht="15" hidden="false" customHeight="false" outlineLevel="0" collapsed="false">
      <c r="A174" s="19"/>
      <c r="B174" s="22" t="str">
        <f aca="false">IF($A174="","",IFERROR(INDEX(tblCalisan[Brüt Ücret (₺)],MATCH($A174,tblCalisan[Çalışan Adı],0)),""))</f>
        <v/>
      </c>
      <c r="C174" s="22" t="str">
        <f aca="false">IF($A174="","",$B174*IsverenPayiOrani)</f>
        <v/>
      </c>
      <c r="D174" s="22" t="str">
        <f aca="false">IF($A174="","",$B174*IssizlikOrani)</f>
        <v/>
      </c>
      <c r="E174" s="22" t="str">
        <f aca="false">IF($A174="","",$B174*KidemKarsilikOrani)</f>
        <v/>
      </c>
      <c r="F174" s="20"/>
      <c r="G174" s="22" t="str">
        <f aca="false">IF($A174="","",$B174+$C174+$D174+$E174+$F174)</f>
        <v/>
      </c>
      <c r="H174" s="22" t="str">
        <f aca="false">IF($A174="","",$G174*AySayisi)</f>
        <v/>
      </c>
    </row>
    <row r="175" customFormat="false" ht="15" hidden="false" customHeight="false" outlineLevel="0" collapsed="false">
      <c r="A175" s="19"/>
      <c r="B175" s="22" t="str">
        <f aca="false">IF($A175="","",IFERROR(INDEX(tblCalisan[Brüt Ücret (₺)],MATCH($A175,tblCalisan[Çalışan Adı],0)),""))</f>
        <v/>
      </c>
      <c r="C175" s="22" t="str">
        <f aca="false">IF($A175="","",$B175*IsverenPayiOrani)</f>
        <v/>
      </c>
      <c r="D175" s="22" t="str">
        <f aca="false">IF($A175="","",$B175*IssizlikOrani)</f>
        <v/>
      </c>
      <c r="E175" s="22" t="str">
        <f aca="false">IF($A175="","",$B175*KidemKarsilikOrani)</f>
        <v/>
      </c>
      <c r="F175" s="20"/>
      <c r="G175" s="22" t="str">
        <f aca="false">IF($A175="","",$B175+$C175+$D175+$E175+$F175)</f>
        <v/>
      </c>
      <c r="H175" s="22" t="str">
        <f aca="false">IF($A175="","",$G175*AySayisi)</f>
        <v/>
      </c>
    </row>
    <row r="176" customFormat="false" ht="15" hidden="false" customHeight="false" outlineLevel="0" collapsed="false">
      <c r="A176" s="19"/>
      <c r="B176" s="22" t="str">
        <f aca="false">IF($A176="","",IFERROR(INDEX(tblCalisan[Brüt Ücret (₺)],MATCH($A176,tblCalisan[Çalışan Adı],0)),""))</f>
        <v/>
      </c>
      <c r="C176" s="22" t="str">
        <f aca="false">IF($A176="","",$B176*IsverenPayiOrani)</f>
        <v/>
      </c>
      <c r="D176" s="22" t="str">
        <f aca="false">IF($A176="","",$B176*IssizlikOrani)</f>
        <v/>
      </c>
      <c r="E176" s="22" t="str">
        <f aca="false">IF($A176="","",$B176*KidemKarsilikOrani)</f>
        <v/>
      </c>
      <c r="F176" s="20"/>
      <c r="G176" s="22" t="str">
        <f aca="false">IF($A176="","",$B176+$C176+$D176+$E176+$F176)</f>
        <v/>
      </c>
      <c r="H176" s="22" t="str">
        <f aca="false">IF($A176="","",$G176*AySayisi)</f>
        <v/>
      </c>
    </row>
    <row r="177" customFormat="false" ht="15" hidden="false" customHeight="false" outlineLevel="0" collapsed="false">
      <c r="A177" s="19"/>
      <c r="B177" s="22" t="str">
        <f aca="false">IF($A177="","",IFERROR(INDEX(tblCalisan[Brüt Ücret (₺)],MATCH($A177,tblCalisan[Çalışan Adı],0)),""))</f>
        <v/>
      </c>
      <c r="C177" s="22" t="str">
        <f aca="false">IF($A177="","",$B177*IsverenPayiOrani)</f>
        <v/>
      </c>
      <c r="D177" s="22" t="str">
        <f aca="false">IF($A177="","",$B177*IssizlikOrani)</f>
        <v/>
      </c>
      <c r="E177" s="22" t="str">
        <f aca="false">IF($A177="","",$B177*KidemKarsilikOrani)</f>
        <v/>
      </c>
      <c r="F177" s="20"/>
      <c r="G177" s="22" t="str">
        <f aca="false">IF($A177="","",$B177+$C177+$D177+$E177+$F177)</f>
        <v/>
      </c>
      <c r="H177" s="22" t="str">
        <f aca="false">IF($A177="","",$G177*AySayisi)</f>
        <v/>
      </c>
    </row>
    <row r="178" customFormat="false" ht="15" hidden="false" customHeight="false" outlineLevel="0" collapsed="false">
      <c r="A178" s="19"/>
      <c r="B178" s="22" t="str">
        <f aca="false">IF($A178="","",IFERROR(INDEX(tblCalisan[Brüt Ücret (₺)],MATCH($A178,tblCalisan[Çalışan Adı],0)),""))</f>
        <v/>
      </c>
      <c r="C178" s="22" t="str">
        <f aca="false">IF($A178="","",$B178*IsverenPayiOrani)</f>
        <v/>
      </c>
      <c r="D178" s="22" t="str">
        <f aca="false">IF($A178="","",$B178*IssizlikOrani)</f>
        <v/>
      </c>
      <c r="E178" s="22" t="str">
        <f aca="false">IF($A178="","",$B178*KidemKarsilikOrani)</f>
        <v/>
      </c>
      <c r="F178" s="20"/>
      <c r="G178" s="22" t="str">
        <f aca="false">IF($A178="","",$B178+$C178+$D178+$E178+$F178)</f>
        <v/>
      </c>
      <c r="H178" s="22" t="str">
        <f aca="false">IF($A178="","",$G178*AySayisi)</f>
        <v/>
      </c>
    </row>
    <row r="179" customFormat="false" ht="15" hidden="false" customHeight="false" outlineLevel="0" collapsed="false">
      <c r="A179" s="19"/>
      <c r="B179" s="22" t="str">
        <f aca="false">IF($A179="","",IFERROR(INDEX(tblCalisan[Brüt Ücret (₺)],MATCH($A179,tblCalisan[Çalışan Adı],0)),""))</f>
        <v/>
      </c>
      <c r="C179" s="22" t="str">
        <f aca="false">IF($A179="","",$B179*IsverenPayiOrani)</f>
        <v/>
      </c>
      <c r="D179" s="22" t="str">
        <f aca="false">IF($A179="","",$B179*IssizlikOrani)</f>
        <v/>
      </c>
      <c r="E179" s="22" t="str">
        <f aca="false">IF($A179="","",$B179*KidemKarsilikOrani)</f>
        <v/>
      </c>
      <c r="F179" s="20"/>
      <c r="G179" s="22" t="str">
        <f aca="false">IF($A179="","",$B179+$C179+$D179+$E179+$F179)</f>
        <v/>
      </c>
      <c r="H179" s="22" t="str">
        <f aca="false">IF($A179="","",$G179*AySayisi)</f>
        <v/>
      </c>
    </row>
    <row r="180" customFormat="false" ht="15" hidden="false" customHeight="false" outlineLevel="0" collapsed="false">
      <c r="A180" s="19"/>
      <c r="B180" s="22" t="str">
        <f aca="false">IF($A180="","",IFERROR(INDEX(tblCalisan[Brüt Ücret (₺)],MATCH($A180,tblCalisan[Çalışan Adı],0)),""))</f>
        <v/>
      </c>
      <c r="C180" s="22" t="str">
        <f aca="false">IF($A180="","",$B180*IsverenPayiOrani)</f>
        <v/>
      </c>
      <c r="D180" s="22" t="str">
        <f aca="false">IF($A180="","",$B180*IssizlikOrani)</f>
        <v/>
      </c>
      <c r="E180" s="22" t="str">
        <f aca="false">IF($A180="","",$B180*KidemKarsilikOrani)</f>
        <v/>
      </c>
      <c r="F180" s="20"/>
      <c r="G180" s="22" t="str">
        <f aca="false">IF($A180="","",$B180+$C180+$D180+$E180+$F180)</f>
        <v/>
      </c>
      <c r="H180" s="22" t="str">
        <f aca="false">IF($A180="","",$G180*AySayisi)</f>
        <v/>
      </c>
    </row>
    <row r="181" customFormat="false" ht="15" hidden="false" customHeight="false" outlineLevel="0" collapsed="false">
      <c r="A181" s="19"/>
      <c r="B181" s="22" t="str">
        <f aca="false">IF($A181="","",IFERROR(INDEX(tblCalisan[Brüt Ücret (₺)],MATCH($A181,tblCalisan[Çalışan Adı],0)),""))</f>
        <v/>
      </c>
      <c r="C181" s="22" t="str">
        <f aca="false">IF($A181="","",$B181*IsverenPayiOrani)</f>
        <v/>
      </c>
      <c r="D181" s="22" t="str">
        <f aca="false">IF($A181="","",$B181*IssizlikOrani)</f>
        <v/>
      </c>
      <c r="E181" s="22" t="str">
        <f aca="false">IF($A181="","",$B181*KidemKarsilikOrani)</f>
        <v/>
      </c>
      <c r="F181" s="20"/>
      <c r="G181" s="22" t="str">
        <f aca="false">IF($A181="","",$B181+$C181+$D181+$E181+$F181)</f>
        <v/>
      </c>
      <c r="H181" s="22" t="str">
        <f aca="false">IF($A181="","",$G181*AySayisi)</f>
        <v/>
      </c>
    </row>
    <row r="182" customFormat="false" ht="15" hidden="false" customHeight="false" outlineLevel="0" collapsed="false">
      <c r="A182" s="19"/>
      <c r="B182" s="22" t="str">
        <f aca="false">IF($A182="","",IFERROR(INDEX(tblCalisan[Brüt Ücret (₺)],MATCH($A182,tblCalisan[Çalışan Adı],0)),""))</f>
        <v/>
      </c>
      <c r="C182" s="22" t="str">
        <f aca="false">IF($A182="","",$B182*IsverenPayiOrani)</f>
        <v/>
      </c>
      <c r="D182" s="22" t="str">
        <f aca="false">IF($A182="","",$B182*IssizlikOrani)</f>
        <v/>
      </c>
      <c r="E182" s="22" t="str">
        <f aca="false">IF($A182="","",$B182*KidemKarsilikOrani)</f>
        <v/>
      </c>
      <c r="F182" s="20"/>
      <c r="G182" s="22" t="str">
        <f aca="false">IF($A182="","",$B182+$C182+$D182+$E182+$F182)</f>
        <v/>
      </c>
      <c r="H182" s="22" t="str">
        <f aca="false">IF($A182="","",$G182*AySayisi)</f>
        <v/>
      </c>
    </row>
    <row r="183" customFormat="false" ht="15" hidden="false" customHeight="false" outlineLevel="0" collapsed="false">
      <c r="A183" s="19"/>
      <c r="B183" s="22" t="str">
        <f aca="false">IF($A183="","",IFERROR(INDEX(tblCalisan[Brüt Ücret (₺)],MATCH($A183,tblCalisan[Çalışan Adı],0)),""))</f>
        <v/>
      </c>
      <c r="C183" s="22" t="str">
        <f aca="false">IF($A183="","",$B183*IsverenPayiOrani)</f>
        <v/>
      </c>
      <c r="D183" s="22" t="str">
        <f aca="false">IF($A183="","",$B183*IssizlikOrani)</f>
        <v/>
      </c>
      <c r="E183" s="22" t="str">
        <f aca="false">IF($A183="","",$B183*KidemKarsilikOrani)</f>
        <v/>
      </c>
      <c r="F183" s="20"/>
      <c r="G183" s="22" t="str">
        <f aca="false">IF($A183="","",$B183+$C183+$D183+$E183+$F183)</f>
        <v/>
      </c>
      <c r="H183" s="22" t="str">
        <f aca="false">IF($A183="","",$G183*AySayisi)</f>
        <v/>
      </c>
    </row>
    <row r="184" customFormat="false" ht="15" hidden="false" customHeight="false" outlineLevel="0" collapsed="false">
      <c r="A184" s="19"/>
      <c r="B184" s="22" t="str">
        <f aca="false">IF($A184="","",IFERROR(INDEX(tblCalisan[Brüt Ücret (₺)],MATCH($A184,tblCalisan[Çalışan Adı],0)),""))</f>
        <v/>
      </c>
      <c r="C184" s="22" t="str">
        <f aca="false">IF($A184="","",$B184*IsverenPayiOrani)</f>
        <v/>
      </c>
      <c r="D184" s="22" t="str">
        <f aca="false">IF($A184="","",$B184*IssizlikOrani)</f>
        <v/>
      </c>
      <c r="E184" s="22" t="str">
        <f aca="false">IF($A184="","",$B184*KidemKarsilikOrani)</f>
        <v/>
      </c>
      <c r="F184" s="20"/>
      <c r="G184" s="22" t="str">
        <f aca="false">IF($A184="","",$B184+$C184+$D184+$E184+$F184)</f>
        <v/>
      </c>
      <c r="H184" s="22" t="str">
        <f aca="false">IF($A184="","",$G184*AySayisi)</f>
        <v/>
      </c>
    </row>
    <row r="185" customFormat="false" ht="15" hidden="false" customHeight="false" outlineLevel="0" collapsed="false">
      <c r="A185" s="19"/>
      <c r="B185" s="22" t="str">
        <f aca="false">IF($A185="","",IFERROR(INDEX(tblCalisan[Brüt Ücret (₺)],MATCH($A185,tblCalisan[Çalışan Adı],0)),""))</f>
        <v/>
      </c>
      <c r="C185" s="22" t="str">
        <f aca="false">IF($A185="","",$B185*IsverenPayiOrani)</f>
        <v/>
      </c>
      <c r="D185" s="22" t="str">
        <f aca="false">IF($A185="","",$B185*IssizlikOrani)</f>
        <v/>
      </c>
      <c r="E185" s="22" t="str">
        <f aca="false">IF($A185="","",$B185*KidemKarsilikOrani)</f>
        <v/>
      </c>
      <c r="F185" s="20"/>
      <c r="G185" s="22" t="str">
        <f aca="false">IF($A185="","",$B185+$C185+$D185+$E185+$F185)</f>
        <v/>
      </c>
      <c r="H185" s="22" t="str">
        <f aca="false">IF($A185="","",$G185*AySayisi)</f>
        <v/>
      </c>
    </row>
    <row r="186" customFormat="false" ht="15" hidden="false" customHeight="false" outlineLevel="0" collapsed="false">
      <c r="A186" s="19"/>
      <c r="B186" s="22" t="str">
        <f aca="false">IF($A186="","",IFERROR(INDEX(tblCalisan[Brüt Ücret (₺)],MATCH($A186,tblCalisan[Çalışan Adı],0)),""))</f>
        <v/>
      </c>
      <c r="C186" s="22" t="str">
        <f aca="false">IF($A186="","",$B186*IsverenPayiOrani)</f>
        <v/>
      </c>
      <c r="D186" s="22" t="str">
        <f aca="false">IF($A186="","",$B186*IssizlikOrani)</f>
        <v/>
      </c>
      <c r="E186" s="22" t="str">
        <f aca="false">IF($A186="","",$B186*KidemKarsilikOrani)</f>
        <v/>
      </c>
      <c r="F186" s="20"/>
      <c r="G186" s="22" t="str">
        <f aca="false">IF($A186="","",$B186+$C186+$D186+$E186+$F186)</f>
        <v/>
      </c>
      <c r="H186" s="22" t="str">
        <f aca="false">IF($A186="","",$G186*AySayisi)</f>
        <v/>
      </c>
    </row>
    <row r="187" customFormat="false" ht="15" hidden="false" customHeight="false" outlineLevel="0" collapsed="false">
      <c r="A187" s="19"/>
      <c r="B187" s="22" t="str">
        <f aca="false">IF($A187="","",IFERROR(INDEX(tblCalisan[Brüt Ücret (₺)],MATCH($A187,tblCalisan[Çalışan Adı],0)),""))</f>
        <v/>
      </c>
      <c r="C187" s="22" t="str">
        <f aca="false">IF($A187="","",$B187*IsverenPayiOrani)</f>
        <v/>
      </c>
      <c r="D187" s="22" t="str">
        <f aca="false">IF($A187="","",$B187*IssizlikOrani)</f>
        <v/>
      </c>
      <c r="E187" s="22" t="str">
        <f aca="false">IF($A187="","",$B187*KidemKarsilikOrani)</f>
        <v/>
      </c>
      <c r="F187" s="20"/>
      <c r="G187" s="22" t="str">
        <f aca="false">IF($A187="","",$B187+$C187+$D187+$E187+$F187)</f>
        <v/>
      </c>
      <c r="H187" s="22" t="str">
        <f aca="false">IF($A187="","",$G187*AySayisi)</f>
        <v/>
      </c>
    </row>
    <row r="188" customFormat="false" ht="15" hidden="false" customHeight="false" outlineLevel="0" collapsed="false">
      <c r="A188" s="19"/>
      <c r="B188" s="22" t="str">
        <f aca="false">IF($A188="","",IFERROR(INDEX(tblCalisan[Brüt Ücret (₺)],MATCH($A188,tblCalisan[Çalışan Adı],0)),""))</f>
        <v/>
      </c>
      <c r="C188" s="22" t="str">
        <f aca="false">IF($A188="","",$B188*IsverenPayiOrani)</f>
        <v/>
      </c>
      <c r="D188" s="22" t="str">
        <f aca="false">IF($A188="","",$B188*IssizlikOrani)</f>
        <v/>
      </c>
      <c r="E188" s="22" t="str">
        <f aca="false">IF($A188="","",$B188*KidemKarsilikOrani)</f>
        <v/>
      </c>
      <c r="F188" s="20"/>
      <c r="G188" s="22" t="str">
        <f aca="false">IF($A188="","",$B188+$C188+$D188+$E188+$F188)</f>
        <v/>
      </c>
      <c r="H188" s="22" t="str">
        <f aca="false">IF($A188="","",$G188*AySayisi)</f>
        <v/>
      </c>
    </row>
    <row r="189" customFormat="false" ht="15" hidden="false" customHeight="false" outlineLevel="0" collapsed="false">
      <c r="A189" s="19"/>
      <c r="B189" s="22" t="str">
        <f aca="false">IF($A189="","",IFERROR(INDEX(tblCalisan[Brüt Ücret (₺)],MATCH($A189,tblCalisan[Çalışan Adı],0)),""))</f>
        <v/>
      </c>
      <c r="C189" s="22" t="str">
        <f aca="false">IF($A189="","",$B189*IsverenPayiOrani)</f>
        <v/>
      </c>
      <c r="D189" s="22" t="str">
        <f aca="false">IF($A189="","",$B189*IssizlikOrani)</f>
        <v/>
      </c>
      <c r="E189" s="22" t="str">
        <f aca="false">IF($A189="","",$B189*KidemKarsilikOrani)</f>
        <v/>
      </c>
      <c r="F189" s="20"/>
      <c r="G189" s="22" t="str">
        <f aca="false">IF($A189="","",$B189+$C189+$D189+$E189+$F189)</f>
        <v/>
      </c>
      <c r="H189" s="22" t="str">
        <f aca="false">IF($A189="","",$G189*AySayisi)</f>
        <v/>
      </c>
    </row>
    <row r="190" customFormat="false" ht="15" hidden="false" customHeight="false" outlineLevel="0" collapsed="false">
      <c r="A190" s="19"/>
      <c r="B190" s="22" t="str">
        <f aca="false">IF($A190="","",IFERROR(INDEX(tblCalisan[Brüt Ücret (₺)],MATCH($A190,tblCalisan[Çalışan Adı],0)),""))</f>
        <v/>
      </c>
      <c r="C190" s="22" t="str">
        <f aca="false">IF($A190="","",$B190*IsverenPayiOrani)</f>
        <v/>
      </c>
      <c r="D190" s="22" t="str">
        <f aca="false">IF($A190="","",$B190*IssizlikOrani)</f>
        <v/>
      </c>
      <c r="E190" s="22" t="str">
        <f aca="false">IF($A190="","",$B190*KidemKarsilikOrani)</f>
        <v/>
      </c>
      <c r="F190" s="20"/>
      <c r="G190" s="22" t="str">
        <f aca="false">IF($A190="","",$B190+$C190+$D190+$E190+$F190)</f>
        <v/>
      </c>
      <c r="H190" s="22" t="str">
        <f aca="false">IF($A190="","",$G190*AySayisi)</f>
        <v/>
      </c>
    </row>
    <row r="191" customFormat="false" ht="15" hidden="false" customHeight="false" outlineLevel="0" collapsed="false">
      <c r="A191" s="19"/>
      <c r="B191" s="22" t="str">
        <f aca="false">IF($A191="","",IFERROR(INDEX(tblCalisan[Brüt Ücret (₺)],MATCH($A191,tblCalisan[Çalışan Adı],0)),""))</f>
        <v/>
      </c>
      <c r="C191" s="22" t="str">
        <f aca="false">IF($A191="","",$B191*IsverenPayiOrani)</f>
        <v/>
      </c>
      <c r="D191" s="22" t="str">
        <f aca="false">IF($A191="","",$B191*IssizlikOrani)</f>
        <v/>
      </c>
      <c r="E191" s="22" t="str">
        <f aca="false">IF($A191="","",$B191*KidemKarsilikOrani)</f>
        <v/>
      </c>
      <c r="F191" s="20"/>
      <c r="G191" s="22" t="str">
        <f aca="false">IF($A191="","",$B191+$C191+$D191+$E191+$F191)</f>
        <v/>
      </c>
      <c r="H191" s="22" t="str">
        <f aca="false">IF($A191="","",$G191*AySayisi)</f>
        <v/>
      </c>
    </row>
    <row r="192" customFormat="false" ht="15" hidden="false" customHeight="false" outlineLevel="0" collapsed="false">
      <c r="A192" s="19"/>
      <c r="B192" s="22" t="str">
        <f aca="false">IF($A192="","",IFERROR(INDEX(tblCalisan[Brüt Ücret (₺)],MATCH($A192,tblCalisan[Çalışan Adı],0)),""))</f>
        <v/>
      </c>
      <c r="C192" s="22" t="str">
        <f aca="false">IF($A192="","",$B192*IsverenPayiOrani)</f>
        <v/>
      </c>
      <c r="D192" s="22" t="str">
        <f aca="false">IF($A192="","",$B192*IssizlikOrani)</f>
        <v/>
      </c>
      <c r="E192" s="22" t="str">
        <f aca="false">IF($A192="","",$B192*KidemKarsilikOrani)</f>
        <v/>
      </c>
      <c r="F192" s="20"/>
      <c r="G192" s="22" t="str">
        <f aca="false">IF($A192="","",$B192+$C192+$D192+$E192+$F192)</f>
        <v/>
      </c>
      <c r="H192" s="22" t="str">
        <f aca="false">IF($A192="","",$G192*AySayisi)</f>
        <v/>
      </c>
    </row>
    <row r="193" customFormat="false" ht="15" hidden="false" customHeight="false" outlineLevel="0" collapsed="false">
      <c r="A193" s="19"/>
      <c r="B193" s="22" t="str">
        <f aca="false">IF($A193="","",IFERROR(INDEX(tblCalisan[Brüt Ücret (₺)],MATCH($A193,tblCalisan[Çalışan Adı],0)),""))</f>
        <v/>
      </c>
      <c r="C193" s="22" t="str">
        <f aca="false">IF($A193="","",$B193*IsverenPayiOrani)</f>
        <v/>
      </c>
      <c r="D193" s="22" t="str">
        <f aca="false">IF($A193="","",$B193*IssizlikOrani)</f>
        <v/>
      </c>
      <c r="E193" s="22" t="str">
        <f aca="false">IF($A193="","",$B193*KidemKarsilikOrani)</f>
        <v/>
      </c>
      <c r="F193" s="20"/>
      <c r="G193" s="22" t="str">
        <f aca="false">IF($A193="","",$B193+$C193+$D193+$E193+$F193)</f>
        <v/>
      </c>
      <c r="H193" s="22" t="str">
        <f aca="false">IF($A193="","",$G193*AySayisi)</f>
        <v/>
      </c>
    </row>
    <row r="194" customFormat="false" ht="15" hidden="false" customHeight="false" outlineLevel="0" collapsed="false">
      <c r="A194" s="19"/>
      <c r="B194" s="22" t="str">
        <f aca="false">IF($A194="","",IFERROR(INDEX(tblCalisan[Brüt Ücret (₺)],MATCH($A194,tblCalisan[Çalışan Adı],0)),""))</f>
        <v/>
      </c>
      <c r="C194" s="22" t="str">
        <f aca="false">IF($A194="","",$B194*IsverenPayiOrani)</f>
        <v/>
      </c>
      <c r="D194" s="22" t="str">
        <f aca="false">IF($A194="","",$B194*IssizlikOrani)</f>
        <v/>
      </c>
      <c r="E194" s="22" t="str">
        <f aca="false">IF($A194="","",$B194*KidemKarsilikOrani)</f>
        <v/>
      </c>
      <c r="F194" s="20"/>
      <c r="G194" s="22" t="str">
        <f aca="false">IF($A194="","",$B194+$C194+$D194+$E194+$F194)</f>
        <v/>
      </c>
      <c r="H194" s="22" t="str">
        <f aca="false">IF($A194="","",$G194*AySayisi)</f>
        <v/>
      </c>
    </row>
    <row r="195" customFormat="false" ht="15" hidden="false" customHeight="false" outlineLevel="0" collapsed="false">
      <c r="A195" s="19"/>
      <c r="B195" s="22" t="str">
        <f aca="false">IF($A195="","",IFERROR(INDEX(tblCalisan[Brüt Ücret (₺)],MATCH($A195,tblCalisan[Çalışan Adı],0)),""))</f>
        <v/>
      </c>
      <c r="C195" s="22" t="str">
        <f aca="false">IF($A195="","",$B195*IsverenPayiOrani)</f>
        <v/>
      </c>
      <c r="D195" s="22" t="str">
        <f aca="false">IF($A195="","",$B195*IssizlikOrani)</f>
        <v/>
      </c>
      <c r="E195" s="22" t="str">
        <f aca="false">IF($A195="","",$B195*KidemKarsilikOrani)</f>
        <v/>
      </c>
      <c r="F195" s="20"/>
      <c r="G195" s="22" t="str">
        <f aca="false">IF($A195="","",$B195+$C195+$D195+$E195+$F195)</f>
        <v/>
      </c>
      <c r="H195" s="22" t="str">
        <f aca="false">IF($A195="","",$G195*AySayisi)</f>
        <v/>
      </c>
    </row>
    <row r="196" customFormat="false" ht="15" hidden="false" customHeight="false" outlineLevel="0" collapsed="false">
      <c r="A196" s="19"/>
      <c r="B196" s="22" t="str">
        <f aca="false">IF($A196="","",IFERROR(INDEX(tblCalisan[Brüt Ücret (₺)],MATCH($A196,tblCalisan[Çalışan Adı],0)),""))</f>
        <v/>
      </c>
      <c r="C196" s="22" t="str">
        <f aca="false">IF($A196="","",$B196*IsverenPayiOrani)</f>
        <v/>
      </c>
      <c r="D196" s="22" t="str">
        <f aca="false">IF($A196="","",$B196*IssizlikOrani)</f>
        <v/>
      </c>
      <c r="E196" s="22" t="str">
        <f aca="false">IF($A196="","",$B196*KidemKarsilikOrani)</f>
        <v/>
      </c>
      <c r="F196" s="20"/>
      <c r="G196" s="22" t="str">
        <f aca="false">IF($A196="","",$B196+$C196+$D196+$E196+$F196)</f>
        <v/>
      </c>
      <c r="H196" s="22" t="str">
        <f aca="false">IF($A196="","",$G196*AySayisi)</f>
        <v/>
      </c>
    </row>
    <row r="197" customFormat="false" ht="15" hidden="false" customHeight="false" outlineLevel="0" collapsed="false">
      <c r="A197" s="19"/>
      <c r="B197" s="22" t="str">
        <f aca="false">IF($A197="","",IFERROR(INDEX(tblCalisan[Brüt Ücret (₺)],MATCH($A197,tblCalisan[Çalışan Adı],0)),""))</f>
        <v/>
      </c>
      <c r="C197" s="22" t="str">
        <f aca="false">IF($A197="","",$B197*IsverenPayiOrani)</f>
        <v/>
      </c>
      <c r="D197" s="22" t="str">
        <f aca="false">IF($A197="","",$B197*IssizlikOrani)</f>
        <v/>
      </c>
      <c r="E197" s="22" t="str">
        <f aca="false">IF($A197="","",$B197*KidemKarsilikOrani)</f>
        <v/>
      </c>
      <c r="F197" s="20"/>
      <c r="G197" s="22" t="str">
        <f aca="false">IF($A197="","",$B197+$C197+$D197+$E197+$F197)</f>
        <v/>
      </c>
      <c r="H197" s="22" t="str">
        <f aca="false">IF($A197="","",$G197*AySayisi)</f>
        <v/>
      </c>
    </row>
    <row r="198" customFormat="false" ht="15" hidden="false" customHeight="false" outlineLevel="0" collapsed="false">
      <c r="A198" s="19"/>
      <c r="B198" s="22" t="str">
        <f aca="false">IF($A198="","",IFERROR(INDEX(tblCalisan[Brüt Ücret (₺)],MATCH($A198,tblCalisan[Çalışan Adı],0)),""))</f>
        <v/>
      </c>
      <c r="C198" s="22" t="str">
        <f aca="false">IF($A198="","",$B198*IsverenPayiOrani)</f>
        <v/>
      </c>
      <c r="D198" s="22" t="str">
        <f aca="false">IF($A198="","",$B198*IssizlikOrani)</f>
        <v/>
      </c>
      <c r="E198" s="22" t="str">
        <f aca="false">IF($A198="","",$B198*KidemKarsilikOrani)</f>
        <v/>
      </c>
      <c r="F198" s="20"/>
      <c r="G198" s="22" t="str">
        <f aca="false">IF($A198="","",$B198+$C198+$D198+$E198+$F198)</f>
        <v/>
      </c>
      <c r="H198" s="22" t="str">
        <f aca="false">IF($A198="","",$G198*AySayisi)</f>
        <v/>
      </c>
    </row>
    <row r="199" customFormat="false" ht="15" hidden="false" customHeight="false" outlineLevel="0" collapsed="false">
      <c r="A199" s="19"/>
      <c r="B199" s="22" t="str">
        <f aca="false">IF($A199="","",IFERROR(INDEX(tblCalisan[Brüt Ücret (₺)],MATCH($A199,tblCalisan[Çalışan Adı],0)),""))</f>
        <v/>
      </c>
      <c r="C199" s="22" t="str">
        <f aca="false">IF($A199="","",$B199*IsverenPayiOrani)</f>
        <v/>
      </c>
      <c r="D199" s="22" t="str">
        <f aca="false">IF($A199="","",$B199*IssizlikOrani)</f>
        <v/>
      </c>
      <c r="E199" s="22" t="str">
        <f aca="false">IF($A199="","",$B199*KidemKarsilikOrani)</f>
        <v/>
      </c>
      <c r="F199" s="20"/>
      <c r="G199" s="22" t="str">
        <f aca="false">IF($A199="","",$B199+$C199+$D199+$E199+$F199)</f>
        <v/>
      </c>
      <c r="H199" s="22" t="str">
        <f aca="false">IF($A199="","",$G199*AySayisi)</f>
        <v/>
      </c>
    </row>
    <row r="200" customFormat="false" ht="15" hidden="false" customHeight="false" outlineLevel="0" collapsed="false">
      <c r="A200" s="19"/>
      <c r="B200" s="22" t="str">
        <f aca="false">IF($A200="","",IFERROR(INDEX(tblCalisan[Brüt Ücret (₺)],MATCH($A200,tblCalisan[Çalışan Adı],0)),""))</f>
        <v/>
      </c>
      <c r="C200" s="22" t="str">
        <f aca="false">IF($A200="","",$B200*IsverenPayiOrani)</f>
        <v/>
      </c>
      <c r="D200" s="22" t="str">
        <f aca="false">IF($A200="","",$B200*IssizlikOrani)</f>
        <v/>
      </c>
      <c r="E200" s="22" t="str">
        <f aca="false">IF($A200="","",$B200*KidemKarsilikOrani)</f>
        <v/>
      </c>
      <c r="F200" s="20"/>
      <c r="G200" s="22" t="str">
        <f aca="false">IF($A200="","",$B200+$C200+$D200+$E200+$F200)</f>
        <v/>
      </c>
      <c r="H200" s="22" t="str">
        <f aca="false">IF($A200="","",$G200*AySayisi)</f>
        <v/>
      </c>
    </row>
    <row r="201" customFormat="false" ht="15" hidden="false" customHeight="false" outlineLevel="0" collapsed="false">
      <c r="A201" s="19"/>
      <c r="B201" s="22" t="str">
        <f aca="false">IF($A201="","",IFERROR(INDEX(tblCalisan[Brüt Ücret (₺)],MATCH($A201,tblCalisan[Çalışan Adı],0)),""))</f>
        <v/>
      </c>
      <c r="C201" s="22" t="str">
        <f aca="false">IF($A201="","",$B201*IsverenPayiOrani)</f>
        <v/>
      </c>
      <c r="D201" s="22" t="str">
        <f aca="false">IF($A201="","",$B201*IssizlikOrani)</f>
        <v/>
      </c>
      <c r="E201" s="22" t="str">
        <f aca="false">IF($A201="","",$B201*KidemKarsilikOrani)</f>
        <v/>
      </c>
      <c r="F201" s="20"/>
      <c r="G201" s="22" t="str">
        <f aca="false">IF($A201="","",$B201+$C201+$D201+$E201+$F201)</f>
        <v/>
      </c>
      <c r="H201" s="22" t="str">
        <f aca="false">IF($A201="","",$G201*AySayisi)</f>
        <v/>
      </c>
    </row>
    <row r="202" customFormat="false" ht="15" hidden="false" customHeight="false" outlineLevel="0" collapsed="false">
      <c r="A202" s="19"/>
      <c r="B202" s="22" t="str">
        <f aca="false">IF($A202="","",IFERROR(INDEX(tblCalisan[Brüt Ücret (₺)],MATCH($A202,tblCalisan[Çalışan Adı],0)),""))</f>
        <v/>
      </c>
      <c r="C202" s="22" t="str">
        <f aca="false">IF($A202="","",$B202*IsverenPayiOrani)</f>
        <v/>
      </c>
      <c r="D202" s="22" t="str">
        <f aca="false">IF($A202="","",$B202*IssizlikOrani)</f>
        <v/>
      </c>
      <c r="E202" s="22" t="str">
        <f aca="false">IF($A202="","",$B202*KidemKarsilikOrani)</f>
        <v/>
      </c>
      <c r="F202" s="20"/>
      <c r="G202" s="22" t="str">
        <f aca="false">IF($A202="","",$B202+$C202+$D202+$E202+$F202)</f>
        <v/>
      </c>
      <c r="H202" s="22" t="str">
        <f aca="false">IF($A202="","",$G202*AySayisi)</f>
        <v/>
      </c>
    </row>
    <row r="203" customFormat="false" ht="15" hidden="false" customHeight="false" outlineLevel="0" collapsed="false">
      <c r="A203" s="19"/>
      <c r="B203" s="22" t="str">
        <f aca="false">IF($A203="","",IFERROR(INDEX(tblCalisan[Brüt Ücret (₺)],MATCH($A203,tblCalisan[Çalışan Adı],0)),""))</f>
        <v/>
      </c>
      <c r="C203" s="22" t="str">
        <f aca="false">IF($A203="","",$B203*IsverenPayiOrani)</f>
        <v/>
      </c>
      <c r="D203" s="22" t="str">
        <f aca="false">IF($A203="","",$B203*IssizlikOrani)</f>
        <v/>
      </c>
      <c r="E203" s="22" t="str">
        <f aca="false">IF($A203="","",$B203*KidemKarsilikOrani)</f>
        <v/>
      </c>
      <c r="F203" s="20"/>
      <c r="G203" s="22" t="str">
        <f aca="false">IF($A203="","",$B203+$C203+$D203+$E203+$F203)</f>
        <v/>
      </c>
      <c r="H203" s="22" t="str">
        <f aca="false">IF($A203="","",$G203*AySayisi)</f>
        <v/>
      </c>
    </row>
    <row r="204" customFormat="false" ht="15" hidden="false" customHeight="false" outlineLevel="0" collapsed="false">
      <c r="A204" s="19"/>
      <c r="B204" s="22" t="str">
        <f aca="false">IF($A204="","",IFERROR(INDEX(tblCalisan[Brüt Ücret (₺)],MATCH($A204,tblCalisan[Çalışan Adı],0)),""))</f>
        <v/>
      </c>
      <c r="C204" s="22" t="str">
        <f aca="false">IF($A204="","",$B204*IsverenPayiOrani)</f>
        <v/>
      </c>
      <c r="D204" s="22" t="str">
        <f aca="false">IF($A204="","",$B204*IssizlikOrani)</f>
        <v/>
      </c>
      <c r="E204" s="22" t="str">
        <f aca="false">IF($A204="","",$B204*KidemKarsilikOrani)</f>
        <v/>
      </c>
      <c r="F204" s="20"/>
      <c r="G204" s="22" t="str">
        <f aca="false">IF($A204="","",$B204+$C204+$D204+$E204+$F204)</f>
        <v/>
      </c>
      <c r="H204" s="22" t="str">
        <f aca="false">IF($A204="","",$G204*AySayisi)</f>
        <v/>
      </c>
    </row>
    <row r="205" customFormat="false" ht="15" hidden="false" customHeight="false" outlineLevel="0" collapsed="false">
      <c r="A205" s="19"/>
      <c r="B205" s="22" t="str">
        <f aca="false">IF($A205="","",IFERROR(INDEX(tblCalisan[Brüt Ücret (₺)],MATCH($A205,tblCalisan[Çalışan Adı],0)),""))</f>
        <v/>
      </c>
      <c r="C205" s="22" t="str">
        <f aca="false">IF($A205="","",$B205*IsverenPayiOrani)</f>
        <v/>
      </c>
      <c r="D205" s="22" t="str">
        <f aca="false">IF($A205="","",$B205*IssizlikOrani)</f>
        <v/>
      </c>
      <c r="E205" s="22" t="str">
        <f aca="false">IF($A205="","",$B205*KidemKarsilikOrani)</f>
        <v/>
      </c>
      <c r="F205" s="20"/>
      <c r="G205" s="22" t="str">
        <f aca="false">IF($A205="","",$B205+$C205+$D205+$E205+$F205)</f>
        <v/>
      </c>
      <c r="H205" s="22" t="str">
        <f aca="false">IF($A205="","",$G205*AySayisi)</f>
        <v/>
      </c>
    </row>
    <row r="206" customFormat="false" ht="15" hidden="false" customHeight="false" outlineLevel="0" collapsed="false">
      <c r="A206" s="19"/>
      <c r="B206" s="22" t="str">
        <f aca="false">IF($A206="","",IFERROR(INDEX(tblCalisan[Brüt Ücret (₺)],MATCH($A206,tblCalisan[Çalışan Adı],0)),""))</f>
        <v/>
      </c>
      <c r="C206" s="22" t="str">
        <f aca="false">IF($A206="","",$B206*IsverenPayiOrani)</f>
        <v/>
      </c>
      <c r="D206" s="22" t="str">
        <f aca="false">IF($A206="","",$B206*IssizlikOrani)</f>
        <v/>
      </c>
      <c r="E206" s="22" t="str">
        <f aca="false">IF($A206="","",$B206*KidemKarsilikOrani)</f>
        <v/>
      </c>
      <c r="F206" s="20"/>
      <c r="G206" s="22" t="str">
        <f aca="false">IF($A206="","",$B206+$C206+$D206+$E206+$F206)</f>
        <v/>
      </c>
      <c r="H206" s="22" t="str">
        <f aca="false">IF($A206="","",$G206*AySayisi)</f>
        <v/>
      </c>
    </row>
    <row r="207" customFormat="false" ht="15" hidden="false" customHeight="false" outlineLevel="0" collapsed="false">
      <c r="A207" s="19"/>
      <c r="B207" s="22" t="str">
        <f aca="false">IF($A207="","",IFERROR(INDEX(tblCalisan[Brüt Ücret (₺)],MATCH($A207,tblCalisan[Çalışan Adı],0)),""))</f>
        <v/>
      </c>
      <c r="C207" s="22" t="str">
        <f aca="false">IF($A207="","",$B207*IsverenPayiOrani)</f>
        <v/>
      </c>
      <c r="D207" s="22" t="str">
        <f aca="false">IF($A207="","",$B207*IssizlikOrani)</f>
        <v/>
      </c>
      <c r="E207" s="22" t="str">
        <f aca="false">IF($A207="","",$B207*KidemKarsilikOrani)</f>
        <v/>
      </c>
      <c r="F207" s="20"/>
      <c r="G207" s="22" t="str">
        <f aca="false">IF($A207="","",$B207+$C207+$D207+$E207+$F207)</f>
        <v/>
      </c>
      <c r="H207" s="22" t="str">
        <f aca="false">IF($A207="","",$G207*AySayisi)</f>
        <v/>
      </c>
    </row>
    <row r="208" customFormat="false" ht="15" hidden="false" customHeight="false" outlineLevel="0" collapsed="false">
      <c r="A208" s="19"/>
      <c r="B208" s="22" t="str">
        <f aca="false">IF($A208="","",IFERROR(INDEX(tblCalisan[Brüt Ücret (₺)],MATCH($A208,tblCalisan[Çalışan Adı],0)),""))</f>
        <v/>
      </c>
      <c r="C208" s="22" t="str">
        <f aca="false">IF($A208="","",$B208*IsverenPayiOrani)</f>
        <v/>
      </c>
      <c r="D208" s="22" t="str">
        <f aca="false">IF($A208="","",$B208*IssizlikOrani)</f>
        <v/>
      </c>
      <c r="E208" s="22" t="str">
        <f aca="false">IF($A208="","",$B208*KidemKarsilikOrani)</f>
        <v/>
      </c>
      <c r="F208" s="20"/>
      <c r="G208" s="22" t="str">
        <f aca="false">IF($A208="","",$B208+$C208+$D208+$E208+$F208)</f>
        <v/>
      </c>
      <c r="H208" s="22" t="str">
        <f aca="false">IF($A208="","",$G208*AySayisi)</f>
        <v/>
      </c>
    </row>
    <row r="209" customFormat="false" ht="15" hidden="false" customHeight="false" outlineLevel="0" collapsed="false">
      <c r="A209" s="19"/>
      <c r="B209" s="22" t="str">
        <f aca="false">IF($A209="","",IFERROR(INDEX(tblCalisan[Brüt Ücret (₺)],MATCH($A209,tblCalisan[Çalışan Adı],0)),""))</f>
        <v/>
      </c>
      <c r="C209" s="22" t="str">
        <f aca="false">IF($A209="","",$B209*IsverenPayiOrani)</f>
        <v/>
      </c>
      <c r="D209" s="22" t="str">
        <f aca="false">IF($A209="","",$B209*IssizlikOrani)</f>
        <v/>
      </c>
      <c r="E209" s="22" t="str">
        <f aca="false">IF($A209="","",$B209*KidemKarsilikOrani)</f>
        <v/>
      </c>
      <c r="F209" s="20"/>
      <c r="G209" s="22" t="str">
        <f aca="false">IF($A209="","",$B209+$C209+$D209+$E209+$F209)</f>
        <v/>
      </c>
      <c r="H209" s="22" t="str">
        <f aca="false">IF($A209="","",$G209*AySayisi)</f>
        <v/>
      </c>
    </row>
    <row r="210" customFormat="false" ht="15" hidden="false" customHeight="false" outlineLevel="0" collapsed="false">
      <c r="A210" s="19"/>
      <c r="B210" s="22" t="str">
        <f aca="false">IF($A210="","",IFERROR(INDEX(tblCalisan[Brüt Ücret (₺)],MATCH($A210,tblCalisan[Çalışan Adı],0)),""))</f>
        <v/>
      </c>
      <c r="C210" s="22" t="str">
        <f aca="false">IF($A210="","",$B210*IsverenPayiOrani)</f>
        <v/>
      </c>
      <c r="D210" s="22" t="str">
        <f aca="false">IF($A210="","",$B210*IssizlikOrani)</f>
        <v/>
      </c>
      <c r="E210" s="22" t="str">
        <f aca="false">IF($A210="","",$B210*KidemKarsilikOrani)</f>
        <v/>
      </c>
      <c r="F210" s="20"/>
      <c r="G210" s="22" t="str">
        <f aca="false">IF($A210="","",$B210+$C210+$D210+$E210+$F210)</f>
        <v/>
      </c>
      <c r="H210" s="22" t="str">
        <f aca="false">IF($A210="","",$G210*AySayisi)</f>
        <v/>
      </c>
    </row>
    <row r="211" customFormat="false" ht="15" hidden="false" customHeight="false" outlineLevel="0" collapsed="false">
      <c r="A211" s="19"/>
      <c r="B211" s="22" t="str">
        <f aca="false">IF($A211="","",IFERROR(INDEX(tblCalisan[Brüt Ücret (₺)],MATCH($A211,tblCalisan[Çalışan Adı],0)),""))</f>
        <v/>
      </c>
      <c r="C211" s="22" t="str">
        <f aca="false">IF($A211="","",$B211*IsverenPayiOrani)</f>
        <v/>
      </c>
      <c r="D211" s="22" t="str">
        <f aca="false">IF($A211="","",$B211*IssizlikOrani)</f>
        <v/>
      </c>
      <c r="E211" s="22" t="str">
        <f aca="false">IF($A211="","",$B211*KidemKarsilikOrani)</f>
        <v/>
      </c>
      <c r="F211" s="20"/>
      <c r="G211" s="22" t="str">
        <f aca="false">IF($A211="","",$B211+$C211+$D211+$E211+$F211)</f>
        <v/>
      </c>
      <c r="H211" s="22" t="str">
        <f aca="false">IF($A211="","",$G211*AySayisi)</f>
        <v/>
      </c>
    </row>
    <row r="212" customFormat="false" ht="15" hidden="false" customHeight="false" outlineLevel="0" collapsed="false">
      <c r="A212" s="19"/>
      <c r="B212" s="22" t="str">
        <f aca="false">IF($A212="","",IFERROR(INDEX(tblCalisan[Brüt Ücret (₺)],MATCH($A212,tblCalisan[Çalışan Adı],0)),""))</f>
        <v/>
      </c>
      <c r="C212" s="22" t="str">
        <f aca="false">IF($A212="","",$B212*IsverenPayiOrani)</f>
        <v/>
      </c>
      <c r="D212" s="22" t="str">
        <f aca="false">IF($A212="","",$B212*IssizlikOrani)</f>
        <v/>
      </c>
      <c r="E212" s="22" t="str">
        <f aca="false">IF($A212="","",$B212*KidemKarsilikOrani)</f>
        <v/>
      </c>
      <c r="F212" s="20"/>
      <c r="G212" s="22" t="str">
        <f aca="false">IF($A212="","",$B212+$C212+$D212+$E212+$F212)</f>
        <v/>
      </c>
      <c r="H212" s="22" t="str">
        <f aca="false">IF($A212="","",$G212*AySayisi)</f>
        <v/>
      </c>
    </row>
    <row r="213" customFormat="false" ht="15" hidden="false" customHeight="false" outlineLevel="0" collapsed="false">
      <c r="A213" s="19"/>
      <c r="B213" s="22" t="str">
        <f aca="false">IF($A213="","",IFERROR(INDEX(tblCalisan[Brüt Ücret (₺)],MATCH($A213,tblCalisan[Çalışan Adı],0)),""))</f>
        <v/>
      </c>
      <c r="C213" s="22" t="str">
        <f aca="false">IF($A213="","",$B213*IsverenPayiOrani)</f>
        <v/>
      </c>
      <c r="D213" s="22" t="str">
        <f aca="false">IF($A213="","",$B213*IssizlikOrani)</f>
        <v/>
      </c>
      <c r="E213" s="22" t="str">
        <f aca="false">IF($A213="","",$B213*KidemKarsilikOrani)</f>
        <v/>
      </c>
      <c r="F213" s="20"/>
      <c r="G213" s="22" t="str">
        <f aca="false">IF($A213="","",$B213+$C213+$D213+$E213+$F213)</f>
        <v/>
      </c>
      <c r="H213" s="22" t="str">
        <f aca="false">IF($A213="","",$G213*AySayisi)</f>
        <v/>
      </c>
    </row>
    <row r="214" customFormat="false" ht="15" hidden="false" customHeight="false" outlineLevel="0" collapsed="false">
      <c r="A214" s="19"/>
      <c r="B214" s="22" t="str">
        <f aca="false">IF($A214="","",IFERROR(INDEX(tblCalisan[Brüt Ücret (₺)],MATCH($A214,tblCalisan[Çalışan Adı],0)),""))</f>
        <v/>
      </c>
      <c r="C214" s="22" t="str">
        <f aca="false">IF($A214="","",$B214*IsverenPayiOrani)</f>
        <v/>
      </c>
      <c r="D214" s="22" t="str">
        <f aca="false">IF($A214="","",$B214*IssizlikOrani)</f>
        <v/>
      </c>
      <c r="E214" s="22" t="str">
        <f aca="false">IF($A214="","",$B214*KidemKarsilikOrani)</f>
        <v/>
      </c>
      <c r="F214" s="20"/>
      <c r="G214" s="22" t="str">
        <f aca="false">IF($A214="","",$B214+$C214+$D214+$E214+$F214)</f>
        <v/>
      </c>
      <c r="H214" s="22" t="str">
        <f aca="false">IF($A214="","",$G214*AySayisi)</f>
        <v/>
      </c>
    </row>
    <row r="215" customFormat="false" ht="15" hidden="false" customHeight="false" outlineLevel="0" collapsed="false">
      <c r="A215" s="19"/>
      <c r="B215" s="22" t="str">
        <f aca="false">IF($A215="","",IFERROR(INDEX(tblCalisan[Brüt Ücret (₺)],MATCH($A215,tblCalisan[Çalışan Adı],0)),""))</f>
        <v/>
      </c>
      <c r="C215" s="22" t="str">
        <f aca="false">IF($A215="","",$B215*IsverenPayiOrani)</f>
        <v/>
      </c>
      <c r="D215" s="22" t="str">
        <f aca="false">IF($A215="","",$B215*IssizlikOrani)</f>
        <v/>
      </c>
      <c r="E215" s="22" t="str">
        <f aca="false">IF($A215="","",$B215*KidemKarsilikOrani)</f>
        <v/>
      </c>
      <c r="F215" s="20"/>
      <c r="G215" s="22" t="str">
        <f aca="false">IF($A215="","",$B215+$C215+$D215+$E215+$F215)</f>
        <v/>
      </c>
      <c r="H215" s="22" t="str">
        <f aca="false">IF($A215="","",$G215*AySayisi)</f>
        <v/>
      </c>
    </row>
    <row r="216" customFormat="false" ht="15" hidden="false" customHeight="false" outlineLevel="0" collapsed="false">
      <c r="A216" s="19"/>
      <c r="B216" s="22" t="str">
        <f aca="false">IF($A216="","",IFERROR(INDEX(tblCalisan[Brüt Ücret (₺)],MATCH($A216,tblCalisan[Çalışan Adı],0)),""))</f>
        <v/>
      </c>
      <c r="C216" s="22" t="str">
        <f aca="false">IF($A216="","",$B216*IsverenPayiOrani)</f>
        <v/>
      </c>
      <c r="D216" s="22" t="str">
        <f aca="false">IF($A216="","",$B216*IssizlikOrani)</f>
        <v/>
      </c>
      <c r="E216" s="22" t="str">
        <f aca="false">IF($A216="","",$B216*KidemKarsilikOrani)</f>
        <v/>
      </c>
      <c r="F216" s="20"/>
      <c r="G216" s="22" t="str">
        <f aca="false">IF($A216="","",$B216+$C216+$D216+$E216+$F216)</f>
        <v/>
      </c>
      <c r="H216" s="22" t="str">
        <f aca="false">IF($A216="","",$G216*AySayisi)</f>
        <v/>
      </c>
    </row>
    <row r="217" customFormat="false" ht="15" hidden="false" customHeight="false" outlineLevel="0" collapsed="false">
      <c r="A217" s="19"/>
      <c r="B217" s="22" t="str">
        <f aca="false">IF($A217="","",IFERROR(INDEX(tblCalisan[Brüt Ücret (₺)],MATCH($A217,tblCalisan[Çalışan Adı],0)),""))</f>
        <v/>
      </c>
      <c r="C217" s="22" t="str">
        <f aca="false">IF($A217="","",$B217*IsverenPayiOrani)</f>
        <v/>
      </c>
      <c r="D217" s="22" t="str">
        <f aca="false">IF($A217="","",$B217*IssizlikOrani)</f>
        <v/>
      </c>
      <c r="E217" s="22" t="str">
        <f aca="false">IF($A217="","",$B217*KidemKarsilikOrani)</f>
        <v/>
      </c>
      <c r="F217" s="20"/>
      <c r="G217" s="22" t="str">
        <f aca="false">IF($A217="","",$B217+$C217+$D217+$E217+$F217)</f>
        <v/>
      </c>
      <c r="H217" s="22" t="str">
        <f aca="false">IF($A217="","",$G217*AySayisi)</f>
        <v/>
      </c>
    </row>
    <row r="218" customFormat="false" ht="15" hidden="false" customHeight="false" outlineLevel="0" collapsed="false">
      <c r="A218" s="19"/>
      <c r="B218" s="22" t="str">
        <f aca="false">IF($A218="","",IFERROR(INDEX(tblCalisan[Brüt Ücret (₺)],MATCH($A218,tblCalisan[Çalışan Adı],0)),""))</f>
        <v/>
      </c>
      <c r="C218" s="22" t="str">
        <f aca="false">IF($A218="","",$B218*IsverenPayiOrani)</f>
        <v/>
      </c>
      <c r="D218" s="22" t="str">
        <f aca="false">IF($A218="","",$B218*IssizlikOrani)</f>
        <v/>
      </c>
      <c r="E218" s="22" t="str">
        <f aca="false">IF($A218="","",$B218*KidemKarsilikOrani)</f>
        <v/>
      </c>
      <c r="F218" s="20"/>
      <c r="G218" s="22" t="str">
        <f aca="false">IF($A218="","",$B218+$C218+$D218+$E218+$F218)</f>
        <v/>
      </c>
      <c r="H218" s="22" t="str">
        <f aca="false">IF($A218="","",$G218*AySayisi)</f>
        <v/>
      </c>
    </row>
    <row r="219" customFormat="false" ht="15" hidden="false" customHeight="false" outlineLevel="0" collapsed="false">
      <c r="A219" s="19"/>
      <c r="B219" s="22" t="str">
        <f aca="false">IF($A219="","",IFERROR(INDEX(tblCalisan[Brüt Ücret (₺)],MATCH($A219,tblCalisan[Çalışan Adı],0)),""))</f>
        <v/>
      </c>
      <c r="C219" s="22" t="str">
        <f aca="false">IF($A219="","",$B219*IsverenPayiOrani)</f>
        <v/>
      </c>
      <c r="D219" s="22" t="str">
        <f aca="false">IF($A219="","",$B219*IssizlikOrani)</f>
        <v/>
      </c>
      <c r="E219" s="22" t="str">
        <f aca="false">IF($A219="","",$B219*KidemKarsilikOrani)</f>
        <v/>
      </c>
      <c r="F219" s="20"/>
      <c r="G219" s="22" t="str">
        <f aca="false">IF($A219="","",$B219+$C219+$D219+$E219+$F219)</f>
        <v/>
      </c>
      <c r="H219" s="22" t="str">
        <f aca="false">IF($A219="","",$G219*AySayisi)</f>
        <v/>
      </c>
    </row>
    <row r="220" customFormat="false" ht="15" hidden="false" customHeight="false" outlineLevel="0" collapsed="false">
      <c r="A220" s="19"/>
      <c r="B220" s="22" t="str">
        <f aca="false">IF($A220="","",IFERROR(INDEX(tblCalisan[Brüt Ücret (₺)],MATCH($A220,tblCalisan[Çalışan Adı],0)),""))</f>
        <v/>
      </c>
      <c r="C220" s="22" t="str">
        <f aca="false">IF($A220="","",$B220*IsverenPayiOrani)</f>
        <v/>
      </c>
      <c r="D220" s="22" t="str">
        <f aca="false">IF($A220="","",$B220*IssizlikOrani)</f>
        <v/>
      </c>
      <c r="E220" s="22" t="str">
        <f aca="false">IF($A220="","",$B220*KidemKarsilikOrani)</f>
        <v/>
      </c>
      <c r="F220" s="20"/>
      <c r="G220" s="22" t="str">
        <f aca="false">IF($A220="","",$B220+$C220+$D220+$E220+$F220)</f>
        <v/>
      </c>
      <c r="H220" s="22" t="str">
        <f aca="false">IF($A220="","",$G220*AySayisi)</f>
        <v/>
      </c>
    </row>
    <row r="221" customFormat="false" ht="15" hidden="false" customHeight="false" outlineLevel="0" collapsed="false">
      <c r="A221" s="19"/>
      <c r="B221" s="22" t="str">
        <f aca="false">IF($A221="","",IFERROR(INDEX(tblCalisan[Brüt Ücret (₺)],MATCH($A221,tblCalisan[Çalışan Adı],0)),""))</f>
        <v/>
      </c>
      <c r="C221" s="22" t="str">
        <f aca="false">IF($A221="","",$B221*IsverenPayiOrani)</f>
        <v/>
      </c>
      <c r="D221" s="22" t="str">
        <f aca="false">IF($A221="","",$B221*IssizlikOrani)</f>
        <v/>
      </c>
      <c r="E221" s="22" t="str">
        <f aca="false">IF($A221="","",$B221*KidemKarsilikOrani)</f>
        <v/>
      </c>
      <c r="F221" s="20"/>
      <c r="G221" s="22" t="str">
        <f aca="false">IF($A221="","",$B221+$C221+$D221+$E221+$F221)</f>
        <v/>
      </c>
      <c r="H221" s="22" t="str">
        <f aca="false">IF($A221="","",$G221*AySayisi)</f>
        <v/>
      </c>
    </row>
    <row r="222" customFormat="false" ht="15" hidden="false" customHeight="false" outlineLevel="0" collapsed="false">
      <c r="A222" s="19"/>
      <c r="B222" s="22" t="str">
        <f aca="false">IF($A222="","",IFERROR(INDEX(tblCalisan[Brüt Ücret (₺)],MATCH($A222,tblCalisan[Çalışan Adı],0)),""))</f>
        <v/>
      </c>
      <c r="C222" s="22" t="str">
        <f aca="false">IF($A222="","",$B222*IsverenPayiOrani)</f>
        <v/>
      </c>
      <c r="D222" s="22" t="str">
        <f aca="false">IF($A222="","",$B222*IssizlikOrani)</f>
        <v/>
      </c>
      <c r="E222" s="22" t="str">
        <f aca="false">IF($A222="","",$B222*KidemKarsilikOrani)</f>
        <v/>
      </c>
      <c r="F222" s="20"/>
      <c r="G222" s="22" t="str">
        <f aca="false">IF($A222="","",$B222+$C222+$D222+$E222+$F222)</f>
        <v/>
      </c>
      <c r="H222" s="22" t="str">
        <f aca="false">IF($A222="","",$G222*AySayisi)</f>
        <v/>
      </c>
    </row>
    <row r="223" customFormat="false" ht="15" hidden="false" customHeight="false" outlineLevel="0" collapsed="false">
      <c r="A223" s="19"/>
      <c r="B223" s="22" t="str">
        <f aca="false">IF($A223="","",IFERROR(INDEX(tblCalisan[Brüt Ücret (₺)],MATCH($A223,tblCalisan[Çalışan Adı],0)),""))</f>
        <v/>
      </c>
      <c r="C223" s="22" t="str">
        <f aca="false">IF($A223="","",$B223*IsverenPayiOrani)</f>
        <v/>
      </c>
      <c r="D223" s="22" t="str">
        <f aca="false">IF($A223="","",$B223*IssizlikOrani)</f>
        <v/>
      </c>
      <c r="E223" s="22" t="str">
        <f aca="false">IF($A223="","",$B223*KidemKarsilikOrani)</f>
        <v/>
      </c>
      <c r="F223" s="20"/>
      <c r="G223" s="22" t="str">
        <f aca="false">IF($A223="","",$B223+$C223+$D223+$E223+$F223)</f>
        <v/>
      </c>
      <c r="H223" s="22" t="str">
        <f aca="false">IF($A223="","",$G223*AySayisi)</f>
        <v/>
      </c>
    </row>
    <row r="224" customFormat="false" ht="15" hidden="false" customHeight="false" outlineLevel="0" collapsed="false">
      <c r="A224" s="19"/>
      <c r="B224" s="22" t="str">
        <f aca="false">IF($A224="","",IFERROR(INDEX(tblCalisan[Brüt Ücret (₺)],MATCH($A224,tblCalisan[Çalışan Adı],0)),""))</f>
        <v/>
      </c>
      <c r="C224" s="22" t="str">
        <f aca="false">IF($A224="","",$B224*IsverenPayiOrani)</f>
        <v/>
      </c>
      <c r="D224" s="22" t="str">
        <f aca="false">IF($A224="","",$B224*IssizlikOrani)</f>
        <v/>
      </c>
      <c r="E224" s="22" t="str">
        <f aca="false">IF($A224="","",$B224*KidemKarsilikOrani)</f>
        <v/>
      </c>
      <c r="F224" s="20"/>
      <c r="G224" s="22" t="str">
        <f aca="false">IF($A224="","",$B224+$C224+$D224+$E224+$F224)</f>
        <v/>
      </c>
      <c r="H224" s="22" t="str">
        <f aca="false">IF($A224="","",$G224*AySayisi)</f>
        <v/>
      </c>
    </row>
    <row r="225" customFormat="false" ht="15" hidden="false" customHeight="false" outlineLevel="0" collapsed="false">
      <c r="A225" s="19"/>
      <c r="B225" s="22" t="str">
        <f aca="false">IF($A225="","",IFERROR(INDEX(tblCalisan[Brüt Ücret (₺)],MATCH($A225,tblCalisan[Çalışan Adı],0)),""))</f>
        <v/>
      </c>
      <c r="C225" s="22" t="str">
        <f aca="false">IF($A225="","",$B225*IsverenPayiOrani)</f>
        <v/>
      </c>
      <c r="D225" s="22" t="str">
        <f aca="false">IF($A225="","",$B225*IssizlikOrani)</f>
        <v/>
      </c>
      <c r="E225" s="22" t="str">
        <f aca="false">IF($A225="","",$B225*KidemKarsilikOrani)</f>
        <v/>
      </c>
      <c r="F225" s="20"/>
      <c r="G225" s="22" t="str">
        <f aca="false">IF($A225="","",$B225+$C225+$D225+$E225+$F225)</f>
        <v/>
      </c>
      <c r="H225" s="22" t="str">
        <f aca="false">IF($A225="","",$G225*AySayisi)</f>
        <v/>
      </c>
    </row>
    <row r="226" customFormat="false" ht="15" hidden="false" customHeight="false" outlineLevel="0" collapsed="false">
      <c r="A226" s="19"/>
      <c r="B226" s="22" t="str">
        <f aca="false">IF($A226="","",IFERROR(INDEX(tblCalisan[Brüt Ücret (₺)],MATCH($A226,tblCalisan[Çalışan Adı],0)),""))</f>
        <v/>
      </c>
      <c r="C226" s="22" t="str">
        <f aca="false">IF($A226="","",$B226*IsverenPayiOrani)</f>
        <v/>
      </c>
      <c r="D226" s="22" t="str">
        <f aca="false">IF($A226="","",$B226*IssizlikOrani)</f>
        <v/>
      </c>
      <c r="E226" s="22" t="str">
        <f aca="false">IF($A226="","",$B226*KidemKarsilikOrani)</f>
        <v/>
      </c>
      <c r="F226" s="20"/>
      <c r="G226" s="22" t="str">
        <f aca="false">IF($A226="","",$B226+$C226+$D226+$E226+$F226)</f>
        <v/>
      </c>
      <c r="H226" s="22" t="str">
        <f aca="false">IF($A226="","",$G226*AySayisi)</f>
        <v/>
      </c>
    </row>
    <row r="227" customFormat="false" ht="15" hidden="false" customHeight="false" outlineLevel="0" collapsed="false">
      <c r="A227" s="19"/>
      <c r="B227" s="22" t="str">
        <f aca="false">IF($A227="","",IFERROR(INDEX(tblCalisan[Brüt Ücret (₺)],MATCH($A227,tblCalisan[Çalışan Adı],0)),""))</f>
        <v/>
      </c>
      <c r="C227" s="22" t="str">
        <f aca="false">IF($A227="","",$B227*IsverenPayiOrani)</f>
        <v/>
      </c>
      <c r="D227" s="22" t="str">
        <f aca="false">IF($A227="","",$B227*IssizlikOrani)</f>
        <v/>
      </c>
      <c r="E227" s="22" t="str">
        <f aca="false">IF($A227="","",$B227*KidemKarsilikOrani)</f>
        <v/>
      </c>
      <c r="F227" s="20"/>
      <c r="G227" s="22" t="str">
        <f aca="false">IF($A227="","",$B227+$C227+$D227+$E227+$F227)</f>
        <v/>
      </c>
      <c r="H227" s="22" t="str">
        <f aca="false">IF($A227="","",$G227*AySayisi)</f>
        <v/>
      </c>
    </row>
    <row r="228" customFormat="false" ht="15" hidden="false" customHeight="false" outlineLevel="0" collapsed="false">
      <c r="A228" s="19"/>
      <c r="B228" s="22" t="str">
        <f aca="false">IF($A228="","",IFERROR(INDEX(tblCalisan[Brüt Ücret (₺)],MATCH($A228,tblCalisan[Çalışan Adı],0)),""))</f>
        <v/>
      </c>
      <c r="C228" s="22" t="str">
        <f aca="false">IF($A228="","",$B228*IsverenPayiOrani)</f>
        <v/>
      </c>
      <c r="D228" s="22" t="str">
        <f aca="false">IF($A228="","",$B228*IssizlikOrani)</f>
        <v/>
      </c>
      <c r="E228" s="22" t="str">
        <f aca="false">IF($A228="","",$B228*KidemKarsilikOrani)</f>
        <v/>
      </c>
      <c r="F228" s="20"/>
      <c r="G228" s="22" t="str">
        <f aca="false">IF($A228="","",$B228+$C228+$D228+$E228+$F228)</f>
        <v/>
      </c>
      <c r="H228" s="22" t="str">
        <f aca="false">IF($A228="","",$G228*AySayisi)</f>
        <v/>
      </c>
    </row>
    <row r="229" customFormat="false" ht="15" hidden="false" customHeight="false" outlineLevel="0" collapsed="false">
      <c r="A229" s="19"/>
      <c r="B229" s="22" t="str">
        <f aca="false">IF($A229="","",IFERROR(INDEX(tblCalisan[Brüt Ücret (₺)],MATCH($A229,tblCalisan[Çalışan Adı],0)),""))</f>
        <v/>
      </c>
      <c r="C229" s="22" t="str">
        <f aca="false">IF($A229="","",$B229*IsverenPayiOrani)</f>
        <v/>
      </c>
      <c r="D229" s="22" t="str">
        <f aca="false">IF($A229="","",$B229*IssizlikOrani)</f>
        <v/>
      </c>
      <c r="E229" s="22" t="str">
        <f aca="false">IF($A229="","",$B229*KidemKarsilikOrani)</f>
        <v/>
      </c>
      <c r="F229" s="20"/>
      <c r="G229" s="22" t="str">
        <f aca="false">IF($A229="","",$B229+$C229+$D229+$E229+$F229)</f>
        <v/>
      </c>
      <c r="H229" s="22" t="str">
        <f aca="false">IF($A229="","",$G229*AySayisi)</f>
        <v/>
      </c>
    </row>
    <row r="230" customFormat="false" ht="15" hidden="false" customHeight="false" outlineLevel="0" collapsed="false">
      <c r="A230" s="19"/>
      <c r="B230" s="22" t="str">
        <f aca="false">IF($A230="","",IFERROR(INDEX(tblCalisan[Brüt Ücret (₺)],MATCH($A230,tblCalisan[Çalışan Adı],0)),""))</f>
        <v/>
      </c>
      <c r="C230" s="22" t="str">
        <f aca="false">IF($A230="","",$B230*IsverenPayiOrani)</f>
        <v/>
      </c>
      <c r="D230" s="22" t="str">
        <f aca="false">IF($A230="","",$B230*IssizlikOrani)</f>
        <v/>
      </c>
      <c r="E230" s="22" t="str">
        <f aca="false">IF($A230="","",$B230*KidemKarsilikOrani)</f>
        <v/>
      </c>
      <c r="F230" s="20"/>
      <c r="G230" s="22" t="str">
        <f aca="false">IF($A230="","",$B230+$C230+$D230+$E230+$F230)</f>
        <v/>
      </c>
      <c r="H230" s="22" t="str">
        <f aca="false">IF($A230="","",$G230*AySayisi)</f>
        <v/>
      </c>
    </row>
    <row r="231" customFormat="false" ht="15" hidden="false" customHeight="false" outlineLevel="0" collapsed="false">
      <c r="A231" s="19"/>
      <c r="B231" s="22" t="str">
        <f aca="false">IF($A231="","",IFERROR(INDEX(tblCalisan[Brüt Ücret (₺)],MATCH($A231,tblCalisan[Çalışan Adı],0)),""))</f>
        <v/>
      </c>
      <c r="C231" s="22" t="str">
        <f aca="false">IF($A231="","",$B231*IsverenPayiOrani)</f>
        <v/>
      </c>
      <c r="D231" s="22" t="str">
        <f aca="false">IF($A231="","",$B231*IssizlikOrani)</f>
        <v/>
      </c>
      <c r="E231" s="22" t="str">
        <f aca="false">IF($A231="","",$B231*KidemKarsilikOrani)</f>
        <v/>
      </c>
      <c r="F231" s="20"/>
      <c r="G231" s="22" t="str">
        <f aca="false">IF($A231="","",$B231+$C231+$D231+$E231+$F231)</f>
        <v/>
      </c>
      <c r="H231" s="22" t="str">
        <f aca="false">IF($A231="","",$G231*AySayisi)</f>
        <v/>
      </c>
    </row>
    <row r="232" customFormat="false" ht="15" hidden="false" customHeight="false" outlineLevel="0" collapsed="false">
      <c r="A232" s="19"/>
      <c r="B232" s="22" t="str">
        <f aca="false">IF($A232="","",IFERROR(INDEX(tblCalisan[Brüt Ücret (₺)],MATCH($A232,tblCalisan[Çalışan Adı],0)),""))</f>
        <v/>
      </c>
      <c r="C232" s="22" t="str">
        <f aca="false">IF($A232="","",$B232*IsverenPayiOrani)</f>
        <v/>
      </c>
      <c r="D232" s="22" t="str">
        <f aca="false">IF($A232="","",$B232*IssizlikOrani)</f>
        <v/>
      </c>
      <c r="E232" s="22" t="str">
        <f aca="false">IF($A232="","",$B232*KidemKarsilikOrani)</f>
        <v/>
      </c>
      <c r="F232" s="20"/>
      <c r="G232" s="22" t="str">
        <f aca="false">IF($A232="","",$B232+$C232+$D232+$E232+$F232)</f>
        <v/>
      </c>
      <c r="H232" s="22" t="str">
        <f aca="false">IF($A232="","",$G232*AySayisi)</f>
        <v/>
      </c>
    </row>
    <row r="233" customFormat="false" ht="15" hidden="false" customHeight="false" outlineLevel="0" collapsed="false">
      <c r="A233" s="19"/>
      <c r="B233" s="22" t="str">
        <f aca="false">IF($A233="","",IFERROR(INDEX(tblCalisan[Brüt Ücret (₺)],MATCH($A233,tblCalisan[Çalışan Adı],0)),""))</f>
        <v/>
      </c>
      <c r="C233" s="22" t="str">
        <f aca="false">IF($A233="","",$B233*IsverenPayiOrani)</f>
        <v/>
      </c>
      <c r="D233" s="22" t="str">
        <f aca="false">IF($A233="","",$B233*IssizlikOrani)</f>
        <v/>
      </c>
      <c r="E233" s="22" t="str">
        <f aca="false">IF($A233="","",$B233*KidemKarsilikOrani)</f>
        <v/>
      </c>
      <c r="F233" s="20"/>
      <c r="G233" s="22" t="str">
        <f aca="false">IF($A233="","",$B233+$C233+$D233+$E233+$F233)</f>
        <v/>
      </c>
      <c r="H233" s="22" t="str">
        <f aca="false">IF($A233="","",$G233*AySayisi)</f>
        <v/>
      </c>
    </row>
    <row r="234" customFormat="false" ht="15" hidden="false" customHeight="false" outlineLevel="0" collapsed="false">
      <c r="A234" s="19"/>
      <c r="B234" s="22" t="str">
        <f aca="false">IF($A234="","",IFERROR(INDEX(tblCalisan[Brüt Ücret (₺)],MATCH($A234,tblCalisan[Çalışan Adı],0)),""))</f>
        <v/>
      </c>
      <c r="C234" s="22" t="str">
        <f aca="false">IF($A234="","",$B234*IsverenPayiOrani)</f>
        <v/>
      </c>
      <c r="D234" s="22" t="str">
        <f aca="false">IF($A234="","",$B234*IssizlikOrani)</f>
        <v/>
      </c>
      <c r="E234" s="22" t="str">
        <f aca="false">IF($A234="","",$B234*KidemKarsilikOrani)</f>
        <v/>
      </c>
      <c r="F234" s="20"/>
      <c r="G234" s="22" t="str">
        <f aca="false">IF($A234="","",$B234+$C234+$D234+$E234+$F234)</f>
        <v/>
      </c>
      <c r="H234" s="22" t="str">
        <f aca="false">IF($A234="","",$G234*AySayisi)</f>
        <v/>
      </c>
    </row>
    <row r="235" customFormat="false" ht="15" hidden="false" customHeight="false" outlineLevel="0" collapsed="false">
      <c r="A235" s="19"/>
      <c r="B235" s="22" t="str">
        <f aca="false">IF($A235="","",IFERROR(INDEX(tblCalisan[Brüt Ücret (₺)],MATCH($A235,tblCalisan[Çalışan Adı],0)),""))</f>
        <v/>
      </c>
      <c r="C235" s="22" t="str">
        <f aca="false">IF($A235="","",$B235*IsverenPayiOrani)</f>
        <v/>
      </c>
      <c r="D235" s="22" t="str">
        <f aca="false">IF($A235="","",$B235*IssizlikOrani)</f>
        <v/>
      </c>
      <c r="E235" s="22" t="str">
        <f aca="false">IF($A235="","",$B235*KidemKarsilikOrani)</f>
        <v/>
      </c>
      <c r="F235" s="20"/>
      <c r="G235" s="22" t="str">
        <f aca="false">IF($A235="","",$B235+$C235+$D235+$E235+$F235)</f>
        <v/>
      </c>
      <c r="H235" s="22" t="str">
        <f aca="false">IF($A235="","",$G235*AySayisi)</f>
        <v/>
      </c>
    </row>
    <row r="236" customFormat="false" ht="15" hidden="false" customHeight="false" outlineLevel="0" collapsed="false">
      <c r="A236" s="19"/>
      <c r="B236" s="22" t="str">
        <f aca="false">IF($A236="","",IFERROR(INDEX(tblCalisan[Brüt Ücret (₺)],MATCH($A236,tblCalisan[Çalışan Adı],0)),""))</f>
        <v/>
      </c>
      <c r="C236" s="22" t="str">
        <f aca="false">IF($A236="","",$B236*IsverenPayiOrani)</f>
        <v/>
      </c>
      <c r="D236" s="22" t="str">
        <f aca="false">IF($A236="","",$B236*IssizlikOrani)</f>
        <v/>
      </c>
      <c r="E236" s="22" t="str">
        <f aca="false">IF($A236="","",$B236*KidemKarsilikOrani)</f>
        <v/>
      </c>
      <c r="F236" s="20"/>
      <c r="G236" s="22" t="str">
        <f aca="false">IF($A236="","",$B236+$C236+$D236+$E236+$F236)</f>
        <v/>
      </c>
      <c r="H236" s="22" t="str">
        <f aca="false">IF($A236="","",$G236*AySayisi)</f>
        <v/>
      </c>
    </row>
    <row r="237" customFormat="false" ht="15" hidden="false" customHeight="false" outlineLevel="0" collapsed="false">
      <c r="A237" s="19"/>
      <c r="B237" s="22" t="str">
        <f aca="false">IF($A237="","",IFERROR(INDEX(tblCalisan[Brüt Ücret (₺)],MATCH($A237,tblCalisan[Çalışan Adı],0)),""))</f>
        <v/>
      </c>
      <c r="C237" s="22" t="str">
        <f aca="false">IF($A237="","",$B237*IsverenPayiOrani)</f>
        <v/>
      </c>
      <c r="D237" s="22" t="str">
        <f aca="false">IF($A237="","",$B237*IssizlikOrani)</f>
        <v/>
      </c>
      <c r="E237" s="22" t="str">
        <f aca="false">IF($A237="","",$B237*KidemKarsilikOrani)</f>
        <v/>
      </c>
      <c r="F237" s="20"/>
      <c r="G237" s="22" t="str">
        <f aca="false">IF($A237="","",$B237+$C237+$D237+$E237+$F237)</f>
        <v/>
      </c>
      <c r="H237" s="22" t="str">
        <f aca="false">IF($A237="","",$G237*AySayisi)</f>
        <v/>
      </c>
    </row>
    <row r="238" customFormat="false" ht="15" hidden="false" customHeight="false" outlineLevel="0" collapsed="false">
      <c r="A238" s="19"/>
      <c r="B238" s="22" t="str">
        <f aca="false">IF($A238="","",IFERROR(INDEX(tblCalisan[Brüt Ücret (₺)],MATCH($A238,tblCalisan[Çalışan Adı],0)),""))</f>
        <v/>
      </c>
      <c r="C238" s="22" t="str">
        <f aca="false">IF($A238="","",$B238*IsverenPayiOrani)</f>
        <v/>
      </c>
      <c r="D238" s="22" t="str">
        <f aca="false">IF($A238="","",$B238*IssizlikOrani)</f>
        <v/>
      </c>
      <c r="E238" s="22" t="str">
        <f aca="false">IF($A238="","",$B238*KidemKarsilikOrani)</f>
        <v/>
      </c>
      <c r="F238" s="20"/>
      <c r="G238" s="22" t="str">
        <f aca="false">IF($A238="","",$B238+$C238+$D238+$E238+$F238)</f>
        <v/>
      </c>
      <c r="H238" s="22" t="str">
        <f aca="false">IF($A238="","",$G238*AySayisi)</f>
        <v/>
      </c>
    </row>
    <row r="239" customFormat="false" ht="15" hidden="false" customHeight="false" outlineLevel="0" collapsed="false">
      <c r="A239" s="19"/>
      <c r="B239" s="22" t="str">
        <f aca="false">IF($A239="","",IFERROR(INDEX(tblCalisan[Brüt Ücret (₺)],MATCH($A239,tblCalisan[Çalışan Adı],0)),""))</f>
        <v/>
      </c>
      <c r="C239" s="22" t="str">
        <f aca="false">IF($A239="","",$B239*IsverenPayiOrani)</f>
        <v/>
      </c>
      <c r="D239" s="22" t="str">
        <f aca="false">IF($A239="","",$B239*IssizlikOrani)</f>
        <v/>
      </c>
      <c r="E239" s="22" t="str">
        <f aca="false">IF($A239="","",$B239*KidemKarsilikOrani)</f>
        <v/>
      </c>
      <c r="F239" s="20"/>
      <c r="G239" s="22" t="str">
        <f aca="false">IF($A239="","",$B239+$C239+$D239+$E239+$F239)</f>
        <v/>
      </c>
      <c r="H239" s="22" t="str">
        <f aca="false">IF($A239="","",$G239*AySayisi)</f>
        <v/>
      </c>
    </row>
    <row r="240" customFormat="false" ht="15" hidden="false" customHeight="false" outlineLevel="0" collapsed="false">
      <c r="A240" s="19"/>
      <c r="B240" s="22" t="str">
        <f aca="false">IF($A240="","",IFERROR(INDEX(tblCalisan[Brüt Ücret (₺)],MATCH($A240,tblCalisan[Çalışan Adı],0)),""))</f>
        <v/>
      </c>
      <c r="C240" s="22" t="str">
        <f aca="false">IF($A240="","",$B240*IsverenPayiOrani)</f>
        <v/>
      </c>
      <c r="D240" s="22" t="str">
        <f aca="false">IF($A240="","",$B240*IssizlikOrani)</f>
        <v/>
      </c>
      <c r="E240" s="22" t="str">
        <f aca="false">IF($A240="","",$B240*KidemKarsilikOrani)</f>
        <v/>
      </c>
      <c r="F240" s="20"/>
      <c r="G240" s="22" t="str">
        <f aca="false">IF($A240="","",$B240+$C240+$D240+$E240+$F240)</f>
        <v/>
      </c>
      <c r="H240" s="22" t="str">
        <f aca="false">IF($A240="","",$G240*AySayisi)</f>
        <v/>
      </c>
    </row>
    <row r="241" customFormat="false" ht="15" hidden="false" customHeight="false" outlineLevel="0" collapsed="false">
      <c r="A241" s="19"/>
      <c r="B241" s="22" t="str">
        <f aca="false">IF($A241="","",IFERROR(INDEX(tblCalisan[Brüt Ücret (₺)],MATCH($A241,tblCalisan[Çalışan Adı],0)),""))</f>
        <v/>
      </c>
      <c r="C241" s="22" t="str">
        <f aca="false">IF($A241="","",$B241*IsverenPayiOrani)</f>
        <v/>
      </c>
      <c r="D241" s="22" t="str">
        <f aca="false">IF($A241="","",$B241*IssizlikOrani)</f>
        <v/>
      </c>
      <c r="E241" s="22" t="str">
        <f aca="false">IF($A241="","",$B241*KidemKarsilikOrani)</f>
        <v/>
      </c>
      <c r="F241" s="20"/>
      <c r="G241" s="22" t="str">
        <f aca="false">IF($A241="","",$B241+$C241+$D241+$E241+$F241)</f>
        <v/>
      </c>
      <c r="H241" s="22" t="str">
        <f aca="false">IF($A241="","",$G241*AySayisi)</f>
        <v/>
      </c>
    </row>
    <row r="242" customFormat="false" ht="15" hidden="false" customHeight="false" outlineLevel="0" collapsed="false">
      <c r="A242" s="19"/>
      <c r="B242" s="22" t="str">
        <f aca="false">IF($A242="","",IFERROR(INDEX(tblCalisan[Brüt Ücret (₺)],MATCH($A242,tblCalisan[Çalışan Adı],0)),""))</f>
        <v/>
      </c>
      <c r="C242" s="22" t="str">
        <f aca="false">IF($A242="","",$B242*IsverenPayiOrani)</f>
        <v/>
      </c>
      <c r="D242" s="22" t="str">
        <f aca="false">IF($A242="","",$B242*IssizlikOrani)</f>
        <v/>
      </c>
      <c r="E242" s="22" t="str">
        <f aca="false">IF($A242="","",$B242*KidemKarsilikOrani)</f>
        <v/>
      </c>
      <c r="F242" s="20"/>
      <c r="G242" s="22" t="str">
        <f aca="false">IF($A242="","",$B242+$C242+$D242+$E242+$F242)</f>
        <v/>
      </c>
      <c r="H242" s="22" t="str">
        <f aca="false">IF($A242="","",$G242*AySayisi)</f>
        <v/>
      </c>
    </row>
    <row r="243" customFormat="false" ht="15" hidden="false" customHeight="false" outlineLevel="0" collapsed="false">
      <c r="A243" s="19"/>
      <c r="B243" s="22" t="str">
        <f aca="false">IF($A243="","",IFERROR(INDEX(tblCalisan[Brüt Ücret (₺)],MATCH($A243,tblCalisan[Çalışan Adı],0)),""))</f>
        <v/>
      </c>
      <c r="C243" s="22" t="str">
        <f aca="false">IF($A243="","",$B243*IsverenPayiOrani)</f>
        <v/>
      </c>
      <c r="D243" s="22" t="str">
        <f aca="false">IF($A243="","",$B243*IssizlikOrani)</f>
        <v/>
      </c>
      <c r="E243" s="22" t="str">
        <f aca="false">IF($A243="","",$B243*KidemKarsilikOrani)</f>
        <v/>
      </c>
      <c r="F243" s="20"/>
      <c r="G243" s="22" t="str">
        <f aca="false">IF($A243="","",$B243+$C243+$D243+$E243+$F243)</f>
        <v/>
      </c>
      <c r="H243" s="22" t="str">
        <f aca="false">IF($A243="","",$G243*AySayisi)</f>
        <v/>
      </c>
    </row>
    <row r="244" customFormat="false" ht="15" hidden="false" customHeight="false" outlineLevel="0" collapsed="false">
      <c r="A244" s="19"/>
      <c r="B244" s="22" t="str">
        <f aca="false">IF($A244="","",IFERROR(INDEX(tblCalisan[Brüt Ücret (₺)],MATCH($A244,tblCalisan[Çalışan Adı],0)),""))</f>
        <v/>
      </c>
      <c r="C244" s="22" t="str">
        <f aca="false">IF($A244="","",$B244*IsverenPayiOrani)</f>
        <v/>
      </c>
      <c r="D244" s="22" t="str">
        <f aca="false">IF($A244="","",$B244*IssizlikOrani)</f>
        <v/>
      </c>
      <c r="E244" s="22" t="str">
        <f aca="false">IF($A244="","",$B244*KidemKarsilikOrani)</f>
        <v/>
      </c>
      <c r="F244" s="20"/>
      <c r="G244" s="22" t="str">
        <f aca="false">IF($A244="","",$B244+$C244+$D244+$E244+$F244)</f>
        <v/>
      </c>
      <c r="H244" s="22" t="str">
        <f aca="false">IF($A244="","",$G244*AySayisi)</f>
        <v/>
      </c>
    </row>
    <row r="245" customFormat="false" ht="15" hidden="false" customHeight="false" outlineLevel="0" collapsed="false">
      <c r="A245" s="19"/>
      <c r="B245" s="22" t="str">
        <f aca="false">IF($A245="","",IFERROR(INDEX(tblCalisan[Brüt Ücret (₺)],MATCH($A245,tblCalisan[Çalışan Adı],0)),""))</f>
        <v/>
      </c>
      <c r="C245" s="22" t="str">
        <f aca="false">IF($A245="","",$B245*IsverenPayiOrani)</f>
        <v/>
      </c>
      <c r="D245" s="22" t="str">
        <f aca="false">IF($A245="","",$B245*IssizlikOrani)</f>
        <v/>
      </c>
      <c r="E245" s="22" t="str">
        <f aca="false">IF($A245="","",$B245*KidemKarsilikOrani)</f>
        <v/>
      </c>
      <c r="F245" s="20"/>
      <c r="G245" s="22" t="str">
        <f aca="false">IF($A245="","",$B245+$C245+$D245+$E245+$F245)</f>
        <v/>
      </c>
      <c r="H245" s="22" t="str">
        <f aca="false">IF($A245="","",$G245*AySayisi)</f>
        <v/>
      </c>
    </row>
    <row r="246" customFormat="false" ht="15" hidden="false" customHeight="false" outlineLevel="0" collapsed="false">
      <c r="A246" s="19"/>
      <c r="B246" s="22" t="str">
        <f aca="false">IF($A246="","",IFERROR(INDEX(tblCalisan[Brüt Ücret (₺)],MATCH($A246,tblCalisan[Çalışan Adı],0)),""))</f>
        <v/>
      </c>
      <c r="C246" s="22" t="str">
        <f aca="false">IF($A246="","",$B246*IsverenPayiOrani)</f>
        <v/>
      </c>
      <c r="D246" s="22" t="str">
        <f aca="false">IF($A246="","",$B246*IssizlikOrani)</f>
        <v/>
      </c>
      <c r="E246" s="22" t="str">
        <f aca="false">IF($A246="","",$B246*KidemKarsilikOrani)</f>
        <v/>
      </c>
      <c r="F246" s="20"/>
      <c r="G246" s="22" t="str">
        <f aca="false">IF($A246="","",$B246+$C246+$D246+$E246+$F246)</f>
        <v/>
      </c>
      <c r="H246" s="22" t="str">
        <f aca="false">IF($A246="","",$G246*AySayisi)</f>
        <v/>
      </c>
    </row>
    <row r="247" customFormat="false" ht="15" hidden="false" customHeight="false" outlineLevel="0" collapsed="false">
      <c r="A247" s="19"/>
      <c r="B247" s="22" t="str">
        <f aca="false">IF($A247="","",IFERROR(INDEX(tblCalisan[Brüt Ücret (₺)],MATCH($A247,tblCalisan[Çalışan Adı],0)),""))</f>
        <v/>
      </c>
      <c r="C247" s="22" t="str">
        <f aca="false">IF($A247="","",$B247*IsverenPayiOrani)</f>
        <v/>
      </c>
      <c r="D247" s="22" t="str">
        <f aca="false">IF($A247="","",$B247*IssizlikOrani)</f>
        <v/>
      </c>
      <c r="E247" s="22" t="str">
        <f aca="false">IF($A247="","",$B247*KidemKarsilikOrani)</f>
        <v/>
      </c>
      <c r="F247" s="20"/>
      <c r="G247" s="22" t="str">
        <f aca="false">IF($A247="","",$B247+$C247+$D247+$E247+$F247)</f>
        <v/>
      </c>
      <c r="H247" s="22" t="str">
        <f aca="false">IF($A247="","",$G247*AySayisi)</f>
        <v/>
      </c>
    </row>
    <row r="248" customFormat="false" ht="15" hidden="false" customHeight="false" outlineLevel="0" collapsed="false">
      <c r="A248" s="19"/>
      <c r="B248" s="22" t="str">
        <f aca="false">IF($A248="","",IFERROR(INDEX(tblCalisan[Brüt Ücret (₺)],MATCH($A248,tblCalisan[Çalışan Adı],0)),""))</f>
        <v/>
      </c>
      <c r="C248" s="22" t="str">
        <f aca="false">IF($A248="","",$B248*IsverenPayiOrani)</f>
        <v/>
      </c>
      <c r="D248" s="22" t="str">
        <f aca="false">IF($A248="","",$B248*IssizlikOrani)</f>
        <v/>
      </c>
      <c r="E248" s="22" t="str">
        <f aca="false">IF($A248="","",$B248*KidemKarsilikOrani)</f>
        <v/>
      </c>
      <c r="F248" s="20"/>
      <c r="G248" s="22" t="str">
        <f aca="false">IF($A248="","",$B248+$C248+$D248+$E248+$F248)</f>
        <v/>
      </c>
      <c r="H248" s="22" t="str">
        <f aca="false">IF($A248="","",$G248*AySayisi)</f>
        <v/>
      </c>
    </row>
    <row r="249" customFormat="false" ht="15" hidden="false" customHeight="false" outlineLevel="0" collapsed="false">
      <c r="A249" s="19"/>
      <c r="B249" s="22" t="str">
        <f aca="false">IF($A249="","",IFERROR(INDEX(tblCalisan[Brüt Ücret (₺)],MATCH($A249,tblCalisan[Çalışan Adı],0)),""))</f>
        <v/>
      </c>
      <c r="C249" s="22" t="str">
        <f aca="false">IF($A249="","",$B249*IsverenPayiOrani)</f>
        <v/>
      </c>
      <c r="D249" s="22" t="str">
        <f aca="false">IF($A249="","",$B249*IssizlikOrani)</f>
        <v/>
      </c>
      <c r="E249" s="22" t="str">
        <f aca="false">IF($A249="","",$B249*KidemKarsilikOrani)</f>
        <v/>
      </c>
      <c r="F249" s="20"/>
      <c r="G249" s="22" t="str">
        <f aca="false">IF($A249="","",$B249+$C249+$D249+$E249+$F249)</f>
        <v/>
      </c>
      <c r="H249" s="22" t="str">
        <f aca="false">IF($A249="","",$G249*AySayisi)</f>
        <v/>
      </c>
    </row>
    <row r="250" customFormat="false" ht="15" hidden="false" customHeight="false" outlineLevel="0" collapsed="false">
      <c r="A250" s="19"/>
      <c r="B250" s="22" t="str">
        <f aca="false">IF($A250="","",IFERROR(INDEX(tblCalisan[Brüt Ücret (₺)],MATCH($A250,tblCalisan[Çalışan Adı],0)),""))</f>
        <v/>
      </c>
      <c r="C250" s="22" t="str">
        <f aca="false">IF($A250="","",$B250*IsverenPayiOrani)</f>
        <v/>
      </c>
      <c r="D250" s="22" t="str">
        <f aca="false">IF($A250="","",$B250*IssizlikOrani)</f>
        <v/>
      </c>
      <c r="E250" s="22" t="str">
        <f aca="false">IF($A250="","",$B250*KidemKarsilikOrani)</f>
        <v/>
      </c>
      <c r="F250" s="20"/>
      <c r="G250" s="22" t="str">
        <f aca="false">IF($A250="","",$B250+$C250+$D250+$E250+$F250)</f>
        <v/>
      </c>
      <c r="H250" s="22" t="str">
        <f aca="false">IF($A250="","",$G250*AySayisi)</f>
        <v/>
      </c>
    </row>
    <row r="251" customFormat="false" ht="15" hidden="false" customHeight="false" outlineLevel="0" collapsed="false">
      <c r="A251" s="19"/>
      <c r="B251" s="22" t="str">
        <f aca="false">IF($A251="","",IFERROR(INDEX(tblCalisan[Brüt Ücret (₺)],MATCH($A251,tblCalisan[Çalışan Adı],0)),""))</f>
        <v/>
      </c>
      <c r="C251" s="22" t="str">
        <f aca="false">IF($A251="","",$B251*IsverenPayiOrani)</f>
        <v/>
      </c>
      <c r="D251" s="22" t="str">
        <f aca="false">IF($A251="","",$B251*IssizlikOrani)</f>
        <v/>
      </c>
      <c r="E251" s="22" t="str">
        <f aca="false">IF($A251="","",$B251*KidemKarsilikOrani)</f>
        <v/>
      </c>
      <c r="F251" s="20"/>
      <c r="G251" s="22" t="str">
        <f aca="false">IF($A251="","",$B251+$C251+$D251+$E251+$F251)</f>
        <v/>
      </c>
      <c r="H251" s="22" t="str">
        <f aca="false">IF($A251="","",$G251*AySayisi)</f>
        <v/>
      </c>
    </row>
    <row r="252" customFormat="false" ht="15" hidden="false" customHeight="false" outlineLevel="0" collapsed="false">
      <c r="A252" s="19"/>
      <c r="B252" s="22" t="str">
        <f aca="false">IF($A252="","",IFERROR(INDEX(tblCalisan[Brüt Ücret (₺)],MATCH($A252,tblCalisan[Çalışan Adı],0)),""))</f>
        <v/>
      </c>
      <c r="C252" s="22" t="str">
        <f aca="false">IF($A252="","",$B252*IsverenPayiOrani)</f>
        <v/>
      </c>
      <c r="D252" s="22" t="str">
        <f aca="false">IF($A252="","",$B252*IssizlikOrani)</f>
        <v/>
      </c>
      <c r="E252" s="22" t="str">
        <f aca="false">IF($A252="","",$B252*KidemKarsilikOrani)</f>
        <v/>
      </c>
      <c r="F252" s="20"/>
      <c r="G252" s="22" t="str">
        <f aca="false">IF($A252="","",$B252+$C252+$D252+$E252+$F252)</f>
        <v/>
      </c>
      <c r="H252" s="22" t="str">
        <f aca="false">IF($A252="","",$G252*AySayisi)</f>
        <v/>
      </c>
    </row>
    <row r="253" customFormat="false" ht="15" hidden="false" customHeight="false" outlineLevel="0" collapsed="false">
      <c r="A253" s="19"/>
      <c r="B253" s="22" t="str">
        <f aca="false">IF($A253="","",IFERROR(INDEX(tblCalisan[Brüt Ücret (₺)],MATCH($A253,tblCalisan[Çalışan Adı],0)),""))</f>
        <v/>
      </c>
      <c r="C253" s="22" t="str">
        <f aca="false">IF($A253="","",$B253*IsverenPayiOrani)</f>
        <v/>
      </c>
      <c r="D253" s="22" t="str">
        <f aca="false">IF($A253="","",$B253*IssizlikOrani)</f>
        <v/>
      </c>
      <c r="E253" s="22" t="str">
        <f aca="false">IF($A253="","",$B253*KidemKarsilikOrani)</f>
        <v/>
      </c>
      <c r="F253" s="20"/>
      <c r="G253" s="22" t="str">
        <f aca="false">IF($A253="","",$B253+$C253+$D253+$E253+$F253)</f>
        <v/>
      </c>
      <c r="H253" s="22" t="str">
        <f aca="false">IF($A253="","",$G253*AySayisi)</f>
        <v/>
      </c>
    </row>
    <row r="254" customFormat="false" ht="15" hidden="false" customHeight="false" outlineLevel="0" collapsed="false">
      <c r="A254" s="19"/>
      <c r="B254" s="22" t="str">
        <f aca="false">IF($A254="","",IFERROR(INDEX(tblCalisan[Brüt Ücret (₺)],MATCH($A254,tblCalisan[Çalışan Adı],0)),""))</f>
        <v/>
      </c>
      <c r="C254" s="22" t="str">
        <f aca="false">IF($A254="","",$B254*IsverenPayiOrani)</f>
        <v/>
      </c>
      <c r="D254" s="22" t="str">
        <f aca="false">IF($A254="","",$B254*IssizlikOrani)</f>
        <v/>
      </c>
      <c r="E254" s="22" t="str">
        <f aca="false">IF($A254="","",$B254*KidemKarsilikOrani)</f>
        <v/>
      </c>
      <c r="F254" s="20"/>
      <c r="G254" s="22" t="str">
        <f aca="false">IF($A254="","",$B254+$C254+$D254+$E254+$F254)</f>
        <v/>
      </c>
      <c r="H254" s="22" t="str">
        <f aca="false">IF($A254="","",$G254*AySayisi)</f>
        <v/>
      </c>
    </row>
    <row r="255" customFormat="false" ht="15" hidden="false" customHeight="false" outlineLevel="0" collapsed="false">
      <c r="A255" s="19"/>
      <c r="B255" s="22" t="str">
        <f aca="false">IF($A255="","",IFERROR(INDEX(tblCalisan[Brüt Ücret (₺)],MATCH($A255,tblCalisan[Çalışan Adı],0)),""))</f>
        <v/>
      </c>
      <c r="C255" s="22" t="str">
        <f aca="false">IF($A255="","",$B255*IsverenPayiOrani)</f>
        <v/>
      </c>
      <c r="D255" s="22" t="str">
        <f aca="false">IF($A255="","",$B255*IssizlikOrani)</f>
        <v/>
      </c>
      <c r="E255" s="22" t="str">
        <f aca="false">IF($A255="","",$B255*KidemKarsilikOrani)</f>
        <v/>
      </c>
      <c r="F255" s="20"/>
      <c r="G255" s="22" t="str">
        <f aca="false">IF($A255="","",$B255+$C255+$D255+$E255+$F255)</f>
        <v/>
      </c>
      <c r="H255" s="22" t="str">
        <f aca="false">IF($A255="","",$G255*AySayisi)</f>
        <v/>
      </c>
    </row>
    <row r="256" customFormat="false" ht="15" hidden="false" customHeight="false" outlineLevel="0" collapsed="false">
      <c r="A256" s="19"/>
      <c r="B256" s="22" t="str">
        <f aca="false">IF($A256="","",IFERROR(INDEX(tblCalisan[Brüt Ücret (₺)],MATCH($A256,tblCalisan[Çalışan Adı],0)),""))</f>
        <v/>
      </c>
      <c r="C256" s="22" t="str">
        <f aca="false">IF($A256="","",$B256*IsverenPayiOrani)</f>
        <v/>
      </c>
      <c r="D256" s="22" t="str">
        <f aca="false">IF($A256="","",$B256*IssizlikOrani)</f>
        <v/>
      </c>
      <c r="E256" s="22" t="str">
        <f aca="false">IF($A256="","",$B256*KidemKarsilikOrani)</f>
        <v/>
      </c>
      <c r="F256" s="20"/>
      <c r="G256" s="22" t="str">
        <f aca="false">IF($A256="","",$B256+$C256+$D256+$E256+$F256)</f>
        <v/>
      </c>
      <c r="H256" s="22" t="str">
        <f aca="false">IF($A256="","",$G256*AySayisi)</f>
        <v/>
      </c>
    </row>
    <row r="257" customFormat="false" ht="15" hidden="false" customHeight="false" outlineLevel="0" collapsed="false">
      <c r="A257" s="19"/>
      <c r="B257" s="22" t="str">
        <f aca="false">IF($A257="","",IFERROR(INDEX(tblCalisan[Brüt Ücret (₺)],MATCH($A257,tblCalisan[Çalışan Adı],0)),""))</f>
        <v/>
      </c>
      <c r="C257" s="22" t="str">
        <f aca="false">IF($A257="","",$B257*IsverenPayiOrani)</f>
        <v/>
      </c>
      <c r="D257" s="22" t="str">
        <f aca="false">IF($A257="","",$B257*IssizlikOrani)</f>
        <v/>
      </c>
      <c r="E257" s="22" t="str">
        <f aca="false">IF($A257="","",$B257*KidemKarsilikOrani)</f>
        <v/>
      </c>
      <c r="F257" s="20"/>
      <c r="G257" s="22" t="str">
        <f aca="false">IF($A257="","",$B257+$C257+$D257+$E257+$F257)</f>
        <v/>
      </c>
      <c r="H257" s="22" t="str">
        <f aca="false">IF($A257="","",$G257*AySayisi)</f>
        <v/>
      </c>
    </row>
    <row r="258" customFormat="false" ht="15" hidden="false" customHeight="false" outlineLevel="0" collapsed="false">
      <c r="A258" s="19"/>
      <c r="B258" s="22" t="str">
        <f aca="false">IF($A258="","",IFERROR(INDEX(tblCalisan[Brüt Ücret (₺)],MATCH($A258,tblCalisan[Çalışan Adı],0)),""))</f>
        <v/>
      </c>
      <c r="C258" s="22" t="str">
        <f aca="false">IF($A258="","",$B258*IsverenPayiOrani)</f>
        <v/>
      </c>
      <c r="D258" s="22" t="str">
        <f aca="false">IF($A258="","",$B258*IssizlikOrani)</f>
        <v/>
      </c>
      <c r="E258" s="22" t="str">
        <f aca="false">IF($A258="","",$B258*KidemKarsilikOrani)</f>
        <v/>
      </c>
      <c r="F258" s="20"/>
      <c r="G258" s="22" t="str">
        <f aca="false">IF($A258="","",$B258+$C258+$D258+$E258+$F258)</f>
        <v/>
      </c>
      <c r="H258" s="22" t="str">
        <f aca="false">IF($A258="","",$G258*AySayisi)</f>
        <v/>
      </c>
    </row>
    <row r="259" customFormat="false" ht="15" hidden="false" customHeight="false" outlineLevel="0" collapsed="false">
      <c r="A259" s="19"/>
      <c r="B259" s="22" t="str">
        <f aca="false">IF($A259="","",IFERROR(INDEX(tblCalisan[Brüt Ücret (₺)],MATCH($A259,tblCalisan[Çalışan Adı],0)),""))</f>
        <v/>
      </c>
      <c r="C259" s="22" t="str">
        <f aca="false">IF($A259="","",$B259*IsverenPayiOrani)</f>
        <v/>
      </c>
      <c r="D259" s="22" t="str">
        <f aca="false">IF($A259="","",$B259*IssizlikOrani)</f>
        <v/>
      </c>
      <c r="E259" s="22" t="str">
        <f aca="false">IF($A259="","",$B259*KidemKarsilikOrani)</f>
        <v/>
      </c>
      <c r="F259" s="20"/>
      <c r="G259" s="22" t="str">
        <f aca="false">IF($A259="","",$B259+$C259+$D259+$E259+$F259)</f>
        <v/>
      </c>
      <c r="H259" s="22" t="str">
        <f aca="false">IF($A259="","",$G259*AySayisi)</f>
        <v/>
      </c>
    </row>
    <row r="260" customFormat="false" ht="15" hidden="false" customHeight="false" outlineLevel="0" collapsed="false">
      <c r="A260" s="19"/>
      <c r="B260" s="22" t="str">
        <f aca="false">IF($A260="","",IFERROR(INDEX(tblCalisan[Brüt Ücret (₺)],MATCH($A260,tblCalisan[Çalışan Adı],0)),""))</f>
        <v/>
      </c>
      <c r="C260" s="22" t="str">
        <f aca="false">IF($A260="","",$B260*IsverenPayiOrani)</f>
        <v/>
      </c>
      <c r="D260" s="22" t="str">
        <f aca="false">IF($A260="","",$B260*IssizlikOrani)</f>
        <v/>
      </c>
      <c r="E260" s="22" t="str">
        <f aca="false">IF($A260="","",$B260*KidemKarsilikOrani)</f>
        <v/>
      </c>
      <c r="F260" s="20"/>
      <c r="G260" s="22" t="str">
        <f aca="false">IF($A260="","",$B260+$C260+$D260+$E260+$F260)</f>
        <v/>
      </c>
      <c r="H260" s="22" t="str">
        <f aca="false">IF($A260="","",$G260*AySayisi)</f>
        <v/>
      </c>
    </row>
    <row r="261" customFormat="false" ht="15" hidden="false" customHeight="false" outlineLevel="0" collapsed="false">
      <c r="A261" s="19"/>
      <c r="B261" s="22" t="str">
        <f aca="false">IF($A261="","",IFERROR(INDEX(tblCalisan[Brüt Ücret (₺)],MATCH($A261,tblCalisan[Çalışan Adı],0)),""))</f>
        <v/>
      </c>
      <c r="C261" s="22" t="str">
        <f aca="false">IF($A261="","",$B261*IsverenPayiOrani)</f>
        <v/>
      </c>
      <c r="D261" s="22" t="str">
        <f aca="false">IF($A261="","",$B261*IssizlikOrani)</f>
        <v/>
      </c>
      <c r="E261" s="22" t="str">
        <f aca="false">IF($A261="","",$B261*KidemKarsilikOrani)</f>
        <v/>
      </c>
      <c r="F261" s="20"/>
      <c r="G261" s="22" t="str">
        <f aca="false">IF($A261="","",$B261+$C261+$D261+$E261+$F261)</f>
        <v/>
      </c>
      <c r="H261" s="22" t="str">
        <f aca="false">IF($A261="","",$G261*AySayisi)</f>
        <v/>
      </c>
    </row>
    <row r="262" customFormat="false" ht="15" hidden="false" customHeight="false" outlineLevel="0" collapsed="false">
      <c r="A262" s="19"/>
      <c r="B262" s="22" t="str">
        <f aca="false">IF($A262="","",IFERROR(INDEX(tblCalisan[Brüt Ücret (₺)],MATCH($A262,tblCalisan[Çalışan Adı],0)),""))</f>
        <v/>
      </c>
      <c r="C262" s="22" t="str">
        <f aca="false">IF($A262="","",$B262*IsverenPayiOrani)</f>
        <v/>
      </c>
      <c r="D262" s="22" t="str">
        <f aca="false">IF($A262="","",$B262*IssizlikOrani)</f>
        <v/>
      </c>
      <c r="E262" s="22" t="str">
        <f aca="false">IF($A262="","",$B262*KidemKarsilikOrani)</f>
        <v/>
      </c>
      <c r="F262" s="20"/>
      <c r="G262" s="22" t="str">
        <f aca="false">IF($A262="","",$B262+$C262+$D262+$E262+$F262)</f>
        <v/>
      </c>
      <c r="H262" s="22" t="str">
        <f aca="false">IF($A262="","",$G262*AySayisi)</f>
        <v/>
      </c>
    </row>
    <row r="263" customFormat="false" ht="15" hidden="false" customHeight="false" outlineLevel="0" collapsed="false">
      <c r="A263" s="19"/>
      <c r="B263" s="22" t="str">
        <f aca="false">IF($A263="","",IFERROR(INDEX(tblCalisan[Brüt Ücret (₺)],MATCH($A263,tblCalisan[Çalışan Adı],0)),""))</f>
        <v/>
      </c>
      <c r="C263" s="22" t="str">
        <f aca="false">IF($A263="","",$B263*IsverenPayiOrani)</f>
        <v/>
      </c>
      <c r="D263" s="22" t="str">
        <f aca="false">IF($A263="","",$B263*IssizlikOrani)</f>
        <v/>
      </c>
      <c r="E263" s="22" t="str">
        <f aca="false">IF($A263="","",$B263*KidemKarsilikOrani)</f>
        <v/>
      </c>
      <c r="F263" s="20"/>
      <c r="G263" s="22" t="str">
        <f aca="false">IF($A263="","",$B263+$C263+$D263+$E263+$F263)</f>
        <v/>
      </c>
      <c r="H263" s="22" t="str">
        <f aca="false">IF($A263="","",$G263*AySayisi)</f>
        <v/>
      </c>
    </row>
    <row r="264" customFormat="false" ht="15" hidden="false" customHeight="false" outlineLevel="0" collapsed="false">
      <c r="A264" s="19"/>
      <c r="B264" s="22" t="str">
        <f aca="false">IF($A264="","",IFERROR(INDEX(tblCalisan[Brüt Ücret (₺)],MATCH($A264,tblCalisan[Çalışan Adı],0)),""))</f>
        <v/>
      </c>
      <c r="C264" s="22" t="str">
        <f aca="false">IF($A264="","",$B264*IsverenPayiOrani)</f>
        <v/>
      </c>
      <c r="D264" s="22" t="str">
        <f aca="false">IF($A264="","",$B264*IssizlikOrani)</f>
        <v/>
      </c>
      <c r="E264" s="22" t="str">
        <f aca="false">IF($A264="","",$B264*KidemKarsilikOrani)</f>
        <v/>
      </c>
      <c r="F264" s="20"/>
      <c r="G264" s="22" t="str">
        <f aca="false">IF($A264="","",$B264+$C264+$D264+$E264+$F264)</f>
        <v/>
      </c>
      <c r="H264" s="22" t="str">
        <f aca="false">IF($A264="","",$G264*AySayisi)</f>
        <v/>
      </c>
    </row>
    <row r="265" customFormat="false" ht="15" hidden="false" customHeight="false" outlineLevel="0" collapsed="false">
      <c r="A265" s="19"/>
      <c r="B265" s="22" t="str">
        <f aca="false">IF($A265="","",IFERROR(INDEX(tblCalisan[Brüt Ücret (₺)],MATCH($A265,tblCalisan[Çalışan Adı],0)),""))</f>
        <v/>
      </c>
      <c r="C265" s="22" t="str">
        <f aca="false">IF($A265="","",$B265*IsverenPayiOrani)</f>
        <v/>
      </c>
      <c r="D265" s="22" t="str">
        <f aca="false">IF($A265="","",$B265*IssizlikOrani)</f>
        <v/>
      </c>
      <c r="E265" s="22" t="str">
        <f aca="false">IF($A265="","",$B265*KidemKarsilikOrani)</f>
        <v/>
      </c>
      <c r="F265" s="20"/>
      <c r="G265" s="22" t="str">
        <f aca="false">IF($A265="","",$B265+$C265+$D265+$E265+$F265)</f>
        <v/>
      </c>
      <c r="H265" s="22" t="str">
        <f aca="false">IF($A265="","",$G265*AySayisi)</f>
        <v/>
      </c>
    </row>
    <row r="266" customFormat="false" ht="15" hidden="false" customHeight="false" outlineLevel="0" collapsed="false">
      <c r="A266" s="19"/>
      <c r="B266" s="22" t="str">
        <f aca="false">IF($A266="","",IFERROR(INDEX(tblCalisan[Brüt Ücret (₺)],MATCH($A266,tblCalisan[Çalışan Adı],0)),""))</f>
        <v/>
      </c>
      <c r="C266" s="22" t="str">
        <f aca="false">IF($A266="","",$B266*IsverenPayiOrani)</f>
        <v/>
      </c>
      <c r="D266" s="22" t="str">
        <f aca="false">IF($A266="","",$B266*IssizlikOrani)</f>
        <v/>
      </c>
      <c r="E266" s="22" t="str">
        <f aca="false">IF($A266="","",$B266*KidemKarsilikOrani)</f>
        <v/>
      </c>
      <c r="F266" s="20"/>
      <c r="G266" s="22" t="str">
        <f aca="false">IF($A266="","",$B266+$C266+$D266+$E266+$F266)</f>
        <v/>
      </c>
      <c r="H266" s="22" t="str">
        <f aca="false">IF($A266="","",$G266*AySayisi)</f>
        <v/>
      </c>
    </row>
    <row r="267" customFormat="false" ht="15" hidden="false" customHeight="false" outlineLevel="0" collapsed="false">
      <c r="A267" s="19"/>
      <c r="B267" s="22" t="str">
        <f aca="false">IF($A267="","",IFERROR(INDEX(tblCalisan[Brüt Ücret (₺)],MATCH($A267,tblCalisan[Çalışan Adı],0)),""))</f>
        <v/>
      </c>
      <c r="C267" s="22" t="str">
        <f aca="false">IF($A267="","",$B267*IsverenPayiOrani)</f>
        <v/>
      </c>
      <c r="D267" s="22" t="str">
        <f aca="false">IF($A267="","",$B267*IssizlikOrani)</f>
        <v/>
      </c>
      <c r="E267" s="22" t="str">
        <f aca="false">IF($A267="","",$B267*KidemKarsilikOrani)</f>
        <v/>
      </c>
      <c r="F267" s="20"/>
      <c r="G267" s="22" t="str">
        <f aca="false">IF($A267="","",$B267+$C267+$D267+$E267+$F267)</f>
        <v/>
      </c>
      <c r="H267" s="22" t="str">
        <f aca="false">IF($A267="","",$G267*AySayisi)</f>
        <v/>
      </c>
    </row>
    <row r="268" customFormat="false" ht="15" hidden="false" customHeight="false" outlineLevel="0" collapsed="false">
      <c r="A268" s="19"/>
      <c r="B268" s="22" t="str">
        <f aca="false">IF($A268="","",IFERROR(INDEX(tblCalisan[Brüt Ücret (₺)],MATCH($A268,tblCalisan[Çalışan Adı],0)),""))</f>
        <v/>
      </c>
      <c r="C268" s="22" t="str">
        <f aca="false">IF($A268="","",$B268*IsverenPayiOrani)</f>
        <v/>
      </c>
      <c r="D268" s="22" t="str">
        <f aca="false">IF($A268="","",$B268*IssizlikOrani)</f>
        <v/>
      </c>
      <c r="E268" s="22" t="str">
        <f aca="false">IF($A268="","",$B268*KidemKarsilikOrani)</f>
        <v/>
      </c>
      <c r="F268" s="20"/>
      <c r="G268" s="22" t="str">
        <f aca="false">IF($A268="","",$B268+$C268+$D268+$E268+$F268)</f>
        <v/>
      </c>
      <c r="H268" s="22" t="str">
        <f aca="false">IF($A268="","",$G268*AySayisi)</f>
        <v/>
      </c>
    </row>
    <row r="269" customFormat="false" ht="15" hidden="false" customHeight="false" outlineLevel="0" collapsed="false">
      <c r="A269" s="19"/>
      <c r="B269" s="22" t="str">
        <f aca="false">IF($A269="","",IFERROR(INDEX(tblCalisan[Brüt Ücret (₺)],MATCH($A269,tblCalisan[Çalışan Adı],0)),""))</f>
        <v/>
      </c>
      <c r="C269" s="22" t="str">
        <f aca="false">IF($A269="","",$B269*IsverenPayiOrani)</f>
        <v/>
      </c>
      <c r="D269" s="22" t="str">
        <f aca="false">IF($A269="","",$B269*IssizlikOrani)</f>
        <v/>
      </c>
      <c r="E269" s="22" t="str">
        <f aca="false">IF($A269="","",$B269*KidemKarsilikOrani)</f>
        <v/>
      </c>
      <c r="F269" s="20"/>
      <c r="G269" s="22" t="str">
        <f aca="false">IF($A269="","",$B269+$C269+$D269+$E269+$F269)</f>
        <v/>
      </c>
      <c r="H269" s="22" t="str">
        <f aca="false">IF($A269="","",$G269*AySayisi)</f>
        <v/>
      </c>
    </row>
    <row r="270" customFormat="false" ht="15" hidden="false" customHeight="false" outlineLevel="0" collapsed="false">
      <c r="A270" s="19"/>
      <c r="B270" s="22" t="str">
        <f aca="false">IF($A270="","",IFERROR(INDEX(tblCalisan[Brüt Ücret (₺)],MATCH($A270,tblCalisan[Çalışan Adı],0)),""))</f>
        <v/>
      </c>
      <c r="C270" s="22" t="str">
        <f aca="false">IF($A270="","",$B270*IsverenPayiOrani)</f>
        <v/>
      </c>
      <c r="D270" s="22" t="str">
        <f aca="false">IF($A270="","",$B270*IssizlikOrani)</f>
        <v/>
      </c>
      <c r="E270" s="22" t="str">
        <f aca="false">IF($A270="","",$B270*KidemKarsilikOrani)</f>
        <v/>
      </c>
      <c r="F270" s="20"/>
      <c r="G270" s="22" t="str">
        <f aca="false">IF($A270="","",$B270+$C270+$D270+$E270+$F270)</f>
        <v/>
      </c>
      <c r="H270" s="22" t="str">
        <f aca="false">IF($A270="","",$G270*AySayisi)</f>
        <v/>
      </c>
    </row>
    <row r="271" customFormat="false" ht="15" hidden="false" customHeight="false" outlineLevel="0" collapsed="false">
      <c r="A271" s="19"/>
      <c r="B271" s="22" t="str">
        <f aca="false">IF($A271="","",IFERROR(INDEX(tblCalisan[Brüt Ücret (₺)],MATCH($A271,tblCalisan[Çalışan Adı],0)),""))</f>
        <v/>
      </c>
      <c r="C271" s="22" t="str">
        <f aca="false">IF($A271="","",$B271*IsverenPayiOrani)</f>
        <v/>
      </c>
      <c r="D271" s="22" t="str">
        <f aca="false">IF($A271="","",$B271*IssizlikOrani)</f>
        <v/>
      </c>
      <c r="E271" s="22" t="str">
        <f aca="false">IF($A271="","",$B271*KidemKarsilikOrani)</f>
        <v/>
      </c>
      <c r="F271" s="20"/>
      <c r="G271" s="22" t="str">
        <f aca="false">IF($A271="","",$B271+$C271+$D271+$E271+$F271)</f>
        <v/>
      </c>
      <c r="H271" s="22" t="str">
        <f aca="false">IF($A271="","",$G271*AySayisi)</f>
        <v/>
      </c>
    </row>
    <row r="272" customFormat="false" ht="15" hidden="false" customHeight="false" outlineLevel="0" collapsed="false">
      <c r="A272" s="19"/>
      <c r="B272" s="22" t="str">
        <f aca="false">IF($A272="","",IFERROR(INDEX(tblCalisan[Brüt Ücret (₺)],MATCH($A272,tblCalisan[Çalışan Adı],0)),""))</f>
        <v/>
      </c>
      <c r="C272" s="22" t="str">
        <f aca="false">IF($A272="","",$B272*IsverenPayiOrani)</f>
        <v/>
      </c>
      <c r="D272" s="22" t="str">
        <f aca="false">IF($A272="","",$B272*IssizlikOrani)</f>
        <v/>
      </c>
      <c r="E272" s="22" t="str">
        <f aca="false">IF($A272="","",$B272*KidemKarsilikOrani)</f>
        <v/>
      </c>
      <c r="F272" s="20"/>
      <c r="G272" s="22" t="str">
        <f aca="false">IF($A272="","",$B272+$C272+$D272+$E272+$F272)</f>
        <v/>
      </c>
      <c r="H272" s="22" t="str">
        <f aca="false">IF($A272="","",$G272*AySayisi)</f>
        <v/>
      </c>
    </row>
    <row r="273" customFormat="false" ht="15" hidden="false" customHeight="false" outlineLevel="0" collapsed="false">
      <c r="A273" s="19"/>
      <c r="B273" s="22" t="str">
        <f aca="false">IF($A273="","",IFERROR(INDEX(tblCalisan[Brüt Ücret (₺)],MATCH($A273,tblCalisan[Çalışan Adı],0)),""))</f>
        <v/>
      </c>
      <c r="C273" s="22" t="str">
        <f aca="false">IF($A273="","",$B273*IsverenPayiOrani)</f>
        <v/>
      </c>
      <c r="D273" s="22" t="str">
        <f aca="false">IF($A273="","",$B273*IssizlikOrani)</f>
        <v/>
      </c>
      <c r="E273" s="22" t="str">
        <f aca="false">IF($A273="","",$B273*KidemKarsilikOrani)</f>
        <v/>
      </c>
      <c r="F273" s="20"/>
      <c r="G273" s="22" t="str">
        <f aca="false">IF($A273="","",$B273+$C273+$D273+$E273+$F273)</f>
        <v/>
      </c>
      <c r="H273" s="22" t="str">
        <f aca="false">IF($A273="","",$G273*AySayisi)</f>
        <v/>
      </c>
    </row>
    <row r="274" customFormat="false" ht="15" hidden="false" customHeight="false" outlineLevel="0" collapsed="false">
      <c r="A274" s="19"/>
      <c r="B274" s="22" t="str">
        <f aca="false">IF($A274="","",IFERROR(INDEX(tblCalisan[Brüt Ücret (₺)],MATCH($A274,tblCalisan[Çalışan Adı],0)),""))</f>
        <v/>
      </c>
      <c r="C274" s="22" t="str">
        <f aca="false">IF($A274="","",$B274*IsverenPayiOrani)</f>
        <v/>
      </c>
      <c r="D274" s="22" t="str">
        <f aca="false">IF($A274="","",$B274*IssizlikOrani)</f>
        <v/>
      </c>
      <c r="E274" s="22" t="str">
        <f aca="false">IF($A274="","",$B274*KidemKarsilikOrani)</f>
        <v/>
      </c>
      <c r="F274" s="20"/>
      <c r="G274" s="22" t="str">
        <f aca="false">IF($A274="","",$B274+$C274+$D274+$E274+$F274)</f>
        <v/>
      </c>
      <c r="H274" s="22" t="str">
        <f aca="false">IF($A274="","",$G274*AySayisi)</f>
        <v/>
      </c>
    </row>
    <row r="275" customFormat="false" ht="15" hidden="false" customHeight="false" outlineLevel="0" collapsed="false">
      <c r="A275" s="19"/>
      <c r="B275" s="22" t="str">
        <f aca="false">IF($A275="","",IFERROR(INDEX(tblCalisan[Brüt Ücret (₺)],MATCH($A275,tblCalisan[Çalışan Adı],0)),""))</f>
        <v/>
      </c>
      <c r="C275" s="22" t="str">
        <f aca="false">IF($A275="","",$B275*IsverenPayiOrani)</f>
        <v/>
      </c>
      <c r="D275" s="22" t="str">
        <f aca="false">IF($A275="","",$B275*IssizlikOrani)</f>
        <v/>
      </c>
      <c r="E275" s="22" t="str">
        <f aca="false">IF($A275="","",$B275*KidemKarsilikOrani)</f>
        <v/>
      </c>
      <c r="F275" s="20"/>
      <c r="G275" s="22" t="str">
        <f aca="false">IF($A275="","",$B275+$C275+$D275+$E275+$F275)</f>
        <v/>
      </c>
      <c r="H275" s="22" t="str">
        <f aca="false">IF($A275="","",$G275*AySayisi)</f>
        <v/>
      </c>
    </row>
    <row r="276" customFormat="false" ht="15" hidden="false" customHeight="false" outlineLevel="0" collapsed="false">
      <c r="A276" s="19"/>
      <c r="B276" s="22" t="str">
        <f aca="false">IF($A276="","",IFERROR(INDEX(tblCalisan[Brüt Ücret (₺)],MATCH($A276,tblCalisan[Çalışan Adı],0)),""))</f>
        <v/>
      </c>
      <c r="C276" s="22" t="str">
        <f aca="false">IF($A276="","",$B276*IsverenPayiOrani)</f>
        <v/>
      </c>
      <c r="D276" s="22" t="str">
        <f aca="false">IF($A276="","",$B276*IssizlikOrani)</f>
        <v/>
      </c>
      <c r="E276" s="22" t="str">
        <f aca="false">IF($A276="","",$B276*KidemKarsilikOrani)</f>
        <v/>
      </c>
      <c r="F276" s="20"/>
      <c r="G276" s="22" t="str">
        <f aca="false">IF($A276="","",$B276+$C276+$D276+$E276+$F276)</f>
        <v/>
      </c>
      <c r="H276" s="22" t="str">
        <f aca="false">IF($A276="","",$G276*AySayisi)</f>
        <v/>
      </c>
    </row>
    <row r="277" customFormat="false" ht="15" hidden="false" customHeight="false" outlineLevel="0" collapsed="false">
      <c r="A277" s="19"/>
      <c r="B277" s="22" t="str">
        <f aca="false">IF($A277="","",IFERROR(INDEX(tblCalisan[Brüt Ücret (₺)],MATCH($A277,tblCalisan[Çalışan Adı],0)),""))</f>
        <v/>
      </c>
      <c r="C277" s="22" t="str">
        <f aca="false">IF($A277="","",$B277*IsverenPayiOrani)</f>
        <v/>
      </c>
      <c r="D277" s="22" t="str">
        <f aca="false">IF($A277="","",$B277*IssizlikOrani)</f>
        <v/>
      </c>
      <c r="E277" s="22" t="str">
        <f aca="false">IF($A277="","",$B277*KidemKarsilikOrani)</f>
        <v/>
      </c>
      <c r="F277" s="20"/>
      <c r="G277" s="22" t="str">
        <f aca="false">IF($A277="","",$B277+$C277+$D277+$E277+$F277)</f>
        <v/>
      </c>
      <c r="H277" s="22" t="str">
        <f aca="false">IF($A277="","",$G277*AySayisi)</f>
        <v/>
      </c>
    </row>
    <row r="278" customFormat="false" ht="15" hidden="false" customHeight="false" outlineLevel="0" collapsed="false">
      <c r="A278" s="19"/>
      <c r="B278" s="22" t="str">
        <f aca="false">IF($A278="","",IFERROR(INDEX(tblCalisan[Brüt Ücret (₺)],MATCH($A278,tblCalisan[Çalışan Adı],0)),""))</f>
        <v/>
      </c>
      <c r="C278" s="22" t="str">
        <f aca="false">IF($A278="","",$B278*IsverenPayiOrani)</f>
        <v/>
      </c>
      <c r="D278" s="22" t="str">
        <f aca="false">IF($A278="","",$B278*IssizlikOrani)</f>
        <v/>
      </c>
      <c r="E278" s="22" t="str">
        <f aca="false">IF($A278="","",$B278*KidemKarsilikOrani)</f>
        <v/>
      </c>
      <c r="F278" s="20"/>
      <c r="G278" s="22" t="str">
        <f aca="false">IF($A278="","",$B278+$C278+$D278+$E278+$F278)</f>
        <v/>
      </c>
      <c r="H278" s="22" t="str">
        <f aca="false">IF($A278="","",$G278*AySayisi)</f>
        <v/>
      </c>
    </row>
    <row r="279" customFormat="false" ht="15" hidden="false" customHeight="false" outlineLevel="0" collapsed="false">
      <c r="A279" s="19"/>
      <c r="B279" s="22" t="str">
        <f aca="false">IF($A279="","",IFERROR(INDEX(tblCalisan[Brüt Ücret (₺)],MATCH($A279,tblCalisan[Çalışan Adı],0)),""))</f>
        <v/>
      </c>
      <c r="C279" s="22" t="str">
        <f aca="false">IF($A279="","",$B279*IsverenPayiOrani)</f>
        <v/>
      </c>
      <c r="D279" s="22" t="str">
        <f aca="false">IF($A279="","",$B279*IssizlikOrani)</f>
        <v/>
      </c>
      <c r="E279" s="22" t="str">
        <f aca="false">IF($A279="","",$B279*KidemKarsilikOrani)</f>
        <v/>
      </c>
      <c r="F279" s="20"/>
      <c r="G279" s="22" t="str">
        <f aca="false">IF($A279="","",$B279+$C279+$D279+$E279+$F279)</f>
        <v/>
      </c>
      <c r="H279" s="22" t="str">
        <f aca="false">IF($A279="","",$G279*AySayisi)</f>
        <v/>
      </c>
    </row>
    <row r="280" customFormat="false" ht="15" hidden="false" customHeight="false" outlineLevel="0" collapsed="false">
      <c r="A280" s="19"/>
      <c r="B280" s="22" t="str">
        <f aca="false">IF($A280="","",IFERROR(INDEX(tblCalisan[Brüt Ücret (₺)],MATCH($A280,tblCalisan[Çalışan Adı],0)),""))</f>
        <v/>
      </c>
      <c r="C280" s="22" t="str">
        <f aca="false">IF($A280="","",$B280*IsverenPayiOrani)</f>
        <v/>
      </c>
      <c r="D280" s="22" t="str">
        <f aca="false">IF($A280="","",$B280*IssizlikOrani)</f>
        <v/>
      </c>
      <c r="E280" s="22" t="str">
        <f aca="false">IF($A280="","",$B280*KidemKarsilikOrani)</f>
        <v/>
      </c>
      <c r="F280" s="20"/>
      <c r="G280" s="22" t="str">
        <f aca="false">IF($A280="","",$B280+$C280+$D280+$E280+$F280)</f>
        <v/>
      </c>
      <c r="H280" s="22" t="str">
        <f aca="false">IF($A280="","",$G280*AySayisi)</f>
        <v/>
      </c>
    </row>
    <row r="281" customFormat="false" ht="15" hidden="false" customHeight="false" outlineLevel="0" collapsed="false">
      <c r="A281" s="19"/>
      <c r="B281" s="22" t="str">
        <f aca="false">IF($A281="","",IFERROR(INDEX(tblCalisan[Brüt Ücret (₺)],MATCH($A281,tblCalisan[Çalışan Adı],0)),""))</f>
        <v/>
      </c>
      <c r="C281" s="22" t="str">
        <f aca="false">IF($A281="","",$B281*IsverenPayiOrani)</f>
        <v/>
      </c>
      <c r="D281" s="22" t="str">
        <f aca="false">IF($A281="","",$B281*IssizlikOrani)</f>
        <v/>
      </c>
      <c r="E281" s="22" t="str">
        <f aca="false">IF($A281="","",$B281*KidemKarsilikOrani)</f>
        <v/>
      </c>
      <c r="F281" s="20"/>
      <c r="G281" s="22" t="str">
        <f aca="false">IF($A281="","",$B281+$C281+$D281+$E281+$F281)</f>
        <v/>
      </c>
      <c r="H281" s="22" t="str">
        <f aca="false">IF($A281="","",$G281*AySayisi)</f>
        <v/>
      </c>
    </row>
    <row r="282" customFormat="false" ht="15" hidden="false" customHeight="false" outlineLevel="0" collapsed="false">
      <c r="A282" s="19"/>
      <c r="B282" s="22" t="str">
        <f aca="false">IF($A282="","",IFERROR(INDEX(tblCalisan[Brüt Ücret (₺)],MATCH($A282,tblCalisan[Çalışan Adı],0)),""))</f>
        <v/>
      </c>
      <c r="C282" s="22" t="str">
        <f aca="false">IF($A282="","",$B282*IsverenPayiOrani)</f>
        <v/>
      </c>
      <c r="D282" s="22" t="str">
        <f aca="false">IF($A282="","",$B282*IssizlikOrani)</f>
        <v/>
      </c>
      <c r="E282" s="22" t="str">
        <f aca="false">IF($A282="","",$B282*KidemKarsilikOrani)</f>
        <v/>
      </c>
      <c r="F282" s="20"/>
      <c r="G282" s="22" t="str">
        <f aca="false">IF($A282="","",$B282+$C282+$D282+$E282+$F282)</f>
        <v/>
      </c>
      <c r="H282" s="22" t="str">
        <f aca="false">IF($A282="","",$G282*AySayisi)</f>
        <v/>
      </c>
    </row>
    <row r="283" customFormat="false" ht="15" hidden="false" customHeight="false" outlineLevel="0" collapsed="false">
      <c r="A283" s="19"/>
      <c r="B283" s="22" t="str">
        <f aca="false">IF($A283="","",IFERROR(INDEX(tblCalisan[Brüt Ücret (₺)],MATCH($A283,tblCalisan[Çalışan Adı],0)),""))</f>
        <v/>
      </c>
      <c r="C283" s="22" t="str">
        <f aca="false">IF($A283="","",$B283*IsverenPayiOrani)</f>
        <v/>
      </c>
      <c r="D283" s="22" t="str">
        <f aca="false">IF($A283="","",$B283*IssizlikOrani)</f>
        <v/>
      </c>
      <c r="E283" s="22" t="str">
        <f aca="false">IF($A283="","",$B283*KidemKarsilikOrani)</f>
        <v/>
      </c>
      <c r="F283" s="20"/>
      <c r="G283" s="22" t="str">
        <f aca="false">IF($A283="","",$B283+$C283+$D283+$E283+$F283)</f>
        <v/>
      </c>
      <c r="H283" s="22" t="str">
        <f aca="false">IF($A283="","",$G283*AySayisi)</f>
        <v/>
      </c>
    </row>
    <row r="284" customFormat="false" ht="15" hidden="false" customHeight="false" outlineLevel="0" collapsed="false">
      <c r="A284" s="19"/>
      <c r="B284" s="22" t="str">
        <f aca="false">IF($A284="","",IFERROR(INDEX(tblCalisan[Brüt Ücret (₺)],MATCH($A284,tblCalisan[Çalışan Adı],0)),""))</f>
        <v/>
      </c>
      <c r="C284" s="22" t="str">
        <f aca="false">IF($A284="","",$B284*IsverenPayiOrani)</f>
        <v/>
      </c>
      <c r="D284" s="22" t="str">
        <f aca="false">IF($A284="","",$B284*IssizlikOrani)</f>
        <v/>
      </c>
      <c r="E284" s="22" t="str">
        <f aca="false">IF($A284="","",$B284*KidemKarsilikOrani)</f>
        <v/>
      </c>
      <c r="F284" s="20"/>
      <c r="G284" s="22" t="str">
        <f aca="false">IF($A284="","",$B284+$C284+$D284+$E284+$F284)</f>
        <v/>
      </c>
      <c r="H284" s="22" t="str">
        <f aca="false">IF($A284="","",$G284*AySayisi)</f>
        <v/>
      </c>
    </row>
    <row r="285" customFormat="false" ht="15" hidden="false" customHeight="false" outlineLevel="0" collapsed="false">
      <c r="A285" s="19"/>
      <c r="B285" s="22" t="str">
        <f aca="false">IF($A285="","",IFERROR(INDEX(tblCalisan[Brüt Ücret (₺)],MATCH($A285,tblCalisan[Çalışan Adı],0)),""))</f>
        <v/>
      </c>
      <c r="C285" s="22" t="str">
        <f aca="false">IF($A285="","",$B285*IsverenPayiOrani)</f>
        <v/>
      </c>
      <c r="D285" s="22" t="str">
        <f aca="false">IF($A285="","",$B285*IssizlikOrani)</f>
        <v/>
      </c>
      <c r="E285" s="22" t="str">
        <f aca="false">IF($A285="","",$B285*KidemKarsilikOrani)</f>
        <v/>
      </c>
      <c r="F285" s="20"/>
      <c r="G285" s="22" t="str">
        <f aca="false">IF($A285="","",$B285+$C285+$D285+$E285+$F285)</f>
        <v/>
      </c>
      <c r="H285" s="22" t="str">
        <f aca="false">IF($A285="","",$G285*AySayisi)</f>
        <v/>
      </c>
    </row>
    <row r="286" customFormat="false" ht="15" hidden="false" customHeight="false" outlineLevel="0" collapsed="false">
      <c r="A286" s="19"/>
      <c r="B286" s="22" t="str">
        <f aca="false">IF($A286="","",IFERROR(INDEX(tblCalisan[Brüt Ücret (₺)],MATCH($A286,tblCalisan[Çalışan Adı],0)),""))</f>
        <v/>
      </c>
      <c r="C286" s="22" t="str">
        <f aca="false">IF($A286="","",$B286*IsverenPayiOrani)</f>
        <v/>
      </c>
      <c r="D286" s="22" t="str">
        <f aca="false">IF($A286="","",$B286*IssizlikOrani)</f>
        <v/>
      </c>
      <c r="E286" s="22" t="str">
        <f aca="false">IF($A286="","",$B286*KidemKarsilikOrani)</f>
        <v/>
      </c>
      <c r="F286" s="20"/>
      <c r="G286" s="22" t="str">
        <f aca="false">IF($A286="","",$B286+$C286+$D286+$E286+$F286)</f>
        <v/>
      </c>
      <c r="H286" s="22" t="str">
        <f aca="false">IF($A286="","",$G286*AySayisi)</f>
        <v/>
      </c>
    </row>
    <row r="287" customFormat="false" ht="15" hidden="false" customHeight="false" outlineLevel="0" collapsed="false">
      <c r="A287" s="19"/>
      <c r="B287" s="22" t="str">
        <f aca="false">IF($A287="","",IFERROR(INDEX(tblCalisan[Brüt Ücret (₺)],MATCH($A287,tblCalisan[Çalışan Adı],0)),""))</f>
        <v/>
      </c>
      <c r="C287" s="22" t="str">
        <f aca="false">IF($A287="","",$B287*IsverenPayiOrani)</f>
        <v/>
      </c>
      <c r="D287" s="22" t="str">
        <f aca="false">IF($A287="","",$B287*IssizlikOrani)</f>
        <v/>
      </c>
      <c r="E287" s="22" t="str">
        <f aca="false">IF($A287="","",$B287*KidemKarsilikOrani)</f>
        <v/>
      </c>
      <c r="F287" s="20"/>
      <c r="G287" s="22" t="str">
        <f aca="false">IF($A287="","",$B287+$C287+$D287+$E287+$F287)</f>
        <v/>
      </c>
      <c r="H287" s="22" t="str">
        <f aca="false">IF($A287="","",$G287*AySayisi)</f>
        <v/>
      </c>
    </row>
    <row r="288" customFormat="false" ht="15" hidden="false" customHeight="false" outlineLevel="0" collapsed="false">
      <c r="A288" s="19"/>
      <c r="B288" s="22" t="str">
        <f aca="false">IF($A288="","",IFERROR(INDEX(tblCalisan[Brüt Ücret (₺)],MATCH($A288,tblCalisan[Çalışan Adı],0)),""))</f>
        <v/>
      </c>
      <c r="C288" s="22" t="str">
        <f aca="false">IF($A288="","",$B288*IsverenPayiOrani)</f>
        <v/>
      </c>
      <c r="D288" s="22" t="str">
        <f aca="false">IF($A288="","",$B288*IssizlikOrani)</f>
        <v/>
      </c>
      <c r="E288" s="22" t="str">
        <f aca="false">IF($A288="","",$B288*KidemKarsilikOrani)</f>
        <v/>
      </c>
      <c r="F288" s="20"/>
      <c r="G288" s="22" t="str">
        <f aca="false">IF($A288="","",$B288+$C288+$D288+$E288+$F288)</f>
        <v/>
      </c>
      <c r="H288" s="22" t="str">
        <f aca="false">IF($A288="","",$G288*AySayisi)</f>
        <v/>
      </c>
    </row>
    <row r="289" customFormat="false" ht="15" hidden="false" customHeight="false" outlineLevel="0" collapsed="false">
      <c r="A289" s="19"/>
      <c r="B289" s="22" t="str">
        <f aca="false">IF($A289="","",IFERROR(INDEX(tblCalisan[Brüt Ücret (₺)],MATCH($A289,tblCalisan[Çalışan Adı],0)),""))</f>
        <v/>
      </c>
      <c r="C289" s="22" t="str">
        <f aca="false">IF($A289="","",$B289*IsverenPayiOrani)</f>
        <v/>
      </c>
      <c r="D289" s="22" t="str">
        <f aca="false">IF($A289="","",$B289*IssizlikOrani)</f>
        <v/>
      </c>
      <c r="E289" s="22" t="str">
        <f aca="false">IF($A289="","",$B289*KidemKarsilikOrani)</f>
        <v/>
      </c>
      <c r="F289" s="20"/>
      <c r="G289" s="22" t="str">
        <f aca="false">IF($A289="","",$B289+$C289+$D289+$E289+$F289)</f>
        <v/>
      </c>
      <c r="H289" s="22" t="str">
        <f aca="false">IF($A289="","",$G289*AySayisi)</f>
        <v/>
      </c>
    </row>
    <row r="290" customFormat="false" ht="15" hidden="false" customHeight="false" outlineLevel="0" collapsed="false">
      <c r="A290" s="19"/>
      <c r="B290" s="22" t="str">
        <f aca="false">IF($A290="","",IFERROR(INDEX(tblCalisan[Brüt Ücret (₺)],MATCH($A290,tblCalisan[Çalışan Adı],0)),""))</f>
        <v/>
      </c>
      <c r="C290" s="22" t="str">
        <f aca="false">IF($A290="","",$B290*IsverenPayiOrani)</f>
        <v/>
      </c>
      <c r="D290" s="22" t="str">
        <f aca="false">IF($A290="","",$B290*IssizlikOrani)</f>
        <v/>
      </c>
      <c r="E290" s="22" t="str">
        <f aca="false">IF($A290="","",$B290*KidemKarsilikOrani)</f>
        <v/>
      </c>
      <c r="F290" s="20"/>
      <c r="G290" s="22" t="str">
        <f aca="false">IF($A290="","",$B290+$C290+$D290+$E290+$F290)</f>
        <v/>
      </c>
      <c r="H290" s="22" t="str">
        <f aca="false">IF($A290="","",$G290*AySayisi)</f>
        <v/>
      </c>
    </row>
    <row r="291" customFormat="false" ht="15" hidden="false" customHeight="false" outlineLevel="0" collapsed="false">
      <c r="A291" s="19"/>
      <c r="B291" s="22" t="str">
        <f aca="false">IF($A291="","",IFERROR(INDEX(tblCalisan[Brüt Ücret (₺)],MATCH($A291,tblCalisan[Çalışan Adı],0)),""))</f>
        <v/>
      </c>
      <c r="C291" s="22" t="str">
        <f aca="false">IF($A291="","",$B291*IsverenPayiOrani)</f>
        <v/>
      </c>
      <c r="D291" s="22" t="str">
        <f aca="false">IF($A291="","",$B291*IssizlikOrani)</f>
        <v/>
      </c>
      <c r="E291" s="22" t="str">
        <f aca="false">IF($A291="","",$B291*KidemKarsilikOrani)</f>
        <v/>
      </c>
      <c r="F291" s="20"/>
      <c r="G291" s="22" t="str">
        <f aca="false">IF($A291="","",$B291+$C291+$D291+$E291+$F291)</f>
        <v/>
      </c>
      <c r="H291" s="22" t="str">
        <f aca="false">IF($A291="","",$G291*AySayisi)</f>
        <v/>
      </c>
    </row>
    <row r="292" customFormat="false" ht="15" hidden="false" customHeight="false" outlineLevel="0" collapsed="false">
      <c r="A292" s="19"/>
      <c r="B292" s="22" t="str">
        <f aca="false">IF($A292="","",IFERROR(INDEX(tblCalisan[Brüt Ücret (₺)],MATCH($A292,tblCalisan[Çalışan Adı],0)),""))</f>
        <v/>
      </c>
      <c r="C292" s="22" t="str">
        <f aca="false">IF($A292="","",$B292*IsverenPayiOrani)</f>
        <v/>
      </c>
      <c r="D292" s="22" t="str">
        <f aca="false">IF($A292="","",$B292*IssizlikOrani)</f>
        <v/>
      </c>
      <c r="E292" s="22" t="str">
        <f aca="false">IF($A292="","",$B292*KidemKarsilikOrani)</f>
        <v/>
      </c>
      <c r="F292" s="20"/>
      <c r="G292" s="22" t="str">
        <f aca="false">IF($A292="","",$B292+$C292+$D292+$E292+$F292)</f>
        <v/>
      </c>
      <c r="H292" s="22" t="str">
        <f aca="false">IF($A292="","",$G292*AySayisi)</f>
        <v/>
      </c>
    </row>
    <row r="293" customFormat="false" ht="15" hidden="false" customHeight="false" outlineLevel="0" collapsed="false">
      <c r="A293" s="19"/>
      <c r="B293" s="22" t="str">
        <f aca="false">IF($A293="","",IFERROR(INDEX(tblCalisan[Brüt Ücret (₺)],MATCH($A293,tblCalisan[Çalışan Adı],0)),""))</f>
        <v/>
      </c>
      <c r="C293" s="22" t="str">
        <f aca="false">IF($A293="","",$B293*IsverenPayiOrani)</f>
        <v/>
      </c>
      <c r="D293" s="22" t="str">
        <f aca="false">IF($A293="","",$B293*IssizlikOrani)</f>
        <v/>
      </c>
      <c r="E293" s="22" t="str">
        <f aca="false">IF($A293="","",$B293*KidemKarsilikOrani)</f>
        <v/>
      </c>
      <c r="F293" s="20"/>
      <c r="G293" s="22" t="str">
        <f aca="false">IF($A293="","",$B293+$C293+$D293+$E293+$F293)</f>
        <v/>
      </c>
      <c r="H293" s="22" t="str">
        <f aca="false">IF($A293="","",$G293*AySayisi)</f>
        <v/>
      </c>
    </row>
    <row r="294" customFormat="false" ht="15" hidden="false" customHeight="false" outlineLevel="0" collapsed="false">
      <c r="A294" s="19"/>
      <c r="B294" s="22" t="str">
        <f aca="false">IF($A294="","",IFERROR(INDEX(tblCalisan[Brüt Ücret (₺)],MATCH($A294,tblCalisan[Çalışan Adı],0)),""))</f>
        <v/>
      </c>
      <c r="C294" s="22" t="str">
        <f aca="false">IF($A294="","",$B294*IsverenPayiOrani)</f>
        <v/>
      </c>
      <c r="D294" s="22" t="str">
        <f aca="false">IF($A294="","",$B294*IssizlikOrani)</f>
        <v/>
      </c>
      <c r="E294" s="22" t="str">
        <f aca="false">IF($A294="","",$B294*KidemKarsilikOrani)</f>
        <v/>
      </c>
      <c r="F294" s="20"/>
      <c r="G294" s="22" t="str">
        <f aca="false">IF($A294="","",$B294+$C294+$D294+$E294+$F294)</f>
        <v/>
      </c>
      <c r="H294" s="22" t="str">
        <f aca="false">IF($A294="","",$G294*AySayisi)</f>
        <v/>
      </c>
    </row>
    <row r="295" customFormat="false" ht="15" hidden="false" customHeight="false" outlineLevel="0" collapsed="false">
      <c r="A295" s="19"/>
      <c r="B295" s="22" t="str">
        <f aca="false">IF($A295="","",IFERROR(INDEX(tblCalisan[Brüt Ücret (₺)],MATCH($A295,tblCalisan[Çalışan Adı],0)),""))</f>
        <v/>
      </c>
      <c r="C295" s="22" t="str">
        <f aca="false">IF($A295="","",$B295*IsverenPayiOrani)</f>
        <v/>
      </c>
      <c r="D295" s="22" t="str">
        <f aca="false">IF($A295="","",$B295*IssizlikOrani)</f>
        <v/>
      </c>
      <c r="E295" s="22" t="str">
        <f aca="false">IF($A295="","",$B295*KidemKarsilikOrani)</f>
        <v/>
      </c>
      <c r="F295" s="20"/>
      <c r="G295" s="22" t="str">
        <f aca="false">IF($A295="","",$B295+$C295+$D295+$E295+$F295)</f>
        <v/>
      </c>
      <c r="H295" s="22" t="str">
        <f aca="false">IF($A295="","",$G295*AySayisi)</f>
        <v/>
      </c>
    </row>
    <row r="296" customFormat="false" ht="15" hidden="false" customHeight="false" outlineLevel="0" collapsed="false">
      <c r="A296" s="19"/>
      <c r="B296" s="22" t="str">
        <f aca="false">IF($A296="","",IFERROR(INDEX(tblCalisan[Brüt Ücret (₺)],MATCH($A296,tblCalisan[Çalışan Adı],0)),""))</f>
        <v/>
      </c>
      <c r="C296" s="22" t="str">
        <f aca="false">IF($A296="","",$B296*IsverenPayiOrani)</f>
        <v/>
      </c>
      <c r="D296" s="22" t="str">
        <f aca="false">IF($A296="","",$B296*IssizlikOrani)</f>
        <v/>
      </c>
      <c r="E296" s="22" t="str">
        <f aca="false">IF($A296="","",$B296*KidemKarsilikOrani)</f>
        <v/>
      </c>
      <c r="F296" s="20"/>
      <c r="G296" s="22" t="str">
        <f aca="false">IF($A296="","",$B296+$C296+$D296+$E296+$F296)</f>
        <v/>
      </c>
      <c r="H296" s="22" t="str">
        <f aca="false">IF($A296="","",$G296*AySayisi)</f>
        <v/>
      </c>
    </row>
    <row r="297" customFormat="false" ht="15" hidden="false" customHeight="false" outlineLevel="0" collapsed="false">
      <c r="A297" s="19"/>
      <c r="B297" s="22" t="str">
        <f aca="false">IF($A297="","",IFERROR(INDEX(tblCalisan[Brüt Ücret (₺)],MATCH($A297,tblCalisan[Çalışan Adı],0)),""))</f>
        <v/>
      </c>
      <c r="C297" s="22" t="str">
        <f aca="false">IF($A297="","",$B297*IsverenPayiOrani)</f>
        <v/>
      </c>
      <c r="D297" s="22" t="str">
        <f aca="false">IF($A297="","",$B297*IssizlikOrani)</f>
        <v/>
      </c>
      <c r="E297" s="22" t="str">
        <f aca="false">IF($A297="","",$B297*KidemKarsilikOrani)</f>
        <v/>
      </c>
      <c r="F297" s="20"/>
      <c r="G297" s="22" t="str">
        <f aca="false">IF($A297="","",$B297+$C297+$D297+$E297+$F297)</f>
        <v/>
      </c>
      <c r="H297" s="22" t="str">
        <f aca="false">IF($A297="","",$G297*AySayisi)</f>
        <v/>
      </c>
    </row>
    <row r="298" customFormat="false" ht="15" hidden="false" customHeight="false" outlineLevel="0" collapsed="false">
      <c r="A298" s="19"/>
      <c r="B298" s="22" t="str">
        <f aca="false">IF($A298="","",IFERROR(INDEX(tblCalisan[Brüt Ücret (₺)],MATCH($A298,tblCalisan[Çalışan Adı],0)),""))</f>
        <v/>
      </c>
      <c r="C298" s="22" t="str">
        <f aca="false">IF($A298="","",$B298*IsverenPayiOrani)</f>
        <v/>
      </c>
      <c r="D298" s="22" t="str">
        <f aca="false">IF($A298="","",$B298*IssizlikOrani)</f>
        <v/>
      </c>
      <c r="E298" s="22" t="str">
        <f aca="false">IF($A298="","",$B298*KidemKarsilikOrani)</f>
        <v/>
      </c>
      <c r="F298" s="20"/>
      <c r="G298" s="22" t="str">
        <f aca="false">IF($A298="","",$B298+$C298+$D298+$E298+$F298)</f>
        <v/>
      </c>
      <c r="H298" s="22" t="str">
        <f aca="false">IF($A298="","",$G298*AySayisi)</f>
        <v/>
      </c>
    </row>
    <row r="299" customFormat="false" ht="15" hidden="false" customHeight="false" outlineLevel="0" collapsed="false">
      <c r="A299" s="19"/>
      <c r="B299" s="22" t="str">
        <f aca="false">IF($A299="","",IFERROR(INDEX(tblCalisan[Brüt Ücret (₺)],MATCH($A299,tblCalisan[Çalışan Adı],0)),""))</f>
        <v/>
      </c>
      <c r="C299" s="22" t="str">
        <f aca="false">IF($A299="","",$B299*IsverenPayiOrani)</f>
        <v/>
      </c>
      <c r="D299" s="22" t="str">
        <f aca="false">IF($A299="","",$B299*IssizlikOrani)</f>
        <v/>
      </c>
      <c r="E299" s="22" t="str">
        <f aca="false">IF($A299="","",$B299*KidemKarsilikOrani)</f>
        <v/>
      </c>
      <c r="F299" s="20"/>
      <c r="G299" s="22" t="str">
        <f aca="false">IF($A299="","",$B299+$C299+$D299+$E299+$F299)</f>
        <v/>
      </c>
      <c r="H299" s="22" t="str">
        <f aca="false">IF($A299="","",$G299*AySayisi)</f>
        <v/>
      </c>
    </row>
    <row r="300" customFormat="false" ht="15" hidden="false" customHeight="false" outlineLevel="0" collapsed="false">
      <c r="A300" s="19"/>
      <c r="B300" s="22" t="str">
        <f aca="false">IF($A300="","",IFERROR(INDEX(tblCalisan[Brüt Ücret (₺)],MATCH($A300,tblCalisan[Çalışan Adı],0)),""))</f>
        <v/>
      </c>
      <c r="C300" s="22" t="str">
        <f aca="false">IF($A300="","",$B300*IsverenPayiOrani)</f>
        <v/>
      </c>
      <c r="D300" s="22" t="str">
        <f aca="false">IF($A300="","",$B300*IssizlikOrani)</f>
        <v/>
      </c>
      <c r="E300" s="22" t="str">
        <f aca="false">IF($A300="","",$B300*KidemKarsilikOrani)</f>
        <v/>
      </c>
      <c r="F300" s="20"/>
      <c r="G300" s="22" t="str">
        <f aca="false">IF($A300="","",$B300+$C300+$D300+$E300+$F300)</f>
        <v/>
      </c>
      <c r="H300" s="22" t="str">
        <f aca="false">IF($A300="","",$G300*AySayisi)</f>
        <v/>
      </c>
    </row>
    <row r="301" customFormat="false" ht="15" hidden="false" customHeight="false" outlineLevel="0" collapsed="false">
      <c r="A301" s="19"/>
      <c r="B301" s="22" t="str">
        <f aca="false">IF($A301="","",IFERROR(INDEX(tblCalisan[Brüt Ücret (₺)],MATCH($A301,tblCalisan[Çalışan Adı],0)),""))</f>
        <v/>
      </c>
      <c r="C301" s="22" t="str">
        <f aca="false">IF($A301="","",$B301*IsverenPayiOrani)</f>
        <v/>
      </c>
      <c r="D301" s="22" t="str">
        <f aca="false">IF($A301="","",$B301*IssizlikOrani)</f>
        <v/>
      </c>
      <c r="E301" s="22" t="str">
        <f aca="false">IF($A301="","",$B301*KidemKarsilikOrani)</f>
        <v/>
      </c>
      <c r="F301" s="20"/>
      <c r="G301" s="22" t="str">
        <f aca="false">IF($A301="","",$B301+$C301+$D301+$E301+$F301)</f>
        <v/>
      </c>
      <c r="H301" s="22" t="str">
        <f aca="false">IF($A301="","",$G301*AySayisi)</f>
        <v/>
      </c>
    </row>
    <row r="302" customFormat="false" ht="15" hidden="false" customHeight="false" outlineLevel="0" collapsed="false">
      <c r="A302" s="19"/>
      <c r="B302" s="22" t="str">
        <f aca="false">IF($A302="","",IFERROR(INDEX(tblCalisan[Brüt Ücret (₺)],MATCH($A302,tblCalisan[Çalışan Adı],0)),""))</f>
        <v/>
      </c>
      <c r="C302" s="22" t="str">
        <f aca="false">IF($A302="","",$B302*IsverenPayiOrani)</f>
        <v/>
      </c>
      <c r="D302" s="22" t="str">
        <f aca="false">IF($A302="","",$B302*IssizlikOrani)</f>
        <v/>
      </c>
      <c r="E302" s="22" t="str">
        <f aca="false">IF($A302="","",$B302*KidemKarsilikOrani)</f>
        <v/>
      </c>
      <c r="F302" s="20"/>
      <c r="G302" s="22" t="str">
        <f aca="false">IF($A302="","",$B302+$C302+$D302+$E302+$F302)</f>
        <v/>
      </c>
      <c r="H302" s="22" t="str">
        <f aca="false">IF($A302="","",$G302*AySayisi)</f>
        <v/>
      </c>
    </row>
    <row r="303" customFormat="false" ht="15" hidden="false" customHeight="false" outlineLevel="0" collapsed="false">
      <c r="A303" s="19"/>
      <c r="B303" s="22" t="str">
        <f aca="false">IF($A303="","",IFERROR(INDEX(tblCalisan[Brüt Ücret (₺)],MATCH($A303,tblCalisan[Çalışan Adı],0)),""))</f>
        <v/>
      </c>
      <c r="C303" s="22" t="str">
        <f aca="false">IF($A303="","",$B303*IsverenPayiOrani)</f>
        <v/>
      </c>
      <c r="D303" s="22" t="str">
        <f aca="false">IF($A303="","",$B303*IssizlikOrani)</f>
        <v/>
      </c>
      <c r="E303" s="22" t="str">
        <f aca="false">IF($A303="","",$B303*KidemKarsilikOrani)</f>
        <v/>
      </c>
      <c r="F303" s="20"/>
      <c r="G303" s="22" t="str">
        <f aca="false">IF($A303="","",$B303+$C303+$D303+$E303+$F303)</f>
        <v/>
      </c>
      <c r="H303" s="22" t="str">
        <f aca="false">IF($A303="","",$G303*AySayisi)</f>
        <v/>
      </c>
    </row>
    <row r="304" customFormat="false" ht="15" hidden="false" customHeight="false" outlineLevel="0" collapsed="false">
      <c r="A304" s="19"/>
      <c r="B304" s="22" t="str">
        <f aca="false">IF($A304="","",IFERROR(INDEX(tblCalisan[Brüt Ücret (₺)],MATCH($A304,tblCalisan[Çalışan Adı],0)),""))</f>
        <v/>
      </c>
      <c r="C304" s="22" t="str">
        <f aca="false">IF($A304="","",$B304*IsverenPayiOrani)</f>
        <v/>
      </c>
      <c r="D304" s="22" t="str">
        <f aca="false">IF($A304="","",$B304*IssizlikOrani)</f>
        <v/>
      </c>
      <c r="E304" s="22" t="str">
        <f aca="false">IF($A304="","",$B304*KidemKarsilikOrani)</f>
        <v/>
      </c>
      <c r="F304" s="20"/>
      <c r="G304" s="22" t="str">
        <f aca="false">IF($A304="","",$B304+$C304+$D304+$E304+$F304)</f>
        <v/>
      </c>
      <c r="H304" s="22" t="str">
        <f aca="false">IF($A304="","",$G304*AySayisi)</f>
        <v/>
      </c>
    </row>
    <row r="305" customFormat="false" ht="15" hidden="false" customHeight="false" outlineLevel="0" collapsed="false">
      <c r="A305" s="19"/>
      <c r="B305" s="22" t="str">
        <f aca="false">IF($A305="","",IFERROR(INDEX(tblCalisan[Brüt Ücret (₺)],MATCH($A305,tblCalisan[Çalışan Adı],0)),""))</f>
        <v/>
      </c>
      <c r="C305" s="22" t="str">
        <f aca="false">IF($A305="","",$B305*IsverenPayiOrani)</f>
        <v/>
      </c>
      <c r="D305" s="22" t="str">
        <f aca="false">IF($A305="","",$B305*IssizlikOrani)</f>
        <v/>
      </c>
      <c r="E305" s="22" t="str">
        <f aca="false">IF($A305="","",$B305*KidemKarsilikOrani)</f>
        <v/>
      </c>
      <c r="F305" s="20"/>
      <c r="G305" s="22" t="str">
        <f aca="false">IF($A305="","",$B305+$C305+$D305+$E305+$F305)</f>
        <v/>
      </c>
      <c r="H305" s="22" t="str">
        <f aca="false">IF($A305="","",$G305*AySayisi)</f>
        <v/>
      </c>
    </row>
    <row r="306" customFormat="false" ht="15" hidden="false" customHeight="false" outlineLevel="0" collapsed="false">
      <c r="A306" s="19"/>
      <c r="B306" s="22" t="str">
        <f aca="false">IF($A306="","",IFERROR(INDEX(tblCalisan[Brüt Ücret (₺)],MATCH($A306,tblCalisan[Çalışan Adı],0)),""))</f>
        <v/>
      </c>
      <c r="C306" s="22" t="str">
        <f aca="false">IF($A306="","",$B306*IsverenPayiOrani)</f>
        <v/>
      </c>
      <c r="D306" s="22" t="str">
        <f aca="false">IF($A306="","",$B306*IssizlikOrani)</f>
        <v/>
      </c>
      <c r="E306" s="22" t="str">
        <f aca="false">IF($A306="","",$B306*KidemKarsilikOrani)</f>
        <v/>
      </c>
      <c r="F306" s="20"/>
      <c r="G306" s="22" t="str">
        <f aca="false">IF($A306="","",$B306+$C306+$D306+$E306+$F306)</f>
        <v/>
      </c>
      <c r="H306" s="22" t="str">
        <f aca="false">IF($A306="","",$G306*AySayisi)</f>
        <v/>
      </c>
    </row>
    <row r="307" customFormat="false" ht="15" hidden="false" customHeight="false" outlineLevel="0" collapsed="false">
      <c r="A307" s="19"/>
      <c r="B307" s="22" t="str">
        <f aca="false">IF($A307="","",IFERROR(INDEX(tblCalisan[Brüt Ücret (₺)],MATCH($A307,tblCalisan[Çalışan Adı],0)),""))</f>
        <v/>
      </c>
      <c r="C307" s="22" t="str">
        <f aca="false">IF($A307="","",$B307*IsverenPayiOrani)</f>
        <v/>
      </c>
      <c r="D307" s="22" t="str">
        <f aca="false">IF($A307="","",$B307*IssizlikOrani)</f>
        <v/>
      </c>
      <c r="E307" s="22" t="str">
        <f aca="false">IF($A307="","",$B307*KidemKarsilikOrani)</f>
        <v/>
      </c>
      <c r="F307" s="20"/>
      <c r="G307" s="22" t="str">
        <f aca="false">IF($A307="","",$B307+$C307+$D307+$E307+$F307)</f>
        <v/>
      </c>
      <c r="H307" s="22" t="str">
        <f aca="false">IF($A307="","",$G307*AySayisi)</f>
        <v/>
      </c>
    </row>
    <row r="308" customFormat="false" ht="15" hidden="false" customHeight="false" outlineLevel="0" collapsed="false">
      <c r="A308" s="19"/>
      <c r="B308" s="22" t="str">
        <f aca="false">IF($A308="","",IFERROR(INDEX(tblCalisan[Brüt Ücret (₺)],MATCH($A308,tblCalisan[Çalışan Adı],0)),""))</f>
        <v/>
      </c>
      <c r="C308" s="22" t="str">
        <f aca="false">IF($A308="","",$B308*IsverenPayiOrani)</f>
        <v/>
      </c>
      <c r="D308" s="22" t="str">
        <f aca="false">IF($A308="","",$B308*IssizlikOrani)</f>
        <v/>
      </c>
      <c r="E308" s="22" t="str">
        <f aca="false">IF($A308="","",$B308*KidemKarsilikOrani)</f>
        <v/>
      </c>
      <c r="F308" s="20"/>
      <c r="G308" s="22" t="str">
        <f aca="false">IF($A308="","",$B308+$C308+$D308+$E308+$F308)</f>
        <v/>
      </c>
      <c r="H308" s="22" t="str">
        <f aca="false">IF($A308="","",$G308*AySayisi)</f>
        <v/>
      </c>
    </row>
    <row r="309" customFormat="false" ht="15" hidden="false" customHeight="false" outlineLevel="0" collapsed="false">
      <c r="A309" s="19"/>
      <c r="B309" s="22" t="str">
        <f aca="false">IF($A309="","",IFERROR(INDEX(tblCalisan[Brüt Ücret (₺)],MATCH($A309,tblCalisan[Çalışan Adı],0)),""))</f>
        <v/>
      </c>
      <c r="C309" s="22" t="str">
        <f aca="false">IF($A309="","",$B309*IsverenPayiOrani)</f>
        <v/>
      </c>
      <c r="D309" s="22" t="str">
        <f aca="false">IF($A309="","",$B309*IssizlikOrani)</f>
        <v/>
      </c>
      <c r="E309" s="22" t="str">
        <f aca="false">IF($A309="","",$B309*KidemKarsilikOrani)</f>
        <v/>
      </c>
      <c r="F309" s="20"/>
      <c r="G309" s="22" t="str">
        <f aca="false">IF($A309="","",$B309+$C309+$D309+$E309+$F309)</f>
        <v/>
      </c>
      <c r="H309" s="22" t="str">
        <f aca="false">IF($A309="","",$G309*AySayisi)</f>
        <v/>
      </c>
    </row>
    <row r="310" customFormat="false" ht="15" hidden="false" customHeight="false" outlineLevel="0" collapsed="false">
      <c r="A310" s="19"/>
      <c r="B310" s="22" t="str">
        <f aca="false">IF($A310="","",IFERROR(INDEX(tblCalisan[Brüt Ücret (₺)],MATCH($A310,tblCalisan[Çalışan Adı],0)),""))</f>
        <v/>
      </c>
      <c r="C310" s="22" t="str">
        <f aca="false">IF($A310="","",$B310*IsverenPayiOrani)</f>
        <v/>
      </c>
      <c r="D310" s="22" t="str">
        <f aca="false">IF($A310="","",$B310*IssizlikOrani)</f>
        <v/>
      </c>
      <c r="E310" s="22" t="str">
        <f aca="false">IF($A310="","",$B310*KidemKarsilikOrani)</f>
        <v/>
      </c>
      <c r="F310" s="20"/>
      <c r="G310" s="22" t="str">
        <f aca="false">IF($A310="","",$B310+$C310+$D310+$E310+$F310)</f>
        <v/>
      </c>
      <c r="H310" s="22" t="str">
        <f aca="false">IF($A310="","",$G310*AySayisi)</f>
        <v/>
      </c>
    </row>
    <row r="311" customFormat="false" ht="15" hidden="false" customHeight="false" outlineLevel="0" collapsed="false">
      <c r="A311" s="19"/>
      <c r="B311" s="22" t="str">
        <f aca="false">IF($A311="","",IFERROR(INDEX(tblCalisan[Brüt Ücret (₺)],MATCH($A311,tblCalisan[Çalışan Adı],0)),""))</f>
        <v/>
      </c>
      <c r="C311" s="22" t="str">
        <f aca="false">IF($A311="","",$B311*IsverenPayiOrani)</f>
        <v/>
      </c>
      <c r="D311" s="22" t="str">
        <f aca="false">IF($A311="","",$B311*IssizlikOrani)</f>
        <v/>
      </c>
      <c r="E311" s="22" t="str">
        <f aca="false">IF($A311="","",$B311*KidemKarsilikOrani)</f>
        <v/>
      </c>
      <c r="F311" s="20"/>
      <c r="G311" s="22" t="str">
        <f aca="false">IF($A311="","",$B311+$C311+$D311+$E311+$F311)</f>
        <v/>
      </c>
      <c r="H311" s="22" t="str">
        <f aca="false">IF($A311="","",$G311*AySayisi)</f>
        <v/>
      </c>
    </row>
    <row r="312" customFormat="false" ht="15" hidden="false" customHeight="false" outlineLevel="0" collapsed="false">
      <c r="A312" s="19"/>
      <c r="B312" s="22" t="str">
        <f aca="false">IF($A312="","",IFERROR(INDEX(tblCalisan[Brüt Ücret (₺)],MATCH($A312,tblCalisan[Çalışan Adı],0)),""))</f>
        <v/>
      </c>
      <c r="C312" s="22" t="str">
        <f aca="false">IF($A312="","",$B312*IsverenPayiOrani)</f>
        <v/>
      </c>
      <c r="D312" s="22" t="str">
        <f aca="false">IF($A312="","",$B312*IssizlikOrani)</f>
        <v/>
      </c>
      <c r="E312" s="22" t="str">
        <f aca="false">IF($A312="","",$B312*KidemKarsilikOrani)</f>
        <v/>
      </c>
      <c r="F312" s="20"/>
      <c r="G312" s="22" t="str">
        <f aca="false">IF($A312="","",$B312+$C312+$D312+$E312+$F312)</f>
        <v/>
      </c>
      <c r="H312" s="22" t="str">
        <f aca="false">IF($A312="","",$G312*AySayisi)</f>
        <v/>
      </c>
    </row>
    <row r="313" customFormat="false" ht="15" hidden="false" customHeight="false" outlineLevel="0" collapsed="false">
      <c r="A313" s="19"/>
      <c r="B313" s="22" t="str">
        <f aca="false">IF($A313="","",IFERROR(INDEX(tblCalisan[Brüt Ücret (₺)],MATCH($A313,tblCalisan[Çalışan Adı],0)),""))</f>
        <v/>
      </c>
      <c r="C313" s="22" t="str">
        <f aca="false">IF($A313="","",$B313*IsverenPayiOrani)</f>
        <v/>
      </c>
      <c r="D313" s="22" t="str">
        <f aca="false">IF($A313="","",$B313*IssizlikOrani)</f>
        <v/>
      </c>
      <c r="E313" s="22" t="str">
        <f aca="false">IF($A313="","",$B313*KidemKarsilikOrani)</f>
        <v/>
      </c>
      <c r="F313" s="20"/>
      <c r="G313" s="22" t="str">
        <f aca="false">IF($A313="","",$B313+$C313+$D313+$E313+$F313)</f>
        <v/>
      </c>
      <c r="H313" s="22" t="str">
        <f aca="false">IF($A313="","",$G313*AySayisi)</f>
        <v/>
      </c>
    </row>
    <row r="314" customFormat="false" ht="15" hidden="false" customHeight="false" outlineLevel="0" collapsed="false">
      <c r="A314" s="19"/>
      <c r="B314" s="22" t="str">
        <f aca="false">IF($A314="","",IFERROR(INDEX(tblCalisan[Brüt Ücret (₺)],MATCH($A314,tblCalisan[Çalışan Adı],0)),""))</f>
        <v/>
      </c>
      <c r="C314" s="22" t="str">
        <f aca="false">IF($A314="","",$B314*IsverenPayiOrani)</f>
        <v/>
      </c>
      <c r="D314" s="22" t="str">
        <f aca="false">IF($A314="","",$B314*IssizlikOrani)</f>
        <v/>
      </c>
      <c r="E314" s="22" t="str">
        <f aca="false">IF($A314="","",$B314*KidemKarsilikOrani)</f>
        <v/>
      </c>
      <c r="F314" s="20"/>
      <c r="G314" s="22" t="str">
        <f aca="false">IF($A314="","",$B314+$C314+$D314+$E314+$F314)</f>
        <v/>
      </c>
      <c r="H314" s="22" t="str">
        <f aca="false">IF($A314="","",$G314*AySayisi)</f>
        <v/>
      </c>
    </row>
    <row r="315" customFormat="false" ht="15" hidden="false" customHeight="false" outlineLevel="0" collapsed="false">
      <c r="A315" s="19"/>
      <c r="B315" s="22" t="str">
        <f aca="false">IF($A315="","",IFERROR(INDEX(tblCalisan[Brüt Ücret (₺)],MATCH($A315,tblCalisan[Çalışan Adı],0)),""))</f>
        <v/>
      </c>
      <c r="C315" s="22" t="str">
        <f aca="false">IF($A315="","",$B315*IsverenPayiOrani)</f>
        <v/>
      </c>
      <c r="D315" s="22" t="str">
        <f aca="false">IF($A315="","",$B315*IssizlikOrani)</f>
        <v/>
      </c>
      <c r="E315" s="22" t="str">
        <f aca="false">IF($A315="","",$B315*KidemKarsilikOrani)</f>
        <v/>
      </c>
      <c r="F315" s="20"/>
      <c r="G315" s="22" t="str">
        <f aca="false">IF($A315="","",$B315+$C315+$D315+$E315+$F315)</f>
        <v/>
      </c>
      <c r="H315" s="22" t="str">
        <f aca="false">IF($A315="","",$G315*AySayisi)</f>
        <v/>
      </c>
    </row>
    <row r="316" customFormat="false" ht="15" hidden="false" customHeight="false" outlineLevel="0" collapsed="false">
      <c r="A316" s="19"/>
      <c r="B316" s="22" t="str">
        <f aca="false">IF($A316="","",IFERROR(INDEX(tblCalisan[Brüt Ücret (₺)],MATCH($A316,tblCalisan[Çalışan Adı],0)),""))</f>
        <v/>
      </c>
      <c r="C316" s="22" t="str">
        <f aca="false">IF($A316="","",$B316*IsverenPayiOrani)</f>
        <v/>
      </c>
      <c r="D316" s="22" t="str">
        <f aca="false">IF($A316="","",$B316*IssizlikOrani)</f>
        <v/>
      </c>
      <c r="E316" s="22" t="str">
        <f aca="false">IF($A316="","",$B316*KidemKarsilikOrani)</f>
        <v/>
      </c>
      <c r="F316" s="20"/>
      <c r="G316" s="22" t="str">
        <f aca="false">IF($A316="","",$B316+$C316+$D316+$E316+$F316)</f>
        <v/>
      </c>
      <c r="H316" s="22" t="str">
        <f aca="false">IF($A316="","",$G316*AySayisi)</f>
        <v/>
      </c>
    </row>
    <row r="317" customFormat="false" ht="15" hidden="false" customHeight="false" outlineLevel="0" collapsed="false">
      <c r="A317" s="19"/>
      <c r="B317" s="22" t="str">
        <f aca="false">IF($A317="","",IFERROR(INDEX(tblCalisan[Brüt Ücret (₺)],MATCH($A317,tblCalisan[Çalışan Adı],0)),""))</f>
        <v/>
      </c>
      <c r="C317" s="22" t="str">
        <f aca="false">IF($A317="","",$B317*IsverenPayiOrani)</f>
        <v/>
      </c>
      <c r="D317" s="22" t="str">
        <f aca="false">IF($A317="","",$B317*IssizlikOrani)</f>
        <v/>
      </c>
      <c r="E317" s="22" t="str">
        <f aca="false">IF($A317="","",$B317*KidemKarsilikOrani)</f>
        <v/>
      </c>
      <c r="F317" s="20"/>
      <c r="G317" s="22" t="str">
        <f aca="false">IF($A317="","",$B317+$C317+$D317+$E317+$F317)</f>
        <v/>
      </c>
      <c r="H317" s="22" t="str">
        <f aca="false">IF($A317="","",$G317*AySayisi)</f>
        <v/>
      </c>
    </row>
    <row r="318" customFormat="false" ht="15" hidden="false" customHeight="false" outlineLevel="0" collapsed="false">
      <c r="A318" s="19"/>
      <c r="B318" s="22" t="str">
        <f aca="false">IF($A318="","",IFERROR(INDEX(tblCalisan[Brüt Ücret (₺)],MATCH($A318,tblCalisan[Çalışan Adı],0)),""))</f>
        <v/>
      </c>
      <c r="C318" s="22" t="str">
        <f aca="false">IF($A318="","",$B318*IsverenPayiOrani)</f>
        <v/>
      </c>
      <c r="D318" s="22" t="str">
        <f aca="false">IF($A318="","",$B318*IssizlikOrani)</f>
        <v/>
      </c>
      <c r="E318" s="22" t="str">
        <f aca="false">IF($A318="","",$B318*KidemKarsilikOrani)</f>
        <v/>
      </c>
      <c r="F318" s="20"/>
      <c r="G318" s="22" t="str">
        <f aca="false">IF($A318="","",$B318+$C318+$D318+$E318+$F318)</f>
        <v/>
      </c>
      <c r="H318" s="22" t="str">
        <f aca="false">IF($A318="","",$G318*AySayisi)</f>
        <v/>
      </c>
    </row>
    <row r="319" customFormat="false" ht="15" hidden="false" customHeight="false" outlineLevel="0" collapsed="false">
      <c r="A319" s="19"/>
      <c r="B319" s="22" t="str">
        <f aca="false">IF($A319="","",IFERROR(INDEX(tblCalisan[Brüt Ücret (₺)],MATCH($A319,tblCalisan[Çalışan Adı],0)),""))</f>
        <v/>
      </c>
      <c r="C319" s="22" t="str">
        <f aca="false">IF($A319="","",$B319*IsverenPayiOrani)</f>
        <v/>
      </c>
      <c r="D319" s="22" t="str">
        <f aca="false">IF($A319="","",$B319*IssizlikOrani)</f>
        <v/>
      </c>
      <c r="E319" s="22" t="str">
        <f aca="false">IF($A319="","",$B319*KidemKarsilikOrani)</f>
        <v/>
      </c>
      <c r="F319" s="20"/>
      <c r="G319" s="22" t="str">
        <f aca="false">IF($A319="","",$B319+$C319+$D319+$E319+$F319)</f>
        <v/>
      </c>
      <c r="H319" s="22" t="str">
        <f aca="false">IF($A319="","",$G319*AySayisi)</f>
        <v/>
      </c>
    </row>
    <row r="320" customFormat="false" ht="15" hidden="false" customHeight="false" outlineLevel="0" collapsed="false">
      <c r="A320" s="19"/>
      <c r="B320" s="22" t="str">
        <f aca="false">IF($A320="","",IFERROR(INDEX(tblCalisan[Brüt Ücret (₺)],MATCH($A320,tblCalisan[Çalışan Adı],0)),""))</f>
        <v/>
      </c>
      <c r="C320" s="22" t="str">
        <f aca="false">IF($A320="","",$B320*IsverenPayiOrani)</f>
        <v/>
      </c>
      <c r="D320" s="22" t="str">
        <f aca="false">IF($A320="","",$B320*IssizlikOrani)</f>
        <v/>
      </c>
      <c r="E320" s="22" t="str">
        <f aca="false">IF($A320="","",$B320*KidemKarsilikOrani)</f>
        <v/>
      </c>
      <c r="F320" s="20"/>
      <c r="G320" s="22" t="str">
        <f aca="false">IF($A320="","",$B320+$C320+$D320+$E320+$F320)</f>
        <v/>
      </c>
      <c r="H320" s="22" t="str">
        <f aca="false">IF($A320="","",$G320*AySayisi)</f>
        <v/>
      </c>
    </row>
    <row r="321" customFormat="false" ht="15" hidden="false" customHeight="false" outlineLevel="0" collapsed="false">
      <c r="A321" s="19"/>
      <c r="B321" s="22" t="str">
        <f aca="false">IF($A321="","",IFERROR(INDEX(tblCalisan[Brüt Ücret (₺)],MATCH($A321,tblCalisan[Çalışan Adı],0)),""))</f>
        <v/>
      </c>
      <c r="C321" s="22" t="str">
        <f aca="false">IF($A321="","",$B321*IsverenPayiOrani)</f>
        <v/>
      </c>
      <c r="D321" s="22" t="str">
        <f aca="false">IF($A321="","",$B321*IssizlikOrani)</f>
        <v/>
      </c>
      <c r="E321" s="22" t="str">
        <f aca="false">IF($A321="","",$B321*KidemKarsilikOrani)</f>
        <v/>
      </c>
      <c r="F321" s="20"/>
      <c r="G321" s="22" t="str">
        <f aca="false">IF($A321="","",$B321+$C321+$D321+$E321+$F321)</f>
        <v/>
      </c>
      <c r="H321" s="22" t="str">
        <f aca="false">IF($A321="","",$G321*AySayisi)</f>
        <v/>
      </c>
    </row>
    <row r="322" customFormat="false" ht="15" hidden="false" customHeight="false" outlineLevel="0" collapsed="false">
      <c r="A322" s="19"/>
      <c r="B322" s="22" t="str">
        <f aca="false">IF($A322="","",IFERROR(INDEX(tblCalisan[Brüt Ücret (₺)],MATCH($A322,tblCalisan[Çalışan Adı],0)),""))</f>
        <v/>
      </c>
      <c r="C322" s="22" t="str">
        <f aca="false">IF($A322="","",$B322*IsverenPayiOrani)</f>
        <v/>
      </c>
      <c r="D322" s="22" t="str">
        <f aca="false">IF($A322="","",$B322*IssizlikOrani)</f>
        <v/>
      </c>
      <c r="E322" s="22" t="str">
        <f aca="false">IF($A322="","",$B322*KidemKarsilikOrani)</f>
        <v/>
      </c>
      <c r="F322" s="20"/>
      <c r="G322" s="22" t="str">
        <f aca="false">IF($A322="","",$B322+$C322+$D322+$E322+$F322)</f>
        <v/>
      </c>
      <c r="H322" s="22" t="str">
        <f aca="false">IF($A322="","",$G322*AySayisi)</f>
        <v/>
      </c>
    </row>
    <row r="323" customFormat="false" ht="15" hidden="false" customHeight="false" outlineLevel="0" collapsed="false">
      <c r="A323" s="19"/>
      <c r="B323" s="22" t="str">
        <f aca="false">IF($A323="","",IFERROR(INDEX(tblCalisan[Brüt Ücret (₺)],MATCH($A323,tblCalisan[Çalışan Adı],0)),""))</f>
        <v/>
      </c>
      <c r="C323" s="22" t="str">
        <f aca="false">IF($A323="","",$B323*IsverenPayiOrani)</f>
        <v/>
      </c>
      <c r="D323" s="22" t="str">
        <f aca="false">IF($A323="","",$B323*IssizlikOrani)</f>
        <v/>
      </c>
      <c r="E323" s="22" t="str">
        <f aca="false">IF($A323="","",$B323*KidemKarsilikOrani)</f>
        <v/>
      </c>
      <c r="F323" s="20"/>
      <c r="G323" s="22" t="str">
        <f aca="false">IF($A323="","",$B323+$C323+$D323+$E323+$F323)</f>
        <v/>
      </c>
      <c r="H323" s="22" t="str">
        <f aca="false">IF($A323="","",$G323*AySayisi)</f>
        <v/>
      </c>
    </row>
    <row r="324" customFormat="false" ht="15" hidden="false" customHeight="false" outlineLevel="0" collapsed="false">
      <c r="A324" s="19"/>
      <c r="B324" s="22" t="str">
        <f aca="false">IF($A324="","",IFERROR(INDEX(tblCalisan[Brüt Ücret (₺)],MATCH($A324,tblCalisan[Çalışan Adı],0)),""))</f>
        <v/>
      </c>
      <c r="C324" s="22" t="str">
        <f aca="false">IF($A324="","",$B324*IsverenPayiOrani)</f>
        <v/>
      </c>
      <c r="D324" s="22" t="str">
        <f aca="false">IF($A324="","",$B324*IssizlikOrani)</f>
        <v/>
      </c>
      <c r="E324" s="22" t="str">
        <f aca="false">IF($A324="","",$B324*KidemKarsilikOrani)</f>
        <v/>
      </c>
      <c r="F324" s="20"/>
      <c r="G324" s="22" t="str">
        <f aca="false">IF($A324="","",$B324+$C324+$D324+$E324+$F324)</f>
        <v/>
      </c>
      <c r="H324" s="22" t="str">
        <f aca="false">IF($A324="","",$G324*AySayisi)</f>
        <v/>
      </c>
    </row>
    <row r="325" customFormat="false" ht="15" hidden="false" customHeight="false" outlineLevel="0" collapsed="false">
      <c r="A325" s="19"/>
      <c r="B325" s="22" t="str">
        <f aca="false">IF($A325="","",IFERROR(INDEX(tblCalisan[Brüt Ücret (₺)],MATCH($A325,tblCalisan[Çalışan Adı],0)),""))</f>
        <v/>
      </c>
      <c r="C325" s="22" t="str">
        <f aca="false">IF($A325="","",$B325*IsverenPayiOrani)</f>
        <v/>
      </c>
      <c r="D325" s="22" t="str">
        <f aca="false">IF($A325="","",$B325*IssizlikOrani)</f>
        <v/>
      </c>
      <c r="E325" s="22" t="str">
        <f aca="false">IF($A325="","",$B325*KidemKarsilikOrani)</f>
        <v/>
      </c>
      <c r="F325" s="20"/>
      <c r="G325" s="22" t="str">
        <f aca="false">IF($A325="","",$B325+$C325+$D325+$E325+$F325)</f>
        <v/>
      </c>
      <c r="H325" s="22" t="str">
        <f aca="false">IF($A325="","",$G325*AySayisi)</f>
        <v/>
      </c>
    </row>
    <row r="326" customFormat="false" ht="15" hidden="false" customHeight="false" outlineLevel="0" collapsed="false">
      <c r="A326" s="19"/>
      <c r="B326" s="22" t="str">
        <f aca="false">IF($A326="","",IFERROR(INDEX(tblCalisan[Brüt Ücret (₺)],MATCH($A326,tblCalisan[Çalışan Adı],0)),""))</f>
        <v/>
      </c>
      <c r="C326" s="22" t="str">
        <f aca="false">IF($A326="","",$B326*IsverenPayiOrani)</f>
        <v/>
      </c>
      <c r="D326" s="22" t="str">
        <f aca="false">IF($A326="","",$B326*IssizlikOrani)</f>
        <v/>
      </c>
      <c r="E326" s="22" t="str">
        <f aca="false">IF($A326="","",$B326*KidemKarsilikOrani)</f>
        <v/>
      </c>
      <c r="F326" s="20"/>
      <c r="G326" s="22" t="str">
        <f aca="false">IF($A326="","",$B326+$C326+$D326+$E326+$F326)</f>
        <v/>
      </c>
      <c r="H326" s="22" t="str">
        <f aca="false">IF($A326="","",$G326*AySayisi)</f>
        <v/>
      </c>
    </row>
    <row r="327" customFormat="false" ht="15" hidden="false" customHeight="false" outlineLevel="0" collapsed="false">
      <c r="A327" s="19"/>
      <c r="B327" s="22" t="str">
        <f aca="false">IF($A327="","",IFERROR(INDEX(tblCalisan[Brüt Ücret (₺)],MATCH($A327,tblCalisan[Çalışan Adı],0)),""))</f>
        <v/>
      </c>
      <c r="C327" s="22" t="str">
        <f aca="false">IF($A327="","",$B327*IsverenPayiOrani)</f>
        <v/>
      </c>
      <c r="D327" s="22" t="str">
        <f aca="false">IF($A327="","",$B327*IssizlikOrani)</f>
        <v/>
      </c>
      <c r="E327" s="22" t="str">
        <f aca="false">IF($A327="","",$B327*KidemKarsilikOrani)</f>
        <v/>
      </c>
      <c r="F327" s="20"/>
      <c r="G327" s="22" t="str">
        <f aca="false">IF($A327="","",$B327+$C327+$D327+$E327+$F327)</f>
        <v/>
      </c>
      <c r="H327" s="22" t="str">
        <f aca="false">IF($A327="","",$G327*AySayisi)</f>
        <v/>
      </c>
    </row>
    <row r="328" customFormat="false" ht="15" hidden="false" customHeight="false" outlineLevel="0" collapsed="false">
      <c r="A328" s="19"/>
      <c r="B328" s="22" t="str">
        <f aca="false">IF($A328="","",IFERROR(INDEX(tblCalisan[Brüt Ücret (₺)],MATCH($A328,tblCalisan[Çalışan Adı],0)),""))</f>
        <v/>
      </c>
      <c r="C328" s="22" t="str">
        <f aca="false">IF($A328="","",$B328*IsverenPayiOrani)</f>
        <v/>
      </c>
      <c r="D328" s="22" t="str">
        <f aca="false">IF($A328="","",$B328*IssizlikOrani)</f>
        <v/>
      </c>
      <c r="E328" s="22" t="str">
        <f aca="false">IF($A328="","",$B328*KidemKarsilikOrani)</f>
        <v/>
      </c>
      <c r="F328" s="20"/>
      <c r="G328" s="22" t="str">
        <f aca="false">IF($A328="","",$B328+$C328+$D328+$E328+$F328)</f>
        <v/>
      </c>
      <c r="H328" s="22" t="str">
        <f aca="false">IF($A328="","",$G328*AySayisi)</f>
        <v/>
      </c>
    </row>
    <row r="329" customFormat="false" ht="15" hidden="false" customHeight="false" outlineLevel="0" collapsed="false">
      <c r="A329" s="19"/>
      <c r="B329" s="22" t="str">
        <f aca="false">IF($A329="","",IFERROR(INDEX(tblCalisan[Brüt Ücret (₺)],MATCH($A329,tblCalisan[Çalışan Adı],0)),""))</f>
        <v/>
      </c>
      <c r="C329" s="22" t="str">
        <f aca="false">IF($A329="","",$B329*IsverenPayiOrani)</f>
        <v/>
      </c>
      <c r="D329" s="22" t="str">
        <f aca="false">IF($A329="","",$B329*IssizlikOrani)</f>
        <v/>
      </c>
      <c r="E329" s="22" t="str">
        <f aca="false">IF($A329="","",$B329*KidemKarsilikOrani)</f>
        <v/>
      </c>
      <c r="F329" s="20"/>
      <c r="G329" s="22" t="str">
        <f aca="false">IF($A329="","",$B329+$C329+$D329+$E329+$F329)</f>
        <v/>
      </c>
      <c r="H329" s="22" t="str">
        <f aca="false">IF($A329="","",$G329*AySayisi)</f>
        <v/>
      </c>
    </row>
    <row r="330" customFormat="false" ht="15" hidden="false" customHeight="false" outlineLevel="0" collapsed="false">
      <c r="A330" s="19"/>
      <c r="B330" s="22" t="str">
        <f aca="false">IF($A330="","",IFERROR(INDEX(tblCalisan[Brüt Ücret (₺)],MATCH($A330,tblCalisan[Çalışan Adı],0)),""))</f>
        <v/>
      </c>
      <c r="C330" s="22" t="str">
        <f aca="false">IF($A330="","",$B330*IsverenPayiOrani)</f>
        <v/>
      </c>
      <c r="D330" s="22" t="str">
        <f aca="false">IF($A330="","",$B330*IssizlikOrani)</f>
        <v/>
      </c>
      <c r="E330" s="22" t="str">
        <f aca="false">IF($A330="","",$B330*KidemKarsilikOrani)</f>
        <v/>
      </c>
      <c r="F330" s="20"/>
      <c r="G330" s="22" t="str">
        <f aca="false">IF($A330="","",$B330+$C330+$D330+$E330+$F330)</f>
        <v/>
      </c>
      <c r="H330" s="22" t="str">
        <f aca="false">IF($A330="","",$G330*AySayisi)</f>
        <v/>
      </c>
    </row>
    <row r="331" customFormat="false" ht="15" hidden="false" customHeight="false" outlineLevel="0" collapsed="false">
      <c r="A331" s="19"/>
      <c r="B331" s="22" t="str">
        <f aca="false">IF($A331="","",IFERROR(INDEX(tblCalisan[Brüt Ücret (₺)],MATCH($A331,tblCalisan[Çalışan Adı],0)),""))</f>
        <v/>
      </c>
      <c r="C331" s="22" t="str">
        <f aca="false">IF($A331="","",$B331*IsverenPayiOrani)</f>
        <v/>
      </c>
      <c r="D331" s="22" t="str">
        <f aca="false">IF($A331="","",$B331*IssizlikOrani)</f>
        <v/>
      </c>
      <c r="E331" s="22" t="str">
        <f aca="false">IF($A331="","",$B331*KidemKarsilikOrani)</f>
        <v/>
      </c>
      <c r="F331" s="20"/>
      <c r="G331" s="22" t="str">
        <f aca="false">IF($A331="","",$B331+$C331+$D331+$E331+$F331)</f>
        <v/>
      </c>
      <c r="H331" s="22" t="str">
        <f aca="false">IF($A331="","",$G331*AySayisi)</f>
        <v/>
      </c>
    </row>
    <row r="332" customFormat="false" ht="15" hidden="false" customHeight="false" outlineLevel="0" collapsed="false">
      <c r="A332" s="19"/>
      <c r="B332" s="22" t="str">
        <f aca="false">IF($A332="","",IFERROR(INDEX(tblCalisan[Brüt Ücret (₺)],MATCH($A332,tblCalisan[Çalışan Adı],0)),""))</f>
        <v/>
      </c>
      <c r="C332" s="22" t="str">
        <f aca="false">IF($A332="","",$B332*IsverenPayiOrani)</f>
        <v/>
      </c>
      <c r="D332" s="22" t="str">
        <f aca="false">IF($A332="","",$B332*IssizlikOrani)</f>
        <v/>
      </c>
      <c r="E332" s="22" t="str">
        <f aca="false">IF($A332="","",$B332*KidemKarsilikOrani)</f>
        <v/>
      </c>
      <c r="F332" s="20"/>
      <c r="G332" s="22" t="str">
        <f aca="false">IF($A332="","",$B332+$C332+$D332+$E332+$F332)</f>
        <v/>
      </c>
      <c r="H332" s="22" t="str">
        <f aca="false">IF($A332="","",$G332*AySayisi)</f>
        <v/>
      </c>
    </row>
    <row r="333" customFormat="false" ht="15" hidden="false" customHeight="false" outlineLevel="0" collapsed="false">
      <c r="A333" s="19"/>
      <c r="B333" s="22" t="str">
        <f aca="false">IF($A333="","",IFERROR(INDEX(tblCalisan[Brüt Ücret (₺)],MATCH($A333,tblCalisan[Çalışan Adı],0)),""))</f>
        <v/>
      </c>
      <c r="C333" s="22" t="str">
        <f aca="false">IF($A333="","",$B333*IsverenPayiOrani)</f>
        <v/>
      </c>
      <c r="D333" s="22" t="str">
        <f aca="false">IF($A333="","",$B333*IssizlikOrani)</f>
        <v/>
      </c>
      <c r="E333" s="22" t="str">
        <f aca="false">IF($A333="","",$B333*KidemKarsilikOrani)</f>
        <v/>
      </c>
      <c r="F333" s="20"/>
      <c r="G333" s="22" t="str">
        <f aca="false">IF($A333="","",$B333+$C333+$D333+$E333+$F333)</f>
        <v/>
      </c>
      <c r="H333" s="22" t="str">
        <f aca="false">IF($A333="","",$G333*AySayisi)</f>
        <v/>
      </c>
    </row>
    <row r="334" customFormat="false" ht="15" hidden="false" customHeight="false" outlineLevel="0" collapsed="false">
      <c r="A334" s="19"/>
      <c r="B334" s="22" t="str">
        <f aca="false">IF($A334="","",IFERROR(INDEX(tblCalisan[Brüt Ücret (₺)],MATCH($A334,tblCalisan[Çalışan Adı],0)),""))</f>
        <v/>
      </c>
      <c r="C334" s="22" t="str">
        <f aca="false">IF($A334="","",$B334*IsverenPayiOrani)</f>
        <v/>
      </c>
      <c r="D334" s="22" t="str">
        <f aca="false">IF($A334="","",$B334*IssizlikOrani)</f>
        <v/>
      </c>
      <c r="E334" s="22" t="str">
        <f aca="false">IF($A334="","",$B334*KidemKarsilikOrani)</f>
        <v/>
      </c>
      <c r="F334" s="20"/>
      <c r="G334" s="22" t="str">
        <f aca="false">IF($A334="","",$B334+$C334+$D334+$E334+$F334)</f>
        <v/>
      </c>
      <c r="H334" s="22" t="str">
        <f aca="false">IF($A334="","",$G334*AySayisi)</f>
        <v/>
      </c>
    </row>
    <row r="335" customFormat="false" ht="15" hidden="false" customHeight="false" outlineLevel="0" collapsed="false">
      <c r="A335" s="19"/>
      <c r="B335" s="22" t="str">
        <f aca="false">IF($A335="","",IFERROR(INDEX(tblCalisan[Brüt Ücret (₺)],MATCH($A335,tblCalisan[Çalışan Adı],0)),""))</f>
        <v/>
      </c>
      <c r="C335" s="22" t="str">
        <f aca="false">IF($A335="","",$B335*IsverenPayiOrani)</f>
        <v/>
      </c>
      <c r="D335" s="22" t="str">
        <f aca="false">IF($A335="","",$B335*IssizlikOrani)</f>
        <v/>
      </c>
      <c r="E335" s="22" t="str">
        <f aca="false">IF($A335="","",$B335*KidemKarsilikOrani)</f>
        <v/>
      </c>
      <c r="F335" s="20"/>
      <c r="G335" s="22" t="str">
        <f aca="false">IF($A335="","",$B335+$C335+$D335+$E335+$F335)</f>
        <v/>
      </c>
      <c r="H335" s="22" t="str">
        <f aca="false">IF($A335="","",$G335*AySayisi)</f>
        <v/>
      </c>
    </row>
    <row r="336" customFormat="false" ht="15" hidden="false" customHeight="false" outlineLevel="0" collapsed="false">
      <c r="A336" s="19"/>
      <c r="B336" s="22" t="str">
        <f aca="false">IF($A336="","",IFERROR(INDEX(tblCalisan[Brüt Ücret (₺)],MATCH($A336,tblCalisan[Çalışan Adı],0)),""))</f>
        <v/>
      </c>
      <c r="C336" s="22" t="str">
        <f aca="false">IF($A336="","",$B336*IsverenPayiOrani)</f>
        <v/>
      </c>
      <c r="D336" s="22" t="str">
        <f aca="false">IF($A336="","",$B336*IssizlikOrani)</f>
        <v/>
      </c>
      <c r="E336" s="22" t="str">
        <f aca="false">IF($A336="","",$B336*KidemKarsilikOrani)</f>
        <v/>
      </c>
      <c r="F336" s="20"/>
      <c r="G336" s="22" t="str">
        <f aca="false">IF($A336="","",$B336+$C336+$D336+$E336+$F336)</f>
        <v/>
      </c>
      <c r="H336" s="22" t="str">
        <f aca="false">IF($A336="","",$G336*AySayisi)</f>
        <v/>
      </c>
    </row>
    <row r="337" customFormat="false" ht="15" hidden="false" customHeight="false" outlineLevel="0" collapsed="false">
      <c r="A337" s="19"/>
      <c r="B337" s="22" t="str">
        <f aca="false">IF($A337="","",IFERROR(INDEX(tblCalisan[Brüt Ücret (₺)],MATCH($A337,tblCalisan[Çalışan Adı],0)),""))</f>
        <v/>
      </c>
      <c r="C337" s="22" t="str">
        <f aca="false">IF($A337="","",$B337*IsverenPayiOrani)</f>
        <v/>
      </c>
      <c r="D337" s="22" t="str">
        <f aca="false">IF($A337="","",$B337*IssizlikOrani)</f>
        <v/>
      </c>
      <c r="E337" s="22" t="str">
        <f aca="false">IF($A337="","",$B337*KidemKarsilikOrani)</f>
        <v/>
      </c>
      <c r="F337" s="20"/>
      <c r="G337" s="22" t="str">
        <f aca="false">IF($A337="","",$B337+$C337+$D337+$E337+$F337)</f>
        <v/>
      </c>
      <c r="H337" s="22" t="str">
        <f aca="false">IF($A337="","",$G337*AySayisi)</f>
        <v/>
      </c>
    </row>
    <row r="338" customFormat="false" ht="15" hidden="false" customHeight="false" outlineLevel="0" collapsed="false">
      <c r="A338" s="19"/>
      <c r="B338" s="22" t="str">
        <f aca="false">IF($A338="","",IFERROR(INDEX(tblCalisan[Brüt Ücret (₺)],MATCH($A338,tblCalisan[Çalışan Adı],0)),""))</f>
        <v/>
      </c>
      <c r="C338" s="22" t="str">
        <f aca="false">IF($A338="","",$B338*IsverenPayiOrani)</f>
        <v/>
      </c>
      <c r="D338" s="22" t="str">
        <f aca="false">IF($A338="","",$B338*IssizlikOrani)</f>
        <v/>
      </c>
      <c r="E338" s="22" t="str">
        <f aca="false">IF($A338="","",$B338*KidemKarsilikOrani)</f>
        <v/>
      </c>
      <c r="F338" s="20"/>
      <c r="G338" s="22" t="str">
        <f aca="false">IF($A338="","",$B338+$C338+$D338+$E338+$F338)</f>
        <v/>
      </c>
      <c r="H338" s="22" t="str">
        <f aca="false">IF($A338="","",$G338*AySayisi)</f>
        <v/>
      </c>
    </row>
    <row r="339" customFormat="false" ht="15" hidden="false" customHeight="false" outlineLevel="0" collapsed="false">
      <c r="A339" s="19"/>
      <c r="B339" s="22" t="str">
        <f aca="false">IF($A339="","",IFERROR(INDEX(tblCalisan[Brüt Ücret (₺)],MATCH($A339,tblCalisan[Çalışan Adı],0)),""))</f>
        <v/>
      </c>
      <c r="C339" s="22" t="str">
        <f aca="false">IF($A339="","",$B339*IsverenPayiOrani)</f>
        <v/>
      </c>
      <c r="D339" s="22" t="str">
        <f aca="false">IF($A339="","",$B339*IssizlikOrani)</f>
        <v/>
      </c>
      <c r="E339" s="22" t="str">
        <f aca="false">IF($A339="","",$B339*KidemKarsilikOrani)</f>
        <v/>
      </c>
      <c r="F339" s="20"/>
      <c r="G339" s="22" t="str">
        <f aca="false">IF($A339="","",$B339+$C339+$D339+$E339+$F339)</f>
        <v/>
      </c>
      <c r="H339" s="22" t="str">
        <f aca="false">IF($A339="","",$G339*AySayisi)</f>
        <v/>
      </c>
    </row>
    <row r="340" customFormat="false" ht="15" hidden="false" customHeight="false" outlineLevel="0" collapsed="false">
      <c r="A340" s="19"/>
      <c r="B340" s="22" t="str">
        <f aca="false">IF($A340="","",IFERROR(INDEX(tblCalisan[Brüt Ücret (₺)],MATCH($A340,tblCalisan[Çalışan Adı],0)),""))</f>
        <v/>
      </c>
      <c r="C340" s="22" t="str">
        <f aca="false">IF($A340="","",$B340*IsverenPayiOrani)</f>
        <v/>
      </c>
      <c r="D340" s="22" t="str">
        <f aca="false">IF($A340="","",$B340*IssizlikOrani)</f>
        <v/>
      </c>
      <c r="E340" s="22" t="str">
        <f aca="false">IF($A340="","",$B340*KidemKarsilikOrani)</f>
        <v/>
      </c>
      <c r="F340" s="20"/>
      <c r="G340" s="22" t="str">
        <f aca="false">IF($A340="","",$B340+$C340+$D340+$E340+$F340)</f>
        <v/>
      </c>
      <c r="H340" s="22" t="str">
        <f aca="false">IF($A340="","",$G340*AySayisi)</f>
        <v/>
      </c>
    </row>
    <row r="341" customFormat="false" ht="15" hidden="false" customHeight="false" outlineLevel="0" collapsed="false">
      <c r="A341" s="19"/>
      <c r="B341" s="22" t="str">
        <f aca="false">IF($A341="","",IFERROR(INDEX(tblCalisan[Brüt Ücret (₺)],MATCH($A341,tblCalisan[Çalışan Adı],0)),""))</f>
        <v/>
      </c>
      <c r="C341" s="22" t="str">
        <f aca="false">IF($A341="","",$B341*IsverenPayiOrani)</f>
        <v/>
      </c>
      <c r="D341" s="22" t="str">
        <f aca="false">IF($A341="","",$B341*IssizlikOrani)</f>
        <v/>
      </c>
      <c r="E341" s="22" t="str">
        <f aca="false">IF($A341="","",$B341*KidemKarsilikOrani)</f>
        <v/>
      </c>
      <c r="F341" s="20"/>
      <c r="G341" s="22" t="str">
        <f aca="false">IF($A341="","",$B341+$C341+$D341+$E341+$F341)</f>
        <v/>
      </c>
      <c r="H341" s="22" t="str">
        <f aca="false">IF($A341="","",$G341*AySayisi)</f>
        <v/>
      </c>
    </row>
    <row r="342" customFormat="false" ht="15" hidden="false" customHeight="false" outlineLevel="0" collapsed="false">
      <c r="A342" s="19"/>
      <c r="B342" s="22" t="str">
        <f aca="false">IF($A342="","",IFERROR(INDEX(tblCalisan[Brüt Ücret (₺)],MATCH($A342,tblCalisan[Çalışan Adı],0)),""))</f>
        <v/>
      </c>
      <c r="C342" s="22" t="str">
        <f aca="false">IF($A342="","",$B342*IsverenPayiOrani)</f>
        <v/>
      </c>
      <c r="D342" s="22" t="str">
        <f aca="false">IF($A342="","",$B342*IssizlikOrani)</f>
        <v/>
      </c>
      <c r="E342" s="22" t="str">
        <f aca="false">IF($A342="","",$B342*KidemKarsilikOrani)</f>
        <v/>
      </c>
      <c r="F342" s="20"/>
      <c r="G342" s="22" t="str">
        <f aca="false">IF($A342="","",$B342+$C342+$D342+$E342+$F342)</f>
        <v/>
      </c>
      <c r="H342" s="22" t="str">
        <f aca="false">IF($A342="","",$G342*AySayisi)</f>
        <v/>
      </c>
    </row>
    <row r="343" customFormat="false" ht="15" hidden="false" customHeight="false" outlineLevel="0" collapsed="false">
      <c r="A343" s="19"/>
      <c r="B343" s="22" t="str">
        <f aca="false">IF($A343="","",IFERROR(INDEX(tblCalisan[Brüt Ücret (₺)],MATCH($A343,tblCalisan[Çalışan Adı],0)),""))</f>
        <v/>
      </c>
      <c r="C343" s="22" t="str">
        <f aca="false">IF($A343="","",$B343*IsverenPayiOrani)</f>
        <v/>
      </c>
      <c r="D343" s="22" t="str">
        <f aca="false">IF($A343="","",$B343*IssizlikOrani)</f>
        <v/>
      </c>
      <c r="E343" s="22" t="str">
        <f aca="false">IF($A343="","",$B343*KidemKarsilikOrani)</f>
        <v/>
      </c>
      <c r="F343" s="20"/>
      <c r="G343" s="22" t="str">
        <f aca="false">IF($A343="","",$B343+$C343+$D343+$E343+$F343)</f>
        <v/>
      </c>
      <c r="H343" s="22" t="str">
        <f aca="false">IF($A343="","",$G343*AySayisi)</f>
        <v/>
      </c>
    </row>
    <row r="344" customFormat="false" ht="15" hidden="false" customHeight="false" outlineLevel="0" collapsed="false">
      <c r="A344" s="19"/>
      <c r="B344" s="22" t="str">
        <f aca="false">IF($A344="","",IFERROR(INDEX(tblCalisan[Brüt Ücret (₺)],MATCH($A344,tblCalisan[Çalışan Adı],0)),""))</f>
        <v/>
      </c>
      <c r="C344" s="22" t="str">
        <f aca="false">IF($A344="","",$B344*IsverenPayiOrani)</f>
        <v/>
      </c>
      <c r="D344" s="22" t="str">
        <f aca="false">IF($A344="","",$B344*IssizlikOrani)</f>
        <v/>
      </c>
      <c r="E344" s="22" t="str">
        <f aca="false">IF($A344="","",$B344*KidemKarsilikOrani)</f>
        <v/>
      </c>
      <c r="F344" s="20"/>
      <c r="G344" s="22" t="str">
        <f aca="false">IF($A344="","",$B344+$C344+$D344+$E344+$F344)</f>
        <v/>
      </c>
      <c r="H344" s="22" t="str">
        <f aca="false">IF($A344="","",$G344*AySayisi)</f>
        <v/>
      </c>
    </row>
    <row r="345" customFormat="false" ht="15" hidden="false" customHeight="false" outlineLevel="0" collapsed="false">
      <c r="A345" s="19"/>
      <c r="B345" s="22" t="str">
        <f aca="false">IF($A345="","",IFERROR(INDEX(tblCalisan[Brüt Ücret (₺)],MATCH($A345,tblCalisan[Çalışan Adı],0)),""))</f>
        <v/>
      </c>
      <c r="C345" s="22" t="str">
        <f aca="false">IF($A345="","",$B345*IsverenPayiOrani)</f>
        <v/>
      </c>
      <c r="D345" s="22" t="str">
        <f aca="false">IF($A345="","",$B345*IssizlikOrani)</f>
        <v/>
      </c>
      <c r="E345" s="22" t="str">
        <f aca="false">IF($A345="","",$B345*KidemKarsilikOrani)</f>
        <v/>
      </c>
      <c r="F345" s="20"/>
      <c r="G345" s="22" t="str">
        <f aca="false">IF($A345="","",$B345+$C345+$D345+$E345+$F345)</f>
        <v/>
      </c>
      <c r="H345" s="22" t="str">
        <f aca="false">IF($A345="","",$G345*AySayisi)</f>
        <v/>
      </c>
    </row>
    <row r="346" customFormat="false" ht="15" hidden="false" customHeight="false" outlineLevel="0" collapsed="false">
      <c r="A346" s="19"/>
      <c r="B346" s="22" t="str">
        <f aca="false">IF($A346="","",IFERROR(INDEX(tblCalisan[Brüt Ücret (₺)],MATCH($A346,tblCalisan[Çalışan Adı],0)),""))</f>
        <v/>
      </c>
      <c r="C346" s="22" t="str">
        <f aca="false">IF($A346="","",$B346*IsverenPayiOrani)</f>
        <v/>
      </c>
      <c r="D346" s="22" t="str">
        <f aca="false">IF($A346="","",$B346*IssizlikOrani)</f>
        <v/>
      </c>
      <c r="E346" s="22" t="str">
        <f aca="false">IF($A346="","",$B346*KidemKarsilikOrani)</f>
        <v/>
      </c>
      <c r="F346" s="20"/>
      <c r="G346" s="22" t="str">
        <f aca="false">IF($A346="","",$B346+$C346+$D346+$E346+$F346)</f>
        <v/>
      </c>
      <c r="H346" s="22" t="str">
        <f aca="false">IF($A346="","",$G346*AySayisi)</f>
        <v/>
      </c>
    </row>
    <row r="347" customFormat="false" ht="15" hidden="false" customHeight="false" outlineLevel="0" collapsed="false">
      <c r="A347" s="19"/>
      <c r="B347" s="22" t="str">
        <f aca="false">IF($A347="","",IFERROR(INDEX(tblCalisan[Brüt Ücret (₺)],MATCH($A347,tblCalisan[Çalışan Adı],0)),""))</f>
        <v/>
      </c>
      <c r="C347" s="22" t="str">
        <f aca="false">IF($A347="","",$B347*IsverenPayiOrani)</f>
        <v/>
      </c>
      <c r="D347" s="22" t="str">
        <f aca="false">IF($A347="","",$B347*IssizlikOrani)</f>
        <v/>
      </c>
      <c r="E347" s="22" t="str">
        <f aca="false">IF($A347="","",$B347*KidemKarsilikOrani)</f>
        <v/>
      </c>
      <c r="F347" s="20"/>
      <c r="G347" s="22" t="str">
        <f aca="false">IF($A347="","",$B347+$C347+$D347+$E347+$F347)</f>
        <v/>
      </c>
      <c r="H347" s="22" t="str">
        <f aca="false">IF($A347="","",$G347*AySayisi)</f>
        <v/>
      </c>
    </row>
    <row r="348" customFormat="false" ht="15" hidden="false" customHeight="false" outlineLevel="0" collapsed="false">
      <c r="A348" s="19"/>
      <c r="B348" s="22" t="str">
        <f aca="false">IF($A348="","",IFERROR(INDEX(tblCalisan[Brüt Ücret (₺)],MATCH($A348,tblCalisan[Çalışan Adı],0)),""))</f>
        <v/>
      </c>
      <c r="C348" s="22" t="str">
        <f aca="false">IF($A348="","",$B348*IsverenPayiOrani)</f>
        <v/>
      </c>
      <c r="D348" s="22" t="str">
        <f aca="false">IF($A348="","",$B348*IssizlikOrani)</f>
        <v/>
      </c>
      <c r="E348" s="22" t="str">
        <f aca="false">IF($A348="","",$B348*KidemKarsilikOrani)</f>
        <v/>
      </c>
      <c r="F348" s="20"/>
      <c r="G348" s="22" t="str">
        <f aca="false">IF($A348="","",$B348+$C348+$D348+$E348+$F348)</f>
        <v/>
      </c>
      <c r="H348" s="22" t="str">
        <f aca="false">IF($A348="","",$G348*AySayisi)</f>
        <v/>
      </c>
    </row>
    <row r="349" customFormat="false" ht="15" hidden="false" customHeight="false" outlineLevel="0" collapsed="false">
      <c r="A349" s="19"/>
      <c r="B349" s="22" t="str">
        <f aca="false">IF($A349="","",IFERROR(INDEX(tblCalisan[Brüt Ücret (₺)],MATCH($A349,tblCalisan[Çalışan Adı],0)),""))</f>
        <v/>
      </c>
      <c r="C349" s="22" t="str">
        <f aca="false">IF($A349="","",$B349*IsverenPayiOrani)</f>
        <v/>
      </c>
      <c r="D349" s="22" t="str">
        <f aca="false">IF($A349="","",$B349*IssizlikOrani)</f>
        <v/>
      </c>
      <c r="E349" s="22" t="str">
        <f aca="false">IF($A349="","",$B349*KidemKarsilikOrani)</f>
        <v/>
      </c>
      <c r="F349" s="20"/>
      <c r="G349" s="22" t="str">
        <f aca="false">IF($A349="","",$B349+$C349+$D349+$E349+$F349)</f>
        <v/>
      </c>
      <c r="H349" s="22" t="str">
        <f aca="false">IF($A349="","",$G349*AySayisi)</f>
        <v/>
      </c>
    </row>
    <row r="350" customFormat="false" ht="15" hidden="false" customHeight="false" outlineLevel="0" collapsed="false">
      <c r="A350" s="19"/>
      <c r="B350" s="22" t="str">
        <f aca="false">IF($A350="","",IFERROR(INDEX(tblCalisan[Brüt Ücret (₺)],MATCH($A350,tblCalisan[Çalışan Adı],0)),""))</f>
        <v/>
      </c>
      <c r="C350" s="22" t="str">
        <f aca="false">IF($A350="","",$B350*IsverenPayiOrani)</f>
        <v/>
      </c>
      <c r="D350" s="22" t="str">
        <f aca="false">IF($A350="","",$B350*IssizlikOrani)</f>
        <v/>
      </c>
      <c r="E350" s="22" t="str">
        <f aca="false">IF($A350="","",$B350*KidemKarsilikOrani)</f>
        <v/>
      </c>
      <c r="F350" s="20"/>
      <c r="G350" s="22" t="str">
        <f aca="false">IF($A350="","",$B350+$C350+$D350+$E350+$F350)</f>
        <v/>
      </c>
      <c r="H350" s="22" t="str">
        <f aca="false">IF($A350="","",$G350*AySayisi)</f>
        <v/>
      </c>
    </row>
    <row r="351" customFormat="false" ht="15" hidden="false" customHeight="false" outlineLevel="0" collapsed="false">
      <c r="A351" s="19"/>
      <c r="B351" s="22" t="str">
        <f aca="false">IF($A351="","",IFERROR(INDEX(tblCalisan[Brüt Ücret (₺)],MATCH($A351,tblCalisan[Çalışan Adı],0)),""))</f>
        <v/>
      </c>
      <c r="C351" s="22" t="str">
        <f aca="false">IF($A351="","",$B351*IsverenPayiOrani)</f>
        <v/>
      </c>
      <c r="D351" s="22" t="str">
        <f aca="false">IF($A351="","",$B351*IssizlikOrani)</f>
        <v/>
      </c>
      <c r="E351" s="22" t="str">
        <f aca="false">IF($A351="","",$B351*KidemKarsilikOrani)</f>
        <v/>
      </c>
      <c r="F351" s="20"/>
      <c r="G351" s="22" t="str">
        <f aca="false">IF($A351="","",$B351+$C351+$D351+$E351+$F351)</f>
        <v/>
      </c>
      <c r="H351" s="22" t="str">
        <f aca="false">IF($A351="","",$G351*AySayisi)</f>
        <v/>
      </c>
    </row>
    <row r="352" customFormat="false" ht="15" hidden="false" customHeight="false" outlineLevel="0" collapsed="false">
      <c r="A352" s="19"/>
      <c r="B352" s="22" t="str">
        <f aca="false">IF($A352="","",IFERROR(INDEX(tblCalisan[Brüt Ücret (₺)],MATCH($A352,tblCalisan[Çalışan Adı],0)),""))</f>
        <v/>
      </c>
      <c r="C352" s="22" t="str">
        <f aca="false">IF($A352="","",$B352*IsverenPayiOrani)</f>
        <v/>
      </c>
      <c r="D352" s="22" t="str">
        <f aca="false">IF($A352="","",$B352*IssizlikOrani)</f>
        <v/>
      </c>
      <c r="E352" s="22" t="str">
        <f aca="false">IF($A352="","",$B352*KidemKarsilikOrani)</f>
        <v/>
      </c>
      <c r="F352" s="20"/>
      <c r="G352" s="22" t="str">
        <f aca="false">IF($A352="","",$B352+$C352+$D352+$E352+$F352)</f>
        <v/>
      </c>
      <c r="H352" s="22" t="str">
        <f aca="false">IF($A352="","",$G352*AySayisi)</f>
        <v/>
      </c>
    </row>
    <row r="353" customFormat="false" ht="15" hidden="false" customHeight="false" outlineLevel="0" collapsed="false">
      <c r="A353" s="19"/>
      <c r="B353" s="22" t="str">
        <f aca="false">IF($A353="","",IFERROR(INDEX(tblCalisan[Brüt Ücret (₺)],MATCH($A353,tblCalisan[Çalışan Adı],0)),""))</f>
        <v/>
      </c>
      <c r="C353" s="22" t="str">
        <f aca="false">IF($A353="","",$B353*IsverenPayiOrani)</f>
        <v/>
      </c>
      <c r="D353" s="22" t="str">
        <f aca="false">IF($A353="","",$B353*IssizlikOrani)</f>
        <v/>
      </c>
      <c r="E353" s="22" t="str">
        <f aca="false">IF($A353="","",$B353*KidemKarsilikOrani)</f>
        <v/>
      </c>
      <c r="F353" s="20"/>
      <c r="G353" s="22" t="str">
        <f aca="false">IF($A353="","",$B353+$C353+$D353+$E353+$F353)</f>
        <v/>
      </c>
      <c r="H353" s="22" t="str">
        <f aca="false">IF($A353="","",$G353*AySayisi)</f>
        <v/>
      </c>
    </row>
    <row r="354" customFormat="false" ht="15" hidden="false" customHeight="false" outlineLevel="0" collapsed="false">
      <c r="A354" s="19"/>
      <c r="B354" s="22" t="str">
        <f aca="false">IF($A354="","",IFERROR(INDEX(tblCalisan[Brüt Ücret (₺)],MATCH($A354,tblCalisan[Çalışan Adı],0)),""))</f>
        <v/>
      </c>
      <c r="C354" s="22" t="str">
        <f aca="false">IF($A354="","",$B354*IsverenPayiOrani)</f>
        <v/>
      </c>
      <c r="D354" s="22" t="str">
        <f aca="false">IF($A354="","",$B354*IssizlikOrani)</f>
        <v/>
      </c>
      <c r="E354" s="22" t="str">
        <f aca="false">IF($A354="","",$B354*KidemKarsilikOrani)</f>
        <v/>
      </c>
      <c r="F354" s="20"/>
      <c r="G354" s="22" t="str">
        <f aca="false">IF($A354="","",$B354+$C354+$D354+$E354+$F354)</f>
        <v/>
      </c>
      <c r="H354" s="22" t="str">
        <f aca="false">IF($A354="","",$G354*AySayisi)</f>
        <v/>
      </c>
    </row>
    <row r="355" customFormat="false" ht="15" hidden="false" customHeight="false" outlineLevel="0" collapsed="false">
      <c r="A355" s="19"/>
      <c r="B355" s="22" t="str">
        <f aca="false">IF($A355="","",IFERROR(INDEX(tblCalisan[Brüt Ücret (₺)],MATCH($A355,tblCalisan[Çalışan Adı],0)),""))</f>
        <v/>
      </c>
      <c r="C355" s="22" t="str">
        <f aca="false">IF($A355="","",$B355*IsverenPayiOrani)</f>
        <v/>
      </c>
      <c r="D355" s="22" t="str">
        <f aca="false">IF($A355="","",$B355*IssizlikOrani)</f>
        <v/>
      </c>
      <c r="E355" s="22" t="str">
        <f aca="false">IF($A355="","",$B355*KidemKarsilikOrani)</f>
        <v/>
      </c>
      <c r="F355" s="20"/>
      <c r="G355" s="22" t="str">
        <f aca="false">IF($A355="","",$B355+$C355+$D355+$E355+$F355)</f>
        <v/>
      </c>
      <c r="H355" s="22" t="str">
        <f aca="false">IF($A355="","",$G355*AySayisi)</f>
        <v/>
      </c>
    </row>
    <row r="356" customFormat="false" ht="15" hidden="false" customHeight="false" outlineLevel="0" collapsed="false">
      <c r="A356" s="19"/>
      <c r="B356" s="22" t="str">
        <f aca="false">IF($A356="","",IFERROR(INDEX(tblCalisan[Brüt Ücret (₺)],MATCH($A356,tblCalisan[Çalışan Adı],0)),""))</f>
        <v/>
      </c>
      <c r="C356" s="22" t="str">
        <f aca="false">IF($A356="","",$B356*IsverenPayiOrani)</f>
        <v/>
      </c>
      <c r="D356" s="22" t="str">
        <f aca="false">IF($A356="","",$B356*IssizlikOrani)</f>
        <v/>
      </c>
      <c r="E356" s="22" t="str">
        <f aca="false">IF($A356="","",$B356*KidemKarsilikOrani)</f>
        <v/>
      </c>
      <c r="F356" s="20"/>
      <c r="G356" s="22" t="str">
        <f aca="false">IF($A356="","",$B356+$C356+$D356+$E356+$F356)</f>
        <v/>
      </c>
      <c r="H356" s="22" t="str">
        <f aca="false">IF($A356="","",$G356*AySayisi)</f>
        <v/>
      </c>
    </row>
    <row r="357" customFormat="false" ht="15" hidden="false" customHeight="false" outlineLevel="0" collapsed="false">
      <c r="A357" s="19"/>
      <c r="B357" s="22" t="str">
        <f aca="false">IF($A357="","",IFERROR(INDEX(tblCalisan[Brüt Ücret (₺)],MATCH($A357,tblCalisan[Çalışan Adı],0)),""))</f>
        <v/>
      </c>
      <c r="C357" s="22" t="str">
        <f aca="false">IF($A357="","",$B357*IsverenPayiOrani)</f>
        <v/>
      </c>
      <c r="D357" s="22" t="str">
        <f aca="false">IF($A357="","",$B357*IssizlikOrani)</f>
        <v/>
      </c>
      <c r="E357" s="22" t="str">
        <f aca="false">IF($A357="","",$B357*KidemKarsilikOrani)</f>
        <v/>
      </c>
      <c r="F357" s="20"/>
      <c r="G357" s="22" t="str">
        <f aca="false">IF($A357="","",$B357+$C357+$D357+$E357+$F357)</f>
        <v/>
      </c>
      <c r="H357" s="22" t="str">
        <f aca="false">IF($A357="","",$G357*AySayisi)</f>
        <v/>
      </c>
    </row>
    <row r="358" customFormat="false" ht="15" hidden="false" customHeight="false" outlineLevel="0" collapsed="false">
      <c r="A358" s="19"/>
      <c r="B358" s="22" t="str">
        <f aca="false">IF($A358="","",IFERROR(INDEX(tblCalisan[Brüt Ücret (₺)],MATCH($A358,tblCalisan[Çalışan Adı],0)),""))</f>
        <v/>
      </c>
      <c r="C358" s="22" t="str">
        <f aca="false">IF($A358="","",$B358*IsverenPayiOrani)</f>
        <v/>
      </c>
      <c r="D358" s="22" t="str">
        <f aca="false">IF($A358="","",$B358*IssizlikOrani)</f>
        <v/>
      </c>
      <c r="E358" s="22" t="str">
        <f aca="false">IF($A358="","",$B358*KidemKarsilikOrani)</f>
        <v/>
      </c>
      <c r="F358" s="20"/>
      <c r="G358" s="22" t="str">
        <f aca="false">IF($A358="","",$B358+$C358+$D358+$E358+$F358)</f>
        <v/>
      </c>
      <c r="H358" s="22" t="str">
        <f aca="false">IF($A358="","",$G358*AySayisi)</f>
        <v/>
      </c>
    </row>
    <row r="359" customFormat="false" ht="15" hidden="false" customHeight="false" outlineLevel="0" collapsed="false">
      <c r="A359" s="19"/>
      <c r="B359" s="22" t="str">
        <f aca="false">IF($A359="","",IFERROR(INDEX(tblCalisan[Brüt Ücret (₺)],MATCH($A359,tblCalisan[Çalışan Adı],0)),""))</f>
        <v/>
      </c>
      <c r="C359" s="22" t="str">
        <f aca="false">IF($A359="","",$B359*IsverenPayiOrani)</f>
        <v/>
      </c>
      <c r="D359" s="22" t="str">
        <f aca="false">IF($A359="","",$B359*IssizlikOrani)</f>
        <v/>
      </c>
      <c r="E359" s="22" t="str">
        <f aca="false">IF($A359="","",$B359*KidemKarsilikOrani)</f>
        <v/>
      </c>
      <c r="F359" s="20"/>
      <c r="G359" s="22" t="str">
        <f aca="false">IF($A359="","",$B359+$C359+$D359+$E359+$F359)</f>
        <v/>
      </c>
      <c r="H359" s="22" t="str">
        <f aca="false">IF($A359="","",$G359*AySayisi)</f>
        <v/>
      </c>
    </row>
    <row r="360" customFormat="false" ht="15" hidden="false" customHeight="false" outlineLevel="0" collapsed="false">
      <c r="A360" s="19"/>
      <c r="B360" s="22" t="str">
        <f aca="false">IF($A360="","",IFERROR(INDEX(tblCalisan[Brüt Ücret (₺)],MATCH($A360,tblCalisan[Çalışan Adı],0)),""))</f>
        <v/>
      </c>
      <c r="C360" s="22" t="str">
        <f aca="false">IF($A360="","",$B360*IsverenPayiOrani)</f>
        <v/>
      </c>
      <c r="D360" s="22" t="str">
        <f aca="false">IF($A360="","",$B360*IssizlikOrani)</f>
        <v/>
      </c>
      <c r="E360" s="22" t="str">
        <f aca="false">IF($A360="","",$B360*KidemKarsilikOrani)</f>
        <v/>
      </c>
      <c r="F360" s="20"/>
      <c r="G360" s="22" t="str">
        <f aca="false">IF($A360="","",$B360+$C360+$D360+$E360+$F360)</f>
        <v/>
      </c>
      <c r="H360" s="22" t="str">
        <f aca="false">IF($A360="","",$G360*AySayisi)</f>
        <v/>
      </c>
    </row>
    <row r="361" customFormat="false" ht="15" hidden="false" customHeight="false" outlineLevel="0" collapsed="false">
      <c r="A361" s="19"/>
      <c r="B361" s="22" t="str">
        <f aca="false">IF($A361="","",IFERROR(INDEX(tblCalisan[Brüt Ücret (₺)],MATCH($A361,tblCalisan[Çalışan Adı],0)),""))</f>
        <v/>
      </c>
      <c r="C361" s="22" t="str">
        <f aca="false">IF($A361="","",$B361*IsverenPayiOrani)</f>
        <v/>
      </c>
      <c r="D361" s="22" t="str">
        <f aca="false">IF($A361="","",$B361*IssizlikOrani)</f>
        <v/>
      </c>
      <c r="E361" s="22" t="str">
        <f aca="false">IF($A361="","",$B361*KidemKarsilikOrani)</f>
        <v/>
      </c>
      <c r="F361" s="20"/>
      <c r="G361" s="22" t="str">
        <f aca="false">IF($A361="","",$B361+$C361+$D361+$E361+$F361)</f>
        <v/>
      </c>
      <c r="H361" s="22" t="str">
        <f aca="false">IF($A361="","",$G361*AySayisi)</f>
        <v/>
      </c>
    </row>
    <row r="362" customFormat="false" ht="15" hidden="false" customHeight="false" outlineLevel="0" collapsed="false">
      <c r="A362" s="19"/>
      <c r="B362" s="22" t="str">
        <f aca="false">IF($A362="","",IFERROR(INDEX(tblCalisan[Brüt Ücret (₺)],MATCH($A362,tblCalisan[Çalışan Adı],0)),""))</f>
        <v/>
      </c>
      <c r="C362" s="22" t="str">
        <f aca="false">IF($A362="","",$B362*IsverenPayiOrani)</f>
        <v/>
      </c>
      <c r="D362" s="22" t="str">
        <f aca="false">IF($A362="","",$B362*IssizlikOrani)</f>
        <v/>
      </c>
      <c r="E362" s="22" t="str">
        <f aca="false">IF($A362="","",$B362*KidemKarsilikOrani)</f>
        <v/>
      </c>
      <c r="F362" s="20"/>
      <c r="G362" s="22" t="str">
        <f aca="false">IF($A362="","",$B362+$C362+$D362+$E362+$F362)</f>
        <v/>
      </c>
      <c r="H362" s="22" t="str">
        <f aca="false">IF($A362="","",$G362*AySayisi)</f>
        <v/>
      </c>
    </row>
    <row r="363" customFormat="false" ht="15" hidden="false" customHeight="false" outlineLevel="0" collapsed="false">
      <c r="A363" s="19"/>
      <c r="B363" s="22" t="str">
        <f aca="false">IF($A363="","",IFERROR(INDEX(tblCalisan[Brüt Ücret (₺)],MATCH($A363,tblCalisan[Çalışan Adı],0)),""))</f>
        <v/>
      </c>
      <c r="C363" s="22" t="str">
        <f aca="false">IF($A363="","",$B363*IsverenPayiOrani)</f>
        <v/>
      </c>
      <c r="D363" s="22" t="str">
        <f aca="false">IF($A363="","",$B363*IssizlikOrani)</f>
        <v/>
      </c>
      <c r="E363" s="22" t="str">
        <f aca="false">IF($A363="","",$B363*KidemKarsilikOrani)</f>
        <v/>
      </c>
      <c r="F363" s="20"/>
      <c r="G363" s="22" t="str">
        <f aca="false">IF($A363="","",$B363+$C363+$D363+$E363+$F363)</f>
        <v/>
      </c>
      <c r="H363" s="22" t="str">
        <f aca="false">IF($A363="","",$G363*AySayisi)</f>
        <v/>
      </c>
    </row>
    <row r="364" customFormat="false" ht="15" hidden="false" customHeight="false" outlineLevel="0" collapsed="false">
      <c r="A364" s="19"/>
      <c r="B364" s="22" t="str">
        <f aca="false">IF($A364="","",IFERROR(INDEX(tblCalisan[Brüt Ücret (₺)],MATCH($A364,tblCalisan[Çalışan Adı],0)),""))</f>
        <v/>
      </c>
      <c r="C364" s="22" t="str">
        <f aca="false">IF($A364="","",$B364*IsverenPayiOrani)</f>
        <v/>
      </c>
      <c r="D364" s="22" t="str">
        <f aca="false">IF($A364="","",$B364*IssizlikOrani)</f>
        <v/>
      </c>
      <c r="E364" s="22" t="str">
        <f aca="false">IF($A364="","",$B364*KidemKarsilikOrani)</f>
        <v/>
      </c>
      <c r="F364" s="20"/>
      <c r="G364" s="22" t="str">
        <f aca="false">IF($A364="","",$B364+$C364+$D364+$E364+$F364)</f>
        <v/>
      </c>
      <c r="H364" s="22" t="str">
        <f aca="false">IF($A364="","",$G364*AySayisi)</f>
        <v/>
      </c>
    </row>
    <row r="365" customFormat="false" ht="15" hidden="false" customHeight="false" outlineLevel="0" collapsed="false">
      <c r="A365" s="19"/>
      <c r="B365" s="22" t="str">
        <f aca="false">IF($A365="","",IFERROR(INDEX(tblCalisan[Brüt Ücret (₺)],MATCH($A365,tblCalisan[Çalışan Adı],0)),""))</f>
        <v/>
      </c>
      <c r="C365" s="22" t="str">
        <f aca="false">IF($A365="","",$B365*IsverenPayiOrani)</f>
        <v/>
      </c>
      <c r="D365" s="22" t="str">
        <f aca="false">IF($A365="","",$B365*IssizlikOrani)</f>
        <v/>
      </c>
      <c r="E365" s="22" t="str">
        <f aca="false">IF($A365="","",$B365*KidemKarsilikOrani)</f>
        <v/>
      </c>
      <c r="F365" s="20"/>
      <c r="G365" s="22" t="str">
        <f aca="false">IF($A365="","",$B365+$C365+$D365+$E365+$F365)</f>
        <v/>
      </c>
      <c r="H365" s="22" t="str">
        <f aca="false">IF($A365="","",$G365*AySayisi)</f>
        <v/>
      </c>
    </row>
    <row r="366" customFormat="false" ht="15" hidden="false" customHeight="false" outlineLevel="0" collapsed="false">
      <c r="A366" s="19"/>
      <c r="B366" s="22" t="str">
        <f aca="false">IF($A366="","",IFERROR(INDEX(tblCalisan[Brüt Ücret (₺)],MATCH($A366,tblCalisan[Çalışan Adı],0)),""))</f>
        <v/>
      </c>
      <c r="C366" s="22" t="str">
        <f aca="false">IF($A366="","",$B366*IsverenPayiOrani)</f>
        <v/>
      </c>
      <c r="D366" s="22" t="str">
        <f aca="false">IF($A366="","",$B366*IssizlikOrani)</f>
        <v/>
      </c>
      <c r="E366" s="22" t="str">
        <f aca="false">IF($A366="","",$B366*KidemKarsilikOrani)</f>
        <v/>
      </c>
      <c r="F366" s="20"/>
      <c r="G366" s="22" t="str">
        <f aca="false">IF($A366="","",$B366+$C366+$D366+$E366+$F366)</f>
        <v/>
      </c>
      <c r="H366" s="22" t="str">
        <f aca="false">IF($A366="","",$G366*AySayisi)</f>
        <v/>
      </c>
    </row>
    <row r="367" customFormat="false" ht="15" hidden="false" customHeight="false" outlineLevel="0" collapsed="false">
      <c r="A367" s="19"/>
      <c r="B367" s="22" t="str">
        <f aca="false">IF($A367="","",IFERROR(INDEX(tblCalisan[Brüt Ücret (₺)],MATCH($A367,tblCalisan[Çalışan Adı],0)),""))</f>
        <v/>
      </c>
      <c r="C367" s="22" t="str">
        <f aca="false">IF($A367="","",$B367*IsverenPayiOrani)</f>
        <v/>
      </c>
      <c r="D367" s="22" t="str">
        <f aca="false">IF($A367="","",$B367*IssizlikOrani)</f>
        <v/>
      </c>
      <c r="E367" s="22" t="str">
        <f aca="false">IF($A367="","",$B367*KidemKarsilikOrani)</f>
        <v/>
      </c>
      <c r="F367" s="20"/>
      <c r="G367" s="22" t="str">
        <f aca="false">IF($A367="","",$B367+$C367+$D367+$E367+$F367)</f>
        <v/>
      </c>
      <c r="H367" s="22" t="str">
        <f aca="false">IF($A367="","",$G367*AySayisi)</f>
        <v/>
      </c>
    </row>
    <row r="368" customFormat="false" ht="15" hidden="false" customHeight="false" outlineLevel="0" collapsed="false">
      <c r="A368" s="19"/>
      <c r="B368" s="22" t="str">
        <f aca="false">IF($A368="","",IFERROR(INDEX(tblCalisan[Brüt Ücret (₺)],MATCH($A368,tblCalisan[Çalışan Adı],0)),""))</f>
        <v/>
      </c>
      <c r="C368" s="22" t="str">
        <f aca="false">IF($A368="","",$B368*IsverenPayiOrani)</f>
        <v/>
      </c>
      <c r="D368" s="22" t="str">
        <f aca="false">IF($A368="","",$B368*IssizlikOrani)</f>
        <v/>
      </c>
      <c r="E368" s="22" t="str">
        <f aca="false">IF($A368="","",$B368*KidemKarsilikOrani)</f>
        <v/>
      </c>
      <c r="F368" s="20"/>
      <c r="G368" s="22" t="str">
        <f aca="false">IF($A368="","",$B368+$C368+$D368+$E368+$F368)</f>
        <v/>
      </c>
      <c r="H368" s="22" t="str">
        <f aca="false">IF($A368="","",$G368*AySayisi)</f>
        <v/>
      </c>
    </row>
    <row r="369" customFormat="false" ht="15" hidden="false" customHeight="false" outlineLevel="0" collapsed="false">
      <c r="A369" s="19"/>
      <c r="B369" s="22" t="str">
        <f aca="false">IF($A369="","",IFERROR(INDEX(tblCalisan[Brüt Ücret (₺)],MATCH($A369,tblCalisan[Çalışan Adı],0)),""))</f>
        <v/>
      </c>
      <c r="C369" s="22" t="str">
        <f aca="false">IF($A369="","",$B369*IsverenPayiOrani)</f>
        <v/>
      </c>
      <c r="D369" s="22" t="str">
        <f aca="false">IF($A369="","",$B369*IssizlikOrani)</f>
        <v/>
      </c>
      <c r="E369" s="22" t="str">
        <f aca="false">IF($A369="","",$B369*KidemKarsilikOrani)</f>
        <v/>
      </c>
      <c r="F369" s="20"/>
      <c r="G369" s="22" t="str">
        <f aca="false">IF($A369="","",$B369+$C369+$D369+$E369+$F369)</f>
        <v/>
      </c>
      <c r="H369" s="22" t="str">
        <f aca="false">IF($A369="","",$G369*AySayisi)</f>
        <v/>
      </c>
    </row>
    <row r="370" customFormat="false" ht="15" hidden="false" customHeight="false" outlineLevel="0" collapsed="false">
      <c r="A370" s="19"/>
      <c r="B370" s="22" t="str">
        <f aca="false">IF($A370="","",IFERROR(INDEX(tblCalisan[Brüt Ücret (₺)],MATCH($A370,tblCalisan[Çalışan Adı],0)),""))</f>
        <v/>
      </c>
      <c r="C370" s="22" t="str">
        <f aca="false">IF($A370="","",$B370*IsverenPayiOrani)</f>
        <v/>
      </c>
      <c r="D370" s="22" t="str">
        <f aca="false">IF($A370="","",$B370*IssizlikOrani)</f>
        <v/>
      </c>
      <c r="E370" s="22" t="str">
        <f aca="false">IF($A370="","",$B370*KidemKarsilikOrani)</f>
        <v/>
      </c>
      <c r="F370" s="20"/>
      <c r="G370" s="22" t="str">
        <f aca="false">IF($A370="","",$B370+$C370+$D370+$E370+$F370)</f>
        <v/>
      </c>
      <c r="H370" s="22" t="str">
        <f aca="false">IF($A370="","",$G370*AySayisi)</f>
        <v/>
      </c>
    </row>
    <row r="371" customFormat="false" ht="15" hidden="false" customHeight="false" outlineLevel="0" collapsed="false">
      <c r="A371" s="19"/>
      <c r="B371" s="22" t="str">
        <f aca="false">IF($A371="","",IFERROR(INDEX(tblCalisan[Brüt Ücret (₺)],MATCH($A371,tblCalisan[Çalışan Adı],0)),""))</f>
        <v/>
      </c>
      <c r="C371" s="22" t="str">
        <f aca="false">IF($A371="","",$B371*IsverenPayiOrani)</f>
        <v/>
      </c>
      <c r="D371" s="22" t="str">
        <f aca="false">IF($A371="","",$B371*IssizlikOrani)</f>
        <v/>
      </c>
      <c r="E371" s="22" t="str">
        <f aca="false">IF($A371="","",$B371*KidemKarsilikOrani)</f>
        <v/>
      </c>
      <c r="F371" s="20"/>
      <c r="G371" s="22" t="str">
        <f aca="false">IF($A371="","",$B371+$C371+$D371+$E371+$F371)</f>
        <v/>
      </c>
      <c r="H371" s="22" t="str">
        <f aca="false">IF($A371="","",$G371*AySayisi)</f>
        <v/>
      </c>
    </row>
    <row r="372" customFormat="false" ht="15" hidden="false" customHeight="false" outlineLevel="0" collapsed="false">
      <c r="A372" s="19"/>
      <c r="B372" s="22" t="str">
        <f aca="false">IF($A372="","",IFERROR(INDEX(tblCalisan[Brüt Ücret (₺)],MATCH($A372,tblCalisan[Çalışan Adı],0)),""))</f>
        <v/>
      </c>
      <c r="C372" s="22" t="str">
        <f aca="false">IF($A372="","",$B372*IsverenPayiOrani)</f>
        <v/>
      </c>
      <c r="D372" s="22" t="str">
        <f aca="false">IF($A372="","",$B372*IssizlikOrani)</f>
        <v/>
      </c>
      <c r="E372" s="22" t="str">
        <f aca="false">IF($A372="","",$B372*KidemKarsilikOrani)</f>
        <v/>
      </c>
      <c r="F372" s="20"/>
      <c r="G372" s="22" t="str">
        <f aca="false">IF($A372="","",$B372+$C372+$D372+$E372+$F372)</f>
        <v/>
      </c>
      <c r="H372" s="22" t="str">
        <f aca="false">IF($A372="","",$G372*AySayisi)</f>
        <v/>
      </c>
    </row>
    <row r="373" customFormat="false" ht="15" hidden="false" customHeight="false" outlineLevel="0" collapsed="false">
      <c r="A373" s="19"/>
      <c r="B373" s="22" t="str">
        <f aca="false">IF($A373="","",IFERROR(INDEX(tblCalisan[Brüt Ücret (₺)],MATCH($A373,tblCalisan[Çalışan Adı],0)),""))</f>
        <v/>
      </c>
      <c r="C373" s="22" t="str">
        <f aca="false">IF($A373="","",$B373*IsverenPayiOrani)</f>
        <v/>
      </c>
      <c r="D373" s="22" t="str">
        <f aca="false">IF($A373="","",$B373*IssizlikOrani)</f>
        <v/>
      </c>
      <c r="E373" s="22" t="str">
        <f aca="false">IF($A373="","",$B373*KidemKarsilikOrani)</f>
        <v/>
      </c>
      <c r="F373" s="20"/>
      <c r="G373" s="22" t="str">
        <f aca="false">IF($A373="","",$B373+$C373+$D373+$E373+$F373)</f>
        <v/>
      </c>
      <c r="H373" s="22" t="str">
        <f aca="false">IF($A373="","",$G373*AySayisi)</f>
        <v/>
      </c>
    </row>
    <row r="374" customFormat="false" ht="15" hidden="false" customHeight="false" outlineLevel="0" collapsed="false">
      <c r="A374" s="19"/>
      <c r="B374" s="22" t="str">
        <f aca="false">IF($A374="","",IFERROR(INDEX(tblCalisan[Brüt Ücret (₺)],MATCH($A374,tblCalisan[Çalışan Adı],0)),""))</f>
        <v/>
      </c>
      <c r="C374" s="22" t="str">
        <f aca="false">IF($A374="","",$B374*IsverenPayiOrani)</f>
        <v/>
      </c>
      <c r="D374" s="22" t="str">
        <f aca="false">IF($A374="","",$B374*IssizlikOrani)</f>
        <v/>
      </c>
      <c r="E374" s="22" t="str">
        <f aca="false">IF($A374="","",$B374*KidemKarsilikOrani)</f>
        <v/>
      </c>
      <c r="F374" s="20"/>
      <c r="G374" s="22" t="str">
        <f aca="false">IF($A374="","",$B374+$C374+$D374+$E374+$F374)</f>
        <v/>
      </c>
      <c r="H374" s="22" t="str">
        <f aca="false">IF($A374="","",$G374*AySayisi)</f>
        <v/>
      </c>
    </row>
    <row r="375" customFormat="false" ht="15" hidden="false" customHeight="false" outlineLevel="0" collapsed="false">
      <c r="A375" s="19"/>
      <c r="B375" s="22" t="str">
        <f aca="false">IF($A375="","",IFERROR(INDEX(tblCalisan[Brüt Ücret (₺)],MATCH($A375,tblCalisan[Çalışan Adı],0)),""))</f>
        <v/>
      </c>
      <c r="C375" s="22" t="str">
        <f aca="false">IF($A375="","",$B375*IsverenPayiOrani)</f>
        <v/>
      </c>
      <c r="D375" s="22" t="str">
        <f aca="false">IF($A375="","",$B375*IssizlikOrani)</f>
        <v/>
      </c>
      <c r="E375" s="22" t="str">
        <f aca="false">IF($A375="","",$B375*KidemKarsilikOrani)</f>
        <v/>
      </c>
      <c r="F375" s="20"/>
      <c r="G375" s="22" t="str">
        <f aca="false">IF($A375="","",$B375+$C375+$D375+$E375+$F375)</f>
        <v/>
      </c>
      <c r="H375" s="22" t="str">
        <f aca="false">IF($A375="","",$G375*AySayisi)</f>
        <v/>
      </c>
    </row>
    <row r="376" customFormat="false" ht="15" hidden="false" customHeight="false" outlineLevel="0" collapsed="false">
      <c r="A376" s="19"/>
      <c r="B376" s="22" t="str">
        <f aca="false">IF($A376="","",IFERROR(INDEX(tblCalisan[Brüt Ücret (₺)],MATCH($A376,tblCalisan[Çalışan Adı],0)),""))</f>
        <v/>
      </c>
      <c r="C376" s="22" t="str">
        <f aca="false">IF($A376="","",$B376*IsverenPayiOrani)</f>
        <v/>
      </c>
      <c r="D376" s="22" t="str">
        <f aca="false">IF($A376="","",$B376*IssizlikOrani)</f>
        <v/>
      </c>
      <c r="E376" s="22" t="str">
        <f aca="false">IF($A376="","",$B376*KidemKarsilikOrani)</f>
        <v/>
      </c>
      <c r="F376" s="20"/>
      <c r="G376" s="22" t="str">
        <f aca="false">IF($A376="","",$B376+$C376+$D376+$E376+$F376)</f>
        <v/>
      </c>
      <c r="H376" s="22" t="str">
        <f aca="false">IF($A376="","",$G376*AySayisi)</f>
        <v/>
      </c>
    </row>
    <row r="377" customFormat="false" ht="15" hidden="false" customHeight="false" outlineLevel="0" collapsed="false">
      <c r="A377" s="19"/>
      <c r="B377" s="22" t="str">
        <f aca="false">IF($A377="","",IFERROR(INDEX(tblCalisan[Brüt Ücret (₺)],MATCH($A377,tblCalisan[Çalışan Adı],0)),""))</f>
        <v/>
      </c>
      <c r="C377" s="22" t="str">
        <f aca="false">IF($A377="","",$B377*IsverenPayiOrani)</f>
        <v/>
      </c>
      <c r="D377" s="22" t="str">
        <f aca="false">IF($A377="","",$B377*IssizlikOrani)</f>
        <v/>
      </c>
      <c r="E377" s="22" t="str">
        <f aca="false">IF($A377="","",$B377*KidemKarsilikOrani)</f>
        <v/>
      </c>
      <c r="F377" s="20"/>
      <c r="G377" s="22" t="str">
        <f aca="false">IF($A377="","",$B377+$C377+$D377+$E377+$F377)</f>
        <v/>
      </c>
      <c r="H377" s="22" t="str">
        <f aca="false">IF($A377="","",$G377*AySayisi)</f>
        <v/>
      </c>
    </row>
    <row r="378" customFormat="false" ht="15" hidden="false" customHeight="false" outlineLevel="0" collapsed="false">
      <c r="A378" s="19"/>
      <c r="B378" s="22" t="str">
        <f aca="false">IF($A378="","",IFERROR(INDEX(tblCalisan[Brüt Ücret (₺)],MATCH($A378,tblCalisan[Çalışan Adı],0)),""))</f>
        <v/>
      </c>
      <c r="C378" s="22" t="str">
        <f aca="false">IF($A378="","",$B378*IsverenPayiOrani)</f>
        <v/>
      </c>
      <c r="D378" s="22" t="str">
        <f aca="false">IF($A378="","",$B378*IssizlikOrani)</f>
        <v/>
      </c>
      <c r="E378" s="22" t="str">
        <f aca="false">IF($A378="","",$B378*KidemKarsilikOrani)</f>
        <v/>
      </c>
      <c r="F378" s="20"/>
      <c r="G378" s="22" t="str">
        <f aca="false">IF($A378="","",$B378+$C378+$D378+$E378+$F378)</f>
        <v/>
      </c>
      <c r="H378" s="22" t="str">
        <f aca="false">IF($A378="","",$G378*AySayisi)</f>
        <v/>
      </c>
    </row>
    <row r="379" customFormat="false" ht="15" hidden="false" customHeight="false" outlineLevel="0" collapsed="false">
      <c r="A379" s="19"/>
      <c r="B379" s="22" t="str">
        <f aca="false">IF($A379="","",IFERROR(INDEX(tblCalisan[Brüt Ücret (₺)],MATCH($A379,tblCalisan[Çalışan Adı],0)),""))</f>
        <v/>
      </c>
      <c r="C379" s="22" t="str">
        <f aca="false">IF($A379="","",$B379*IsverenPayiOrani)</f>
        <v/>
      </c>
      <c r="D379" s="22" t="str">
        <f aca="false">IF($A379="","",$B379*IssizlikOrani)</f>
        <v/>
      </c>
      <c r="E379" s="22" t="str">
        <f aca="false">IF($A379="","",$B379*KidemKarsilikOrani)</f>
        <v/>
      </c>
      <c r="F379" s="20"/>
      <c r="G379" s="22" t="str">
        <f aca="false">IF($A379="","",$B379+$C379+$D379+$E379+$F379)</f>
        <v/>
      </c>
      <c r="H379" s="22" t="str">
        <f aca="false">IF($A379="","",$G379*AySayisi)</f>
        <v/>
      </c>
    </row>
    <row r="380" customFormat="false" ht="15" hidden="false" customHeight="false" outlineLevel="0" collapsed="false">
      <c r="A380" s="19"/>
      <c r="B380" s="22" t="str">
        <f aca="false">IF($A380="","",IFERROR(INDEX(tblCalisan[Brüt Ücret (₺)],MATCH($A380,tblCalisan[Çalışan Adı],0)),""))</f>
        <v/>
      </c>
      <c r="C380" s="22" t="str">
        <f aca="false">IF($A380="","",$B380*IsverenPayiOrani)</f>
        <v/>
      </c>
      <c r="D380" s="22" t="str">
        <f aca="false">IF($A380="","",$B380*IssizlikOrani)</f>
        <v/>
      </c>
      <c r="E380" s="22" t="str">
        <f aca="false">IF($A380="","",$B380*KidemKarsilikOrani)</f>
        <v/>
      </c>
      <c r="F380" s="20"/>
      <c r="G380" s="22" t="str">
        <f aca="false">IF($A380="","",$B380+$C380+$D380+$E380+$F380)</f>
        <v/>
      </c>
      <c r="H380" s="22" t="str">
        <f aca="false">IF($A380="","",$G380*AySayisi)</f>
        <v/>
      </c>
    </row>
    <row r="381" customFormat="false" ht="15" hidden="false" customHeight="false" outlineLevel="0" collapsed="false">
      <c r="A381" s="19"/>
      <c r="B381" s="22" t="str">
        <f aca="false">IF($A381="","",IFERROR(INDEX(tblCalisan[Brüt Ücret (₺)],MATCH($A381,tblCalisan[Çalışan Adı],0)),""))</f>
        <v/>
      </c>
      <c r="C381" s="22" t="str">
        <f aca="false">IF($A381="","",$B381*IsverenPayiOrani)</f>
        <v/>
      </c>
      <c r="D381" s="22" t="str">
        <f aca="false">IF($A381="","",$B381*IssizlikOrani)</f>
        <v/>
      </c>
      <c r="E381" s="22" t="str">
        <f aca="false">IF($A381="","",$B381*KidemKarsilikOrani)</f>
        <v/>
      </c>
      <c r="F381" s="20"/>
      <c r="G381" s="22" t="str">
        <f aca="false">IF($A381="","",$B381+$C381+$D381+$E381+$F381)</f>
        <v/>
      </c>
      <c r="H381" s="22" t="str">
        <f aca="false">IF($A381="","",$G381*AySayisi)</f>
        <v/>
      </c>
    </row>
    <row r="382" customFormat="false" ht="15" hidden="false" customHeight="false" outlineLevel="0" collapsed="false">
      <c r="A382" s="19"/>
      <c r="B382" s="22" t="str">
        <f aca="false">IF($A382="","",IFERROR(INDEX(tblCalisan[Brüt Ücret (₺)],MATCH($A382,tblCalisan[Çalışan Adı],0)),""))</f>
        <v/>
      </c>
      <c r="C382" s="22" t="str">
        <f aca="false">IF($A382="","",$B382*IsverenPayiOrani)</f>
        <v/>
      </c>
      <c r="D382" s="22" t="str">
        <f aca="false">IF($A382="","",$B382*IssizlikOrani)</f>
        <v/>
      </c>
      <c r="E382" s="22" t="str">
        <f aca="false">IF($A382="","",$B382*KidemKarsilikOrani)</f>
        <v/>
      </c>
      <c r="F382" s="20"/>
      <c r="G382" s="22" t="str">
        <f aca="false">IF($A382="","",$B382+$C382+$D382+$E382+$F382)</f>
        <v/>
      </c>
      <c r="H382" s="22" t="str">
        <f aca="false">IF($A382="","",$G382*AySayisi)</f>
        <v/>
      </c>
    </row>
    <row r="383" customFormat="false" ht="15" hidden="false" customHeight="false" outlineLevel="0" collapsed="false">
      <c r="A383" s="19"/>
      <c r="B383" s="22" t="str">
        <f aca="false">IF($A383="","",IFERROR(INDEX(tblCalisan[Brüt Ücret (₺)],MATCH($A383,tblCalisan[Çalışan Adı],0)),""))</f>
        <v/>
      </c>
      <c r="C383" s="22" t="str">
        <f aca="false">IF($A383="","",$B383*IsverenPayiOrani)</f>
        <v/>
      </c>
      <c r="D383" s="22" t="str">
        <f aca="false">IF($A383="","",$B383*IssizlikOrani)</f>
        <v/>
      </c>
      <c r="E383" s="22" t="str">
        <f aca="false">IF($A383="","",$B383*KidemKarsilikOrani)</f>
        <v/>
      </c>
      <c r="F383" s="20"/>
      <c r="G383" s="22" t="str">
        <f aca="false">IF($A383="","",$B383+$C383+$D383+$E383+$F383)</f>
        <v/>
      </c>
      <c r="H383" s="22" t="str">
        <f aca="false">IF($A383="","",$G383*AySayisi)</f>
        <v/>
      </c>
    </row>
    <row r="384" customFormat="false" ht="15" hidden="false" customHeight="false" outlineLevel="0" collapsed="false">
      <c r="A384" s="19"/>
      <c r="B384" s="22" t="str">
        <f aca="false">IF($A384="","",IFERROR(INDEX(tblCalisan[Brüt Ücret (₺)],MATCH($A384,tblCalisan[Çalışan Adı],0)),""))</f>
        <v/>
      </c>
      <c r="C384" s="22" t="str">
        <f aca="false">IF($A384="","",$B384*IsverenPayiOrani)</f>
        <v/>
      </c>
      <c r="D384" s="22" t="str">
        <f aca="false">IF($A384="","",$B384*IssizlikOrani)</f>
        <v/>
      </c>
      <c r="E384" s="22" t="str">
        <f aca="false">IF($A384="","",$B384*KidemKarsilikOrani)</f>
        <v/>
      </c>
      <c r="F384" s="20"/>
      <c r="G384" s="22" t="str">
        <f aca="false">IF($A384="","",$B384+$C384+$D384+$E384+$F384)</f>
        <v/>
      </c>
      <c r="H384" s="22" t="str">
        <f aca="false">IF($A384="","",$G384*AySayisi)</f>
        <v/>
      </c>
    </row>
    <row r="385" customFormat="false" ht="15" hidden="false" customHeight="false" outlineLevel="0" collapsed="false">
      <c r="A385" s="19"/>
      <c r="B385" s="22" t="str">
        <f aca="false">IF($A385="","",IFERROR(INDEX(tblCalisan[Brüt Ücret (₺)],MATCH($A385,tblCalisan[Çalışan Adı],0)),""))</f>
        <v/>
      </c>
      <c r="C385" s="22" t="str">
        <f aca="false">IF($A385="","",$B385*IsverenPayiOrani)</f>
        <v/>
      </c>
      <c r="D385" s="22" t="str">
        <f aca="false">IF($A385="","",$B385*IssizlikOrani)</f>
        <v/>
      </c>
      <c r="E385" s="22" t="str">
        <f aca="false">IF($A385="","",$B385*KidemKarsilikOrani)</f>
        <v/>
      </c>
      <c r="F385" s="20"/>
      <c r="G385" s="22" t="str">
        <f aca="false">IF($A385="","",$B385+$C385+$D385+$E385+$F385)</f>
        <v/>
      </c>
      <c r="H385" s="22" t="str">
        <f aca="false">IF($A385="","",$G385*AySayisi)</f>
        <v/>
      </c>
    </row>
    <row r="386" customFormat="false" ht="15" hidden="false" customHeight="false" outlineLevel="0" collapsed="false">
      <c r="A386" s="19"/>
      <c r="B386" s="22" t="str">
        <f aca="false">IF($A386="","",IFERROR(INDEX(tblCalisan[Brüt Ücret (₺)],MATCH($A386,tblCalisan[Çalışan Adı],0)),""))</f>
        <v/>
      </c>
      <c r="C386" s="22" t="str">
        <f aca="false">IF($A386="","",$B386*IsverenPayiOrani)</f>
        <v/>
      </c>
      <c r="D386" s="22" t="str">
        <f aca="false">IF($A386="","",$B386*IssizlikOrani)</f>
        <v/>
      </c>
      <c r="E386" s="22" t="str">
        <f aca="false">IF($A386="","",$B386*KidemKarsilikOrani)</f>
        <v/>
      </c>
      <c r="F386" s="20"/>
      <c r="G386" s="22" t="str">
        <f aca="false">IF($A386="","",$B386+$C386+$D386+$E386+$F386)</f>
        <v/>
      </c>
      <c r="H386" s="22" t="str">
        <f aca="false">IF($A386="","",$G386*AySayisi)</f>
        <v/>
      </c>
    </row>
    <row r="387" customFormat="false" ht="15" hidden="false" customHeight="false" outlineLevel="0" collapsed="false">
      <c r="A387" s="19"/>
      <c r="B387" s="22" t="str">
        <f aca="false">IF($A387="","",IFERROR(INDEX(tblCalisan[Brüt Ücret (₺)],MATCH($A387,tblCalisan[Çalışan Adı],0)),""))</f>
        <v/>
      </c>
      <c r="C387" s="22" t="str">
        <f aca="false">IF($A387="","",$B387*IsverenPayiOrani)</f>
        <v/>
      </c>
      <c r="D387" s="22" t="str">
        <f aca="false">IF($A387="","",$B387*IssizlikOrani)</f>
        <v/>
      </c>
      <c r="E387" s="22" t="str">
        <f aca="false">IF($A387="","",$B387*KidemKarsilikOrani)</f>
        <v/>
      </c>
      <c r="F387" s="20"/>
      <c r="G387" s="22" t="str">
        <f aca="false">IF($A387="","",$B387+$C387+$D387+$E387+$F387)</f>
        <v/>
      </c>
      <c r="H387" s="22" t="str">
        <f aca="false">IF($A387="","",$G387*AySayisi)</f>
        <v/>
      </c>
    </row>
    <row r="388" customFormat="false" ht="15" hidden="false" customHeight="false" outlineLevel="0" collapsed="false">
      <c r="A388" s="19"/>
      <c r="B388" s="22" t="str">
        <f aca="false">IF($A388="","",IFERROR(INDEX(tblCalisan[Brüt Ücret (₺)],MATCH($A388,tblCalisan[Çalışan Adı],0)),""))</f>
        <v/>
      </c>
      <c r="C388" s="22" t="str">
        <f aca="false">IF($A388="","",$B388*IsverenPayiOrani)</f>
        <v/>
      </c>
      <c r="D388" s="22" t="str">
        <f aca="false">IF($A388="","",$B388*IssizlikOrani)</f>
        <v/>
      </c>
      <c r="E388" s="22" t="str">
        <f aca="false">IF($A388="","",$B388*KidemKarsilikOrani)</f>
        <v/>
      </c>
      <c r="F388" s="20"/>
      <c r="G388" s="22" t="str">
        <f aca="false">IF($A388="","",$B388+$C388+$D388+$E388+$F388)</f>
        <v/>
      </c>
      <c r="H388" s="22" t="str">
        <f aca="false">IF($A388="","",$G388*AySayisi)</f>
        <v/>
      </c>
    </row>
    <row r="389" customFormat="false" ht="15" hidden="false" customHeight="false" outlineLevel="0" collapsed="false">
      <c r="A389" s="19"/>
      <c r="B389" s="22" t="str">
        <f aca="false">IF($A389="","",IFERROR(INDEX(tblCalisan[Brüt Ücret (₺)],MATCH($A389,tblCalisan[Çalışan Adı],0)),""))</f>
        <v/>
      </c>
      <c r="C389" s="22" t="str">
        <f aca="false">IF($A389="","",$B389*IsverenPayiOrani)</f>
        <v/>
      </c>
      <c r="D389" s="22" t="str">
        <f aca="false">IF($A389="","",$B389*IssizlikOrani)</f>
        <v/>
      </c>
      <c r="E389" s="22" t="str">
        <f aca="false">IF($A389="","",$B389*KidemKarsilikOrani)</f>
        <v/>
      </c>
      <c r="F389" s="20"/>
      <c r="G389" s="22" t="str">
        <f aca="false">IF($A389="","",$B389+$C389+$D389+$E389+$F389)</f>
        <v/>
      </c>
      <c r="H389" s="22" t="str">
        <f aca="false">IF($A389="","",$G389*AySayisi)</f>
        <v/>
      </c>
    </row>
    <row r="390" customFormat="false" ht="15" hidden="false" customHeight="false" outlineLevel="0" collapsed="false">
      <c r="A390" s="19"/>
      <c r="B390" s="22" t="str">
        <f aca="false">IF($A390="","",IFERROR(INDEX(tblCalisan[Brüt Ücret (₺)],MATCH($A390,tblCalisan[Çalışan Adı],0)),""))</f>
        <v/>
      </c>
      <c r="C390" s="22" t="str">
        <f aca="false">IF($A390="","",$B390*IsverenPayiOrani)</f>
        <v/>
      </c>
      <c r="D390" s="22" t="str">
        <f aca="false">IF($A390="","",$B390*IssizlikOrani)</f>
        <v/>
      </c>
      <c r="E390" s="22" t="str">
        <f aca="false">IF($A390="","",$B390*KidemKarsilikOrani)</f>
        <v/>
      </c>
      <c r="F390" s="20"/>
      <c r="G390" s="22" t="str">
        <f aca="false">IF($A390="","",$B390+$C390+$D390+$E390+$F390)</f>
        <v/>
      </c>
      <c r="H390" s="22" t="str">
        <f aca="false">IF($A390="","",$G390*AySayisi)</f>
        <v/>
      </c>
    </row>
    <row r="391" customFormat="false" ht="15" hidden="false" customHeight="false" outlineLevel="0" collapsed="false">
      <c r="A391" s="19"/>
      <c r="B391" s="22" t="str">
        <f aca="false">IF($A391="","",IFERROR(INDEX(tblCalisan[Brüt Ücret (₺)],MATCH($A391,tblCalisan[Çalışan Adı],0)),""))</f>
        <v/>
      </c>
      <c r="C391" s="22" t="str">
        <f aca="false">IF($A391="","",$B391*IsverenPayiOrani)</f>
        <v/>
      </c>
      <c r="D391" s="22" t="str">
        <f aca="false">IF($A391="","",$B391*IssizlikOrani)</f>
        <v/>
      </c>
      <c r="E391" s="22" t="str">
        <f aca="false">IF($A391="","",$B391*KidemKarsilikOrani)</f>
        <v/>
      </c>
      <c r="F391" s="20"/>
      <c r="G391" s="22" t="str">
        <f aca="false">IF($A391="","",$B391+$C391+$D391+$E391+$F391)</f>
        <v/>
      </c>
      <c r="H391" s="22" t="str">
        <f aca="false">IF($A391="","",$G391*AySayisi)</f>
        <v/>
      </c>
    </row>
    <row r="392" customFormat="false" ht="15" hidden="false" customHeight="false" outlineLevel="0" collapsed="false">
      <c r="A392" s="19"/>
      <c r="B392" s="22" t="str">
        <f aca="false">IF($A392="","",IFERROR(INDEX(tblCalisan[Brüt Ücret (₺)],MATCH($A392,tblCalisan[Çalışan Adı],0)),""))</f>
        <v/>
      </c>
      <c r="C392" s="22" t="str">
        <f aca="false">IF($A392="","",$B392*IsverenPayiOrani)</f>
        <v/>
      </c>
      <c r="D392" s="22" t="str">
        <f aca="false">IF($A392="","",$B392*IssizlikOrani)</f>
        <v/>
      </c>
      <c r="E392" s="22" t="str">
        <f aca="false">IF($A392="","",$B392*KidemKarsilikOrani)</f>
        <v/>
      </c>
      <c r="F392" s="20"/>
      <c r="G392" s="22" t="str">
        <f aca="false">IF($A392="","",$B392+$C392+$D392+$E392+$F392)</f>
        <v/>
      </c>
      <c r="H392" s="22" t="str">
        <f aca="false">IF($A392="","",$G392*AySayisi)</f>
        <v/>
      </c>
    </row>
    <row r="393" customFormat="false" ht="15" hidden="false" customHeight="false" outlineLevel="0" collapsed="false">
      <c r="A393" s="19"/>
      <c r="B393" s="22" t="str">
        <f aca="false">IF($A393="","",IFERROR(INDEX(tblCalisan[Brüt Ücret (₺)],MATCH($A393,tblCalisan[Çalışan Adı],0)),""))</f>
        <v/>
      </c>
      <c r="C393" s="22" t="str">
        <f aca="false">IF($A393="","",$B393*IsverenPayiOrani)</f>
        <v/>
      </c>
      <c r="D393" s="22" t="str">
        <f aca="false">IF($A393="","",$B393*IssizlikOrani)</f>
        <v/>
      </c>
      <c r="E393" s="22" t="str">
        <f aca="false">IF($A393="","",$B393*KidemKarsilikOrani)</f>
        <v/>
      </c>
      <c r="F393" s="20"/>
      <c r="G393" s="22" t="str">
        <f aca="false">IF($A393="","",$B393+$C393+$D393+$E393+$F393)</f>
        <v/>
      </c>
      <c r="H393" s="22" t="str">
        <f aca="false">IF($A393="","",$G393*AySayisi)</f>
        <v/>
      </c>
    </row>
    <row r="394" customFormat="false" ht="15" hidden="false" customHeight="false" outlineLevel="0" collapsed="false">
      <c r="A394" s="19"/>
      <c r="B394" s="22" t="str">
        <f aca="false">IF($A394="","",IFERROR(INDEX(tblCalisan[Brüt Ücret (₺)],MATCH($A394,tblCalisan[Çalışan Adı],0)),""))</f>
        <v/>
      </c>
      <c r="C394" s="22" t="str">
        <f aca="false">IF($A394="","",$B394*IsverenPayiOrani)</f>
        <v/>
      </c>
      <c r="D394" s="22" t="str">
        <f aca="false">IF($A394="","",$B394*IssizlikOrani)</f>
        <v/>
      </c>
      <c r="E394" s="22" t="str">
        <f aca="false">IF($A394="","",$B394*KidemKarsilikOrani)</f>
        <v/>
      </c>
      <c r="F394" s="20"/>
      <c r="G394" s="22" t="str">
        <f aca="false">IF($A394="","",$B394+$C394+$D394+$E394+$F394)</f>
        <v/>
      </c>
      <c r="H394" s="22" t="str">
        <f aca="false">IF($A394="","",$G394*AySayisi)</f>
        <v/>
      </c>
    </row>
    <row r="395" customFormat="false" ht="15" hidden="false" customHeight="false" outlineLevel="0" collapsed="false">
      <c r="A395" s="19"/>
      <c r="B395" s="22" t="str">
        <f aca="false">IF($A395="","",IFERROR(INDEX(tblCalisan[Brüt Ücret (₺)],MATCH($A395,tblCalisan[Çalışan Adı],0)),""))</f>
        <v/>
      </c>
      <c r="C395" s="22" t="str">
        <f aca="false">IF($A395="","",$B395*IsverenPayiOrani)</f>
        <v/>
      </c>
      <c r="D395" s="22" t="str">
        <f aca="false">IF($A395="","",$B395*IssizlikOrani)</f>
        <v/>
      </c>
      <c r="E395" s="22" t="str">
        <f aca="false">IF($A395="","",$B395*KidemKarsilikOrani)</f>
        <v/>
      </c>
      <c r="F395" s="20"/>
      <c r="G395" s="22" t="str">
        <f aca="false">IF($A395="","",$B395+$C395+$D395+$E395+$F395)</f>
        <v/>
      </c>
      <c r="H395" s="22" t="str">
        <f aca="false">IF($A395="","",$G395*AySayisi)</f>
        <v/>
      </c>
    </row>
    <row r="396" customFormat="false" ht="15" hidden="false" customHeight="false" outlineLevel="0" collapsed="false">
      <c r="A396" s="19"/>
      <c r="B396" s="22" t="str">
        <f aca="false">IF($A396="","",IFERROR(INDEX(tblCalisan[Brüt Ücret (₺)],MATCH($A396,tblCalisan[Çalışan Adı],0)),""))</f>
        <v/>
      </c>
      <c r="C396" s="22" t="str">
        <f aca="false">IF($A396="","",$B396*IsverenPayiOrani)</f>
        <v/>
      </c>
      <c r="D396" s="22" t="str">
        <f aca="false">IF($A396="","",$B396*IssizlikOrani)</f>
        <v/>
      </c>
      <c r="E396" s="22" t="str">
        <f aca="false">IF($A396="","",$B396*KidemKarsilikOrani)</f>
        <v/>
      </c>
      <c r="F396" s="20"/>
      <c r="G396" s="22" t="str">
        <f aca="false">IF($A396="","",$B396+$C396+$D396+$E396+$F396)</f>
        <v/>
      </c>
      <c r="H396" s="22" t="str">
        <f aca="false">IF($A396="","",$G396*AySayisi)</f>
        <v/>
      </c>
    </row>
    <row r="397" customFormat="false" ht="15" hidden="false" customHeight="false" outlineLevel="0" collapsed="false">
      <c r="A397" s="19"/>
      <c r="B397" s="22" t="str">
        <f aca="false">IF($A397="","",IFERROR(INDEX(tblCalisan[Brüt Ücret (₺)],MATCH($A397,tblCalisan[Çalışan Adı],0)),""))</f>
        <v/>
      </c>
      <c r="C397" s="22" t="str">
        <f aca="false">IF($A397="","",$B397*IsverenPayiOrani)</f>
        <v/>
      </c>
      <c r="D397" s="22" t="str">
        <f aca="false">IF($A397="","",$B397*IssizlikOrani)</f>
        <v/>
      </c>
      <c r="E397" s="22" t="str">
        <f aca="false">IF($A397="","",$B397*KidemKarsilikOrani)</f>
        <v/>
      </c>
      <c r="F397" s="20"/>
      <c r="G397" s="22" t="str">
        <f aca="false">IF($A397="","",$B397+$C397+$D397+$E397+$F397)</f>
        <v/>
      </c>
      <c r="H397" s="22" t="str">
        <f aca="false">IF($A397="","",$G397*AySayisi)</f>
        <v/>
      </c>
    </row>
    <row r="398" customFormat="false" ht="15" hidden="false" customHeight="false" outlineLevel="0" collapsed="false">
      <c r="A398" s="19"/>
      <c r="B398" s="22" t="str">
        <f aca="false">IF($A398="","",IFERROR(INDEX(tblCalisan[Brüt Ücret (₺)],MATCH($A398,tblCalisan[Çalışan Adı],0)),""))</f>
        <v/>
      </c>
      <c r="C398" s="22" t="str">
        <f aca="false">IF($A398="","",$B398*IsverenPayiOrani)</f>
        <v/>
      </c>
      <c r="D398" s="22" t="str">
        <f aca="false">IF($A398="","",$B398*IssizlikOrani)</f>
        <v/>
      </c>
      <c r="E398" s="22" t="str">
        <f aca="false">IF($A398="","",$B398*KidemKarsilikOrani)</f>
        <v/>
      </c>
      <c r="F398" s="20"/>
      <c r="G398" s="22" t="str">
        <f aca="false">IF($A398="","",$B398+$C398+$D398+$E398+$F398)</f>
        <v/>
      </c>
      <c r="H398" s="22" t="str">
        <f aca="false">IF($A398="","",$G398*AySayisi)</f>
        <v/>
      </c>
    </row>
    <row r="399" customFormat="false" ht="15" hidden="false" customHeight="false" outlineLevel="0" collapsed="false">
      <c r="A399" s="19"/>
      <c r="B399" s="22" t="str">
        <f aca="false">IF($A399="","",IFERROR(INDEX(tblCalisan[Brüt Ücret (₺)],MATCH($A399,tblCalisan[Çalışan Adı],0)),""))</f>
        <v/>
      </c>
      <c r="C399" s="22" t="str">
        <f aca="false">IF($A399="","",$B399*IsverenPayiOrani)</f>
        <v/>
      </c>
      <c r="D399" s="22" t="str">
        <f aca="false">IF($A399="","",$B399*IssizlikOrani)</f>
        <v/>
      </c>
      <c r="E399" s="22" t="str">
        <f aca="false">IF($A399="","",$B399*KidemKarsilikOrani)</f>
        <v/>
      </c>
      <c r="F399" s="20"/>
      <c r="G399" s="22" t="str">
        <f aca="false">IF($A399="","",$B399+$C399+$D399+$E399+$F399)</f>
        <v/>
      </c>
      <c r="H399" s="22" t="str">
        <f aca="false">IF($A399="","",$G399*AySayisi)</f>
        <v/>
      </c>
    </row>
    <row r="400" customFormat="false" ht="15" hidden="false" customHeight="false" outlineLevel="0" collapsed="false">
      <c r="A400" s="19"/>
      <c r="B400" s="22" t="str">
        <f aca="false">IF($A400="","",IFERROR(INDEX(tblCalisan[Brüt Ücret (₺)],MATCH($A400,tblCalisan[Çalışan Adı],0)),""))</f>
        <v/>
      </c>
      <c r="C400" s="22" t="str">
        <f aca="false">IF($A400="","",$B400*IsverenPayiOrani)</f>
        <v/>
      </c>
      <c r="D400" s="22" t="str">
        <f aca="false">IF($A400="","",$B400*IssizlikOrani)</f>
        <v/>
      </c>
      <c r="E400" s="22" t="str">
        <f aca="false">IF($A400="","",$B400*KidemKarsilikOrani)</f>
        <v/>
      </c>
      <c r="F400" s="20"/>
      <c r="G400" s="22" t="str">
        <f aca="false">IF($A400="","",$B400+$C400+$D400+$E400+$F400)</f>
        <v/>
      </c>
      <c r="H400" s="22" t="str">
        <f aca="false">IF($A400="","",$G400*AySayisi)</f>
        <v/>
      </c>
    </row>
    <row r="401" customFormat="false" ht="15" hidden="false" customHeight="false" outlineLevel="0" collapsed="false">
      <c r="A401" s="19"/>
      <c r="B401" s="22" t="str">
        <f aca="false">IF($A401="","",IFERROR(INDEX(tblCalisan[Brüt Ücret (₺)],MATCH($A401,tblCalisan[Çalışan Adı],0)),""))</f>
        <v/>
      </c>
      <c r="C401" s="22" t="str">
        <f aca="false">IF($A401="","",$B401*IsverenPayiOrani)</f>
        <v/>
      </c>
      <c r="D401" s="22" t="str">
        <f aca="false">IF($A401="","",$B401*IssizlikOrani)</f>
        <v/>
      </c>
      <c r="E401" s="22" t="str">
        <f aca="false">IF($A401="","",$B401*KidemKarsilikOrani)</f>
        <v/>
      </c>
      <c r="F401" s="20"/>
      <c r="G401" s="22" t="str">
        <f aca="false">IF($A401="","",$B401+$C401+$D401+$E401+$F401)</f>
        <v/>
      </c>
      <c r="H401" s="22" t="str">
        <f aca="false">IF($A401="","",$G401*AySayisi)</f>
        <v/>
      </c>
    </row>
    <row r="402" customFormat="false" ht="15" hidden="false" customHeight="false" outlineLevel="0" collapsed="false">
      <c r="A402" s="19"/>
      <c r="B402" s="22" t="str">
        <f aca="false">IF($A402="","",IFERROR(INDEX(tblCalisan[Brüt Ücret (₺)],MATCH($A402,tblCalisan[Çalışan Adı],0)),""))</f>
        <v/>
      </c>
      <c r="C402" s="22" t="str">
        <f aca="false">IF($A402="","",$B402*IsverenPayiOrani)</f>
        <v/>
      </c>
      <c r="D402" s="22" t="str">
        <f aca="false">IF($A402="","",$B402*IssizlikOrani)</f>
        <v/>
      </c>
      <c r="E402" s="22" t="str">
        <f aca="false">IF($A402="","",$B402*KidemKarsilikOrani)</f>
        <v/>
      </c>
      <c r="F402" s="20"/>
      <c r="G402" s="22" t="str">
        <f aca="false">IF($A402="","",$B402+$C402+$D402+$E402+$F402)</f>
        <v/>
      </c>
      <c r="H402" s="22" t="str">
        <f aca="false">IF($A402="","",$G402*AySayisi)</f>
        <v/>
      </c>
    </row>
    <row r="403" customFormat="false" ht="15" hidden="false" customHeight="false" outlineLevel="0" collapsed="false">
      <c r="A403" s="19"/>
      <c r="B403" s="22" t="str">
        <f aca="false">IF($A403="","",IFERROR(INDEX(tblCalisan[Brüt Ücret (₺)],MATCH($A403,tblCalisan[Çalışan Adı],0)),""))</f>
        <v/>
      </c>
      <c r="C403" s="22" t="str">
        <f aca="false">IF($A403="","",$B403*IsverenPayiOrani)</f>
        <v/>
      </c>
      <c r="D403" s="22" t="str">
        <f aca="false">IF($A403="","",$B403*IssizlikOrani)</f>
        <v/>
      </c>
      <c r="E403" s="22" t="str">
        <f aca="false">IF($A403="","",$B403*KidemKarsilikOrani)</f>
        <v/>
      </c>
      <c r="F403" s="20"/>
      <c r="G403" s="22" t="str">
        <f aca="false">IF($A403="","",$B403+$C403+$D403+$E403+$F403)</f>
        <v/>
      </c>
      <c r="H403" s="22" t="str">
        <f aca="false">IF($A403="","",$G403*AySayisi)</f>
        <v/>
      </c>
    </row>
    <row r="404" customFormat="false" ht="15" hidden="false" customHeight="false" outlineLevel="0" collapsed="false">
      <c r="A404" s="19"/>
      <c r="B404" s="22" t="str">
        <f aca="false">IF($A404="","",IFERROR(INDEX(tblCalisan[Brüt Ücret (₺)],MATCH($A404,tblCalisan[Çalışan Adı],0)),""))</f>
        <v/>
      </c>
      <c r="C404" s="22" t="str">
        <f aca="false">IF($A404="","",$B404*IsverenPayiOrani)</f>
        <v/>
      </c>
      <c r="D404" s="22" t="str">
        <f aca="false">IF($A404="","",$B404*IssizlikOrani)</f>
        <v/>
      </c>
      <c r="E404" s="22" t="str">
        <f aca="false">IF($A404="","",$B404*KidemKarsilikOrani)</f>
        <v/>
      </c>
      <c r="F404" s="20"/>
      <c r="G404" s="22" t="str">
        <f aca="false">IF($A404="","",$B404+$C404+$D404+$E404+$F404)</f>
        <v/>
      </c>
      <c r="H404" s="22" t="str">
        <f aca="false">IF($A404="","",$G404*AySayisi)</f>
        <v/>
      </c>
    </row>
    <row r="405" customFormat="false" ht="15" hidden="false" customHeight="false" outlineLevel="0" collapsed="false">
      <c r="A405" s="19"/>
      <c r="B405" s="22" t="str">
        <f aca="false">IF($A405="","",IFERROR(INDEX(tblCalisan[Brüt Ücret (₺)],MATCH($A405,tblCalisan[Çalışan Adı],0)),""))</f>
        <v/>
      </c>
      <c r="C405" s="22" t="str">
        <f aca="false">IF($A405="","",$B405*IsverenPayiOrani)</f>
        <v/>
      </c>
      <c r="D405" s="22" t="str">
        <f aca="false">IF($A405="","",$B405*IssizlikOrani)</f>
        <v/>
      </c>
      <c r="E405" s="22" t="str">
        <f aca="false">IF($A405="","",$B405*KidemKarsilikOrani)</f>
        <v/>
      </c>
      <c r="F405" s="20"/>
      <c r="G405" s="22" t="str">
        <f aca="false">IF($A405="","",$B405+$C405+$D405+$E405+$F405)</f>
        <v/>
      </c>
      <c r="H405" s="22" t="str">
        <f aca="false">IF($A405="","",$G405*AySayisi)</f>
        <v/>
      </c>
    </row>
    <row r="406" customFormat="false" ht="15" hidden="false" customHeight="false" outlineLevel="0" collapsed="false">
      <c r="A406" s="19"/>
      <c r="B406" s="22" t="str">
        <f aca="false">IF($A406="","",IFERROR(INDEX(tblCalisan[Brüt Ücret (₺)],MATCH($A406,tblCalisan[Çalışan Adı],0)),""))</f>
        <v/>
      </c>
      <c r="C406" s="22" t="str">
        <f aca="false">IF($A406="","",$B406*IsverenPayiOrani)</f>
        <v/>
      </c>
      <c r="D406" s="22" t="str">
        <f aca="false">IF($A406="","",$B406*IssizlikOrani)</f>
        <v/>
      </c>
      <c r="E406" s="22" t="str">
        <f aca="false">IF($A406="","",$B406*KidemKarsilikOrani)</f>
        <v/>
      </c>
      <c r="F406" s="20"/>
      <c r="G406" s="22" t="str">
        <f aca="false">IF($A406="","",$B406+$C406+$D406+$E406+$F406)</f>
        <v/>
      </c>
      <c r="H406" s="22" t="str">
        <f aca="false">IF($A406="","",$G406*AySayisi)</f>
        <v/>
      </c>
    </row>
    <row r="407" customFormat="false" ht="15" hidden="false" customHeight="false" outlineLevel="0" collapsed="false">
      <c r="A407" s="19"/>
      <c r="B407" s="22" t="str">
        <f aca="false">IF($A407="","",IFERROR(INDEX(tblCalisan[Brüt Ücret (₺)],MATCH($A407,tblCalisan[Çalışan Adı],0)),""))</f>
        <v/>
      </c>
      <c r="C407" s="22" t="str">
        <f aca="false">IF($A407="","",$B407*IsverenPayiOrani)</f>
        <v/>
      </c>
      <c r="D407" s="22" t="str">
        <f aca="false">IF($A407="","",$B407*IssizlikOrani)</f>
        <v/>
      </c>
      <c r="E407" s="22" t="str">
        <f aca="false">IF($A407="","",$B407*KidemKarsilikOrani)</f>
        <v/>
      </c>
      <c r="F407" s="20"/>
      <c r="G407" s="22" t="str">
        <f aca="false">IF($A407="","",$B407+$C407+$D407+$E407+$F407)</f>
        <v/>
      </c>
      <c r="H407" s="22" t="str">
        <f aca="false">IF($A407="","",$G407*AySayisi)</f>
        <v/>
      </c>
    </row>
    <row r="408" customFormat="false" ht="15" hidden="false" customHeight="false" outlineLevel="0" collapsed="false">
      <c r="A408" s="19"/>
      <c r="B408" s="22" t="str">
        <f aca="false">IF($A408="","",IFERROR(INDEX(tblCalisan[Brüt Ücret (₺)],MATCH($A408,tblCalisan[Çalışan Adı],0)),""))</f>
        <v/>
      </c>
      <c r="C408" s="22" t="str">
        <f aca="false">IF($A408="","",$B408*IsverenPayiOrani)</f>
        <v/>
      </c>
      <c r="D408" s="22" t="str">
        <f aca="false">IF($A408="","",$B408*IssizlikOrani)</f>
        <v/>
      </c>
      <c r="E408" s="22" t="str">
        <f aca="false">IF($A408="","",$B408*KidemKarsilikOrani)</f>
        <v/>
      </c>
      <c r="F408" s="20"/>
      <c r="G408" s="22" t="str">
        <f aca="false">IF($A408="","",$B408+$C408+$D408+$E408+$F408)</f>
        <v/>
      </c>
      <c r="H408" s="22" t="str">
        <f aca="false">IF($A408="","",$G408*AySayisi)</f>
        <v/>
      </c>
    </row>
    <row r="409" customFormat="false" ht="15" hidden="false" customHeight="false" outlineLevel="0" collapsed="false">
      <c r="A409" s="19"/>
      <c r="B409" s="22" t="str">
        <f aca="false">IF($A409="","",IFERROR(INDEX(tblCalisan[Brüt Ücret (₺)],MATCH($A409,tblCalisan[Çalışan Adı],0)),""))</f>
        <v/>
      </c>
      <c r="C409" s="22" t="str">
        <f aca="false">IF($A409="","",$B409*IsverenPayiOrani)</f>
        <v/>
      </c>
      <c r="D409" s="22" t="str">
        <f aca="false">IF($A409="","",$B409*IssizlikOrani)</f>
        <v/>
      </c>
      <c r="E409" s="22" t="str">
        <f aca="false">IF($A409="","",$B409*KidemKarsilikOrani)</f>
        <v/>
      </c>
      <c r="F409" s="20"/>
      <c r="G409" s="22" t="str">
        <f aca="false">IF($A409="","",$B409+$C409+$D409+$E409+$F409)</f>
        <v/>
      </c>
      <c r="H409" s="22" t="str">
        <f aca="false">IF($A409="","",$G409*AySayisi)</f>
        <v/>
      </c>
    </row>
    <row r="410" customFormat="false" ht="15" hidden="false" customHeight="false" outlineLevel="0" collapsed="false">
      <c r="A410" s="19"/>
      <c r="B410" s="22" t="str">
        <f aca="false">IF($A410="","",IFERROR(INDEX(tblCalisan[Brüt Ücret (₺)],MATCH($A410,tblCalisan[Çalışan Adı],0)),""))</f>
        <v/>
      </c>
      <c r="C410" s="22" t="str">
        <f aca="false">IF($A410="","",$B410*IsverenPayiOrani)</f>
        <v/>
      </c>
      <c r="D410" s="22" t="str">
        <f aca="false">IF($A410="","",$B410*IssizlikOrani)</f>
        <v/>
      </c>
      <c r="E410" s="22" t="str">
        <f aca="false">IF($A410="","",$B410*KidemKarsilikOrani)</f>
        <v/>
      </c>
      <c r="F410" s="20"/>
      <c r="G410" s="22" t="str">
        <f aca="false">IF($A410="","",$B410+$C410+$D410+$E410+$F410)</f>
        <v/>
      </c>
      <c r="H410" s="22" t="str">
        <f aca="false">IF($A410="","",$G410*AySayisi)</f>
        <v/>
      </c>
    </row>
    <row r="411" customFormat="false" ht="15" hidden="false" customHeight="false" outlineLevel="0" collapsed="false">
      <c r="A411" s="19"/>
      <c r="B411" s="22" t="str">
        <f aca="false">IF($A411="","",IFERROR(INDEX(tblCalisan[Brüt Ücret (₺)],MATCH($A411,tblCalisan[Çalışan Adı],0)),""))</f>
        <v/>
      </c>
      <c r="C411" s="22" t="str">
        <f aca="false">IF($A411="","",$B411*IsverenPayiOrani)</f>
        <v/>
      </c>
      <c r="D411" s="22" t="str">
        <f aca="false">IF($A411="","",$B411*IssizlikOrani)</f>
        <v/>
      </c>
      <c r="E411" s="22" t="str">
        <f aca="false">IF($A411="","",$B411*KidemKarsilikOrani)</f>
        <v/>
      </c>
      <c r="F411" s="20"/>
      <c r="G411" s="22" t="str">
        <f aca="false">IF($A411="","",$B411+$C411+$D411+$E411+$F411)</f>
        <v/>
      </c>
      <c r="H411" s="22" t="str">
        <f aca="false">IF($A411="","",$G411*AySayisi)</f>
        <v/>
      </c>
    </row>
    <row r="412" customFormat="false" ht="15" hidden="false" customHeight="false" outlineLevel="0" collapsed="false">
      <c r="A412" s="19"/>
      <c r="B412" s="22" t="str">
        <f aca="false">IF($A412="","",IFERROR(INDEX(tblCalisan[Brüt Ücret (₺)],MATCH($A412,tblCalisan[Çalışan Adı],0)),""))</f>
        <v/>
      </c>
      <c r="C412" s="22" t="str">
        <f aca="false">IF($A412="","",$B412*IsverenPayiOrani)</f>
        <v/>
      </c>
      <c r="D412" s="22" t="str">
        <f aca="false">IF($A412="","",$B412*IssizlikOrani)</f>
        <v/>
      </c>
      <c r="E412" s="22" t="str">
        <f aca="false">IF($A412="","",$B412*KidemKarsilikOrani)</f>
        <v/>
      </c>
      <c r="F412" s="20"/>
      <c r="G412" s="22" t="str">
        <f aca="false">IF($A412="","",$B412+$C412+$D412+$E412+$F412)</f>
        <v/>
      </c>
      <c r="H412" s="22" t="str">
        <f aca="false">IF($A412="","",$G412*AySayisi)</f>
        <v/>
      </c>
    </row>
    <row r="413" customFormat="false" ht="15" hidden="false" customHeight="false" outlineLevel="0" collapsed="false">
      <c r="A413" s="19"/>
      <c r="B413" s="22" t="str">
        <f aca="false">IF($A413="","",IFERROR(INDEX(tblCalisan[Brüt Ücret (₺)],MATCH($A413,tblCalisan[Çalışan Adı],0)),""))</f>
        <v/>
      </c>
      <c r="C413" s="22" t="str">
        <f aca="false">IF($A413="","",$B413*IsverenPayiOrani)</f>
        <v/>
      </c>
      <c r="D413" s="22" t="str">
        <f aca="false">IF($A413="","",$B413*IssizlikOrani)</f>
        <v/>
      </c>
      <c r="E413" s="22" t="str">
        <f aca="false">IF($A413="","",$B413*KidemKarsilikOrani)</f>
        <v/>
      </c>
      <c r="F413" s="20"/>
      <c r="G413" s="22" t="str">
        <f aca="false">IF($A413="","",$B413+$C413+$D413+$E413+$F413)</f>
        <v/>
      </c>
      <c r="H413" s="22" t="str">
        <f aca="false">IF($A413="","",$G413*AySayisi)</f>
        <v/>
      </c>
    </row>
    <row r="414" customFormat="false" ht="15" hidden="false" customHeight="false" outlineLevel="0" collapsed="false">
      <c r="A414" s="19"/>
      <c r="B414" s="22" t="str">
        <f aca="false">IF($A414="","",IFERROR(INDEX(tblCalisan[Brüt Ücret (₺)],MATCH($A414,tblCalisan[Çalışan Adı],0)),""))</f>
        <v/>
      </c>
      <c r="C414" s="22" t="str">
        <f aca="false">IF($A414="","",$B414*IsverenPayiOrani)</f>
        <v/>
      </c>
      <c r="D414" s="22" t="str">
        <f aca="false">IF($A414="","",$B414*IssizlikOrani)</f>
        <v/>
      </c>
      <c r="E414" s="22" t="str">
        <f aca="false">IF($A414="","",$B414*KidemKarsilikOrani)</f>
        <v/>
      </c>
      <c r="F414" s="20"/>
      <c r="G414" s="22" t="str">
        <f aca="false">IF($A414="","",$B414+$C414+$D414+$E414+$F414)</f>
        <v/>
      </c>
      <c r="H414" s="22" t="str">
        <f aca="false">IF($A414="","",$G414*AySayisi)</f>
        <v/>
      </c>
    </row>
    <row r="415" customFormat="false" ht="15" hidden="false" customHeight="false" outlineLevel="0" collapsed="false">
      <c r="A415" s="19"/>
      <c r="B415" s="22" t="str">
        <f aca="false">IF($A415="","",IFERROR(INDEX(tblCalisan[Brüt Ücret (₺)],MATCH($A415,tblCalisan[Çalışan Adı],0)),""))</f>
        <v/>
      </c>
      <c r="C415" s="22" t="str">
        <f aca="false">IF($A415="","",$B415*IsverenPayiOrani)</f>
        <v/>
      </c>
      <c r="D415" s="22" t="str">
        <f aca="false">IF($A415="","",$B415*IssizlikOrani)</f>
        <v/>
      </c>
      <c r="E415" s="22" t="str">
        <f aca="false">IF($A415="","",$B415*KidemKarsilikOrani)</f>
        <v/>
      </c>
      <c r="F415" s="20"/>
      <c r="G415" s="22" t="str">
        <f aca="false">IF($A415="","",$B415+$C415+$D415+$E415+$F415)</f>
        <v/>
      </c>
      <c r="H415" s="22" t="str">
        <f aca="false">IF($A415="","",$G415*AySayisi)</f>
        <v/>
      </c>
    </row>
    <row r="416" customFormat="false" ht="15" hidden="false" customHeight="false" outlineLevel="0" collapsed="false">
      <c r="A416" s="19"/>
      <c r="B416" s="22" t="str">
        <f aca="false">IF($A416="","",IFERROR(INDEX(tblCalisan[Brüt Ücret (₺)],MATCH($A416,tblCalisan[Çalışan Adı],0)),""))</f>
        <v/>
      </c>
      <c r="C416" s="22" t="str">
        <f aca="false">IF($A416="","",$B416*IsverenPayiOrani)</f>
        <v/>
      </c>
      <c r="D416" s="22" t="str">
        <f aca="false">IF($A416="","",$B416*IssizlikOrani)</f>
        <v/>
      </c>
      <c r="E416" s="22" t="str">
        <f aca="false">IF($A416="","",$B416*KidemKarsilikOrani)</f>
        <v/>
      </c>
      <c r="F416" s="20"/>
      <c r="G416" s="22" t="str">
        <f aca="false">IF($A416="","",$B416+$C416+$D416+$E416+$F416)</f>
        <v/>
      </c>
      <c r="H416" s="22" t="str">
        <f aca="false">IF($A416="","",$G416*AySayisi)</f>
        <v/>
      </c>
    </row>
    <row r="417" customFormat="false" ht="15" hidden="false" customHeight="false" outlineLevel="0" collapsed="false">
      <c r="A417" s="19"/>
      <c r="B417" s="22" t="str">
        <f aca="false">IF($A417="","",IFERROR(INDEX(tblCalisan[Brüt Ücret (₺)],MATCH($A417,tblCalisan[Çalışan Adı],0)),""))</f>
        <v/>
      </c>
      <c r="C417" s="22" t="str">
        <f aca="false">IF($A417="","",$B417*IsverenPayiOrani)</f>
        <v/>
      </c>
      <c r="D417" s="22" t="str">
        <f aca="false">IF($A417="","",$B417*IssizlikOrani)</f>
        <v/>
      </c>
      <c r="E417" s="22" t="str">
        <f aca="false">IF($A417="","",$B417*KidemKarsilikOrani)</f>
        <v/>
      </c>
      <c r="F417" s="20"/>
      <c r="G417" s="22" t="str">
        <f aca="false">IF($A417="","",$B417+$C417+$D417+$E417+$F417)</f>
        <v/>
      </c>
      <c r="H417" s="22" t="str">
        <f aca="false">IF($A417="","",$G417*AySayisi)</f>
        <v/>
      </c>
    </row>
    <row r="418" customFormat="false" ht="15" hidden="false" customHeight="false" outlineLevel="0" collapsed="false">
      <c r="A418" s="19"/>
      <c r="B418" s="22" t="str">
        <f aca="false">IF($A418="","",IFERROR(INDEX(tblCalisan[Brüt Ücret (₺)],MATCH($A418,tblCalisan[Çalışan Adı],0)),""))</f>
        <v/>
      </c>
      <c r="C418" s="22" t="str">
        <f aca="false">IF($A418="","",$B418*IsverenPayiOrani)</f>
        <v/>
      </c>
      <c r="D418" s="22" t="str">
        <f aca="false">IF($A418="","",$B418*IssizlikOrani)</f>
        <v/>
      </c>
      <c r="E418" s="22" t="str">
        <f aca="false">IF($A418="","",$B418*KidemKarsilikOrani)</f>
        <v/>
      </c>
      <c r="F418" s="20"/>
      <c r="G418" s="22" t="str">
        <f aca="false">IF($A418="","",$B418+$C418+$D418+$E418+$F418)</f>
        <v/>
      </c>
      <c r="H418" s="22" t="str">
        <f aca="false">IF($A418="","",$G418*AySayisi)</f>
        <v/>
      </c>
    </row>
    <row r="419" customFormat="false" ht="15" hidden="false" customHeight="false" outlineLevel="0" collapsed="false">
      <c r="A419" s="19"/>
      <c r="B419" s="22" t="str">
        <f aca="false">IF($A419="","",IFERROR(INDEX(tblCalisan[Brüt Ücret (₺)],MATCH($A419,tblCalisan[Çalışan Adı],0)),""))</f>
        <v/>
      </c>
      <c r="C419" s="22" t="str">
        <f aca="false">IF($A419="","",$B419*IsverenPayiOrani)</f>
        <v/>
      </c>
      <c r="D419" s="22" t="str">
        <f aca="false">IF($A419="","",$B419*IssizlikOrani)</f>
        <v/>
      </c>
      <c r="E419" s="22" t="str">
        <f aca="false">IF($A419="","",$B419*KidemKarsilikOrani)</f>
        <v/>
      </c>
      <c r="F419" s="20"/>
      <c r="G419" s="22" t="str">
        <f aca="false">IF($A419="","",$B419+$C419+$D419+$E419+$F419)</f>
        <v/>
      </c>
      <c r="H419" s="22" t="str">
        <f aca="false">IF($A419="","",$G419*AySayisi)</f>
        <v/>
      </c>
    </row>
    <row r="420" customFormat="false" ht="15" hidden="false" customHeight="false" outlineLevel="0" collapsed="false">
      <c r="A420" s="19"/>
      <c r="B420" s="22" t="str">
        <f aca="false">IF($A420="","",IFERROR(INDEX(tblCalisan[Brüt Ücret (₺)],MATCH($A420,tblCalisan[Çalışan Adı],0)),""))</f>
        <v/>
      </c>
      <c r="C420" s="22" t="str">
        <f aca="false">IF($A420="","",$B420*IsverenPayiOrani)</f>
        <v/>
      </c>
      <c r="D420" s="22" t="str">
        <f aca="false">IF($A420="","",$B420*IssizlikOrani)</f>
        <v/>
      </c>
      <c r="E420" s="22" t="str">
        <f aca="false">IF($A420="","",$B420*KidemKarsilikOrani)</f>
        <v/>
      </c>
      <c r="F420" s="20"/>
      <c r="G420" s="22" t="str">
        <f aca="false">IF($A420="","",$B420+$C420+$D420+$E420+$F420)</f>
        <v/>
      </c>
      <c r="H420" s="22" t="str">
        <f aca="false">IF($A420="","",$G420*AySayisi)</f>
        <v/>
      </c>
    </row>
    <row r="421" customFormat="false" ht="15" hidden="false" customHeight="false" outlineLevel="0" collapsed="false">
      <c r="A421" s="19"/>
      <c r="B421" s="22" t="str">
        <f aca="false">IF($A421="","",IFERROR(INDEX(tblCalisan[Brüt Ücret (₺)],MATCH($A421,tblCalisan[Çalışan Adı],0)),""))</f>
        <v/>
      </c>
      <c r="C421" s="22" t="str">
        <f aca="false">IF($A421="","",$B421*IsverenPayiOrani)</f>
        <v/>
      </c>
      <c r="D421" s="22" t="str">
        <f aca="false">IF($A421="","",$B421*IssizlikOrani)</f>
        <v/>
      </c>
      <c r="E421" s="22" t="str">
        <f aca="false">IF($A421="","",$B421*KidemKarsilikOrani)</f>
        <v/>
      </c>
      <c r="F421" s="20"/>
      <c r="G421" s="22" t="str">
        <f aca="false">IF($A421="","",$B421+$C421+$D421+$E421+$F421)</f>
        <v/>
      </c>
      <c r="H421" s="22" t="str">
        <f aca="false">IF($A421="","",$G421*AySayisi)</f>
        <v/>
      </c>
    </row>
    <row r="422" customFormat="false" ht="15" hidden="false" customHeight="false" outlineLevel="0" collapsed="false">
      <c r="A422" s="19"/>
      <c r="B422" s="22" t="str">
        <f aca="false">IF($A422="","",IFERROR(INDEX(tblCalisan[Brüt Ücret (₺)],MATCH($A422,tblCalisan[Çalışan Adı],0)),""))</f>
        <v/>
      </c>
      <c r="C422" s="22" t="str">
        <f aca="false">IF($A422="","",$B422*IsverenPayiOrani)</f>
        <v/>
      </c>
      <c r="D422" s="22" t="str">
        <f aca="false">IF($A422="","",$B422*IssizlikOrani)</f>
        <v/>
      </c>
      <c r="E422" s="22" t="str">
        <f aca="false">IF($A422="","",$B422*KidemKarsilikOrani)</f>
        <v/>
      </c>
      <c r="F422" s="20"/>
      <c r="G422" s="22" t="str">
        <f aca="false">IF($A422="","",$B422+$C422+$D422+$E422+$F422)</f>
        <v/>
      </c>
      <c r="H422" s="22" t="str">
        <f aca="false">IF($A422="","",$G422*AySayisi)</f>
        <v/>
      </c>
    </row>
    <row r="423" customFormat="false" ht="15" hidden="false" customHeight="false" outlineLevel="0" collapsed="false">
      <c r="A423" s="19"/>
      <c r="B423" s="22" t="str">
        <f aca="false">IF($A423="","",IFERROR(INDEX(tblCalisan[Brüt Ücret (₺)],MATCH($A423,tblCalisan[Çalışan Adı],0)),""))</f>
        <v/>
      </c>
      <c r="C423" s="22" t="str">
        <f aca="false">IF($A423="","",$B423*IsverenPayiOrani)</f>
        <v/>
      </c>
      <c r="D423" s="22" t="str">
        <f aca="false">IF($A423="","",$B423*IssizlikOrani)</f>
        <v/>
      </c>
      <c r="E423" s="22" t="str">
        <f aca="false">IF($A423="","",$B423*KidemKarsilikOrani)</f>
        <v/>
      </c>
      <c r="F423" s="20"/>
      <c r="G423" s="22" t="str">
        <f aca="false">IF($A423="","",$B423+$C423+$D423+$E423+$F423)</f>
        <v/>
      </c>
      <c r="H423" s="22" t="str">
        <f aca="false">IF($A423="","",$G423*AySayisi)</f>
        <v/>
      </c>
    </row>
    <row r="424" customFormat="false" ht="15" hidden="false" customHeight="false" outlineLevel="0" collapsed="false">
      <c r="A424" s="19"/>
      <c r="B424" s="22" t="str">
        <f aca="false">IF($A424="","",IFERROR(INDEX(tblCalisan[Brüt Ücret (₺)],MATCH($A424,tblCalisan[Çalışan Adı],0)),""))</f>
        <v/>
      </c>
      <c r="C424" s="22" t="str">
        <f aca="false">IF($A424="","",$B424*IsverenPayiOrani)</f>
        <v/>
      </c>
      <c r="D424" s="22" t="str">
        <f aca="false">IF($A424="","",$B424*IssizlikOrani)</f>
        <v/>
      </c>
      <c r="E424" s="22" t="str">
        <f aca="false">IF($A424="","",$B424*KidemKarsilikOrani)</f>
        <v/>
      </c>
      <c r="F424" s="20"/>
      <c r="G424" s="22" t="str">
        <f aca="false">IF($A424="","",$B424+$C424+$D424+$E424+$F424)</f>
        <v/>
      </c>
      <c r="H424" s="22" t="str">
        <f aca="false">IF($A424="","",$G424*AySayisi)</f>
        <v/>
      </c>
    </row>
    <row r="425" customFormat="false" ht="15" hidden="false" customHeight="false" outlineLevel="0" collapsed="false">
      <c r="A425" s="19"/>
      <c r="B425" s="22" t="str">
        <f aca="false">IF($A425="","",IFERROR(INDEX(tblCalisan[Brüt Ücret (₺)],MATCH($A425,tblCalisan[Çalışan Adı],0)),""))</f>
        <v/>
      </c>
      <c r="C425" s="22" t="str">
        <f aca="false">IF($A425="","",$B425*IsverenPayiOrani)</f>
        <v/>
      </c>
      <c r="D425" s="22" t="str">
        <f aca="false">IF($A425="","",$B425*IssizlikOrani)</f>
        <v/>
      </c>
      <c r="E425" s="22" t="str">
        <f aca="false">IF($A425="","",$B425*KidemKarsilikOrani)</f>
        <v/>
      </c>
      <c r="F425" s="20"/>
      <c r="G425" s="22" t="str">
        <f aca="false">IF($A425="","",$B425+$C425+$D425+$E425+$F425)</f>
        <v/>
      </c>
      <c r="H425" s="22" t="str">
        <f aca="false">IF($A425="","",$G425*AySayisi)</f>
        <v/>
      </c>
    </row>
    <row r="426" customFormat="false" ht="15" hidden="false" customHeight="false" outlineLevel="0" collapsed="false">
      <c r="A426" s="19"/>
      <c r="B426" s="22" t="str">
        <f aca="false">IF($A426="","",IFERROR(INDEX(tblCalisan[Brüt Ücret (₺)],MATCH($A426,tblCalisan[Çalışan Adı],0)),""))</f>
        <v/>
      </c>
      <c r="C426" s="22" t="str">
        <f aca="false">IF($A426="","",$B426*IsverenPayiOrani)</f>
        <v/>
      </c>
      <c r="D426" s="22" t="str">
        <f aca="false">IF($A426="","",$B426*IssizlikOrani)</f>
        <v/>
      </c>
      <c r="E426" s="22" t="str">
        <f aca="false">IF($A426="","",$B426*KidemKarsilikOrani)</f>
        <v/>
      </c>
      <c r="F426" s="20"/>
      <c r="G426" s="22" t="str">
        <f aca="false">IF($A426="","",$B426+$C426+$D426+$E426+$F426)</f>
        <v/>
      </c>
      <c r="H426" s="22" t="str">
        <f aca="false">IF($A426="","",$G426*AySayisi)</f>
        <v/>
      </c>
    </row>
    <row r="427" customFormat="false" ht="15" hidden="false" customHeight="false" outlineLevel="0" collapsed="false">
      <c r="A427" s="19"/>
      <c r="B427" s="22" t="str">
        <f aca="false">IF($A427="","",IFERROR(INDEX(tblCalisan[Brüt Ücret (₺)],MATCH($A427,tblCalisan[Çalışan Adı],0)),""))</f>
        <v/>
      </c>
      <c r="C427" s="22" t="str">
        <f aca="false">IF($A427="","",$B427*IsverenPayiOrani)</f>
        <v/>
      </c>
      <c r="D427" s="22" t="str">
        <f aca="false">IF($A427="","",$B427*IssizlikOrani)</f>
        <v/>
      </c>
      <c r="E427" s="22" t="str">
        <f aca="false">IF($A427="","",$B427*KidemKarsilikOrani)</f>
        <v/>
      </c>
      <c r="F427" s="20"/>
      <c r="G427" s="22" t="str">
        <f aca="false">IF($A427="","",$B427+$C427+$D427+$E427+$F427)</f>
        <v/>
      </c>
      <c r="H427" s="22" t="str">
        <f aca="false">IF($A427="","",$G427*AySayisi)</f>
        <v/>
      </c>
    </row>
    <row r="428" customFormat="false" ht="15" hidden="false" customHeight="false" outlineLevel="0" collapsed="false">
      <c r="A428" s="19"/>
      <c r="B428" s="22" t="str">
        <f aca="false">IF($A428="","",IFERROR(INDEX(tblCalisan[Brüt Ücret (₺)],MATCH($A428,tblCalisan[Çalışan Adı],0)),""))</f>
        <v/>
      </c>
      <c r="C428" s="22" t="str">
        <f aca="false">IF($A428="","",$B428*IsverenPayiOrani)</f>
        <v/>
      </c>
      <c r="D428" s="22" t="str">
        <f aca="false">IF($A428="","",$B428*IssizlikOrani)</f>
        <v/>
      </c>
      <c r="E428" s="22" t="str">
        <f aca="false">IF($A428="","",$B428*KidemKarsilikOrani)</f>
        <v/>
      </c>
      <c r="F428" s="20"/>
      <c r="G428" s="22" t="str">
        <f aca="false">IF($A428="","",$B428+$C428+$D428+$E428+$F428)</f>
        <v/>
      </c>
      <c r="H428" s="22" t="str">
        <f aca="false">IF($A428="","",$G428*AySayisi)</f>
        <v/>
      </c>
    </row>
    <row r="429" customFormat="false" ht="15" hidden="false" customHeight="false" outlineLevel="0" collapsed="false">
      <c r="A429" s="19"/>
      <c r="B429" s="22" t="str">
        <f aca="false">IF($A429="","",IFERROR(INDEX(tblCalisan[Brüt Ücret (₺)],MATCH($A429,tblCalisan[Çalışan Adı],0)),""))</f>
        <v/>
      </c>
      <c r="C429" s="22" t="str">
        <f aca="false">IF($A429="","",$B429*IsverenPayiOrani)</f>
        <v/>
      </c>
      <c r="D429" s="22" t="str">
        <f aca="false">IF($A429="","",$B429*IssizlikOrani)</f>
        <v/>
      </c>
      <c r="E429" s="22" t="str">
        <f aca="false">IF($A429="","",$B429*KidemKarsilikOrani)</f>
        <v/>
      </c>
      <c r="F429" s="20"/>
      <c r="G429" s="22" t="str">
        <f aca="false">IF($A429="","",$B429+$C429+$D429+$E429+$F429)</f>
        <v/>
      </c>
      <c r="H429" s="22" t="str">
        <f aca="false">IF($A429="","",$G429*AySayisi)</f>
        <v/>
      </c>
    </row>
    <row r="430" customFormat="false" ht="15" hidden="false" customHeight="false" outlineLevel="0" collapsed="false">
      <c r="A430" s="19"/>
      <c r="B430" s="22" t="str">
        <f aca="false">IF($A430="","",IFERROR(INDEX(tblCalisan[Brüt Ücret (₺)],MATCH($A430,tblCalisan[Çalışan Adı],0)),""))</f>
        <v/>
      </c>
      <c r="C430" s="22" t="str">
        <f aca="false">IF($A430="","",$B430*IsverenPayiOrani)</f>
        <v/>
      </c>
      <c r="D430" s="22" t="str">
        <f aca="false">IF($A430="","",$B430*IssizlikOrani)</f>
        <v/>
      </c>
      <c r="E430" s="22" t="str">
        <f aca="false">IF($A430="","",$B430*KidemKarsilikOrani)</f>
        <v/>
      </c>
      <c r="F430" s="20"/>
      <c r="G430" s="22" t="str">
        <f aca="false">IF($A430="","",$B430+$C430+$D430+$E430+$F430)</f>
        <v/>
      </c>
      <c r="H430" s="22" t="str">
        <f aca="false">IF($A430="","",$G430*AySayisi)</f>
        <v/>
      </c>
    </row>
    <row r="431" customFormat="false" ht="15" hidden="false" customHeight="false" outlineLevel="0" collapsed="false">
      <c r="A431" s="19"/>
      <c r="B431" s="22" t="str">
        <f aca="false">IF($A431="","",IFERROR(INDEX(tblCalisan[Brüt Ücret (₺)],MATCH($A431,tblCalisan[Çalışan Adı],0)),""))</f>
        <v/>
      </c>
      <c r="C431" s="22" t="str">
        <f aca="false">IF($A431="","",$B431*IsverenPayiOrani)</f>
        <v/>
      </c>
      <c r="D431" s="22" t="str">
        <f aca="false">IF($A431="","",$B431*IssizlikOrani)</f>
        <v/>
      </c>
      <c r="E431" s="22" t="str">
        <f aca="false">IF($A431="","",$B431*KidemKarsilikOrani)</f>
        <v/>
      </c>
      <c r="F431" s="20"/>
      <c r="G431" s="22" t="str">
        <f aca="false">IF($A431="","",$B431+$C431+$D431+$E431+$F431)</f>
        <v/>
      </c>
      <c r="H431" s="22" t="str">
        <f aca="false">IF($A431="","",$G431*AySayisi)</f>
        <v/>
      </c>
    </row>
    <row r="432" customFormat="false" ht="15" hidden="false" customHeight="false" outlineLevel="0" collapsed="false">
      <c r="A432" s="19"/>
      <c r="B432" s="22" t="str">
        <f aca="false">IF($A432="","",IFERROR(INDEX(tblCalisan[Brüt Ücret (₺)],MATCH($A432,tblCalisan[Çalışan Adı],0)),""))</f>
        <v/>
      </c>
      <c r="C432" s="22" t="str">
        <f aca="false">IF($A432="","",$B432*IsverenPayiOrani)</f>
        <v/>
      </c>
      <c r="D432" s="22" t="str">
        <f aca="false">IF($A432="","",$B432*IssizlikOrani)</f>
        <v/>
      </c>
      <c r="E432" s="22" t="str">
        <f aca="false">IF($A432="","",$B432*KidemKarsilikOrani)</f>
        <v/>
      </c>
      <c r="F432" s="20"/>
      <c r="G432" s="22" t="str">
        <f aca="false">IF($A432="","",$B432+$C432+$D432+$E432+$F432)</f>
        <v/>
      </c>
      <c r="H432" s="22" t="str">
        <f aca="false">IF($A432="","",$G432*AySayisi)</f>
        <v/>
      </c>
    </row>
    <row r="433" customFormat="false" ht="15" hidden="false" customHeight="false" outlineLevel="0" collapsed="false">
      <c r="A433" s="19"/>
      <c r="B433" s="22" t="str">
        <f aca="false">IF($A433="","",IFERROR(INDEX(tblCalisan[Brüt Ücret (₺)],MATCH($A433,tblCalisan[Çalışan Adı],0)),""))</f>
        <v/>
      </c>
      <c r="C433" s="22" t="str">
        <f aca="false">IF($A433="","",$B433*IsverenPayiOrani)</f>
        <v/>
      </c>
      <c r="D433" s="22" t="str">
        <f aca="false">IF($A433="","",$B433*IssizlikOrani)</f>
        <v/>
      </c>
      <c r="E433" s="22" t="str">
        <f aca="false">IF($A433="","",$B433*KidemKarsilikOrani)</f>
        <v/>
      </c>
      <c r="F433" s="20"/>
      <c r="G433" s="22" t="str">
        <f aca="false">IF($A433="","",$B433+$C433+$D433+$E433+$F433)</f>
        <v/>
      </c>
      <c r="H433" s="22" t="str">
        <f aca="false">IF($A433="","",$G433*AySayisi)</f>
        <v/>
      </c>
    </row>
    <row r="434" customFormat="false" ht="15" hidden="false" customHeight="false" outlineLevel="0" collapsed="false">
      <c r="A434" s="19"/>
      <c r="B434" s="22" t="str">
        <f aca="false">IF($A434="","",IFERROR(INDEX(tblCalisan[Brüt Ücret (₺)],MATCH($A434,tblCalisan[Çalışan Adı],0)),""))</f>
        <v/>
      </c>
      <c r="C434" s="22" t="str">
        <f aca="false">IF($A434="","",$B434*IsverenPayiOrani)</f>
        <v/>
      </c>
      <c r="D434" s="22" t="str">
        <f aca="false">IF($A434="","",$B434*IssizlikOrani)</f>
        <v/>
      </c>
      <c r="E434" s="22" t="str">
        <f aca="false">IF($A434="","",$B434*KidemKarsilikOrani)</f>
        <v/>
      </c>
      <c r="F434" s="20"/>
      <c r="G434" s="22" t="str">
        <f aca="false">IF($A434="","",$B434+$C434+$D434+$E434+$F434)</f>
        <v/>
      </c>
      <c r="H434" s="22" t="str">
        <f aca="false">IF($A434="","",$G434*AySayisi)</f>
        <v/>
      </c>
    </row>
    <row r="435" customFormat="false" ht="15" hidden="false" customHeight="false" outlineLevel="0" collapsed="false">
      <c r="A435" s="19"/>
      <c r="B435" s="22" t="str">
        <f aca="false">IF($A435="","",IFERROR(INDEX(tblCalisan[Brüt Ücret (₺)],MATCH($A435,tblCalisan[Çalışan Adı],0)),""))</f>
        <v/>
      </c>
      <c r="C435" s="22" t="str">
        <f aca="false">IF($A435="","",$B435*IsverenPayiOrani)</f>
        <v/>
      </c>
      <c r="D435" s="22" t="str">
        <f aca="false">IF($A435="","",$B435*IssizlikOrani)</f>
        <v/>
      </c>
      <c r="E435" s="22" t="str">
        <f aca="false">IF($A435="","",$B435*KidemKarsilikOrani)</f>
        <v/>
      </c>
      <c r="F435" s="20"/>
      <c r="G435" s="22" t="str">
        <f aca="false">IF($A435="","",$B435+$C435+$D435+$E435+$F435)</f>
        <v/>
      </c>
      <c r="H435" s="22" t="str">
        <f aca="false">IF($A435="","",$G435*AySayisi)</f>
        <v/>
      </c>
    </row>
    <row r="436" customFormat="false" ht="15" hidden="false" customHeight="false" outlineLevel="0" collapsed="false">
      <c r="A436" s="19"/>
      <c r="B436" s="22" t="str">
        <f aca="false">IF($A436="","",IFERROR(INDEX(tblCalisan[Brüt Ücret (₺)],MATCH($A436,tblCalisan[Çalışan Adı],0)),""))</f>
        <v/>
      </c>
      <c r="C436" s="22" t="str">
        <f aca="false">IF($A436="","",$B436*IsverenPayiOrani)</f>
        <v/>
      </c>
      <c r="D436" s="22" t="str">
        <f aca="false">IF($A436="","",$B436*IssizlikOrani)</f>
        <v/>
      </c>
      <c r="E436" s="22" t="str">
        <f aca="false">IF($A436="","",$B436*KidemKarsilikOrani)</f>
        <v/>
      </c>
      <c r="F436" s="20"/>
      <c r="G436" s="22" t="str">
        <f aca="false">IF($A436="","",$B436+$C436+$D436+$E436+$F436)</f>
        <v/>
      </c>
      <c r="H436" s="22" t="str">
        <f aca="false">IF($A436="","",$G436*AySayisi)</f>
        <v/>
      </c>
    </row>
    <row r="437" customFormat="false" ht="15" hidden="false" customHeight="false" outlineLevel="0" collapsed="false">
      <c r="A437" s="19"/>
      <c r="B437" s="22" t="str">
        <f aca="false">IF($A437="","",IFERROR(INDEX(tblCalisan[Brüt Ücret (₺)],MATCH($A437,tblCalisan[Çalışan Adı],0)),""))</f>
        <v/>
      </c>
      <c r="C437" s="22" t="str">
        <f aca="false">IF($A437="","",$B437*IsverenPayiOrani)</f>
        <v/>
      </c>
      <c r="D437" s="22" t="str">
        <f aca="false">IF($A437="","",$B437*IssizlikOrani)</f>
        <v/>
      </c>
      <c r="E437" s="22" t="str">
        <f aca="false">IF($A437="","",$B437*KidemKarsilikOrani)</f>
        <v/>
      </c>
      <c r="F437" s="20"/>
      <c r="G437" s="22" t="str">
        <f aca="false">IF($A437="","",$B437+$C437+$D437+$E437+$F437)</f>
        <v/>
      </c>
      <c r="H437" s="22" t="str">
        <f aca="false">IF($A437="","",$G437*AySayisi)</f>
        <v/>
      </c>
    </row>
    <row r="438" customFormat="false" ht="15" hidden="false" customHeight="false" outlineLevel="0" collapsed="false">
      <c r="A438" s="19"/>
      <c r="B438" s="22" t="str">
        <f aca="false">IF($A438="","",IFERROR(INDEX(tblCalisan[Brüt Ücret (₺)],MATCH($A438,tblCalisan[Çalışan Adı],0)),""))</f>
        <v/>
      </c>
      <c r="C438" s="22" t="str">
        <f aca="false">IF($A438="","",$B438*IsverenPayiOrani)</f>
        <v/>
      </c>
      <c r="D438" s="22" t="str">
        <f aca="false">IF($A438="","",$B438*IssizlikOrani)</f>
        <v/>
      </c>
      <c r="E438" s="22" t="str">
        <f aca="false">IF($A438="","",$B438*KidemKarsilikOrani)</f>
        <v/>
      </c>
      <c r="F438" s="20"/>
      <c r="G438" s="22" t="str">
        <f aca="false">IF($A438="","",$B438+$C438+$D438+$E438+$F438)</f>
        <v/>
      </c>
      <c r="H438" s="22" t="str">
        <f aca="false">IF($A438="","",$G438*AySayisi)</f>
        <v/>
      </c>
    </row>
    <row r="439" customFormat="false" ht="15" hidden="false" customHeight="false" outlineLevel="0" collapsed="false">
      <c r="A439" s="19"/>
      <c r="B439" s="22" t="str">
        <f aca="false">IF($A439="","",IFERROR(INDEX(tblCalisan[Brüt Ücret (₺)],MATCH($A439,tblCalisan[Çalışan Adı],0)),""))</f>
        <v/>
      </c>
      <c r="C439" s="22" t="str">
        <f aca="false">IF($A439="","",$B439*IsverenPayiOrani)</f>
        <v/>
      </c>
      <c r="D439" s="22" t="str">
        <f aca="false">IF($A439="","",$B439*IssizlikOrani)</f>
        <v/>
      </c>
      <c r="E439" s="22" t="str">
        <f aca="false">IF($A439="","",$B439*KidemKarsilikOrani)</f>
        <v/>
      </c>
      <c r="F439" s="20"/>
      <c r="G439" s="22" t="str">
        <f aca="false">IF($A439="","",$B439+$C439+$D439+$E439+$F439)</f>
        <v/>
      </c>
      <c r="H439" s="22" t="str">
        <f aca="false">IF($A439="","",$G439*AySayisi)</f>
        <v/>
      </c>
    </row>
    <row r="440" customFormat="false" ht="15" hidden="false" customHeight="false" outlineLevel="0" collapsed="false">
      <c r="A440" s="19"/>
      <c r="B440" s="22" t="str">
        <f aca="false">IF($A440="","",IFERROR(INDEX(tblCalisan[Brüt Ücret (₺)],MATCH($A440,tblCalisan[Çalışan Adı],0)),""))</f>
        <v/>
      </c>
      <c r="C440" s="22" t="str">
        <f aca="false">IF($A440="","",$B440*IsverenPayiOrani)</f>
        <v/>
      </c>
      <c r="D440" s="22" t="str">
        <f aca="false">IF($A440="","",$B440*IssizlikOrani)</f>
        <v/>
      </c>
      <c r="E440" s="22" t="str">
        <f aca="false">IF($A440="","",$B440*KidemKarsilikOrani)</f>
        <v/>
      </c>
      <c r="F440" s="20"/>
      <c r="G440" s="22" t="str">
        <f aca="false">IF($A440="","",$B440+$C440+$D440+$E440+$F440)</f>
        <v/>
      </c>
      <c r="H440" s="22" t="str">
        <f aca="false">IF($A440="","",$G440*AySayisi)</f>
        <v/>
      </c>
    </row>
    <row r="441" customFormat="false" ht="15" hidden="false" customHeight="false" outlineLevel="0" collapsed="false">
      <c r="A441" s="19"/>
      <c r="B441" s="22" t="str">
        <f aca="false">IF($A441="","",IFERROR(INDEX(tblCalisan[Brüt Ücret (₺)],MATCH($A441,tblCalisan[Çalışan Adı],0)),""))</f>
        <v/>
      </c>
      <c r="C441" s="22" t="str">
        <f aca="false">IF($A441="","",$B441*IsverenPayiOrani)</f>
        <v/>
      </c>
      <c r="D441" s="22" t="str">
        <f aca="false">IF($A441="","",$B441*IssizlikOrani)</f>
        <v/>
      </c>
      <c r="E441" s="22" t="str">
        <f aca="false">IF($A441="","",$B441*KidemKarsilikOrani)</f>
        <v/>
      </c>
      <c r="F441" s="20"/>
      <c r="G441" s="22" t="str">
        <f aca="false">IF($A441="","",$B441+$C441+$D441+$E441+$F441)</f>
        <v/>
      </c>
      <c r="H441" s="22" t="str">
        <f aca="false">IF($A441="","",$G441*AySayisi)</f>
        <v/>
      </c>
    </row>
    <row r="442" customFormat="false" ht="15" hidden="false" customHeight="false" outlineLevel="0" collapsed="false">
      <c r="A442" s="19"/>
      <c r="B442" s="22" t="str">
        <f aca="false">IF($A442="","",IFERROR(INDEX(tblCalisan[Brüt Ücret (₺)],MATCH($A442,tblCalisan[Çalışan Adı],0)),""))</f>
        <v/>
      </c>
      <c r="C442" s="22" t="str">
        <f aca="false">IF($A442="","",$B442*IsverenPayiOrani)</f>
        <v/>
      </c>
      <c r="D442" s="22" t="str">
        <f aca="false">IF($A442="","",$B442*IssizlikOrani)</f>
        <v/>
      </c>
      <c r="E442" s="22" t="str">
        <f aca="false">IF($A442="","",$B442*KidemKarsilikOrani)</f>
        <v/>
      </c>
      <c r="F442" s="20"/>
      <c r="G442" s="22" t="str">
        <f aca="false">IF($A442="","",$B442+$C442+$D442+$E442+$F442)</f>
        <v/>
      </c>
      <c r="H442" s="22" t="str">
        <f aca="false">IF($A442="","",$G442*AySayisi)</f>
        <v/>
      </c>
    </row>
    <row r="443" customFormat="false" ht="15" hidden="false" customHeight="false" outlineLevel="0" collapsed="false">
      <c r="A443" s="19"/>
      <c r="B443" s="22" t="str">
        <f aca="false">IF($A443="","",IFERROR(INDEX(tblCalisan[Brüt Ücret (₺)],MATCH($A443,tblCalisan[Çalışan Adı],0)),""))</f>
        <v/>
      </c>
      <c r="C443" s="22" t="str">
        <f aca="false">IF($A443="","",$B443*IsverenPayiOrani)</f>
        <v/>
      </c>
      <c r="D443" s="22" t="str">
        <f aca="false">IF($A443="","",$B443*IssizlikOrani)</f>
        <v/>
      </c>
      <c r="E443" s="22" t="str">
        <f aca="false">IF($A443="","",$B443*KidemKarsilikOrani)</f>
        <v/>
      </c>
      <c r="F443" s="20"/>
      <c r="G443" s="22" t="str">
        <f aca="false">IF($A443="","",$B443+$C443+$D443+$E443+$F443)</f>
        <v/>
      </c>
      <c r="H443" s="22" t="str">
        <f aca="false">IF($A443="","",$G443*AySayisi)</f>
        <v/>
      </c>
    </row>
    <row r="444" customFormat="false" ht="15" hidden="false" customHeight="false" outlineLevel="0" collapsed="false">
      <c r="A444" s="19"/>
      <c r="B444" s="22" t="str">
        <f aca="false">IF($A444="","",IFERROR(INDEX(tblCalisan[Brüt Ücret (₺)],MATCH($A444,tblCalisan[Çalışan Adı],0)),""))</f>
        <v/>
      </c>
      <c r="C444" s="22" t="str">
        <f aca="false">IF($A444="","",$B444*IsverenPayiOrani)</f>
        <v/>
      </c>
      <c r="D444" s="22" t="str">
        <f aca="false">IF($A444="","",$B444*IssizlikOrani)</f>
        <v/>
      </c>
      <c r="E444" s="22" t="str">
        <f aca="false">IF($A444="","",$B444*KidemKarsilikOrani)</f>
        <v/>
      </c>
      <c r="F444" s="20"/>
      <c r="G444" s="22" t="str">
        <f aca="false">IF($A444="","",$B444+$C444+$D444+$E444+$F444)</f>
        <v/>
      </c>
      <c r="H444" s="22" t="str">
        <f aca="false">IF($A444="","",$G444*AySayisi)</f>
        <v/>
      </c>
    </row>
    <row r="445" customFormat="false" ht="15" hidden="false" customHeight="false" outlineLevel="0" collapsed="false">
      <c r="A445" s="19"/>
      <c r="B445" s="22" t="str">
        <f aca="false">IF($A445="","",IFERROR(INDEX(tblCalisan[Brüt Ücret (₺)],MATCH($A445,tblCalisan[Çalışan Adı],0)),""))</f>
        <v/>
      </c>
      <c r="C445" s="22" t="str">
        <f aca="false">IF($A445="","",$B445*IsverenPayiOrani)</f>
        <v/>
      </c>
      <c r="D445" s="22" t="str">
        <f aca="false">IF($A445="","",$B445*IssizlikOrani)</f>
        <v/>
      </c>
      <c r="E445" s="22" t="str">
        <f aca="false">IF($A445="","",$B445*KidemKarsilikOrani)</f>
        <v/>
      </c>
      <c r="F445" s="20"/>
      <c r="G445" s="22" t="str">
        <f aca="false">IF($A445="","",$B445+$C445+$D445+$E445+$F445)</f>
        <v/>
      </c>
      <c r="H445" s="22" t="str">
        <f aca="false">IF($A445="","",$G445*AySayisi)</f>
        <v/>
      </c>
    </row>
    <row r="446" customFormat="false" ht="15" hidden="false" customHeight="false" outlineLevel="0" collapsed="false">
      <c r="A446" s="19"/>
      <c r="B446" s="22" t="str">
        <f aca="false">IF($A446="","",IFERROR(INDEX(tblCalisan[Brüt Ücret (₺)],MATCH($A446,tblCalisan[Çalışan Adı],0)),""))</f>
        <v/>
      </c>
      <c r="C446" s="22" t="str">
        <f aca="false">IF($A446="","",$B446*IsverenPayiOrani)</f>
        <v/>
      </c>
      <c r="D446" s="22" t="str">
        <f aca="false">IF($A446="","",$B446*IssizlikOrani)</f>
        <v/>
      </c>
      <c r="E446" s="22" t="str">
        <f aca="false">IF($A446="","",$B446*KidemKarsilikOrani)</f>
        <v/>
      </c>
      <c r="F446" s="20"/>
      <c r="G446" s="22" t="str">
        <f aca="false">IF($A446="","",$B446+$C446+$D446+$E446+$F446)</f>
        <v/>
      </c>
      <c r="H446" s="22" t="str">
        <f aca="false">IF($A446="","",$G446*AySayisi)</f>
        <v/>
      </c>
    </row>
    <row r="447" customFormat="false" ht="15" hidden="false" customHeight="false" outlineLevel="0" collapsed="false">
      <c r="A447" s="19"/>
      <c r="B447" s="22" t="str">
        <f aca="false">IF($A447="","",IFERROR(INDEX(tblCalisan[Brüt Ücret (₺)],MATCH($A447,tblCalisan[Çalışan Adı],0)),""))</f>
        <v/>
      </c>
      <c r="C447" s="22" t="str">
        <f aca="false">IF($A447="","",$B447*IsverenPayiOrani)</f>
        <v/>
      </c>
      <c r="D447" s="22" t="str">
        <f aca="false">IF($A447="","",$B447*IssizlikOrani)</f>
        <v/>
      </c>
      <c r="E447" s="22" t="str">
        <f aca="false">IF($A447="","",$B447*KidemKarsilikOrani)</f>
        <v/>
      </c>
      <c r="F447" s="20"/>
      <c r="G447" s="22" t="str">
        <f aca="false">IF($A447="","",$B447+$C447+$D447+$E447+$F447)</f>
        <v/>
      </c>
      <c r="H447" s="22" t="str">
        <f aca="false">IF($A447="","",$G447*AySayisi)</f>
        <v/>
      </c>
    </row>
    <row r="448" customFormat="false" ht="15" hidden="false" customHeight="false" outlineLevel="0" collapsed="false">
      <c r="A448" s="19"/>
      <c r="B448" s="22" t="str">
        <f aca="false">IF($A448="","",IFERROR(INDEX(tblCalisan[Brüt Ücret (₺)],MATCH($A448,tblCalisan[Çalışan Adı],0)),""))</f>
        <v/>
      </c>
      <c r="C448" s="22" t="str">
        <f aca="false">IF($A448="","",$B448*IsverenPayiOrani)</f>
        <v/>
      </c>
      <c r="D448" s="22" t="str">
        <f aca="false">IF($A448="","",$B448*IssizlikOrani)</f>
        <v/>
      </c>
      <c r="E448" s="22" t="str">
        <f aca="false">IF($A448="","",$B448*KidemKarsilikOrani)</f>
        <v/>
      </c>
      <c r="F448" s="20"/>
      <c r="G448" s="22" t="str">
        <f aca="false">IF($A448="","",$B448+$C448+$D448+$E448+$F448)</f>
        <v/>
      </c>
      <c r="H448" s="22" t="str">
        <f aca="false">IF($A448="","",$G448*AySayisi)</f>
        <v/>
      </c>
    </row>
    <row r="449" customFormat="false" ht="15" hidden="false" customHeight="false" outlineLevel="0" collapsed="false">
      <c r="A449" s="19"/>
      <c r="B449" s="22" t="str">
        <f aca="false">IF($A449="","",IFERROR(INDEX(tblCalisan[Brüt Ücret (₺)],MATCH($A449,tblCalisan[Çalışan Adı],0)),""))</f>
        <v/>
      </c>
      <c r="C449" s="22" t="str">
        <f aca="false">IF($A449="","",$B449*IsverenPayiOrani)</f>
        <v/>
      </c>
      <c r="D449" s="22" t="str">
        <f aca="false">IF($A449="","",$B449*IssizlikOrani)</f>
        <v/>
      </c>
      <c r="E449" s="22" t="str">
        <f aca="false">IF($A449="","",$B449*KidemKarsilikOrani)</f>
        <v/>
      </c>
      <c r="F449" s="20"/>
      <c r="G449" s="22" t="str">
        <f aca="false">IF($A449="","",$B449+$C449+$D449+$E449+$F449)</f>
        <v/>
      </c>
      <c r="H449" s="22" t="str">
        <f aca="false">IF($A449="","",$G449*AySayisi)</f>
        <v/>
      </c>
    </row>
    <row r="450" customFormat="false" ht="15" hidden="false" customHeight="false" outlineLevel="0" collapsed="false">
      <c r="A450" s="19"/>
      <c r="B450" s="22" t="str">
        <f aca="false">IF($A450="","",IFERROR(INDEX(tblCalisan[Brüt Ücret (₺)],MATCH($A450,tblCalisan[Çalışan Adı],0)),""))</f>
        <v/>
      </c>
      <c r="C450" s="22" t="str">
        <f aca="false">IF($A450="","",$B450*IsverenPayiOrani)</f>
        <v/>
      </c>
      <c r="D450" s="22" t="str">
        <f aca="false">IF($A450="","",$B450*IssizlikOrani)</f>
        <v/>
      </c>
      <c r="E450" s="22" t="str">
        <f aca="false">IF($A450="","",$B450*KidemKarsilikOrani)</f>
        <v/>
      </c>
      <c r="F450" s="20"/>
      <c r="G450" s="22" t="str">
        <f aca="false">IF($A450="","",$B450+$C450+$D450+$E450+$F450)</f>
        <v/>
      </c>
      <c r="H450" s="22" t="str">
        <f aca="false">IF($A450="","",$G450*AySayisi)</f>
        <v/>
      </c>
    </row>
    <row r="451" customFormat="false" ht="15" hidden="false" customHeight="false" outlineLevel="0" collapsed="false">
      <c r="A451" s="19"/>
      <c r="B451" s="22" t="str">
        <f aca="false">IF($A451="","",IFERROR(INDEX(tblCalisan[Brüt Ücret (₺)],MATCH($A451,tblCalisan[Çalışan Adı],0)),""))</f>
        <v/>
      </c>
      <c r="C451" s="22" t="str">
        <f aca="false">IF($A451="","",$B451*IsverenPayiOrani)</f>
        <v/>
      </c>
      <c r="D451" s="22" t="str">
        <f aca="false">IF($A451="","",$B451*IssizlikOrani)</f>
        <v/>
      </c>
      <c r="E451" s="22" t="str">
        <f aca="false">IF($A451="","",$B451*KidemKarsilikOrani)</f>
        <v/>
      </c>
      <c r="F451" s="20"/>
      <c r="G451" s="22" t="str">
        <f aca="false">IF($A451="","",$B451+$C451+$D451+$E451+$F451)</f>
        <v/>
      </c>
      <c r="H451" s="22" t="str">
        <f aca="false">IF($A451="","",$G451*AySayisi)</f>
        <v/>
      </c>
    </row>
    <row r="452" customFormat="false" ht="15" hidden="false" customHeight="false" outlineLevel="0" collapsed="false">
      <c r="A452" s="19"/>
      <c r="B452" s="22" t="str">
        <f aca="false">IF($A452="","",IFERROR(INDEX(tblCalisan[Brüt Ücret (₺)],MATCH($A452,tblCalisan[Çalışan Adı],0)),""))</f>
        <v/>
      </c>
      <c r="C452" s="22" t="str">
        <f aca="false">IF($A452="","",$B452*IsverenPayiOrani)</f>
        <v/>
      </c>
      <c r="D452" s="22" t="str">
        <f aca="false">IF($A452="","",$B452*IssizlikOrani)</f>
        <v/>
      </c>
      <c r="E452" s="22" t="str">
        <f aca="false">IF($A452="","",$B452*KidemKarsilikOrani)</f>
        <v/>
      </c>
      <c r="F452" s="20"/>
      <c r="G452" s="22" t="str">
        <f aca="false">IF($A452="","",$B452+$C452+$D452+$E452+$F452)</f>
        <v/>
      </c>
      <c r="H452" s="22" t="str">
        <f aca="false">IF($A452="","",$G452*AySayisi)</f>
        <v/>
      </c>
    </row>
    <row r="453" customFormat="false" ht="15" hidden="false" customHeight="false" outlineLevel="0" collapsed="false">
      <c r="A453" s="19"/>
      <c r="B453" s="22" t="str">
        <f aca="false">IF($A453="","",IFERROR(INDEX(tblCalisan[Brüt Ücret (₺)],MATCH($A453,tblCalisan[Çalışan Adı],0)),""))</f>
        <v/>
      </c>
      <c r="C453" s="22" t="str">
        <f aca="false">IF($A453="","",$B453*IsverenPayiOrani)</f>
        <v/>
      </c>
      <c r="D453" s="22" t="str">
        <f aca="false">IF($A453="","",$B453*IssizlikOrani)</f>
        <v/>
      </c>
      <c r="E453" s="22" t="str">
        <f aca="false">IF($A453="","",$B453*KidemKarsilikOrani)</f>
        <v/>
      </c>
      <c r="F453" s="20"/>
      <c r="G453" s="22" t="str">
        <f aca="false">IF($A453="","",$B453+$C453+$D453+$E453+$F453)</f>
        <v/>
      </c>
      <c r="H453" s="22" t="str">
        <f aca="false">IF($A453="","",$G453*AySayisi)</f>
        <v/>
      </c>
    </row>
    <row r="454" customFormat="false" ht="15" hidden="false" customHeight="false" outlineLevel="0" collapsed="false">
      <c r="A454" s="19"/>
      <c r="B454" s="22" t="str">
        <f aca="false">IF($A454="","",IFERROR(INDEX(tblCalisan[Brüt Ücret (₺)],MATCH($A454,tblCalisan[Çalışan Adı],0)),""))</f>
        <v/>
      </c>
      <c r="C454" s="22" t="str">
        <f aca="false">IF($A454="","",$B454*IsverenPayiOrani)</f>
        <v/>
      </c>
      <c r="D454" s="22" t="str">
        <f aca="false">IF($A454="","",$B454*IssizlikOrani)</f>
        <v/>
      </c>
      <c r="E454" s="22" t="str">
        <f aca="false">IF($A454="","",$B454*KidemKarsilikOrani)</f>
        <v/>
      </c>
      <c r="F454" s="20"/>
      <c r="G454" s="22" t="str">
        <f aca="false">IF($A454="","",$B454+$C454+$D454+$E454+$F454)</f>
        <v/>
      </c>
      <c r="H454" s="22" t="str">
        <f aca="false">IF($A454="","",$G454*AySayisi)</f>
        <v/>
      </c>
    </row>
    <row r="455" customFormat="false" ht="15" hidden="false" customHeight="false" outlineLevel="0" collapsed="false">
      <c r="A455" s="19"/>
      <c r="B455" s="22" t="str">
        <f aca="false">IF($A455="","",IFERROR(INDEX(tblCalisan[Brüt Ücret (₺)],MATCH($A455,tblCalisan[Çalışan Adı],0)),""))</f>
        <v/>
      </c>
      <c r="C455" s="22" t="str">
        <f aca="false">IF($A455="","",$B455*IsverenPayiOrani)</f>
        <v/>
      </c>
      <c r="D455" s="22" t="str">
        <f aca="false">IF($A455="","",$B455*IssizlikOrani)</f>
        <v/>
      </c>
      <c r="E455" s="22" t="str">
        <f aca="false">IF($A455="","",$B455*KidemKarsilikOrani)</f>
        <v/>
      </c>
      <c r="F455" s="20"/>
      <c r="G455" s="22" t="str">
        <f aca="false">IF($A455="","",$B455+$C455+$D455+$E455+$F455)</f>
        <v/>
      </c>
      <c r="H455" s="22" t="str">
        <f aca="false">IF($A455="","",$G455*AySayisi)</f>
        <v/>
      </c>
    </row>
    <row r="456" customFormat="false" ht="15" hidden="false" customHeight="false" outlineLevel="0" collapsed="false">
      <c r="A456" s="19"/>
      <c r="B456" s="22" t="str">
        <f aca="false">IF($A456="","",IFERROR(INDEX(tblCalisan[Brüt Ücret (₺)],MATCH($A456,tblCalisan[Çalışan Adı],0)),""))</f>
        <v/>
      </c>
      <c r="C456" s="22" t="str">
        <f aca="false">IF($A456="","",$B456*IsverenPayiOrani)</f>
        <v/>
      </c>
      <c r="D456" s="22" t="str">
        <f aca="false">IF($A456="","",$B456*IssizlikOrani)</f>
        <v/>
      </c>
      <c r="E456" s="22" t="str">
        <f aca="false">IF($A456="","",$B456*KidemKarsilikOrani)</f>
        <v/>
      </c>
      <c r="F456" s="20"/>
      <c r="G456" s="22" t="str">
        <f aca="false">IF($A456="","",$B456+$C456+$D456+$E456+$F456)</f>
        <v/>
      </c>
      <c r="H456" s="22" t="str">
        <f aca="false">IF($A456="","",$G456*AySayisi)</f>
        <v/>
      </c>
    </row>
    <row r="457" customFormat="false" ht="15" hidden="false" customHeight="false" outlineLevel="0" collapsed="false">
      <c r="A457" s="19"/>
      <c r="B457" s="22" t="str">
        <f aca="false">IF($A457="","",IFERROR(INDEX(tblCalisan[Brüt Ücret (₺)],MATCH($A457,tblCalisan[Çalışan Adı],0)),""))</f>
        <v/>
      </c>
      <c r="C457" s="22" t="str">
        <f aca="false">IF($A457="","",$B457*IsverenPayiOrani)</f>
        <v/>
      </c>
      <c r="D457" s="22" t="str">
        <f aca="false">IF($A457="","",$B457*IssizlikOrani)</f>
        <v/>
      </c>
      <c r="E457" s="22" t="str">
        <f aca="false">IF($A457="","",$B457*KidemKarsilikOrani)</f>
        <v/>
      </c>
      <c r="F457" s="20"/>
      <c r="G457" s="22" t="str">
        <f aca="false">IF($A457="","",$B457+$C457+$D457+$E457+$F457)</f>
        <v/>
      </c>
      <c r="H457" s="22" t="str">
        <f aca="false">IF($A457="","",$G457*AySayisi)</f>
        <v/>
      </c>
    </row>
    <row r="458" customFormat="false" ht="15" hidden="false" customHeight="false" outlineLevel="0" collapsed="false">
      <c r="A458" s="19"/>
      <c r="B458" s="22" t="str">
        <f aca="false">IF($A458="","",IFERROR(INDEX(tblCalisan[Brüt Ücret (₺)],MATCH($A458,tblCalisan[Çalışan Adı],0)),""))</f>
        <v/>
      </c>
      <c r="C458" s="22" t="str">
        <f aca="false">IF($A458="","",$B458*IsverenPayiOrani)</f>
        <v/>
      </c>
      <c r="D458" s="22" t="str">
        <f aca="false">IF($A458="","",$B458*IssizlikOrani)</f>
        <v/>
      </c>
      <c r="E458" s="22" t="str">
        <f aca="false">IF($A458="","",$B458*KidemKarsilikOrani)</f>
        <v/>
      </c>
      <c r="F458" s="20"/>
      <c r="G458" s="22" t="str">
        <f aca="false">IF($A458="","",$B458+$C458+$D458+$E458+$F458)</f>
        <v/>
      </c>
      <c r="H458" s="22" t="str">
        <f aca="false">IF($A458="","",$G458*AySayisi)</f>
        <v/>
      </c>
    </row>
    <row r="459" customFormat="false" ht="15" hidden="false" customHeight="false" outlineLevel="0" collapsed="false">
      <c r="A459" s="19"/>
      <c r="B459" s="22" t="str">
        <f aca="false">IF($A459="","",IFERROR(INDEX(tblCalisan[Brüt Ücret (₺)],MATCH($A459,tblCalisan[Çalışan Adı],0)),""))</f>
        <v/>
      </c>
      <c r="C459" s="22" t="str">
        <f aca="false">IF($A459="","",$B459*IsverenPayiOrani)</f>
        <v/>
      </c>
      <c r="D459" s="22" t="str">
        <f aca="false">IF($A459="","",$B459*IssizlikOrani)</f>
        <v/>
      </c>
      <c r="E459" s="22" t="str">
        <f aca="false">IF($A459="","",$B459*KidemKarsilikOrani)</f>
        <v/>
      </c>
      <c r="F459" s="20"/>
      <c r="G459" s="22" t="str">
        <f aca="false">IF($A459="","",$B459+$C459+$D459+$E459+$F459)</f>
        <v/>
      </c>
      <c r="H459" s="22" t="str">
        <f aca="false">IF($A459="","",$G459*AySayisi)</f>
        <v/>
      </c>
    </row>
    <row r="460" customFormat="false" ht="15" hidden="false" customHeight="false" outlineLevel="0" collapsed="false">
      <c r="A460" s="19"/>
      <c r="B460" s="22" t="str">
        <f aca="false">IF($A460="","",IFERROR(INDEX(tblCalisan[Brüt Ücret (₺)],MATCH($A460,tblCalisan[Çalışan Adı],0)),""))</f>
        <v/>
      </c>
      <c r="C460" s="22" t="str">
        <f aca="false">IF($A460="","",$B460*IsverenPayiOrani)</f>
        <v/>
      </c>
      <c r="D460" s="22" t="str">
        <f aca="false">IF($A460="","",$B460*IssizlikOrani)</f>
        <v/>
      </c>
      <c r="E460" s="22" t="str">
        <f aca="false">IF($A460="","",$B460*KidemKarsilikOrani)</f>
        <v/>
      </c>
      <c r="F460" s="20"/>
      <c r="G460" s="22" t="str">
        <f aca="false">IF($A460="","",$B460+$C460+$D460+$E460+$F460)</f>
        <v/>
      </c>
      <c r="H460" s="22" t="str">
        <f aca="false">IF($A460="","",$G460*AySayisi)</f>
        <v/>
      </c>
    </row>
    <row r="461" customFormat="false" ht="15" hidden="false" customHeight="false" outlineLevel="0" collapsed="false">
      <c r="A461" s="19"/>
      <c r="B461" s="22" t="str">
        <f aca="false">IF($A461="","",IFERROR(INDEX(tblCalisan[Brüt Ücret (₺)],MATCH($A461,tblCalisan[Çalışan Adı],0)),""))</f>
        <v/>
      </c>
      <c r="C461" s="22" t="str">
        <f aca="false">IF($A461="","",$B461*IsverenPayiOrani)</f>
        <v/>
      </c>
      <c r="D461" s="22" t="str">
        <f aca="false">IF($A461="","",$B461*IssizlikOrani)</f>
        <v/>
      </c>
      <c r="E461" s="22" t="str">
        <f aca="false">IF($A461="","",$B461*KidemKarsilikOrani)</f>
        <v/>
      </c>
      <c r="F461" s="20"/>
      <c r="G461" s="22" t="str">
        <f aca="false">IF($A461="","",$B461+$C461+$D461+$E461+$F461)</f>
        <v/>
      </c>
      <c r="H461" s="22" t="str">
        <f aca="false">IF($A461="","",$G461*AySayisi)</f>
        <v/>
      </c>
    </row>
    <row r="462" customFormat="false" ht="15" hidden="false" customHeight="false" outlineLevel="0" collapsed="false">
      <c r="A462" s="19"/>
      <c r="B462" s="22" t="str">
        <f aca="false">IF($A462="","",IFERROR(INDEX(tblCalisan[Brüt Ücret (₺)],MATCH($A462,tblCalisan[Çalışan Adı],0)),""))</f>
        <v/>
      </c>
      <c r="C462" s="22" t="str">
        <f aca="false">IF($A462="","",$B462*IsverenPayiOrani)</f>
        <v/>
      </c>
      <c r="D462" s="22" t="str">
        <f aca="false">IF($A462="","",$B462*IssizlikOrani)</f>
        <v/>
      </c>
      <c r="E462" s="22" t="str">
        <f aca="false">IF($A462="","",$B462*KidemKarsilikOrani)</f>
        <v/>
      </c>
      <c r="F462" s="20"/>
      <c r="G462" s="22" t="str">
        <f aca="false">IF($A462="","",$B462+$C462+$D462+$E462+$F462)</f>
        <v/>
      </c>
      <c r="H462" s="22" t="str">
        <f aca="false">IF($A462="","",$G462*AySayisi)</f>
        <v/>
      </c>
    </row>
    <row r="463" customFormat="false" ht="15" hidden="false" customHeight="false" outlineLevel="0" collapsed="false">
      <c r="A463" s="19"/>
      <c r="B463" s="22" t="str">
        <f aca="false">IF($A463="","",IFERROR(INDEX(tblCalisan[Brüt Ücret (₺)],MATCH($A463,tblCalisan[Çalışan Adı],0)),""))</f>
        <v/>
      </c>
      <c r="C463" s="22" t="str">
        <f aca="false">IF($A463="","",$B463*IsverenPayiOrani)</f>
        <v/>
      </c>
      <c r="D463" s="22" t="str">
        <f aca="false">IF($A463="","",$B463*IssizlikOrani)</f>
        <v/>
      </c>
      <c r="E463" s="22" t="str">
        <f aca="false">IF($A463="","",$B463*KidemKarsilikOrani)</f>
        <v/>
      </c>
      <c r="F463" s="20"/>
      <c r="G463" s="22" t="str">
        <f aca="false">IF($A463="","",$B463+$C463+$D463+$E463+$F463)</f>
        <v/>
      </c>
      <c r="H463" s="22" t="str">
        <f aca="false">IF($A463="","",$G463*AySayisi)</f>
        <v/>
      </c>
    </row>
    <row r="464" customFormat="false" ht="15" hidden="false" customHeight="false" outlineLevel="0" collapsed="false">
      <c r="A464" s="19"/>
      <c r="B464" s="22" t="str">
        <f aca="false">IF($A464="","",IFERROR(INDEX(tblCalisan[Brüt Ücret (₺)],MATCH($A464,tblCalisan[Çalışan Adı],0)),""))</f>
        <v/>
      </c>
      <c r="C464" s="22" t="str">
        <f aca="false">IF($A464="","",$B464*IsverenPayiOrani)</f>
        <v/>
      </c>
      <c r="D464" s="22" t="str">
        <f aca="false">IF($A464="","",$B464*IssizlikOrani)</f>
        <v/>
      </c>
      <c r="E464" s="22" t="str">
        <f aca="false">IF($A464="","",$B464*KidemKarsilikOrani)</f>
        <v/>
      </c>
      <c r="F464" s="20"/>
      <c r="G464" s="22" t="str">
        <f aca="false">IF($A464="","",$B464+$C464+$D464+$E464+$F464)</f>
        <v/>
      </c>
      <c r="H464" s="22" t="str">
        <f aca="false">IF($A464="","",$G464*AySayisi)</f>
        <v/>
      </c>
    </row>
    <row r="465" customFormat="false" ht="15" hidden="false" customHeight="false" outlineLevel="0" collapsed="false">
      <c r="A465" s="19"/>
      <c r="B465" s="22" t="str">
        <f aca="false">IF($A465="","",IFERROR(INDEX(tblCalisan[Brüt Ücret (₺)],MATCH($A465,tblCalisan[Çalışan Adı],0)),""))</f>
        <v/>
      </c>
      <c r="C465" s="22" t="str">
        <f aca="false">IF($A465="","",$B465*IsverenPayiOrani)</f>
        <v/>
      </c>
      <c r="D465" s="22" t="str">
        <f aca="false">IF($A465="","",$B465*IssizlikOrani)</f>
        <v/>
      </c>
      <c r="E465" s="22" t="str">
        <f aca="false">IF($A465="","",$B465*KidemKarsilikOrani)</f>
        <v/>
      </c>
      <c r="F465" s="20"/>
      <c r="G465" s="22" t="str">
        <f aca="false">IF($A465="","",$B465+$C465+$D465+$E465+$F465)</f>
        <v/>
      </c>
      <c r="H465" s="22" t="str">
        <f aca="false">IF($A465="","",$G465*AySayisi)</f>
        <v/>
      </c>
    </row>
    <row r="466" customFormat="false" ht="15" hidden="false" customHeight="false" outlineLevel="0" collapsed="false">
      <c r="A466" s="19"/>
      <c r="B466" s="22" t="str">
        <f aca="false">IF($A466="","",IFERROR(INDEX(tblCalisan[Brüt Ücret (₺)],MATCH($A466,tblCalisan[Çalışan Adı],0)),""))</f>
        <v/>
      </c>
      <c r="C466" s="22" t="str">
        <f aca="false">IF($A466="","",$B466*IsverenPayiOrani)</f>
        <v/>
      </c>
      <c r="D466" s="22" t="str">
        <f aca="false">IF($A466="","",$B466*IssizlikOrani)</f>
        <v/>
      </c>
      <c r="E466" s="22" t="str">
        <f aca="false">IF($A466="","",$B466*KidemKarsilikOrani)</f>
        <v/>
      </c>
      <c r="F466" s="20"/>
      <c r="G466" s="22" t="str">
        <f aca="false">IF($A466="","",$B466+$C466+$D466+$E466+$F466)</f>
        <v/>
      </c>
      <c r="H466" s="22" t="str">
        <f aca="false">IF($A466="","",$G466*AySayisi)</f>
        <v/>
      </c>
    </row>
    <row r="467" customFormat="false" ht="15" hidden="false" customHeight="false" outlineLevel="0" collapsed="false">
      <c r="A467" s="19"/>
      <c r="B467" s="22" t="str">
        <f aca="false">IF($A467="","",IFERROR(INDEX(tblCalisan[Brüt Ücret (₺)],MATCH($A467,tblCalisan[Çalışan Adı],0)),""))</f>
        <v/>
      </c>
      <c r="C467" s="22" t="str">
        <f aca="false">IF($A467="","",$B467*IsverenPayiOrani)</f>
        <v/>
      </c>
      <c r="D467" s="22" t="str">
        <f aca="false">IF($A467="","",$B467*IssizlikOrani)</f>
        <v/>
      </c>
      <c r="E467" s="22" t="str">
        <f aca="false">IF($A467="","",$B467*KidemKarsilikOrani)</f>
        <v/>
      </c>
      <c r="F467" s="20"/>
      <c r="G467" s="22" t="str">
        <f aca="false">IF($A467="","",$B467+$C467+$D467+$E467+$F467)</f>
        <v/>
      </c>
      <c r="H467" s="22" t="str">
        <f aca="false">IF($A467="","",$G467*AySayisi)</f>
        <v/>
      </c>
    </row>
    <row r="468" customFormat="false" ht="15" hidden="false" customHeight="false" outlineLevel="0" collapsed="false">
      <c r="A468" s="19"/>
      <c r="B468" s="22" t="str">
        <f aca="false">IF($A468="","",IFERROR(INDEX(tblCalisan[Brüt Ücret (₺)],MATCH($A468,tblCalisan[Çalışan Adı],0)),""))</f>
        <v/>
      </c>
      <c r="C468" s="22" t="str">
        <f aca="false">IF($A468="","",$B468*IsverenPayiOrani)</f>
        <v/>
      </c>
      <c r="D468" s="22" t="str">
        <f aca="false">IF($A468="","",$B468*IssizlikOrani)</f>
        <v/>
      </c>
      <c r="E468" s="22" t="str">
        <f aca="false">IF($A468="","",$B468*KidemKarsilikOrani)</f>
        <v/>
      </c>
      <c r="F468" s="20"/>
      <c r="G468" s="22" t="str">
        <f aca="false">IF($A468="","",$B468+$C468+$D468+$E468+$F468)</f>
        <v/>
      </c>
      <c r="H468" s="22" t="str">
        <f aca="false">IF($A468="","",$G468*AySayisi)</f>
        <v/>
      </c>
    </row>
    <row r="469" customFormat="false" ht="15" hidden="false" customHeight="false" outlineLevel="0" collapsed="false">
      <c r="A469" s="19"/>
      <c r="B469" s="22" t="str">
        <f aca="false">IF($A469="","",IFERROR(INDEX(tblCalisan[Brüt Ücret (₺)],MATCH($A469,tblCalisan[Çalışan Adı],0)),""))</f>
        <v/>
      </c>
      <c r="C469" s="22" t="str">
        <f aca="false">IF($A469="","",$B469*IsverenPayiOrani)</f>
        <v/>
      </c>
      <c r="D469" s="22" t="str">
        <f aca="false">IF($A469="","",$B469*IssizlikOrani)</f>
        <v/>
      </c>
      <c r="E469" s="22" t="str">
        <f aca="false">IF($A469="","",$B469*KidemKarsilikOrani)</f>
        <v/>
      </c>
      <c r="F469" s="20"/>
      <c r="G469" s="22" t="str">
        <f aca="false">IF($A469="","",$B469+$C469+$D469+$E469+$F469)</f>
        <v/>
      </c>
      <c r="H469" s="22" t="str">
        <f aca="false">IF($A469="","",$G469*AySayisi)</f>
        <v/>
      </c>
    </row>
    <row r="470" customFormat="false" ht="15" hidden="false" customHeight="false" outlineLevel="0" collapsed="false">
      <c r="A470" s="19"/>
      <c r="B470" s="22" t="str">
        <f aca="false">IF($A470="","",IFERROR(INDEX(tblCalisan[Brüt Ücret (₺)],MATCH($A470,tblCalisan[Çalışan Adı],0)),""))</f>
        <v/>
      </c>
      <c r="C470" s="22" t="str">
        <f aca="false">IF($A470="","",$B470*IsverenPayiOrani)</f>
        <v/>
      </c>
      <c r="D470" s="22" t="str">
        <f aca="false">IF($A470="","",$B470*IssizlikOrani)</f>
        <v/>
      </c>
      <c r="E470" s="22" t="str">
        <f aca="false">IF($A470="","",$B470*KidemKarsilikOrani)</f>
        <v/>
      </c>
      <c r="F470" s="20"/>
      <c r="G470" s="22" t="str">
        <f aca="false">IF($A470="","",$B470+$C470+$D470+$E470+$F470)</f>
        <v/>
      </c>
      <c r="H470" s="22" t="str">
        <f aca="false">IF($A470="","",$G470*AySayisi)</f>
        <v/>
      </c>
    </row>
    <row r="471" customFormat="false" ht="15" hidden="false" customHeight="false" outlineLevel="0" collapsed="false">
      <c r="A471" s="19"/>
      <c r="B471" s="22" t="str">
        <f aca="false">IF($A471="","",IFERROR(INDEX(tblCalisan[Brüt Ücret (₺)],MATCH($A471,tblCalisan[Çalışan Adı],0)),""))</f>
        <v/>
      </c>
      <c r="C471" s="22" t="str">
        <f aca="false">IF($A471="","",$B471*IsverenPayiOrani)</f>
        <v/>
      </c>
      <c r="D471" s="22" t="str">
        <f aca="false">IF($A471="","",$B471*IssizlikOrani)</f>
        <v/>
      </c>
      <c r="E471" s="22" t="str">
        <f aca="false">IF($A471="","",$B471*KidemKarsilikOrani)</f>
        <v/>
      </c>
      <c r="F471" s="20"/>
      <c r="G471" s="22" t="str">
        <f aca="false">IF($A471="","",$B471+$C471+$D471+$E471+$F471)</f>
        <v/>
      </c>
      <c r="H471" s="22" t="str">
        <f aca="false">IF($A471="","",$G471*AySayisi)</f>
        <v/>
      </c>
    </row>
    <row r="472" customFormat="false" ht="15" hidden="false" customHeight="false" outlineLevel="0" collapsed="false">
      <c r="A472" s="19"/>
      <c r="B472" s="22" t="str">
        <f aca="false">IF($A472="","",IFERROR(INDEX(tblCalisan[Brüt Ücret (₺)],MATCH($A472,tblCalisan[Çalışan Adı],0)),""))</f>
        <v/>
      </c>
      <c r="C472" s="22" t="str">
        <f aca="false">IF($A472="","",$B472*IsverenPayiOrani)</f>
        <v/>
      </c>
      <c r="D472" s="22" t="str">
        <f aca="false">IF($A472="","",$B472*IssizlikOrani)</f>
        <v/>
      </c>
      <c r="E472" s="22" t="str">
        <f aca="false">IF($A472="","",$B472*KidemKarsilikOrani)</f>
        <v/>
      </c>
      <c r="F472" s="20"/>
      <c r="G472" s="22" t="str">
        <f aca="false">IF($A472="","",$B472+$C472+$D472+$E472+$F472)</f>
        <v/>
      </c>
      <c r="H472" s="22" t="str">
        <f aca="false">IF($A472="","",$G472*AySayisi)</f>
        <v/>
      </c>
    </row>
    <row r="473" customFormat="false" ht="15" hidden="false" customHeight="false" outlineLevel="0" collapsed="false">
      <c r="A473" s="19"/>
      <c r="B473" s="22" t="str">
        <f aca="false">IF($A473="","",IFERROR(INDEX(tblCalisan[Brüt Ücret (₺)],MATCH($A473,tblCalisan[Çalışan Adı],0)),""))</f>
        <v/>
      </c>
      <c r="C473" s="22" t="str">
        <f aca="false">IF($A473="","",$B473*IsverenPayiOrani)</f>
        <v/>
      </c>
      <c r="D473" s="22" t="str">
        <f aca="false">IF($A473="","",$B473*IssizlikOrani)</f>
        <v/>
      </c>
      <c r="E473" s="22" t="str">
        <f aca="false">IF($A473="","",$B473*KidemKarsilikOrani)</f>
        <v/>
      </c>
      <c r="F473" s="20"/>
      <c r="G473" s="22" t="str">
        <f aca="false">IF($A473="","",$B473+$C473+$D473+$E473+$F473)</f>
        <v/>
      </c>
      <c r="H473" s="22" t="str">
        <f aca="false">IF($A473="","",$G473*AySayisi)</f>
        <v/>
      </c>
    </row>
    <row r="474" customFormat="false" ht="15" hidden="false" customHeight="false" outlineLevel="0" collapsed="false">
      <c r="A474" s="19"/>
      <c r="B474" s="22" t="str">
        <f aca="false">IF($A474="","",IFERROR(INDEX(tblCalisan[Brüt Ücret (₺)],MATCH($A474,tblCalisan[Çalışan Adı],0)),""))</f>
        <v/>
      </c>
      <c r="C474" s="22" t="str">
        <f aca="false">IF($A474="","",$B474*IsverenPayiOrani)</f>
        <v/>
      </c>
      <c r="D474" s="22" t="str">
        <f aca="false">IF($A474="","",$B474*IssizlikOrani)</f>
        <v/>
      </c>
      <c r="E474" s="22" t="str">
        <f aca="false">IF($A474="","",$B474*KidemKarsilikOrani)</f>
        <v/>
      </c>
      <c r="F474" s="20"/>
      <c r="G474" s="22" t="str">
        <f aca="false">IF($A474="","",$B474+$C474+$D474+$E474+$F474)</f>
        <v/>
      </c>
      <c r="H474" s="22" t="str">
        <f aca="false">IF($A474="","",$G474*AySayisi)</f>
        <v/>
      </c>
    </row>
    <row r="475" customFormat="false" ht="15" hidden="false" customHeight="false" outlineLevel="0" collapsed="false">
      <c r="A475" s="19"/>
      <c r="B475" s="22" t="str">
        <f aca="false">IF($A475="","",IFERROR(INDEX(tblCalisan[Brüt Ücret (₺)],MATCH($A475,tblCalisan[Çalışan Adı],0)),""))</f>
        <v/>
      </c>
      <c r="C475" s="22" t="str">
        <f aca="false">IF($A475="","",$B475*IsverenPayiOrani)</f>
        <v/>
      </c>
      <c r="D475" s="22" t="str">
        <f aca="false">IF($A475="","",$B475*IssizlikOrani)</f>
        <v/>
      </c>
      <c r="E475" s="22" t="str">
        <f aca="false">IF($A475="","",$B475*KidemKarsilikOrani)</f>
        <v/>
      </c>
      <c r="F475" s="20"/>
      <c r="G475" s="22" t="str">
        <f aca="false">IF($A475="","",$B475+$C475+$D475+$E475+$F475)</f>
        <v/>
      </c>
      <c r="H475" s="22" t="str">
        <f aca="false">IF($A475="","",$G475*AySayisi)</f>
        <v/>
      </c>
    </row>
    <row r="476" customFormat="false" ht="15" hidden="false" customHeight="false" outlineLevel="0" collapsed="false">
      <c r="A476" s="19"/>
      <c r="B476" s="22" t="str">
        <f aca="false">IF($A476="","",IFERROR(INDEX(tblCalisan[Brüt Ücret (₺)],MATCH($A476,tblCalisan[Çalışan Adı],0)),""))</f>
        <v/>
      </c>
      <c r="C476" s="22" t="str">
        <f aca="false">IF($A476="","",$B476*IsverenPayiOrani)</f>
        <v/>
      </c>
      <c r="D476" s="22" t="str">
        <f aca="false">IF($A476="","",$B476*IssizlikOrani)</f>
        <v/>
      </c>
      <c r="E476" s="22" t="str">
        <f aca="false">IF($A476="","",$B476*KidemKarsilikOrani)</f>
        <v/>
      </c>
      <c r="F476" s="20"/>
      <c r="G476" s="22" t="str">
        <f aca="false">IF($A476="","",$B476+$C476+$D476+$E476+$F476)</f>
        <v/>
      </c>
      <c r="H476" s="22" t="str">
        <f aca="false">IF($A476="","",$G476*AySayisi)</f>
        <v/>
      </c>
    </row>
    <row r="477" customFormat="false" ht="15" hidden="false" customHeight="false" outlineLevel="0" collapsed="false">
      <c r="A477" s="19"/>
      <c r="B477" s="22" t="str">
        <f aca="false">IF($A477="","",IFERROR(INDEX(tblCalisan[Brüt Ücret (₺)],MATCH($A477,tblCalisan[Çalışan Adı],0)),""))</f>
        <v/>
      </c>
      <c r="C477" s="22" t="str">
        <f aca="false">IF($A477="","",$B477*IsverenPayiOrani)</f>
        <v/>
      </c>
      <c r="D477" s="22" t="str">
        <f aca="false">IF($A477="","",$B477*IssizlikOrani)</f>
        <v/>
      </c>
      <c r="E477" s="22" t="str">
        <f aca="false">IF($A477="","",$B477*KidemKarsilikOrani)</f>
        <v/>
      </c>
      <c r="F477" s="20"/>
      <c r="G477" s="22" t="str">
        <f aca="false">IF($A477="","",$B477+$C477+$D477+$E477+$F477)</f>
        <v/>
      </c>
      <c r="H477" s="22" t="str">
        <f aca="false">IF($A477="","",$G477*AySayisi)</f>
        <v/>
      </c>
    </row>
    <row r="478" customFormat="false" ht="15" hidden="false" customHeight="false" outlineLevel="0" collapsed="false">
      <c r="A478" s="19"/>
      <c r="B478" s="22" t="str">
        <f aca="false">IF($A478="","",IFERROR(INDEX(tblCalisan[Brüt Ücret (₺)],MATCH($A478,tblCalisan[Çalışan Adı],0)),""))</f>
        <v/>
      </c>
      <c r="C478" s="22" t="str">
        <f aca="false">IF($A478="","",$B478*IsverenPayiOrani)</f>
        <v/>
      </c>
      <c r="D478" s="22" t="str">
        <f aca="false">IF($A478="","",$B478*IssizlikOrani)</f>
        <v/>
      </c>
      <c r="E478" s="22" t="str">
        <f aca="false">IF($A478="","",$B478*KidemKarsilikOrani)</f>
        <v/>
      </c>
      <c r="F478" s="20"/>
      <c r="G478" s="22" t="str">
        <f aca="false">IF($A478="","",$B478+$C478+$D478+$E478+$F478)</f>
        <v/>
      </c>
      <c r="H478" s="22" t="str">
        <f aca="false">IF($A478="","",$G478*AySayisi)</f>
        <v/>
      </c>
    </row>
    <row r="479" customFormat="false" ht="15" hidden="false" customHeight="false" outlineLevel="0" collapsed="false">
      <c r="A479" s="19"/>
      <c r="B479" s="22" t="str">
        <f aca="false">IF($A479="","",IFERROR(INDEX(tblCalisan[Brüt Ücret (₺)],MATCH($A479,tblCalisan[Çalışan Adı],0)),""))</f>
        <v/>
      </c>
      <c r="C479" s="22" t="str">
        <f aca="false">IF($A479="","",$B479*IsverenPayiOrani)</f>
        <v/>
      </c>
      <c r="D479" s="22" t="str">
        <f aca="false">IF($A479="","",$B479*IssizlikOrani)</f>
        <v/>
      </c>
      <c r="E479" s="22" t="str">
        <f aca="false">IF($A479="","",$B479*KidemKarsilikOrani)</f>
        <v/>
      </c>
      <c r="F479" s="20"/>
      <c r="G479" s="22" t="str">
        <f aca="false">IF($A479="","",$B479+$C479+$D479+$E479+$F479)</f>
        <v/>
      </c>
      <c r="H479" s="22" t="str">
        <f aca="false">IF($A479="","",$G479*AySayisi)</f>
        <v/>
      </c>
    </row>
    <row r="480" customFormat="false" ht="15" hidden="false" customHeight="false" outlineLevel="0" collapsed="false">
      <c r="A480" s="19"/>
      <c r="B480" s="22" t="str">
        <f aca="false">IF($A480="","",IFERROR(INDEX(tblCalisan[Brüt Ücret (₺)],MATCH($A480,tblCalisan[Çalışan Adı],0)),""))</f>
        <v/>
      </c>
      <c r="C480" s="22" t="str">
        <f aca="false">IF($A480="","",$B480*IsverenPayiOrani)</f>
        <v/>
      </c>
      <c r="D480" s="22" t="str">
        <f aca="false">IF($A480="","",$B480*IssizlikOrani)</f>
        <v/>
      </c>
      <c r="E480" s="22" t="str">
        <f aca="false">IF($A480="","",$B480*KidemKarsilikOrani)</f>
        <v/>
      </c>
      <c r="F480" s="20"/>
      <c r="G480" s="22" t="str">
        <f aca="false">IF($A480="","",$B480+$C480+$D480+$E480+$F480)</f>
        <v/>
      </c>
      <c r="H480" s="22" t="str">
        <f aca="false">IF($A480="","",$G480*AySayisi)</f>
        <v/>
      </c>
    </row>
    <row r="481" customFormat="false" ht="15" hidden="false" customHeight="false" outlineLevel="0" collapsed="false">
      <c r="A481" s="19"/>
      <c r="B481" s="22" t="str">
        <f aca="false">IF($A481="","",IFERROR(INDEX(tblCalisan[Brüt Ücret (₺)],MATCH($A481,tblCalisan[Çalışan Adı],0)),""))</f>
        <v/>
      </c>
      <c r="C481" s="22" t="str">
        <f aca="false">IF($A481="","",$B481*IsverenPayiOrani)</f>
        <v/>
      </c>
      <c r="D481" s="22" t="str">
        <f aca="false">IF($A481="","",$B481*IssizlikOrani)</f>
        <v/>
      </c>
      <c r="E481" s="22" t="str">
        <f aca="false">IF($A481="","",$B481*KidemKarsilikOrani)</f>
        <v/>
      </c>
      <c r="F481" s="20"/>
      <c r="G481" s="22" t="str">
        <f aca="false">IF($A481="","",$B481+$C481+$D481+$E481+$F481)</f>
        <v/>
      </c>
      <c r="H481" s="22" t="str">
        <f aca="false">IF($A481="","",$G481*AySayisi)</f>
        <v/>
      </c>
    </row>
    <row r="482" customFormat="false" ht="15" hidden="false" customHeight="false" outlineLevel="0" collapsed="false">
      <c r="A482" s="19"/>
      <c r="B482" s="22" t="str">
        <f aca="false">IF($A482="","",IFERROR(INDEX(tblCalisan[Brüt Ücret (₺)],MATCH($A482,tblCalisan[Çalışan Adı],0)),""))</f>
        <v/>
      </c>
      <c r="C482" s="22" t="str">
        <f aca="false">IF($A482="","",$B482*IsverenPayiOrani)</f>
        <v/>
      </c>
      <c r="D482" s="22" t="str">
        <f aca="false">IF($A482="","",$B482*IssizlikOrani)</f>
        <v/>
      </c>
      <c r="E482" s="22" t="str">
        <f aca="false">IF($A482="","",$B482*KidemKarsilikOrani)</f>
        <v/>
      </c>
      <c r="F482" s="20"/>
      <c r="G482" s="22" t="str">
        <f aca="false">IF($A482="","",$B482+$C482+$D482+$E482+$F482)</f>
        <v/>
      </c>
      <c r="H482" s="22" t="str">
        <f aca="false">IF($A482="","",$G482*AySayisi)</f>
        <v/>
      </c>
    </row>
    <row r="483" customFormat="false" ht="15" hidden="false" customHeight="false" outlineLevel="0" collapsed="false">
      <c r="A483" s="19"/>
      <c r="B483" s="22" t="str">
        <f aca="false">IF($A483="","",IFERROR(INDEX(tblCalisan[Brüt Ücret (₺)],MATCH($A483,tblCalisan[Çalışan Adı],0)),""))</f>
        <v/>
      </c>
      <c r="C483" s="22" t="str">
        <f aca="false">IF($A483="","",$B483*IsverenPayiOrani)</f>
        <v/>
      </c>
      <c r="D483" s="22" t="str">
        <f aca="false">IF($A483="","",$B483*IssizlikOrani)</f>
        <v/>
      </c>
      <c r="E483" s="22" t="str">
        <f aca="false">IF($A483="","",$B483*KidemKarsilikOrani)</f>
        <v/>
      </c>
      <c r="F483" s="20"/>
      <c r="G483" s="22" t="str">
        <f aca="false">IF($A483="","",$B483+$C483+$D483+$E483+$F483)</f>
        <v/>
      </c>
      <c r="H483" s="22" t="str">
        <f aca="false">IF($A483="","",$G483*AySayisi)</f>
        <v/>
      </c>
    </row>
    <row r="484" customFormat="false" ht="15" hidden="false" customHeight="false" outlineLevel="0" collapsed="false">
      <c r="A484" s="19"/>
      <c r="B484" s="22" t="str">
        <f aca="false">IF($A484="","",IFERROR(INDEX(tblCalisan[Brüt Ücret (₺)],MATCH($A484,tblCalisan[Çalışan Adı],0)),""))</f>
        <v/>
      </c>
      <c r="C484" s="22" t="str">
        <f aca="false">IF($A484="","",$B484*IsverenPayiOrani)</f>
        <v/>
      </c>
      <c r="D484" s="22" t="str">
        <f aca="false">IF($A484="","",$B484*IssizlikOrani)</f>
        <v/>
      </c>
      <c r="E484" s="22" t="str">
        <f aca="false">IF($A484="","",$B484*KidemKarsilikOrani)</f>
        <v/>
      </c>
      <c r="F484" s="20"/>
      <c r="G484" s="22" t="str">
        <f aca="false">IF($A484="","",$B484+$C484+$D484+$E484+$F484)</f>
        <v/>
      </c>
      <c r="H484" s="22" t="str">
        <f aca="false">IF($A484="","",$G484*AySayisi)</f>
        <v/>
      </c>
    </row>
    <row r="485" customFormat="false" ht="15" hidden="false" customHeight="false" outlineLevel="0" collapsed="false">
      <c r="A485" s="19"/>
      <c r="B485" s="22" t="str">
        <f aca="false">IF($A485="","",IFERROR(INDEX(tblCalisan[Brüt Ücret (₺)],MATCH($A485,tblCalisan[Çalışan Adı],0)),""))</f>
        <v/>
      </c>
      <c r="C485" s="22" t="str">
        <f aca="false">IF($A485="","",$B485*IsverenPayiOrani)</f>
        <v/>
      </c>
      <c r="D485" s="22" t="str">
        <f aca="false">IF($A485="","",$B485*IssizlikOrani)</f>
        <v/>
      </c>
      <c r="E485" s="22" t="str">
        <f aca="false">IF($A485="","",$B485*KidemKarsilikOrani)</f>
        <v/>
      </c>
      <c r="F485" s="20"/>
      <c r="G485" s="22" t="str">
        <f aca="false">IF($A485="","",$B485+$C485+$D485+$E485+$F485)</f>
        <v/>
      </c>
      <c r="H485" s="22" t="str">
        <f aca="false">IF($A485="","",$G485*AySayisi)</f>
        <v/>
      </c>
    </row>
    <row r="486" customFormat="false" ht="15" hidden="false" customHeight="false" outlineLevel="0" collapsed="false">
      <c r="A486" s="19"/>
      <c r="B486" s="22" t="str">
        <f aca="false">IF($A486="","",IFERROR(INDEX(tblCalisan[Brüt Ücret (₺)],MATCH($A486,tblCalisan[Çalışan Adı],0)),""))</f>
        <v/>
      </c>
      <c r="C486" s="22" t="str">
        <f aca="false">IF($A486="","",$B486*IsverenPayiOrani)</f>
        <v/>
      </c>
      <c r="D486" s="22" t="str">
        <f aca="false">IF($A486="","",$B486*IssizlikOrani)</f>
        <v/>
      </c>
      <c r="E486" s="22" t="str">
        <f aca="false">IF($A486="","",$B486*KidemKarsilikOrani)</f>
        <v/>
      </c>
      <c r="F486" s="20"/>
      <c r="G486" s="22" t="str">
        <f aca="false">IF($A486="","",$B486+$C486+$D486+$E486+$F486)</f>
        <v/>
      </c>
      <c r="H486" s="22" t="str">
        <f aca="false">IF($A486="","",$G486*AySayisi)</f>
        <v/>
      </c>
    </row>
    <row r="487" customFormat="false" ht="15" hidden="false" customHeight="false" outlineLevel="0" collapsed="false">
      <c r="A487" s="19"/>
      <c r="B487" s="22" t="str">
        <f aca="false">IF($A487="","",IFERROR(INDEX(tblCalisan[Brüt Ücret (₺)],MATCH($A487,tblCalisan[Çalışan Adı],0)),""))</f>
        <v/>
      </c>
      <c r="C487" s="22" t="str">
        <f aca="false">IF($A487="","",$B487*IsverenPayiOrani)</f>
        <v/>
      </c>
      <c r="D487" s="22" t="str">
        <f aca="false">IF($A487="","",$B487*IssizlikOrani)</f>
        <v/>
      </c>
      <c r="E487" s="22" t="str">
        <f aca="false">IF($A487="","",$B487*KidemKarsilikOrani)</f>
        <v/>
      </c>
      <c r="F487" s="20"/>
      <c r="G487" s="22" t="str">
        <f aca="false">IF($A487="","",$B487+$C487+$D487+$E487+$F487)</f>
        <v/>
      </c>
      <c r="H487" s="22" t="str">
        <f aca="false">IF($A487="","",$G487*AySayisi)</f>
        <v/>
      </c>
    </row>
    <row r="488" customFormat="false" ht="15" hidden="false" customHeight="false" outlineLevel="0" collapsed="false">
      <c r="A488" s="19"/>
      <c r="B488" s="22" t="str">
        <f aca="false">IF($A488="","",IFERROR(INDEX(tblCalisan[Brüt Ücret (₺)],MATCH($A488,tblCalisan[Çalışan Adı],0)),""))</f>
        <v/>
      </c>
      <c r="C488" s="22" t="str">
        <f aca="false">IF($A488="","",$B488*IsverenPayiOrani)</f>
        <v/>
      </c>
      <c r="D488" s="22" t="str">
        <f aca="false">IF($A488="","",$B488*IssizlikOrani)</f>
        <v/>
      </c>
      <c r="E488" s="22" t="str">
        <f aca="false">IF($A488="","",$B488*KidemKarsilikOrani)</f>
        <v/>
      </c>
      <c r="F488" s="20"/>
      <c r="G488" s="22" t="str">
        <f aca="false">IF($A488="","",$B488+$C488+$D488+$E488+$F488)</f>
        <v/>
      </c>
      <c r="H488" s="22" t="str">
        <f aca="false">IF($A488="","",$G488*AySayisi)</f>
        <v/>
      </c>
    </row>
    <row r="489" customFormat="false" ht="15" hidden="false" customHeight="false" outlineLevel="0" collapsed="false">
      <c r="A489" s="19"/>
      <c r="B489" s="22" t="str">
        <f aca="false">IF($A489="","",IFERROR(INDEX(tblCalisan[Brüt Ücret (₺)],MATCH($A489,tblCalisan[Çalışan Adı],0)),""))</f>
        <v/>
      </c>
      <c r="C489" s="22" t="str">
        <f aca="false">IF($A489="","",$B489*IsverenPayiOrani)</f>
        <v/>
      </c>
      <c r="D489" s="22" t="str">
        <f aca="false">IF($A489="","",$B489*IssizlikOrani)</f>
        <v/>
      </c>
      <c r="E489" s="22" t="str">
        <f aca="false">IF($A489="","",$B489*KidemKarsilikOrani)</f>
        <v/>
      </c>
      <c r="F489" s="20"/>
      <c r="G489" s="22" t="str">
        <f aca="false">IF($A489="","",$B489+$C489+$D489+$E489+$F489)</f>
        <v/>
      </c>
      <c r="H489" s="22" t="str">
        <f aca="false">IF($A489="","",$G489*AySayisi)</f>
        <v/>
      </c>
    </row>
    <row r="490" customFormat="false" ht="15" hidden="false" customHeight="false" outlineLevel="0" collapsed="false">
      <c r="A490" s="19"/>
      <c r="B490" s="22" t="str">
        <f aca="false">IF($A490="","",IFERROR(INDEX(tblCalisan[Brüt Ücret (₺)],MATCH($A490,tblCalisan[Çalışan Adı],0)),""))</f>
        <v/>
      </c>
      <c r="C490" s="22" t="str">
        <f aca="false">IF($A490="","",$B490*IsverenPayiOrani)</f>
        <v/>
      </c>
      <c r="D490" s="22" t="str">
        <f aca="false">IF($A490="","",$B490*IssizlikOrani)</f>
        <v/>
      </c>
      <c r="E490" s="22" t="str">
        <f aca="false">IF($A490="","",$B490*KidemKarsilikOrani)</f>
        <v/>
      </c>
      <c r="F490" s="20"/>
      <c r="G490" s="22" t="str">
        <f aca="false">IF($A490="","",$B490+$C490+$D490+$E490+$F490)</f>
        <v/>
      </c>
      <c r="H490" s="22" t="str">
        <f aca="false">IF($A490="","",$G490*AySayisi)</f>
        <v/>
      </c>
    </row>
    <row r="491" customFormat="false" ht="15" hidden="false" customHeight="false" outlineLevel="0" collapsed="false">
      <c r="A491" s="19"/>
      <c r="B491" s="22" t="str">
        <f aca="false">IF($A491="","",IFERROR(INDEX(tblCalisan[Brüt Ücret (₺)],MATCH($A491,tblCalisan[Çalışan Adı],0)),""))</f>
        <v/>
      </c>
      <c r="C491" s="22" t="str">
        <f aca="false">IF($A491="","",$B491*IsverenPayiOrani)</f>
        <v/>
      </c>
      <c r="D491" s="22" t="str">
        <f aca="false">IF($A491="","",$B491*IssizlikOrani)</f>
        <v/>
      </c>
      <c r="E491" s="22" t="str">
        <f aca="false">IF($A491="","",$B491*KidemKarsilikOrani)</f>
        <v/>
      </c>
      <c r="F491" s="20"/>
      <c r="G491" s="22" t="str">
        <f aca="false">IF($A491="","",$B491+$C491+$D491+$E491+$F491)</f>
        <v/>
      </c>
      <c r="H491" s="22" t="str">
        <f aca="false">IF($A491="","",$G491*AySayisi)</f>
        <v/>
      </c>
    </row>
    <row r="492" customFormat="false" ht="15" hidden="false" customHeight="false" outlineLevel="0" collapsed="false">
      <c r="A492" s="19"/>
      <c r="B492" s="22" t="str">
        <f aca="false">IF($A492="","",IFERROR(INDEX(tblCalisan[Brüt Ücret (₺)],MATCH($A492,tblCalisan[Çalışan Adı],0)),""))</f>
        <v/>
      </c>
      <c r="C492" s="22" t="str">
        <f aca="false">IF($A492="","",$B492*IsverenPayiOrani)</f>
        <v/>
      </c>
      <c r="D492" s="22" t="str">
        <f aca="false">IF($A492="","",$B492*IssizlikOrani)</f>
        <v/>
      </c>
      <c r="E492" s="22" t="str">
        <f aca="false">IF($A492="","",$B492*KidemKarsilikOrani)</f>
        <v/>
      </c>
      <c r="F492" s="20"/>
      <c r="G492" s="22" t="str">
        <f aca="false">IF($A492="","",$B492+$C492+$D492+$E492+$F492)</f>
        <v/>
      </c>
      <c r="H492" s="22" t="str">
        <f aca="false">IF($A492="","",$G492*AySayisi)</f>
        <v/>
      </c>
    </row>
    <row r="493" customFormat="false" ht="15" hidden="false" customHeight="false" outlineLevel="0" collapsed="false">
      <c r="A493" s="19"/>
      <c r="B493" s="22" t="str">
        <f aca="false">IF($A493="","",IFERROR(INDEX(tblCalisan[Brüt Ücret (₺)],MATCH($A493,tblCalisan[Çalışan Adı],0)),""))</f>
        <v/>
      </c>
      <c r="C493" s="22" t="str">
        <f aca="false">IF($A493="","",$B493*IsverenPayiOrani)</f>
        <v/>
      </c>
      <c r="D493" s="22" t="str">
        <f aca="false">IF($A493="","",$B493*IssizlikOrani)</f>
        <v/>
      </c>
      <c r="E493" s="22" t="str">
        <f aca="false">IF($A493="","",$B493*KidemKarsilikOrani)</f>
        <v/>
      </c>
      <c r="F493" s="20"/>
      <c r="G493" s="22" t="str">
        <f aca="false">IF($A493="","",$B493+$C493+$D493+$E493+$F493)</f>
        <v/>
      </c>
      <c r="H493" s="22" t="str">
        <f aca="false">IF($A493="","",$G493*AySayisi)</f>
        <v/>
      </c>
    </row>
    <row r="494" customFormat="false" ht="15" hidden="false" customHeight="false" outlineLevel="0" collapsed="false">
      <c r="A494" s="19"/>
      <c r="B494" s="22" t="str">
        <f aca="false">IF($A494="","",IFERROR(INDEX(tblCalisan[Brüt Ücret (₺)],MATCH($A494,tblCalisan[Çalışan Adı],0)),""))</f>
        <v/>
      </c>
      <c r="C494" s="22" t="str">
        <f aca="false">IF($A494="","",$B494*IsverenPayiOrani)</f>
        <v/>
      </c>
      <c r="D494" s="22" t="str">
        <f aca="false">IF($A494="","",$B494*IssizlikOrani)</f>
        <v/>
      </c>
      <c r="E494" s="22" t="str">
        <f aca="false">IF($A494="","",$B494*KidemKarsilikOrani)</f>
        <v/>
      </c>
      <c r="F494" s="20"/>
      <c r="G494" s="22" t="str">
        <f aca="false">IF($A494="","",$B494+$C494+$D494+$E494+$F494)</f>
        <v/>
      </c>
      <c r="H494" s="22" t="str">
        <f aca="false">IF($A494="","",$G494*AySayisi)</f>
        <v/>
      </c>
    </row>
    <row r="495" customFormat="false" ht="15" hidden="false" customHeight="false" outlineLevel="0" collapsed="false">
      <c r="A495" s="19"/>
      <c r="B495" s="22" t="str">
        <f aca="false">IF($A495="","",IFERROR(INDEX(tblCalisan[Brüt Ücret (₺)],MATCH($A495,tblCalisan[Çalışan Adı],0)),""))</f>
        <v/>
      </c>
      <c r="C495" s="22" t="str">
        <f aca="false">IF($A495="","",$B495*IsverenPayiOrani)</f>
        <v/>
      </c>
      <c r="D495" s="22" t="str">
        <f aca="false">IF($A495="","",$B495*IssizlikOrani)</f>
        <v/>
      </c>
      <c r="E495" s="22" t="str">
        <f aca="false">IF($A495="","",$B495*KidemKarsilikOrani)</f>
        <v/>
      </c>
      <c r="F495" s="20"/>
      <c r="G495" s="22" t="str">
        <f aca="false">IF($A495="","",$B495+$C495+$D495+$E495+$F495)</f>
        <v/>
      </c>
      <c r="H495" s="22" t="str">
        <f aca="false">IF($A495="","",$G495*AySayisi)</f>
        <v/>
      </c>
    </row>
    <row r="496" customFormat="false" ht="15" hidden="false" customHeight="false" outlineLevel="0" collapsed="false">
      <c r="A496" s="19"/>
      <c r="B496" s="22" t="str">
        <f aca="false">IF($A496="","",IFERROR(INDEX(tblCalisan[Brüt Ücret (₺)],MATCH($A496,tblCalisan[Çalışan Adı],0)),""))</f>
        <v/>
      </c>
      <c r="C496" s="22" t="str">
        <f aca="false">IF($A496="","",$B496*IsverenPayiOrani)</f>
        <v/>
      </c>
      <c r="D496" s="22" t="str">
        <f aca="false">IF($A496="","",$B496*IssizlikOrani)</f>
        <v/>
      </c>
      <c r="E496" s="22" t="str">
        <f aca="false">IF($A496="","",$B496*KidemKarsilikOrani)</f>
        <v/>
      </c>
      <c r="F496" s="20"/>
      <c r="G496" s="22" t="str">
        <f aca="false">IF($A496="","",$B496+$C496+$D496+$E496+$F496)</f>
        <v/>
      </c>
      <c r="H496" s="22" t="str">
        <f aca="false">IF($A496="","",$G496*AySayisi)</f>
        <v/>
      </c>
    </row>
    <row r="497" customFormat="false" ht="15" hidden="false" customHeight="false" outlineLevel="0" collapsed="false">
      <c r="A497" s="19"/>
      <c r="B497" s="22" t="str">
        <f aca="false">IF($A497="","",IFERROR(INDEX(tblCalisan[Brüt Ücret (₺)],MATCH($A497,tblCalisan[Çalışan Adı],0)),""))</f>
        <v/>
      </c>
      <c r="C497" s="22" t="str">
        <f aca="false">IF($A497="","",$B497*IsverenPayiOrani)</f>
        <v/>
      </c>
      <c r="D497" s="22" t="str">
        <f aca="false">IF($A497="","",$B497*IssizlikOrani)</f>
        <v/>
      </c>
      <c r="E497" s="22" t="str">
        <f aca="false">IF($A497="","",$B497*KidemKarsilikOrani)</f>
        <v/>
      </c>
      <c r="F497" s="20"/>
      <c r="G497" s="22" t="str">
        <f aca="false">IF($A497="","",$B497+$C497+$D497+$E497+$F497)</f>
        <v/>
      </c>
      <c r="H497" s="22" t="str">
        <f aca="false">IF($A497="","",$G497*AySayisi)</f>
        <v/>
      </c>
    </row>
    <row r="498" customFormat="false" ht="15" hidden="false" customHeight="false" outlineLevel="0" collapsed="false">
      <c r="A498" s="19"/>
      <c r="B498" s="22" t="str">
        <f aca="false">IF($A498="","",IFERROR(INDEX(tblCalisan[Brüt Ücret (₺)],MATCH($A498,tblCalisan[Çalışan Adı],0)),""))</f>
        <v/>
      </c>
      <c r="C498" s="22" t="str">
        <f aca="false">IF($A498="","",$B498*IsverenPayiOrani)</f>
        <v/>
      </c>
      <c r="D498" s="22" t="str">
        <f aca="false">IF($A498="","",$B498*IssizlikOrani)</f>
        <v/>
      </c>
      <c r="E498" s="22" t="str">
        <f aca="false">IF($A498="","",$B498*KidemKarsilikOrani)</f>
        <v/>
      </c>
      <c r="F498" s="20"/>
      <c r="G498" s="22" t="str">
        <f aca="false">IF($A498="","",$B498+$C498+$D498+$E498+$F498)</f>
        <v/>
      </c>
      <c r="H498" s="22" t="str">
        <f aca="false">IF($A498="","",$G498*AySayisi)</f>
        <v/>
      </c>
    </row>
    <row r="499" customFormat="false" ht="15" hidden="false" customHeight="false" outlineLevel="0" collapsed="false">
      <c r="A499" s="19"/>
      <c r="B499" s="22" t="str">
        <f aca="false">IF($A499="","",IFERROR(INDEX(tblCalisan[Brüt Ücret (₺)],MATCH($A499,tblCalisan[Çalışan Adı],0)),""))</f>
        <v/>
      </c>
      <c r="C499" s="22" t="str">
        <f aca="false">IF($A499="","",$B499*IsverenPayiOrani)</f>
        <v/>
      </c>
      <c r="D499" s="22" t="str">
        <f aca="false">IF($A499="","",$B499*IssizlikOrani)</f>
        <v/>
      </c>
      <c r="E499" s="22" t="str">
        <f aca="false">IF($A499="","",$B499*KidemKarsilikOrani)</f>
        <v/>
      </c>
      <c r="F499" s="20"/>
      <c r="G499" s="22" t="str">
        <f aca="false">IF($A499="","",$B499+$C499+$D499+$E499+$F499)</f>
        <v/>
      </c>
      <c r="H499" s="22" t="str">
        <f aca="false">IF($A499="","",$G499*AySayisi)</f>
        <v/>
      </c>
    </row>
    <row r="500" customFormat="false" ht="15" hidden="false" customHeight="false" outlineLevel="0" collapsed="false">
      <c r="A500" s="19"/>
      <c r="B500" s="22" t="str">
        <f aca="false">IF($A500="","",IFERROR(INDEX(tblCalisan[Brüt Ücret (₺)],MATCH($A500,tblCalisan[Çalışan Adı],0)),""))</f>
        <v/>
      </c>
      <c r="C500" s="22" t="str">
        <f aca="false">IF($A500="","",$B500*IsverenPayiOrani)</f>
        <v/>
      </c>
      <c r="D500" s="22" t="str">
        <f aca="false">IF($A500="","",$B500*IssizlikOrani)</f>
        <v/>
      </c>
      <c r="E500" s="22" t="str">
        <f aca="false">IF($A500="","",$B500*KidemKarsilikOrani)</f>
        <v/>
      </c>
      <c r="F500" s="20"/>
      <c r="G500" s="22" t="str">
        <f aca="false">IF($A500="","",$B500+$C500+$D500+$E500+$F500)</f>
        <v/>
      </c>
      <c r="H500" s="22" t="str">
        <f aca="false">IF($A500="","",$G500*AySayisi)</f>
        <v/>
      </c>
    </row>
    <row r="501" customFormat="false" ht="15" hidden="false" customHeight="false" outlineLevel="0" collapsed="false">
      <c r="A501" s="19"/>
      <c r="B501" s="22" t="str">
        <f aca="false">IF($A501="","",IFERROR(INDEX(tblCalisan[Brüt Ücret (₺)],MATCH($A501,tblCalisan[Çalışan Adı],0)),""))</f>
        <v/>
      </c>
      <c r="C501" s="22" t="str">
        <f aca="false">IF($A501="","",$B501*IsverenPayiOrani)</f>
        <v/>
      </c>
      <c r="D501" s="22" t="str">
        <f aca="false">IF($A501="","",$B501*IssizlikOrani)</f>
        <v/>
      </c>
      <c r="E501" s="22" t="str">
        <f aca="false">IF($A501="","",$B501*KidemKarsilikOrani)</f>
        <v/>
      </c>
      <c r="F501" s="20"/>
      <c r="G501" s="22" t="str">
        <f aca="false">IF($A501="","",$B501+$C501+$D501+$E501+$F501)</f>
        <v/>
      </c>
      <c r="H501" s="22" t="str">
        <f aca="false">IF($A501="","",$G501*AySayisi)</f>
        <v/>
      </c>
    </row>
    <row r="502" customFormat="false" ht="15" hidden="false" customHeight="false" outlineLevel="0" collapsed="false">
      <c r="A502" s="19"/>
      <c r="B502" s="22" t="str">
        <f aca="false">IF($A502="","",IFERROR(INDEX(tblCalisan[Brüt Ücret (₺)],MATCH($A502,tblCalisan[Çalışan Adı],0)),""))</f>
        <v/>
      </c>
      <c r="C502" s="22" t="str">
        <f aca="false">IF($A502="","",$B502*IsverenPayiOrani)</f>
        <v/>
      </c>
      <c r="D502" s="22" t="str">
        <f aca="false">IF($A502="","",$B502*IssizlikOrani)</f>
        <v/>
      </c>
      <c r="E502" s="22" t="str">
        <f aca="false">IF($A502="","",$B502*KidemKarsilikOrani)</f>
        <v/>
      </c>
      <c r="F502" s="20"/>
      <c r="G502" s="22" t="str">
        <f aca="false">IF($A502="","",$B502+$C502+$D502+$E502+$F502)</f>
        <v/>
      </c>
      <c r="H502" s="22" t="str">
        <f aca="false">IF($A502="","",$G502*AySayisi)</f>
        <v/>
      </c>
    </row>
    <row r="503" customFormat="false" ht="15" hidden="false" customHeight="false" outlineLevel="0" collapsed="false">
      <c r="A503" s="19"/>
      <c r="B503" s="22" t="str">
        <f aca="false">IF($A503="","",IFERROR(INDEX(tblCalisan[Brüt Ücret (₺)],MATCH($A503,tblCalisan[Çalışan Adı],0)),""))</f>
        <v/>
      </c>
      <c r="C503" s="22" t="str">
        <f aca="false">IF($A503="","",$B503*IsverenPayiOrani)</f>
        <v/>
      </c>
      <c r="D503" s="22" t="str">
        <f aca="false">IF($A503="","",$B503*IssizlikOrani)</f>
        <v/>
      </c>
      <c r="E503" s="22" t="str">
        <f aca="false">IF($A503="","",$B503*KidemKarsilikOrani)</f>
        <v/>
      </c>
      <c r="F503" s="20"/>
      <c r="G503" s="22" t="str">
        <f aca="false">IF($A503="","",$B503+$C503+$D503+$E503+$F503)</f>
        <v/>
      </c>
      <c r="H503" s="22" t="str">
        <f aca="false">IF($A503="","",$G503*AySayisi)</f>
        <v/>
      </c>
    </row>
    <row r="504" customFormat="false" ht="15" hidden="false" customHeight="false" outlineLevel="0" collapsed="false">
      <c r="A504" s="19"/>
      <c r="B504" s="22" t="str">
        <f aca="false">IF($A504="","",IFERROR(INDEX(tblCalisan[Brüt Ücret (₺)],MATCH($A504,tblCalisan[Çalışan Adı],0)),""))</f>
        <v/>
      </c>
      <c r="C504" s="22" t="str">
        <f aca="false">IF($A504="","",$B504*IsverenPayiOrani)</f>
        <v/>
      </c>
      <c r="D504" s="22" t="str">
        <f aca="false">IF($A504="","",$B504*IssizlikOrani)</f>
        <v/>
      </c>
      <c r="E504" s="22" t="str">
        <f aca="false">IF($A504="","",$B504*KidemKarsilikOrani)</f>
        <v/>
      </c>
      <c r="F504" s="20"/>
      <c r="G504" s="22" t="str">
        <f aca="false">IF($A504="","",$B504+$C504+$D504+$E504+$F504)</f>
        <v/>
      </c>
      <c r="H504" s="22" t="str">
        <f aca="false">IF($A504="","",$G504*AySayisi)</f>
        <v/>
      </c>
    </row>
    <row r="505" customFormat="false" ht="15" hidden="false" customHeight="false" outlineLevel="0" collapsed="false">
      <c r="A505" s="19"/>
      <c r="B505" s="22" t="str">
        <f aca="false">IF($A505="","",IFERROR(INDEX(tblCalisan[Brüt Ücret (₺)],MATCH($A505,tblCalisan[Çalışan Adı],0)),""))</f>
        <v/>
      </c>
      <c r="C505" s="22" t="str">
        <f aca="false">IF($A505="","",$B505*IsverenPayiOrani)</f>
        <v/>
      </c>
      <c r="D505" s="22" t="str">
        <f aca="false">IF($A505="","",$B505*IssizlikOrani)</f>
        <v/>
      </c>
      <c r="E505" s="22" t="str">
        <f aca="false">IF($A505="","",$B505*KidemKarsilikOrani)</f>
        <v/>
      </c>
      <c r="F505" s="20"/>
      <c r="G505" s="22" t="str">
        <f aca="false">IF($A505="","",$B505+$C505+$D505+$E505+$F505)</f>
        <v/>
      </c>
      <c r="H505" s="22" t="str">
        <f aca="false">IF($A505="","",$G505*AySayisi)</f>
        <v/>
      </c>
    </row>
    <row r="506" customFormat="false" ht="15" hidden="false" customHeight="false" outlineLevel="0" collapsed="false">
      <c r="A506" s="19"/>
      <c r="B506" s="22" t="str">
        <f aca="false">IF($A506="","",IFERROR(INDEX(tblCalisan[Brüt Ücret (₺)],MATCH($A506,tblCalisan[Çalışan Adı],0)),""))</f>
        <v/>
      </c>
      <c r="C506" s="22" t="str">
        <f aca="false">IF($A506="","",$B506*IsverenPayiOrani)</f>
        <v/>
      </c>
      <c r="D506" s="22" t="str">
        <f aca="false">IF($A506="","",$B506*IssizlikOrani)</f>
        <v/>
      </c>
      <c r="E506" s="22" t="str">
        <f aca="false">IF($A506="","",$B506*KidemKarsilikOrani)</f>
        <v/>
      </c>
      <c r="F506" s="20"/>
      <c r="G506" s="22" t="str">
        <f aca="false">IF($A506="","",$B506+$C506+$D506+$E506+$F506)</f>
        <v/>
      </c>
      <c r="H506" s="22" t="str">
        <f aca="false">IF($A506="","",$G506*AySayisi)</f>
        <v/>
      </c>
    </row>
    <row r="507" customFormat="false" ht="15" hidden="false" customHeight="false" outlineLevel="0" collapsed="false">
      <c r="A507" s="19"/>
      <c r="B507" s="22" t="str">
        <f aca="false">IF($A507="","",IFERROR(INDEX(tblCalisan[Brüt Ücret (₺)],MATCH($A507,tblCalisan[Çalışan Adı],0)),""))</f>
        <v/>
      </c>
      <c r="C507" s="22" t="str">
        <f aca="false">IF($A507="","",$B507*IsverenPayiOrani)</f>
        <v/>
      </c>
      <c r="D507" s="22" t="str">
        <f aca="false">IF($A507="","",$B507*IssizlikOrani)</f>
        <v/>
      </c>
      <c r="E507" s="22" t="str">
        <f aca="false">IF($A507="","",$B507*KidemKarsilikOrani)</f>
        <v/>
      </c>
      <c r="F507" s="20"/>
      <c r="G507" s="22" t="str">
        <f aca="false">IF($A507="","",$B507+$C507+$D507+$E507+$F507)</f>
        <v/>
      </c>
      <c r="H507" s="22" t="str">
        <f aca="false">IF($A507="","",$G507*AySayisi)</f>
        <v/>
      </c>
    </row>
    <row r="508" customFormat="false" ht="15" hidden="false" customHeight="false" outlineLevel="0" collapsed="false">
      <c r="A508" s="19"/>
      <c r="B508" s="22" t="str">
        <f aca="false">IF($A508="","",IFERROR(INDEX(tblCalisan[Brüt Ücret (₺)],MATCH($A508,tblCalisan[Çalışan Adı],0)),""))</f>
        <v/>
      </c>
      <c r="C508" s="22" t="str">
        <f aca="false">IF($A508="","",$B508*IsverenPayiOrani)</f>
        <v/>
      </c>
      <c r="D508" s="22" t="str">
        <f aca="false">IF($A508="","",$B508*IssizlikOrani)</f>
        <v/>
      </c>
      <c r="E508" s="22" t="str">
        <f aca="false">IF($A508="","",$B508*KidemKarsilikOrani)</f>
        <v/>
      </c>
      <c r="F508" s="20"/>
      <c r="G508" s="22" t="str">
        <f aca="false">IF($A508="","",$B508+$C508+$D508+$E508+$F508)</f>
        <v/>
      </c>
      <c r="H508" s="22" t="str">
        <f aca="false">IF($A508="","",$G508*AySayisi)</f>
        <v/>
      </c>
    </row>
    <row r="509" customFormat="false" ht="15" hidden="false" customHeight="false" outlineLevel="0" collapsed="false">
      <c r="A509" s="19"/>
      <c r="B509" s="22" t="str">
        <f aca="false">IF($A509="","",IFERROR(INDEX(tblCalisan[Brüt Ücret (₺)],MATCH($A509,tblCalisan[Çalışan Adı],0)),""))</f>
        <v/>
      </c>
      <c r="C509" s="22" t="str">
        <f aca="false">IF($A509="","",$B509*IsverenPayiOrani)</f>
        <v/>
      </c>
      <c r="D509" s="22" t="str">
        <f aca="false">IF($A509="","",$B509*IssizlikOrani)</f>
        <v/>
      </c>
      <c r="E509" s="22" t="str">
        <f aca="false">IF($A509="","",$B509*KidemKarsilikOrani)</f>
        <v/>
      </c>
      <c r="F509" s="20"/>
      <c r="G509" s="22" t="str">
        <f aca="false">IF($A509="","",$B509+$C509+$D509+$E509+$F509)</f>
        <v/>
      </c>
      <c r="H509" s="22" t="str">
        <f aca="false">IF($A509="","",$G509*AySayisi)</f>
        <v/>
      </c>
    </row>
    <row r="510" customFormat="false" ht="15" hidden="false" customHeight="false" outlineLevel="0" collapsed="false">
      <c r="A510" s="19"/>
      <c r="B510" s="22" t="str">
        <f aca="false">IF($A510="","",IFERROR(INDEX(tblCalisan[Brüt Ücret (₺)],MATCH($A510,tblCalisan[Çalışan Adı],0)),""))</f>
        <v/>
      </c>
      <c r="C510" s="22" t="str">
        <f aca="false">IF($A510="","",$B510*IsverenPayiOrani)</f>
        <v/>
      </c>
      <c r="D510" s="22" t="str">
        <f aca="false">IF($A510="","",$B510*IssizlikOrani)</f>
        <v/>
      </c>
      <c r="E510" s="22" t="str">
        <f aca="false">IF($A510="","",$B510*KidemKarsilikOrani)</f>
        <v/>
      </c>
      <c r="F510" s="20"/>
      <c r="G510" s="22" t="str">
        <f aca="false">IF($A510="","",$B510+$C510+$D510+$E510+$F510)</f>
        <v/>
      </c>
      <c r="H510" s="22" t="str">
        <f aca="false">IF($A510="","",$G510*AySayisi)</f>
        <v/>
      </c>
    </row>
    <row r="511" customFormat="false" ht="15" hidden="false" customHeight="false" outlineLevel="0" collapsed="false">
      <c r="A511" s="19"/>
      <c r="B511" s="22" t="str">
        <f aca="false">IF($A511="","",IFERROR(INDEX(tblCalisan[Brüt Ücret (₺)],MATCH($A511,tblCalisan[Çalışan Adı],0)),""))</f>
        <v/>
      </c>
      <c r="C511" s="22" t="str">
        <f aca="false">IF($A511="","",$B511*IsverenPayiOrani)</f>
        <v/>
      </c>
      <c r="D511" s="22" t="str">
        <f aca="false">IF($A511="","",$B511*IssizlikOrani)</f>
        <v/>
      </c>
      <c r="E511" s="22" t="str">
        <f aca="false">IF($A511="","",$B511*KidemKarsilikOrani)</f>
        <v/>
      </c>
      <c r="F511" s="20"/>
      <c r="G511" s="22" t="str">
        <f aca="false">IF($A511="","",$B511+$C511+$D511+$E511+$F511)</f>
        <v/>
      </c>
      <c r="H511" s="22" t="str">
        <f aca="false">IF($A511="","",$G511*AySayisi)</f>
        <v/>
      </c>
    </row>
    <row r="512" customFormat="false" ht="15" hidden="false" customHeight="false" outlineLevel="0" collapsed="false">
      <c r="A512" s="19"/>
      <c r="B512" s="22" t="str">
        <f aca="false">IF($A512="","",IFERROR(INDEX(tblCalisan[Brüt Ücret (₺)],MATCH($A512,tblCalisan[Çalışan Adı],0)),""))</f>
        <v/>
      </c>
      <c r="C512" s="22" t="str">
        <f aca="false">IF($A512="","",$B512*IsverenPayiOrani)</f>
        <v/>
      </c>
      <c r="D512" s="22" t="str">
        <f aca="false">IF($A512="","",$B512*IssizlikOrani)</f>
        <v/>
      </c>
      <c r="E512" s="22" t="str">
        <f aca="false">IF($A512="","",$B512*KidemKarsilikOrani)</f>
        <v/>
      </c>
      <c r="F512" s="20"/>
      <c r="G512" s="22" t="str">
        <f aca="false">IF($A512="","",$B512+$C512+$D512+$E512+$F512)</f>
        <v/>
      </c>
      <c r="H512" s="22" t="str">
        <f aca="false">IF($A512="","",$G512*AySayisi)</f>
        <v/>
      </c>
    </row>
    <row r="513" customFormat="false" ht="15" hidden="false" customHeight="false" outlineLevel="0" collapsed="false">
      <c r="A513" s="19"/>
      <c r="B513" s="22" t="str">
        <f aca="false">IF($A513="","",IFERROR(INDEX(tblCalisan[Brüt Ücret (₺)],MATCH($A513,tblCalisan[Çalışan Adı],0)),""))</f>
        <v/>
      </c>
      <c r="C513" s="22" t="str">
        <f aca="false">IF($A513="","",$B513*IsverenPayiOrani)</f>
        <v/>
      </c>
      <c r="D513" s="22" t="str">
        <f aca="false">IF($A513="","",$B513*IssizlikOrani)</f>
        <v/>
      </c>
      <c r="E513" s="22" t="str">
        <f aca="false">IF($A513="","",$B513*KidemKarsilikOrani)</f>
        <v/>
      </c>
      <c r="F513" s="20"/>
      <c r="G513" s="22" t="str">
        <f aca="false">IF($A513="","",$B513+$C513+$D513+$E513+$F513)</f>
        <v/>
      </c>
      <c r="H513" s="22" t="str">
        <f aca="false">IF($A513="","",$G513*AySayisi)</f>
        <v/>
      </c>
    </row>
    <row r="514" customFormat="false" ht="15" hidden="false" customHeight="false" outlineLevel="0" collapsed="false">
      <c r="A514" s="19"/>
      <c r="B514" s="22" t="str">
        <f aca="false">IF($A514="","",IFERROR(INDEX(tblCalisan[Brüt Ücret (₺)],MATCH($A514,tblCalisan[Çalışan Adı],0)),""))</f>
        <v/>
      </c>
      <c r="C514" s="22" t="str">
        <f aca="false">IF($A514="","",$B514*IsverenPayiOrani)</f>
        <v/>
      </c>
      <c r="D514" s="22" t="str">
        <f aca="false">IF($A514="","",$B514*IssizlikOrani)</f>
        <v/>
      </c>
      <c r="E514" s="22" t="str">
        <f aca="false">IF($A514="","",$B514*KidemKarsilikOrani)</f>
        <v/>
      </c>
      <c r="F514" s="20"/>
      <c r="G514" s="22" t="str">
        <f aca="false">IF($A514="","",$B514+$C514+$D514+$E514+$F514)</f>
        <v/>
      </c>
      <c r="H514" s="22" t="str">
        <f aca="false">IF($A514="","",$G514*AySayisi)</f>
        <v/>
      </c>
    </row>
    <row r="515" customFormat="false" ht="15" hidden="false" customHeight="false" outlineLevel="0" collapsed="false">
      <c r="A515" s="19"/>
      <c r="B515" s="22" t="str">
        <f aca="false">IF($A515="","",IFERROR(INDEX(tblCalisan[Brüt Ücret (₺)],MATCH($A515,tblCalisan[Çalışan Adı],0)),""))</f>
        <v/>
      </c>
      <c r="C515" s="22" t="str">
        <f aca="false">IF($A515="","",$B515*IsverenPayiOrani)</f>
        <v/>
      </c>
      <c r="D515" s="22" t="str">
        <f aca="false">IF($A515="","",$B515*IssizlikOrani)</f>
        <v/>
      </c>
      <c r="E515" s="22" t="str">
        <f aca="false">IF($A515="","",$B515*KidemKarsilikOrani)</f>
        <v/>
      </c>
      <c r="F515" s="20"/>
      <c r="G515" s="22" t="str">
        <f aca="false">IF($A515="","",$B515+$C515+$D515+$E515+$F515)</f>
        <v/>
      </c>
      <c r="H515" s="22" t="str">
        <f aca="false">IF($A515="","",$G515*AySayisi)</f>
        <v/>
      </c>
    </row>
    <row r="516" customFormat="false" ht="15" hidden="false" customHeight="false" outlineLevel="0" collapsed="false">
      <c r="A516" s="19"/>
      <c r="B516" s="22" t="str">
        <f aca="false">IF($A516="","",IFERROR(INDEX(tblCalisan[Brüt Ücret (₺)],MATCH($A516,tblCalisan[Çalışan Adı],0)),""))</f>
        <v/>
      </c>
      <c r="C516" s="22" t="str">
        <f aca="false">IF($A516="","",$B516*IsverenPayiOrani)</f>
        <v/>
      </c>
      <c r="D516" s="22" t="str">
        <f aca="false">IF($A516="","",$B516*IssizlikOrani)</f>
        <v/>
      </c>
      <c r="E516" s="22" t="str">
        <f aca="false">IF($A516="","",$B516*KidemKarsilikOrani)</f>
        <v/>
      </c>
      <c r="F516" s="20"/>
      <c r="G516" s="22" t="str">
        <f aca="false">IF($A516="","",$B516+$C516+$D516+$E516+$F516)</f>
        <v/>
      </c>
      <c r="H516" s="22" t="str">
        <f aca="false">IF($A516="","",$G516*AySayisi)</f>
        <v/>
      </c>
    </row>
    <row r="517" customFormat="false" ht="15" hidden="false" customHeight="false" outlineLevel="0" collapsed="false">
      <c r="A517" s="19"/>
      <c r="B517" s="22" t="str">
        <f aca="false">IF($A517="","",IFERROR(INDEX(tblCalisan[Brüt Ücret (₺)],MATCH($A517,tblCalisan[Çalışan Adı],0)),""))</f>
        <v/>
      </c>
      <c r="C517" s="22" t="str">
        <f aca="false">IF($A517="","",$B517*IsverenPayiOrani)</f>
        <v/>
      </c>
      <c r="D517" s="22" t="str">
        <f aca="false">IF($A517="","",$B517*IssizlikOrani)</f>
        <v/>
      </c>
      <c r="E517" s="22" t="str">
        <f aca="false">IF($A517="","",$B517*KidemKarsilikOrani)</f>
        <v/>
      </c>
      <c r="F517" s="20"/>
      <c r="G517" s="22" t="str">
        <f aca="false">IF($A517="","",$B517+$C517+$D517+$E517+$F517)</f>
        <v/>
      </c>
      <c r="H517" s="22" t="str">
        <f aca="false">IF($A517="","",$G517*AySayisi)</f>
        <v/>
      </c>
    </row>
    <row r="518" customFormat="false" ht="15" hidden="false" customHeight="false" outlineLevel="0" collapsed="false">
      <c r="A518" s="19"/>
      <c r="B518" s="22" t="str">
        <f aca="false">IF($A518="","",IFERROR(INDEX(tblCalisan[Brüt Ücret (₺)],MATCH($A518,tblCalisan[Çalışan Adı],0)),""))</f>
        <v/>
      </c>
      <c r="C518" s="22" t="str">
        <f aca="false">IF($A518="","",$B518*IsverenPayiOrani)</f>
        <v/>
      </c>
      <c r="D518" s="22" t="str">
        <f aca="false">IF($A518="","",$B518*IssizlikOrani)</f>
        <v/>
      </c>
      <c r="E518" s="22" t="str">
        <f aca="false">IF($A518="","",$B518*KidemKarsilikOrani)</f>
        <v/>
      </c>
      <c r="F518" s="20"/>
      <c r="G518" s="22" t="str">
        <f aca="false">IF($A518="","",$B518+$C518+$D518+$E518+$F518)</f>
        <v/>
      </c>
      <c r="H518" s="22" t="str">
        <f aca="false">IF($A518="","",$G518*AySayisi)</f>
        <v/>
      </c>
    </row>
    <row r="519" customFormat="false" ht="15" hidden="false" customHeight="false" outlineLevel="0" collapsed="false">
      <c r="A519" s="19"/>
      <c r="B519" s="22" t="str">
        <f aca="false">IF($A519="","",IFERROR(INDEX(tblCalisan[Brüt Ücret (₺)],MATCH($A519,tblCalisan[Çalışan Adı],0)),""))</f>
        <v/>
      </c>
      <c r="C519" s="22" t="str">
        <f aca="false">IF($A519="","",$B519*IsverenPayiOrani)</f>
        <v/>
      </c>
      <c r="D519" s="22" t="str">
        <f aca="false">IF($A519="","",$B519*IssizlikOrani)</f>
        <v/>
      </c>
      <c r="E519" s="22" t="str">
        <f aca="false">IF($A519="","",$B519*KidemKarsilikOrani)</f>
        <v/>
      </c>
      <c r="F519" s="20"/>
      <c r="G519" s="22" t="str">
        <f aca="false">IF($A519="","",$B519+$C519+$D519+$E519+$F519)</f>
        <v/>
      </c>
      <c r="H519" s="22" t="str">
        <f aca="false">IF($A519="","",$G519*AySayisi)</f>
        <v/>
      </c>
    </row>
    <row r="520" customFormat="false" ht="15" hidden="false" customHeight="false" outlineLevel="0" collapsed="false">
      <c r="A520" s="19"/>
      <c r="B520" s="22" t="str">
        <f aca="false">IF($A520="","",IFERROR(INDEX(tblCalisan[Brüt Ücret (₺)],MATCH($A520,tblCalisan[Çalışan Adı],0)),""))</f>
        <v/>
      </c>
      <c r="C520" s="22" t="str">
        <f aca="false">IF($A520="","",$B520*IsverenPayiOrani)</f>
        <v/>
      </c>
      <c r="D520" s="22" t="str">
        <f aca="false">IF($A520="","",$B520*IssizlikOrani)</f>
        <v/>
      </c>
      <c r="E520" s="22" t="str">
        <f aca="false">IF($A520="","",$B520*KidemKarsilikOrani)</f>
        <v/>
      </c>
      <c r="F520" s="20"/>
      <c r="G520" s="22" t="str">
        <f aca="false">IF($A520="","",$B520+$C520+$D520+$E520+$F520)</f>
        <v/>
      </c>
      <c r="H520" s="22" t="str">
        <f aca="false">IF($A520="","",$G520*AySayisi)</f>
        <v/>
      </c>
    </row>
    <row r="521" customFormat="false" ht="15" hidden="false" customHeight="false" outlineLevel="0" collapsed="false">
      <c r="A521" s="19"/>
      <c r="B521" s="22" t="str">
        <f aca="false">IF($A521="","",IFERROR(INDEX(tblCalisan[Brüt Ücret (₺)],MATCH($A521,tblCalisan[Çalışan Adı],0)),""))</f>
        <v/>
      </c>
      <c r="C521" s="22" t="str">
        <f aca="false">IF($A521="","",$B521*IsverenPayiOrani)</f>
        <v/>
      </c>
      <c r="D521" s="22" t="str">
        <f aca="false">IF($A521="","",$B521*IssizlikOrani)</f>
        <v/>
      </c>
      <c r="E521" s="22" t="str">
        <f aca="false">IF($A521="","",$B521*KidemKarsilikOrani)</f>
        <v/>
      </c>
      <c r="F521" s="20"/>
      <c r="G521" s="22" t="str">
        <f aca="false">IF($A521="","",$B521+$C521+$D521+$E521+$F521)</f>
        <v/>
      </c>
      <c r="H521" s="22" t="str">
        <f aca="false">IF($A521="","",$G521*AySayisi)</f>
        <v/>
      </c>
    </row>
    <row r="522" customFormat="false" ht="15" hidden="false" customHeight="false" outlineLevel="0" collapsed="false">
      <c r="A522" s="19"/>
      <c r="B522" s="22" t="str">
        <f aca="false">IF($A522="","",IFERROR(INDEX(tblCalisan[Brüt Ücret (₺)],MATCH($A522,tblCalisan[Çalışan Adı],0)),""))</f>
        <v/>
      </c>
      <c r="C522" s="22" t="str">
        <f aca="false">IF($A522="","",$B522*IsverenPayiOrani)</f>
        <v/>
      </c>
      <c r="D522" s="22" t="str">
        <f aca="false">IF($A522="","",$B522*IssizlikOrani)</f>
        <v/>
      </c>
      <c r="E522" s="22" t="str">
        <f aca="false">IF($A522="","",$B522*KidemKarsilikOrani)</f>
        <v/>
      </c>
      <c r="F522" s="20"/>
      <c r="G522" s="22" t="str">
        <f aca="false">IF($A522="","",$B522+$C522+$D522+$E522+$F522)</f>
        <v/>
      </c>
      <c r="H522" s="22" t="str">
        <f aca="false">IF($A522="","",$G522*AySayisi)</f>
        <v/>
      </c>
    </row>
    <row r="523" customFormat="false" ht="15" hidden="false" customHeight="false" outlineLevel="0" collapsed="false">
      <c r="A523" s="19"/>
      <c r="B523" s="22" t="str">
        <f aca="false">IF($A523="","",IFERROR(INDEX(tblCalisan[Brüt Ücret (₺)],MATCH($A523,tblCalisan[Çalışan Adı],0)),""))</f>
        <v/>
      </c>
      <c r="C523" s="22" t="str">
        <f aca="false">IF($A523="","",$B523*IsverenPayiOrani)</f>
        <v/>
      </c>
      <c r="D523" s="22" t="str">
        <f aca="false">IF($A523="","",$B523*IssizlikOrani)</f>
        <v/>
      </c>
      <c r="E523" s="22" t="str">
        <f aca="false">IF($A523="","",$B523*KidemKarsilikOrani)</f>
        <v/>
      </c>
      <c r="F523" s="20"/>
      <c r="G523" s="22" t="str">
        <f aca="false">IF($A523="","",$B523+$C523+$D523+$E523+$F523)</f>
        <v/>
      </c>
      <c r="H523" s="22" t="str">
        <f aca="false">IF($A523="","",$G523*AySayisi)</f>
        <v/>
      </c>
    </row>
    <row r="524" customFormat="false" ht="15" hidden="false" customHeight="false" outlineLevel="0" collapsed="false">
      <c r="A524" s="19"/>
      <c r="B524" s="22" t="str">
        <f aca="false">IF($A524="","",IFERROR(INDEX(tblCalisan[Brüt Ücret (₺)],MATCH($A524,tblCalisan[Çalışan Adı],0)),""))</f>
        <v/>
      </c>
      <c r="C524" s="22" t="str">
        <f aca="false">IF($A524="","",$B524*IsverenPayiOrani)</f>
        <v/>
      </c>
      <c r="D524" s="22" t="str">
        <f aca="false">IF($A524="","",$B524*IssizlikOrani)</f>
        <v/>
      </c>
      <c r="E524" s="22" t="str">
        <f aca="false">IF($A524="","",$B524*KidemKarsilikOrani)</f>
        <v/>
      </c>
      <c r="F524" s="20"/>
      <c r="G524" s="22" t="str">
        <f aca="false">IF($A524="","",$B524+$C524+$D524+$E524+$F524)</f>
        <v/>
      </c>
      <c r="H524" s="22" t="str">
        <f aca="false">IF($A524="","",$G524*AySayisi)</f>
        <v/>
      </c>
    </row>
    <row r="525" customFormat="false" ht="15" hidden="false" customHeight="false" outlineLevel="0" collapsed="false">
      <c r="A525" s="19"/>
      <c r="B525" s="22" t="str">
        <f aca="false">IF($A525="","",IFERROR(INDEX(tblCalisan[Brüt Ücret (₺)],MATCH($A525,tblCalisan[Çalışan Adı],0)),""))</f>
        <v/>
      </c>
      <c r="C525" s="22" t="str">
        <f aca="false">IF($A525="","",$B525*IsverenPayiOrani)</f>
        <v/>
      </c>
      <c r="D525" s="22" t="str">
        <f aca="false">IF($A525="","",$B525*IssizlikOrani)</f>
        <v/>
      </c>
      <c r="E525" s="22" t="str">
        <f aca="false">IF($A525="","",$B525*KidemKarsilikOrani)</f>
        <v/>
      </c>
      <c r="F525" s="20"/>
      <c r="G525" s="22" t="str">
        <f aca="false">IF($A525="","",$B525+$C525+$D525+$E525+$F525)</f>
        <v/>
      </c>
      <c r="H525" s="22" t="str">
        <f aca="false">IF($A525="","",$G525*AySayisi)</f>
        <v/>
      </c>
    </row>
    <row r="526" customFormat="false" ht="15" hidden="false" customHeight="false" outlineLevel="0" collapsed="false">
      <c r="A526" s="19"/>
      <c r="B526" s="22" t="str">
        <f aca="false">IF($A526="","",IFERROR(INDEX(tblCalisan[Brüt Ücret (₺)],MATCH($A526,tblCalisan[Çalışan Adı],0)),""))</f>
        <v/>
      </c>
      <c r="C526" s="22" t="str">
        <f aca="false">IF($A526="","",$B526*IsverenPayiOrani)</f>
        <v/>
      </c>
      <c r="D526" s="22" t="str">
        <f aca="false">IF($A526="","",$B526*IssizlikOrani)</f>
        <v/>
      </c>
      <c r="E526" s="22" t="str">
        <f aca="false">IF($A526="","",$B526*KidemKarsilikOrani)</f>
        <v/>
      </c>
      <c r="F526" s="20"/>
      <c r="G526" s="22" t="str">
        <f aca="false">IF($A526="","",$B526+$C526+$D526+$E526+$F526)</f>
        <v/>
      </c>
      <c r="H526" s="22" t="str">
        <f aca="false">IF($A526="","",$G526*AySayisi)</f>
        <v/>
      </c>
    </row>
    <row r="527" customFormat="false" ht="15" hidden="false" customHeight="false" outlineLevel="0" collapsed="false">
      <c r="A527" s="19"/>
      <c r="B527" s="22" t="str">
        <f aca="false">IF($A527="","",IFERROR(INDEX(tblCalisan[Brüt Ücret (₺)],MATCH($A527,tblCalisan[Çalışan Adı],0)),""))</f>
        <v/>
      </c>
      <c r="C527" s="22" t="str">
        <f aca="false">IF($A527="","",$B527*IsverenPayiOrani)</f>
        <v/>
      </c>
      <c r="D527" s="22" t="str">
        <f aca="false">IF($A527="","",$B527*IssizlikOrani)</f>
        <v/>
      </c>
      <c r="E527" s="22" t="str">
        <f aca="false">IF($A527="","",$B527*KidemKarsilikOrani)</f>
        <v/>
      </c>
      <c r="F527" s="20"/>
      <c r="G527" s="22" t="str">
        <f aca="false">IF($A527="","",$B527+$C527+$D527+$E527+$F527)</f>
        <v/>
      </c>
      <c r="H527" s="22" t="str">
        <f aca="false">IF($A527="","",$G527*AySayisi)</f>
        <v/>
      </c>
    </row>
    <row r="528" customFormat="false" ht="15" hidden="false" customHeight="false" outlineLevel="0" collapsed="false">
      <c r="A528" s="19"/>
      <c r="B528" s="22" t="str">
        <f aca="false">IF($A528="","",IFERROR(INDEX(tblCalisan[Brüt Ücret (₺)],MATCH($A528,tblCalisan[Çalışan Adı],0)),""))</f>
        <v/>
      </c>
      <c r="C528" s="22" t="str">
        <f aca="false">IF($A528="","",$B528*IsverenPayiOrani)</f>
        <v/>
      </c>
      <c r="D528" s="22" t="str">
        <f aca="false">IF($A528="","",$B528*IssizlikOrani)</f>
        <v/>
      </c>
      <c r="E528" s="22" t="str">
        <f aca="false">IF($A528="","",$B528*KidemKarsilikOrani)</f>
        <v/>
      </c>
      <c r="F528" s="20"/>
      <c r="G528" s="22" t="str">
        <f aca="false">IF($A528="","",$B528+$C528+$D528+$E528+$F528)</f>
        <v/>
      </c>
      <c r="H528" s="22" t="str">
        <f aca="false">IF($A528="","",$G528*AySayisi)</f>
        <v/>
      </c>
    </row>
    <row r="529" customFormat="false" ht="15" hidden="false" customHeight="false" outlineLevel="0" collapsed="false">
      <c r="A529" s="19"/>
      <c r="B529" s="22" t="str">
        <f aca="false">IF($A529="","",IFERROR(INDEX(tblCalisan[Brüt Ücret (₺)],MATCH($A529,tblCalisan[Çalışan Adı],0)),""))</f>
        <v/>
      </c>
      <c r="C529" s="22" t="str">
        <f aca="false">IF($A529="","",$B529*IsverenPayiOrani)</f>
        <v/>
      </c>
      <c r="D529" s="22" t="str">
        <f aca="false">IF($A529="","",$B529*IssizlikOrani)</f>
        <v/>
      </c>
      <c r="E529" s="22" t="str">
        <f aca="false">IF($A529="","",$B529*KidemKarsilikOrani)</f>
        <v/>
      </c>
      <c r="F529" s="20"/>
      <c r="G529" s="22" t="str">
        <f aca="false">IF($A529="","",$B529+$C529+$D529+$E529+$F529)</f>
        <v/>
      </c>
      <c r="H529" s="22" t="str">
        <f aca="false">IF($A529="","",$G529*AySayisi)</f>
        <v/>
      </c>
    </row>
    <row r="530" customFormat="false" ht="15" hidden="false" customHeight="false" outlineLevel="0" collapsed="false">
      <c r="A530" s="19"/>
      <c r="B530" s="22" t="str">
        <f aca="false">IF($A530="","",IFERROR(INDEX(tblCalisan[Brüt Ücret (₺)],MATCH($A530,tblCalisan[Çalışan Adı],0)),""))</f>
        <v/>
      </c>
      <c r="C530" s="22" t="str">
        <f aca="false">IF($A530="","",$B530*IsverenPayiOrani)</f>
        <v/>
      </c>
      <c r="D530" s="22" t="str">
        <f aca="false">IF($A530="","",$B530*IssizlikOrani)</f>
        <v/>
      </c>
      <c r="E530" s="22" t="str">
        <f aca="false">IF($A530="","",$B530*KidemKarsilikOrani)</f>
        <v/>
      </c>
      <c r="F530" s="20"/>
      <c r="G530" s="22" t="str">
        <f aca="false">IF($A530="","",$B530+$C530+$D530+$E530+$F530)</f>
        <v/>
      </c>
      <c r="H530" s="22" t="str">
        <f aca="false">IF($A530="","",$G530*AySayisi)</f>
        <v/>
      </c>
    </row>
    <row r="531" customFormat="false" ht="15" hidden="false" customHeight="false" outlineLevel="0" collapsed="false">
      <c r="A531" s="19"/>
      <c r="B531" s="22" t="str">
        <f aca="false">IF($A531="","",IFERROR(INDEX(tblCalisan[Brüt Ücret (₺)],MATCH($A531,tblCalisan[Çalışan Adı],0)),""))</f>
        <v/>
      </c>
      <c r="C531" s="22" t="str">
        <f aca="false">IF($A531="","",$B531*IsverenPayiOrani)</f>
        <v/>
      </c>
      <c r="D531" s="22" t="str">
        <f aca="false">IF($A531="","",$B531*IssizlikOrani)</f>
        <v/>
      </c>
      <c r="E531" s="22" t="str">
        <f aca="false">IF($A531="","",$B531*KidemKarsilikOrani)</f>
        <v/>
      </c>
      <c r="F531" s="20"/>
      <c r="G531" s="22" t="str">
        <f aca="false">IF($A531="","",$B531+$C531+$D531+$E531+$F531)</f>
        <v/>
      </c>
      <c r="H531" s="22" t="str">
        <f aca="false">IF($A531="","",$G531*AySayisi)</f>
        <v/>
      </c>
    </row>
    <row r="532" customFormat="false" ht="15" hidden="false" customHeight="false" outlineLevel="0" collapsed="false">
      <c r="A532" s="19"/>
      <c r="B532" s="22" t="str">
        <f aca="false">IF($A532="","",IFERROR(INDEX(tblCalisan[Brüt Ücret (₺)],MATCH($A532,tblCalisan[Çalışan Adı],0)),""))</f>
        <v/>
      </c>
      <c r="C532" s="22" t="str">
        <f aca="false">IF($A532="","",$B532*IsverenPayiOrani)</f>
        <v/>
      </c>
      <c r="D532" s="22" t="str">
        <f aca="false">IF($A532="","",$B532*IssizlikOrani)</f>
        <v/>
      </c>
      <c r="E532" s="22" t="str">
        <f aca="false">IF($A532="","",$B532*KidemKarsilikOrani)</f>
        <v/>
      </c>
      <c r="F532" s="20"/>
      <c r="G532" s="22" t="str">
        <f aca="false">IF($A532="","",$B532+$C532+$D532+$E532+$F532)</f>
        <v/>
      </c>
      <c r="H532" s="22" t="str">
        <f aca="false">IF($A532="","",$G532*AySayisi)</f>
        <v/>
      </c>
    </row>
    <row r="533" customFormat="false" ht="15" hidden="false" customHeight="false" outlineLevel="0" collapsed="false">
      <c r="A533" s="19"/>
      <c r="B533" s="22" t="str">
        <f aca="false">IF($A533="","",IFERROR(INDEX(tblCalisan[Brüt Ücret (₺)],MATCH($A533,tblCalisan[Çalışan Adı],0)),""))</f>
        <v/>
      </c>
      <c r="C533" s="22" t="str">
        <f aca="false">IF($A533="","",$B533*IsverenPayiOrani)</f>
        <v/>
      </c>
      <c r="D533" s="22" t="str">
        <f aca="false">IF($A533="","",$B533*IssizlikOrani)</f>
        <v/>
      </c>
      <c r="E533" s="22" t="str">
        <f aca="false">IF($A533="","",$B533*KidemKarsilikOrani)</f>
        <v/>
      </c>
      <c r="F533" s="20"/>
      <c r="G533" s="22" t="str">
        <f aca="false">IF($A533="","",$B533+$C533+$D533+$E533+$F533)</f>
        <v/>
      </c>
      <c r="H533" s="22" t="str">
        <f aca="false">IF($A533="","",$G533*AySayisi)</f>
        <v/>
      </c>
    </row>
    <row r="534" customFormat="false" ht="15" hidden="false" customHeight="false" outlineLevel="0" collapsed="false">
      <c r="A534" s="19"/>
      <c r="B534" s="22" t="str">
        <f aca="false">IF($A534="","",IFERROR(INDEX(tblCalisan[Brüt Ücret (₺)],MATCH($A534,tblCalisan[Çalışan Adı],0)),""))</f>
        <v/>
      </c>
      <c r="C534" s="22" t="str">
        <f aca="false">IF($A534="","",$B534*IsverenPayiOrani)</f>
        <v/>
      </c>
      <c r="D534" s="22" t="str">
        <f aca="false">IF($A534="","",$B534*IssizlikOrani)</f>
        <v/>
      </c>
      <c r="E534" s="22" t="str">
        <f aca="false">IF($A534="","",$B534*KidemKarsilikOrani)</f>
        <v/>
      </c>
      <c r="F534" s="20"/>
      <c r="G534" s="22" t="str">
        <f aca="false">IF($A534="","",$B534+$C534+$D534+$E534+$F534)</f>
        <v/>
      </c>
      <c r="H534" s="22" t="str">
        <f aca="false">IF($A534="","",$G534*AySayisi)</f>
        <v/>
      </c>
    </row>
    <row r="535" customFormat="false" ht="15" hidden="false" customHeight="false" outlineLevel="0" collapsed="false">
      <c r="A535" s="19"/>
      <c r="B535" s="22" t="str">
        <f aca="false">IF($A535="","",IFERROR(INDEX(tblCalisan[Brüt Ücret (₺)],MATCH($A535,tblCalisan[Çalışan Adı],0)),""))</f>
        <v/>
      </c>
      <c r="C535" s="22" t="str">
        <f aca="false">IF($A535="","",$B535*IsverenPayiOrani)</f>
        <v/>
      </c>
      <c r="D535" s="22" t="str">
        <f aca="false">IF($A535="","",$B535*IssizlikOrani)</f>
        <v/>
      </c>
      <c r="E535" s="22" t="str">
        <f aca="false">IF($A535="","",$B535*KidemKarsilikOrani)</f>
        <v/>
      </c>
      <c r="F535" s="20"/>
      <c r="G535" s="22" t="str">
        <f aca="false">IF($A535="","",$B535+$C535+$D535+$E535+$F535)</f>
        <v/>
      </c>
      <c r="H535" s="22" t="str">
        <f aca="false">IF($A535="","",$G535*AySayisi)</f>
        <v/>
      </c>
    </row>
    <row r="536" customFormat="false" ht="15" hidden="false" customHeight="false" outlineLevel="0" collapsed="false">
      <c r="A536" s="19"/>
      <c r="B536" s="22" t="str">
        <f aca="false">IF($A536="","",IFERROR(INDEX(tblCalisan[Brüt Ücret (₺)],MATCH($A536,tblCalisan[Çalışan Adı],0)),""))</f>
        <v/>
      </c>
      <c r="C536" s="22" t="str">
        <f aca="false">IF($A536="","",$B536*IsverenPayiOrani)</f>
        <v/>
      </c>
      <c r="D536" s="22" t="str">
        <f aca="false">IF($A536="","",$B536*IssizlikOrani)</f>
        <v/>
      </c>
      <c r="E536" s="22" t="str">
        <f aca="false">IF($A536="","",$B536*KidemKarsilikOrani)</f>
        <v/>
      </c>
      <c r="F536" s="20"/>
      <c r="G536" s="22" t="str">
        <f aca="false">IF($A536="","",$B536+$C536+$D536+$E536+$F536)</f>
        <v/>
      </c>
      <c r="H536" s="22" t="str">
        <f aca="false">IF($A536="","",$G536*AySayisi)</f>
        <v/>
      </c>
    </row>
    <row r="537" customFormat="false" ht="15" hidden="false" customHeight="false" outlineLevel="0" collapsed="false">
      <c r="A537" s="19"/>
      <c r="B537" s="22" t="str">
        <f aca="false">IF($A537="","",IFERROR(INDEX(tblCalisan[Brüt Ücret (₺)],MATCH($A537,tblCalisan[Çalışan Adı],0)),""))</f>
        <v/>
      </c>
      <c r="C537" s="22" t="str">
        <f aca="false">IF($A537="","",$B537*IsverenPayiOrani)</f>
        <v/>
      </c>
      <c r="D537" s="22" t="str">
        <f aca="false">IF($A537="","",$B537*IssizlikOrani)</f>
        <v/>
      </c>
      <c r="E537" s="22" t="str">
        <f aca="false">IF($A537="","",$B537*KidemKarsilikOrani)</f>
        <v/>
      </c>
      <c r="F537" s="20"/>
      <c r="G537" s="22" t="str">
        <f aca="false">IF($A537="","",$B537+$C537+$D537+$E537+$F537)</f>
        <v/>
      </c>
      <c r="H537" s="22" t="str">
        <f aca="false">IF($A537="","",$G537*AySayisi)</f>
        <v/>
      </c>
    </row>
    <row r="538" customFormat="false" ht="15" hidden="false" customHeight="false" outlineLevel="0" collapsed="false">
      <c r="A538" s="19"/>
      <c r="B538" s="22" t="str">
        <f aca="false">IF($A538="","",IFERROR(INDEX(tblCalisan[Brüt Ücret (₺)],MATCH($A538,tblCalisan[Çalışan Adı],0)),""))</f>
        <v/>
      </c>
      <c r="C538" s="22" t="str">
        <f aca="false">IF($A538="","",$B538*IsverenPayiOrani)</f>
        <v/>
      </c>
      <c r="D538" s="22" t="str">
        <f aca="false">IF($A538="","",$B538*IssizlikOrani)</f>
        <v/>
      </c>
      <c r="E538" s="22" t="str">
        <f aca="false">IF($A538="","",$B538*KidemKarsilikOrani)</f>
        <v/>
      </c>
      <c r="F538" s="20"/>
      <c r="G538" s="22" t="str">
        <f aca="false">IF($A538="","",$B538+$C538+$D538+$E538+$F538)</f>
        <v/>
      </c>
      <c r="H538" s="22" t="str">
        <f aca="false">IF($A538="","",$G538*AySayisi)</f>
        <v/>
      </c>
    </row>
    <row r="539" customFormat="false" ht="15" hidden="false" customHeight="false" outlineLevel="0" collapsed="false">
      <c r="A539" s="19"/>
      <c r="B539" s="22" t="str">
        <f aca="false">IF($A539="","",IFERROR(INDEX(tblCalisan[Brüt Ücret (₺)],MATCH($A539,tblCalisan[Çalışan Adı],0)),""))</f>
        <v/>
      </c>
      <c r="C539" s="22" t="str">
        <f aca="false">IF($A539="","",$B539*IsverenPayiOrani)</f>
        <v/>
      </c>
      <c r="D539" s="22" t="str">
        <f aca="false">IF($A539="","",$B539*IssizlikOrani)</f>
        <v/>
      </c>
      <c r="E539" s="22" t="str">
        <f aca="false">IF($A539="","",$B539*KidemKarsilikOrani)</f>
        <v/>
      </c>
      <c r="F539" s="20"/>
      <c r="G539" s="22" t="str">
        <f aca="false">IF($A539="","",$B539+$C539+$D539+$E539+$F539)</f>
        <v/>
      </c>
      <c r="H539" s="22" t="str">
        <f aca="false">IF($A539="","",$G539*AySayisi)</f>
        <v/>
      </c>
    </row>
    <row r="540" customFormat="false" ht="15" hidden="false" customHeight="false" outlineLevel="0" collapsed="false">
      <c r="A540" s="19"/>
      <c r="B540" s="22" t="str">
        <f aca="false">IF($A540="","",IFERROR(INDEX(tblCalisan[Brüt Ücret (₺)],MATCH($A540,tblCalisan[Çalışan Adı],0)),""))</f>
        <v/>
      </c>
      <c r="C540" s="22" t="str">
        <f aca="false">IF($A540="","",$B540*IsverenPayiOrani)</f>
        <v/>
      </c>
      <c r="D540" s="22" t="str">
        <f aca="false">IF($A540="","",$B540*IssizlikOrani)</f>
        <v/>
      </c>
      <c r="E540" s="22" t="str">
        <f aca="false">IF($A540="","",$B540*KidemKarsilikOrani)</f>
        <v/>
      </c>
      <c r="F540" s="20"/>
      <c r="G540" s="22" t="str">
        <f aca="false">IF($A540="","",$B540+$C540+$D540+$E540+$F540)</f>
        <v/>
      </c>
      <c r="H540" s="22" t="str">
        <f aca="false">IF($A540="","",$G540*AySayisi)</f>
        <v/>
      </c>
    </row>
    <row r="541" customFormat="false" ht="15" hidden="false" customHeight="false" outlineLevel="0" collapsed="false">
      <c r="A541" s="19"/>
      <c r="B541" s="22" t="str">
        <f aca="false">IF($A541="","",IFERROR(INDEX(tblCalisan[Brüt Ücret (₺)],MATCH($A541,tblCalisan[Çalışan Adı],0)),""))</f>
        <v/>
      </c>
      <c r="C541" s="22" t="str">
        <f aca="false">IF($A541="","",$B541*IsverenPayiOrani)</f>
        <v/>
      </c>
      <c r="D541" s="22" t="str">
        <f aca="false">IF($A541="","",$B541*IssizlikOrani)</f>
        <v/>
      </c>
      <c r="E541" s="22" t="str">
        <f aca="false">IF($A541="","",$B541*KidemKarsilikOrani)</f>
        <v/>
      </c>
      <c r="F541" s="20"/>
      <c r="G541" s="22" t="str">
        <f aca="false">IF($A541="","",$B541+$C541+$D541+$E541+$F541)</f>
        <v/>
      </c>
      <c r="H541" s="22" t="str">
        <f aca="false">IF($A541="","",$G541*AySayisi)</f>
        <v/>
      </c>
    </row>
    <row r="542" customFormat="false" ht="15" hidden="false" customHeight="false" outlineLevel="0" collapsed="false">
      <c r="A542" s="19"/>
      <c r="B542" s="22" t="str">
        <f aca="false">IF($A542="","",IFERROR(INDEX(tblCalisan[Brüt Ücret (₺)],MATCH($A542,tblCalisan[Çalışan Adı],0)),""))</f>
        <v/>
      </c>
      <c r="C542" s="22" t="str">
        <f aca="false">IF($A542="","",$B542*IsverenPayiOrani)</f>
        <v/>
      </c>
      <c r="D542" s="22" t="str">
        <f aca="false">IF($A542="","",$B542*IssizlikOrani)</f>
        <v/>
      </c>
      <c r="E542" s="22" t="str">
        <f aca="false">IF($A542="","",$B542*KidemKarsilikOrani)</f>
        <v/>
      </c>
      <c r="F542" s="20"/>
      <c r="G542" s="22" t="str">
        <f aca="false">IF($A542="","",$B542+$C542+$D542+$E542+$F542)</f>
        <v/>
      </c>
      <c r="H542" s="22" t="str">
        <f aca="false">IF($A542="","",$G542*AySayisi)</f>
        <v/>
      </c>
    </row>
    <row r="543" customFormat="false" ht="15" hidden="false" customHeight="false" outlineLevel="0" collapsed="false">
      <c r="A543" s="19"/>
      <c r="B543" s="22" t="str">
        <f aca="false">IF($A543="","",IFERROR(INDEX(tblCalisan[Brüt Ücret (₺)],MATCH($A543,tblCalisan[Çalışan Adı],0)),""))</f>
        <v/>
      </c>
      <c r="C543" s="22" t="str">
        <f aca="false">IF($A543="","",$B543*IsverenPayiOrani)</f>
        <v/>
      </c>
      <c r="D543" s="22" t="str">
        <f aca="false">IF($A543="","",$B543*IssizlikOrani)</f>
        <v/>
      </c>
      <c r="E543" s="22" t="str">
        <f aca="false">IF($A543="","",$B543*KidemKarsilikOrani)</f>
        <v/>
      </c>
      <c r="F543" s="20"/>
      <c r="G543" s="22" t="str">
        <f aca="false">IF($A543="","",$B543+$C543+$D543+$E543+$F543)</f>
        <v/>
      </c>
      <c r="H543" s="22" t="str">
        <f aca="false">IF($A543="","",$G543*AySayisi)</f>
        <v/>
      </c>
    </row>
    <row r="544" customFormat="false" ht="15" hidden="false" customHeight="false" outlineLevel="0" collapsed="false">
      <c r="A544" s="19"/>
      <c r="B544" s="22" t="str">
        <f aca="false">IF($A544="","",IFERROR(INDEX(tblCalisan[Brüt Ücret (₺)],MATCH($A544,tblCalisan[Çalışan Adı],0)),""))</f>
        <v/>
      </c>
      <c r="C544" s="22" t="str">
        <f aca="false">IF($A544="","",$B544*IsverenPayiOrani)</f>
        <v/>
      </c>
      <c r="D544" s="22" t="str">
        <f aca="false">IF($A544="","",$B544*IssizlikOrani)</f>
        <v/>
      </c>
      <c r="E544" s="22" t="str">
        <f aca="false">IF($A544="","",$B544*KidemKarsilikOrani)</f>
        <v/>
      </c>
      <c r="F544" s="20"/>
      <c r="G544" s="22" t="str">
        <f aca="false">IF($A544="","",$B544+$C544+$D544+$E544+$F544)</f>
        <v/>
      </c>
      <c r="H544" s="22" t="str">
        <f aca="false">IF($A544="","",$G544*AySayisi)</f>
        <v/>
      </c>
    </row>
    <row r="545" customFormat="false" ht="15" hidden="false" customHeight="false" outlineLevel="0" collapsed="false">
      <c r="A545" s="19"/>
      <c r="B545" s="22" t="str">
        <f aca="false">IF($A545="","",IFERROR(INDEX(tblCalisan[Brüt Ücret (₺)],MATCH($A545,tblCalisan[Çalışan Adı],0)),""))</f>
        <v/>
      </c>
      <c r="C545" s="22" t="str">
        <f aca="false">IF($A545="","",$B545*IsverenPayiOrani)</f>
        <v/>
      </c>
      <c r="D545" s="22" t="str">
        <f aca="false">IF($A545="","",$B545*IssizlikOrani)</f>
        <v/>
      </c>
      <c r="E545" s="22" t="str">
        <f aca="false">IF($A545="","",$B545*KidemKarsilikOrani)</f>
        <v/>
      </c>
      <c r="F545" s="20"/>
      <c r="G545" s="22" t="str">
        <f aca="false">IF($A545="","",$B545+$C545+$D545+$E545+$F545)</f>
        <v/>
      </c>
      <c r="H545" s="22" t="str">
        <f aca="false">IF($A545="","",$G545*AySayisi)</f>
        <v/>
      </c>
    </row>
    <row r="546" customFormat="false" ht="15" hidden="false" customHeight="false" outlineLevel="0" collapsed="false">
      <c r="A546" s="19"/>
      <c r="B546" s="22" t="str">
        <f aca="false">IF($A546="","",IFERROR(INDEX(tblCalisan[Brüt Ücret (₺)],MATCH($A546,tblCalisan[Çalışan Adı],0)),""))</f>
        <v/>
      </c>
      <c r="C546" s="22" t="str">
        <f aca="false">IF($A546="","",$B546*IsverenPayiOrani)</f>
        <v/>
      </c>
      <c r="D546" s="22" t="str">
        <f aca="false">IF($A546="","",$B546*IssizlikOrani)</f>
        <v/>
      </c>
      <c r="E546" s="22" t="str">
        <f aca="false">IF($A546="","",$B546*KidemKarsilikOrani)</f>
        <v/>
      </c>
      <c r="F546" s="20"/>
      <c r="G546" s="22" t="str">
        <f aca="false">IF($A546="","",$B546+$C546+$D546+$E546+$F546)</f>
        <v/>
      </c>
      <c r="H546" s="22" t="str">
        <f aca="false">IF($A546="","",$G546*AySayisi)</f>
        <v/>
      </c>
    </row>
    <row r="547" customFormat="false" ht="15" hidden="false" customHeight="false" outlineLevel="0" collapsed="false">
      <c r="A547" s="19"/>
      <c r="B547" s="22" t="str">
        <f aca="false">IF($A547="","",IFERROR(INDEX(tblCalisan[Brüt Ücret (₺)],MATCH($A547,tblCalisan[Çalışan Adı],0)),""))</f>
        <v/>
      </c>
      <c r="C547" s="22" t="str">
        <f aca="false">IF($A547="","",$B547*IsverenPayiOrani)</f>
        <v/>
      </c>
      <c r="D547" s="22" t="str">
        <f aca="false">IF($A547="","",$B547*IssizlikOrani)</f>
        <v/>
      </c>
      <c r="E547" s="22" t="str">
        <f aca="false">IF($A547="","",$B547*KidemKarsilikOrani)</f>
        <v/>
      </c>
      <c r="F547" s="20"/>
      <c r="G547" s="22" t="str">
        <f aca="false">IF($A547="","",$B547+$C547+$D547+$E547+$F547)</f>
        <v/>
      </c>
      <c r="H547" s="22" t="str">
        <f aca="false">IF($A547="","",$G547*AySayisi)</f>
        <v/>
      </c>
    </row>
    <row r="548" customFormat="false" ht="15" hidden="false" customHeight="false" outlineLevel="0" collapsed="false">
      <c r="A548" s="19"/>
      <c r="B548" s="22" t="str">
        <f aca="false">IF($A548="","",IFERROR(INDEX(tblCalisan[Brüt Ücret (₺)],MATCH($A548,tblCalisan[Çalışan Adı],0)),""))</f>
        <v/>
      </c>
      <c r="C548" s="22" t="str">
        <f aca="false">IF($A548="","",$B548*IsverenPayiOrani)</f>
        <v/>
      </c>
      <c r="D548" s="22" t="str">
        <f aca="false">IF($A548="","",$B548*IssizlikOrani)</f>
        <v/>
      </c>
      <c r="E548" s="22" t="str">
        <f aca="false">IF($A548="","",$B548*KidemKarsilikOrani)</f>
        <v/>
      </c>
      <c r="F548" s="20"/>
      <c r="G548" s="22" t="str">
        <f aca="false">IF($A548="","",$B548+$C548+$D548+$E548+$F548)</f>
        <v/>
      </c>
      <c r="H548" s="22" t="str">
        <f aca="false">IF($A548="","",$G548*AySayisi)</f>
        <v/>
      </c>
    </row>
    <row r="549" customFormat="false" ht="15" hidden="false" customHeight="false" outlineLevel="0" collapsed="false">
      <c r="A549" s="19"/>
      <c r="B549" s="22" t="str">
        <f aca="false">IF($A549="","",IFERROR(INDEX(tblCalisan[Brüt Ücret (₺)],MATCH($A549,tblCalisan[Çalışan Adı],0)),""))</f>
        <v/>
      </c>
      <c r="C549" s="22" t="str">
        <f aca="false">IF($A549="","",$B549*IsverenPayiOrani)</f>
        <v/>
      </c>
      <c r="D549" s="22" t="str">
        <f aca="false">IF($A549="","",$B549*IssizlikOrani)</f>
        <v/>
      </c>
      <c r="E549" s="22" t="str">
        <f aca="false">IF($A549="","",$B549*KidemKarsilikOrani)</f>
        <v/>
      </c>
      <c r="F549" s="20"/>
      <c r="G549" s="22" t="str">
        <f aca="false">IF($A549="","",$B549+$C549+$D549+$E549+$F549)</f>
        <v/>
      </c>
      <c r="H549" s="22" t="str">
        <f aca="false">IF($A549="","",$G549*AySayisi)</f>
        <v/>
      </c>
    </row>
    <row r="550" customFormat="false" ht="15" hidden="false" customHeight="false" outlineLevel="0" collapsed="false">
      <c r="A550" s="19"/>
      <c r="B550" s="22" t="str">
        <f aca="false">IF($A550="","",IFERROR(INDEX(tblCalisan[Brüt Ücret (₺)],MATCH($A550,tblCalisan[Çalışan Adı],0)),""))</f>
        <v/>
      </c>
      <c r="C550" s="22" t="str">
        <f aca="false">IF($A550="","",$B550*IsverenPayiOrani)</f>
        <v/>
      </c>
      <c r="D550" s="22" t="str">
        <f aca="false">IF($A550="","",$B550*IssizlikOrani)</f>
        <v/>
      </c>
      <c r="E550" s="22" t="str">
        <f aca="false">IF($A550="","",$B550*KidemKarsilikOrani)</f>
        <v/>
      </c>
      <c r="F550" s="20"/>
      <c r="G550" s="22" t="str">
        <f aca="false">IF($A550="","",$B550+$C550+$D550+$E550+$F550)</f>
        <v/>
      </c>
      <c r="H550" s="22" t="str">
        <f aca="false">IF($A550="","",$G550*AySayisi)</f>
        <v/>
      </c>
    </row>
    <row r="551" customFormat="false" ht="15" hidden="false" customHeight="false" outlineLevel="0" collapsed="false">
      <c r="A551" s="19"/>
      <c r="B551" s="22" t="str">
        <f aca="false">IF($A551="","",IFERROR(INDEX(tblCalisan[Brüt Ücret (₺)],MATCH($A551,tblCalisan[Çalışan Adı],0)),""))</f>
        <v/>
      </c>
      <c r="C551" s="22" t="str">
        <f aca="false">IF($A551="","",$B551*IsverenPayiOrani)</f>
        <v/>
      </c>
      <c r="D551" s="22" t="str">
        <f aca="false">IF($A551="","",$B551*IssizlikOrani)</f>
        <v/>
      </c>
      <c r="E551" s="22" t="str">
        <f aca="false">IF($A551="","",$B551*KidemKarsilikOrani)</f>
        <v/>
      </c>
      <c r="F551" s="20"/>
      <c r="G551" s="22" t="str">
        <f aca="false">IF($A551="","",$B551+$C551+$D551+$E551+$F551)</f>
        <v/>
      </c>
      <c r="H551" s="22" t="str">
        <f aca="false">IF($A551="","",$G551*AySayisi)</f>
        <v/>
      </c>
    </row>
    <row r="552" customFormat="false" ht="15" hidden="false" customHeight="false" outlineLevel="0" collapsed="false">
      <c r="A552" s="19"/>
      <c r="B552" s="22" t="str">
        <f aca="false">IF($A552="","",IFERROR(INDEX(tblCalisan[Brüt Ücret (₺)],MATCH($A552,tblCalisan[Çalışan Adı],0)),""))</f>
        <v/>
      </c>
      <c r="C552" s="22" t="str">
        <f aca="false">IF($A552="","",$B552*IsverenPayiOrani)</f>
        <v/>
      </c>
      <c r="D552" s="22" t="str">
        <f aca="false">IF($A552="","",$B552*IssizlikOrani)</f>
        <v/>
      </c>
      <c r="E552" s="22" t="str">
        <f aca="false">IF($A552="","",$B552*KidemKarsilikOrani)</f>
        <v/>
      </c>
      <c r="F552" s="20"/>
      <c r="G552" s="22" t="str">
        <f aca="false">IF($A552="","",$B552+$C552+$D552+$E552+$F552)</f>
        <v/>
      </c>
      <c r="H552" s="22" t="str">
        <f aca="false">IF($A552="","",$G552*AySayisi)</f>
        <v/>
      </c>
    </row>
    <row r="553" customFormat="false" ht="15" hidden="false" customHeight="false" outlineLevel="0" collapsed="false">
      <c r="A553" s="19"/>
      <c r="B553" s="22" t="str">
        <f aca="false">IF($A553="","",IFERROR(INDEX(tblCalisan[Brüt Ücret (₺)],MATCH($A553,tblCalisan[Çalışan Adı],0)),""))</f>
        <v/>
      </c>
      <c r="C553" s="22" t="str">
        <f aca="false">IF($A553="","",$B553*IsverenPayiOrani)</f>
        <v/>
      </c>
      <c r="D553" s="22" t="str">
        <f aca="false">IF($A553="","",$B553*IssizlikOrani)</f>
        <v/>
      </c>
      <c r="E553" s="22" t="str">
        <f aca="false">IF($A553="","",$B553*KidemKarsilikOrani)</f>
        <v/>
      </c>
      <c r="F553" s="20"/>
      <c r="G553" s="22" t="str">
        <f aca="false">IF($A553="","",$B553+$C553+$D553+$E553+$F553)</f>
        <v/>
      </c>
      <c r="H553" s="22" t="str">
        <f aca="false">IF($A553="","",$G553*AySayisi)</f>
        <v/>
      </c>
    </row>
    <row r="554" customFormat="false" ht="15" hidden="false" customHeight="false" outlineLevel="0" collapsed="false">
      <c r="A554" s="19"/>
      <c r="B554" s="22" t="str">
        <f aca="false">IF($A554="","",IFERROR(INDEX(tblCalisan[Brüt Ücret (₺)],MATCH($A554,tblCalisan[Çalışan Adı],0)),""))</f>
        <v/>
      </c>
      <c r="C554" s="22" t="str">
        <f aca="false">IF($A554="","",$B554*IsverenPayiOrani)</f>
        <v/>
      </c>
      <c r="D554" s="22" t="str">
        <f aca="false">IF($A554="","",$B554*IssizlikOrani)</f>
        <v/>
      </c>
      <c r="E554" s="22" t="str">
        <f aca="false">IF($A554="","",$B554*KidemKarsilikOrani)</f>
        <v/>
      </c>
      <c r="F554" s="20"/>
      <c r="G554" s="22" t="str">
        <f aca="false">IF($A554="","",$B554+$C554+$D554+$E554+$F554)</f>
        <v/>
      </c>
      <c r="H554" s="22" t="str">
        <f aca="false">IF($A554="","",$G554*AySayisi)</f>
        <v/>
      </c>
    </row>
    <row r="555" customFormat="false" ht="15" hidden="false" customHeight="false" outlineLevel="0" collapsed="false">
      <c r="A555" s="19"/>
      <c r="B555" s="22" t="str">
        <f aca="false">IF($A555="","",IFERROR(INDEX(tblCalisan[Brüt Ücret (₺)],MATCH($A555,tblCalisan[Çalışan Adı],0)),""))</f>
        <v/>
      </c>
      <c r="C555" s="22" t="str">
        <f aca="false">IF($A555="","",$B555*IsverenPayiOrani)</f>
        <v/>
      </c>
      <c r="D555" s="22" t="str">
        <f aca="false">IF($A555="","",$B555*IssizlikOrani)</f>
        <v/>
      </c>
      <c r="E555" s="22" t="str">
        <f aca="false">IF($A555="","",$B555*KidemKarsilikOrani)</f>
        <v/>
      </c>
      <c r="F555" s="20"/>
      <c r="G555" s="22" t="str">
        <f aca="false">IF($A555="","",$B555+$C555+$D555+$E555+$F555)</f>
        <v/>
      </c>
      <c r="H555" s="22" t="str">
        <f aca="false">IF($A555="","",$G555*AySayisi)</f>
        <v/>
      </c>
    </row>
    <row r="556" customFormat="false" ht="15" hidden="false" customHeight="false" outlineLevel="0" collapsed="false">
      <c r="A556" s="19"/>
      <c r="B556" s="22" t="str">
        <f aca="false">IF($A556="","",IFERROR(INDEX(tblCalisan[Brüt Ücret (₺)],MATCH($A556,tblCalisan[Çalışan Adı],0)),""))</f>
        <v/>
      </c>
      <c r="C556" s="22" t="str">
        <f aca="false">IF($A556="","",$B556*IsverenPayiOrani)</f>
        <v/>
      </c>
      <c r="D556" s="22" t="str">
        <f aca="false">IF($A556="","",$B556*IssizlikOrani)</f>
        <v/>
      </c>
      <c r="E556" s="22" t="str">
        <f aca="false">IF($A556="","",$B556*KidemKarsilikOrani)</f>
        <v/>
      </c>
      <c r="F556" s="20"/>
      <c r="G556" s="22" t="str">
        <f aca="false">IF($A556="","",$B556+$C556+$D556+$E556+$F556)</f>
        <v/>
      </c>
      <c r="H556" s="22" t="str">
        <f aca="false">IF($A556="","",$G556*AySayisi)</f>
        <v/>
      </c>
    </row>
    <row r="557" customFormat="false" ht="15" hidden="false" customHeight="false" outlineLevel="0" collapsed="false">
      <c r="A557" s="19"/>
      <c r="B557" s="22" t="str">
        <f aca="false">IF($A557="","",IFERROR(INDEX(tblCalisan[Brüt Ücret (₺)],MATCH($A557,tblCalisan[Çalışan Adı],0)),""))</f>
        <v/>
      </c>
      <c r="C557" s="22" t="str">
        <f aca="false">IF($A557="","",$B557*IsverenPayiOrani)</f>
        <v/>
      </c>
      <c r="D557" s="22" t="str">
        <f aca="false">IF($A557="","",$B557*IssizlikOrani)</f>
        <v/>
      </c>
      <c r="E557" s="22" t="str">
        <f aca="false">IF($A557="","",$B557*KidemKarsilikOrani)</f>
        <v/>
      </c>
      <c r="F557" s="20"/>
      <c r="G557" s="22" t="str">
        <f aca="false">IF($A557="","",$B557+$C557+$D557+$E557+$F557)</f>
        <v/>
      </c>
      <c r="H557" s="22" t="str">
        <f aca="false">IF($A557="","",$G557*AySayisi)</f>
        <v/>
      </c>
    </row>
    <row r="558" customFormat="false" ht="15" hidden="false" customHeight="false" outlineLevel="0" collapsed="false">
      <c r="A558" s="19"/>
      <c r="B558" s="22" t="str">
        <f aca="false">IF($A558="","",IFERROR(INDEX(tblCalisan[Brüt Ücret (₺)],MATCH($A558,tblCalisan[Çalışan Adı],0)),""))</f>
        <v/>
      </c>
      <c r="C558" s="22" t="str">
        <f aca="false">IF($A558="","",$B558*IsverenPayiOrani)</f>
        <v/>
      </c>
      <c r="D558" s="22" t="str">
        <f aca="false">IF($A558="","",$B558*IssizlikOrani)</f>
        <v/>
      </c>
      <c r="E558" s="22" t="str">
        <f aca="false">IF($A558="","",$B558*KidemKarsilikOrani)</f>
        <v/>
      </c>
      <c r="F558" s="20"/>
      <c r="G558" s="22" t="str">
        <f aca="false">IF($A558="","",$B558+$C558+$D558+$E558+$F558)</f>
        <v/>
      </c>
      <c r="H558" s="22" t="str">
        <f aca="false">IF($A558="","",$G558*AySayisi)</f>
        <v/>
      </c>
    </row>
    <row r="559" customFormat="false" ht="15" hidden="false" customHeight="false" outlineLevel="0" collapsed="false">
      <c r="A559" s="19"/>
      <c r="B559" s="22" t="str">
        <f aca="false">IF($A559="","",IFERROR(INDEX(tblCalisan[Brüt Ücret (₺)],MATCH($A559,tblCalisan[Çalışan Adı],0)),""))</f>
        <v/>
      </c>
      <c r="C559" s="22" t="str">
        <f aca="false">IF($A559="","",$B559*IsverenPayiOrani)</f>
        <v/>
      </c>
      <c r="D559" s="22" t="str">
        <f aca="false">IF($A559="","",$B559*IssizlikOrani)</f>
        <v/>
      </c>
      <c r="E559" s="22" t="str">
        <f aca="false">IF($A559="","",$B559*KidemKarsilikOrani)</f>
        <v/>
      </c>
      <c r="F559" s="20"/>
      <c r="G559" s="22" t="str">
        <f aca="false">IF($A559="","",$B559+$C559+$D559+$E559+$F559)</f>
        <v/>
      </c>
      <c r="H559" s="22" t="str">
        <f aca="false">IF($A559="","",$G559*AySayisi)</f>
        <v/>
      </c>
    </row>
    <row r="560" customFormat="false" ht="15" hidden="false" customHeight="false" outlineLevel="0" collapsed="false">
      <c r="A560" s="19"/>
      <c r="B560" s="22" t="str">
        <f aca="false">IF($A560="","",IFERROR(INDEX(tblCalisan[Brüt Ücret (₺)],MATCH($A560,tblCalisan[Çalışan Adı],0)),""))</f>
        <v/>
      </c>
      <c r="C560" s="22" t="str">
        <f aca="false">IF($A560="","",$B560*IsverenPayiOrani)</f>
        <v/>
      </c>
      <c r="D560" s="22" t="str">
        <f aca="false">IF($A560="","",$B560*IssizlikOrani)</f>
        <v/>
      </c>
      <c r="E560" s="22" t="str">
        <f aca="false">IF($A560="","",$B560*KidemKarsilikOrani)</f>
        <v/>
      </c>
      <c r="F560" s="20"/>
      <c r="G560" s="22" t="str">
        <f aca="false">IF($A560="","",$B560+$C560+$D560+$E560+$F560)</f>
        <v/>
      </c>
      <c r="H560" s="22" t="str">
        <f aca="false">IF($A560="","",$G560*AySayisi)</f>
        <v/>
      </c>
    </row>
    <row r="561" customFormat="false" ht="15" hidden="false" customHeight="false" outlineLevel="0" collapsed="false">
      <c r="A561" s="19"/>
      <c r="B561" s="22" t="str">
        <f aca="false">IF($A561="","",IFERROR(INDEX(tblCalisan[Brüt Ücret (₺)],MATCH($A561,tblCalisan[Çalışan Adı],0)),""))</f>
        <v/>
      </c>
      <c r="C561" s="22" t="str">
        <f aca="false">IF($A561="","",$B561*IsverenPayiOrani)</f>
        <v/>
      </c>
      <c r="D561" s="22" t="str">
        <f aca="false">IF($A561="","",$B561*IssizlikOrani)</f>
        <v/>
      </c>
      <c r="E561" s="22" t="str">
        <f aca="false">IF($A561="","",$B561*KidemKarsilikOrani)</f>
        <v/>
      </c>
      <c r="F561" s="20"/>
      <c r="G561" s="22" t="str">
        <f aca="false">IF($A561="","",$B561+$C561+$D561+$E561+$F561)</f>
        <v/>
      </c>
      <c r="H561" s="22" t="str">
        <f aca="false">IF($A561="","",$G561*AySayisi)</f>
        <v/>
      </c>
    </row>
    <row r="562" customFormat="false" ht="15" hidden="false" customHeight="false" outlineLevel="0" collapsed="false">
      <c r="A562" s="19"/>
      <c r="B562" s="22" t="str">
        <f aca="false">IF($A562="","",IFERROR(INDEX(tblCalisan[Brüt Ücret (₺)],MATCH($A562,tblCalisan[Çalışan Adı],0)),""))</f>
        <v/>
      </c>
      <c r="C562" s="22" t="str">
        <f aca="false">IF($A562="","",$B562*IsverenPayiOrani)</f>
        <v/>
      </c>
      <c r="D562" s="22" t="str">
        <f aca="false">IF($A562="","",$B562*IssizlikOrani)</f>
        <v/>
      </c>
      <c r="E562" s="22" t="str">
        <f aca="false">IF($A562="","",$B562*KidemKarsilikOrani)</f>
        <v/>
      </c>
      <c r="F562" s="20"/>
      <c r="G562" s="22" t="str">
        <f aca="false">IF($A562="","",$B562+$C562+$D562+$E562+$F562)</f>
        <v/>
      </c>
      <c r="H562" s="22" t="str">
        <f aca="false">IF($A562="","",$G562*AySayisi)</f>
        <v/>
      </c>
    </row>
    <row r="563" customFormat="false" ht="15" hidden="false" customHeight="false" outlineLevel="0" collapsed="false">
      <c r="A563" s="19"/>
      <c r="B563" s="22" t="str">
        <f aca="false">IF($A563="","",IFERROR(INDEX(tblCalisan[Brüt Ücret (₺)],MATCH($A563,tblCalisan[Çalışan Adı],0)),""))</f>
        <v/>
      </c>
      <c r="C563" s="22" t="str">
        <f aca="false">IF($A563="","",$B563*IsverenPayiOrani)</f>
        <v/>
      </c>
      <c r="D563" s="22" t="str">
        <f aca="false">IF($A563="","",$B563*IssizlikOrani)</f>
        <v/>
      </c>
      <c r="E563" s="22" t="str">
        <f aca="false">IF($A563="","",$B563*KidemKarsilikOrani)</f>
        <v/>
      </c>
      <c r="F563" s="20"/>
      <c r="G563" s="22" t="str">
        <f aca="false">IF($A563="","",$B563+$C563+$D563+$E563+$F563)</f>
        <v/>
      </c>
      <c r="H563" s="22" t="str">
        <f aca="false">IF($A563="","",$G563*AySayisi)</f>
        <v/>
      </c>
    </row>
    <row r="564" customFormat="false" ht="15" hidden="false" customHeight="false" outlineLevel="0" collapsed="false">
      <c r="A564" s="19"/>
      <c r="B564" s="22" t="str">
        <f aca="false">IF($A564="","",IFERROR(INDEX(tblCalisan[Brüt Ücret (₺)],MATCH($A564,tblCalisan[Çalışan Adı],0)),""))</f>
        <v/>
      </c>
      <c r="C564" s="22" t="str">
        <f aca="false">IF($A564="","",$B564*IsverenPayiOrani)</f>
        <v/>
      </c>
      <c r="D564" s="22" t="str">
        <f aca="false">IF($A564="","",$B564*IssizlikOrani)</f>
        <v/>
      </c>
      <c r="E564" s="22" t="str">
        <f aca="false">IF($A564="","",$B564*KidemKarsilikOrani)</f>
        <v/>
      </c>
      <c r="F564" s="20"/>
      <c r="G564" s="22" t="str">
        <f aca="false">IF($A564="","",$B564+$C564+$D564+$E564+$F564)</f>
        <v/>
      </c>
      <c r="H564" s="22" t="str">
        <f aca="false">IF($A564="","",$G564*AySayisi)</f>
        <v/>
      </c>
    </row>
    <row r="565" customFormat="false" ht="15" hidden="false" customHeight="false" outlineLevel="0" collapsed="false">
      <c r="A565" s="19"/>
      <c r="B565" s="22" t="str">
        <f aca="false">IF($A565="","",IFERROR(INDEX(tblCalisan[Brüt Ücret (₺)],MATCH($A565,tblCalisan[Çalışan Adı],0)),""))</f>
        <v/>
      </c>
      <c r="C565" s="22" t="str">
        <f aca="false">IF($A565="","",$B565*IsverenPayiOrani)</f>
        <v/>
      </c>
      <c r="D565" s="22" t="str">
        <f aca="false">IF($A565="","",$B565*IssizlikOrani)</f>
        <v/>
      </c>
      <c r="E565" s="22" t="str">
        <f aca="false">IF($A565="","",$B565*KidemKarsilikOrani)</f>
        <v/>
      </c>
      <c r="F565" s="20"/>
      <c r="G565" s="22" t="str">
        <f aca="false">IF($A565="","",$B565+$C565+$D565+$E565+$F565)</f>
        <v/>
      </c>
      <c r="H565" s="22" t="str">
        <f aca="false">IF($A565="","",$G565*AySayisi)</f>
        <v/>
      </c>
    </row>
    <row r="566" customFormat="false" ht="15" hidden="false" customHeight="false" outlineLevel="0" collapsed="false">
      <c r="A566" s="19"/>
      <c r="B566" s="22" t="str">
        <f aca="false">IF($A566="","",IFERROR(INDEX(tblCalisan[Brüt Ücret (₺)],MATCH($A566,tblCalisan[Çalışan Adı],0)),""))</f>
        <v/>
      </c>
      <c r="C566" s="22" t="str">
        <f aca="false">IF($A566="","",$B566*IsverenPayiOrani)</f>
        <v/>
      </c>
      <c r="D566" s="22" t="str">
        <f aca="false">IF($A566="","",$B566*IssizlikOrani)</f>
        <v/>
      </c>
      <c r="E566" s="22" t="str">
        <f aca="false">IF($A566="","",$B566*KidemKarsilikOrani)</f>
        <v/>
      </c>
      <c r="F566" s="20"/>
      <c r="G566" s="22" t="str">
        <f aca="false">IF($A566="","",$B566+$C566+$D566+$E566+$F566)</f>
        <v/>
      </c>
      <c r="H566" s="22" t="str">
        <f aca="false">IF($A566="","",$G566*AySayisi)</f>
        <v/>
      </c>
    </row>
    <row r="567" customFormat="false" ht="15" hidden="false" customHeight="false" outlineLevel="0" collapsed="false">
      <c r="A567" s="19"/>
      <c r="B567" s="22" t="str">
        <f aca="false">IF($A567="","",IFERROR(INDEX(tblCalisan[Brüt Ücret (₺)],MATCH($A567,tblCalisan[Çalışan Adı],0)),""))</f>
        <v/>
      </c>
      <c r="C567" s="22" t="str">
        <f aca="false">IF($A567="","",$B567*IsverenPayiOrani)</f>
        <v/>
      </c>
      <c r="D567" s="22" t="str">
        <f aca="false">IF($A567="","",$B567*IssizlikOrani)</f>
        <v/>
      </c>
      <c r="E567" s="22" t="str">
        <f aca="false">IF($A567="","",$B567*KidemKarsilikOrani)</f>
        <v/>
      </c>
      <c r="F567" s="20"/>
      <c r="G567" s="22" t="str">
        <f aca="false">IF($A567="","",$B567+$C567+$D567+$E567+$F567)</f>
        <v/>
      </c>
      <c r="H567" s="22" t="str">
        <f aca="false">IF($A567="","",$G567*AySayisi)</f>
        <v/>
      </c>
    </row>
    <row r="568" customFormat="false" ht="15" hidden="false" customHeight="false" outlineLevel="0" collapsed="false">
      <c r="A568" s="19"/>
      <c r="B568" s="22" t="str">
        <f aca="false">IF($A568="","",IFERROR(INDEX(tblCalisan[Brüt Ücret (₺)],MATCH($A568,tblCalisan[Çalışan Adı],0)),""))</f>
        <v/>
      </c>
      <c r="C568" s="22" t="str">
        <f aca="false">IF($A568="","",$B568*IsverenPayiOrani)</f>
        <v/>
      </c>
      <c r="D568" s="22" t="str">
        <f aca="false">IF($A568="","",$B568*IssizlikOrani)</f>
        <v/>
      </c>
      <c r="E568" s="22" t="str">
        <f aca="false">IF($A568="","",$B568*KidemKarsilikOrani)</f>
        <v/>
      </c>
      <c r="F568" s="20"/>
      <c r="G568" s="22" t="str">
        <f aca="false">IF($A568="","",$B568+$C568+$D568+$E568+$F568)</f>
        <v/>
      </c>
      <c r="H568" s="22" t="str">
        <f aca="false">IF($A568="","",$G568*AySayisi)</f>
        <v/>
      </c>
    </row>
    <row r="569" customFormat="false" ht="15" hidden="false" customHeight="false" outlineLevel="0" collapsed="false">
      <c r="A569" s="19"/>
      <c r="B569" s="22" t="str">
        <f aca="false">IF($A569="","",IFERROR(INDEX(tblCalisan[Brüt Ücret (₺)],MATCH($A569,tblCalisan[Çalışan Adı],0)),""))</f>
        <v/>
      </c>
      <c r="C569" s="22" t="str">
        <f aca="false">IF($A569="","",$B569*IsverenPayiOrani)</f>
        <v/>
      </c>
      <c r="D569" s="22" t="str">
        <f aca="false">IF($A569="","",$B569*IssizlikOrani)</f>
        <v/>
      </c>
      <c r="E569" s="22" t="str">
        <f aca="false">IF($A569="","",$B569*KidemKarsilikOrani)</f>
        <v/>
      </c>
      <c r="F569" s="20"/>
      <c r="G569" s="22" t="str">
        <f aca="false">IF($A569="","",$B569+$C569+$D569+$E569+$F569)</f>
        <v/>
      </c>
      <c r="H569" s="22" t="str">
        <f aca="false">IF($A569="","",$G569*AySayisi)</f>
        <v/>
      </c>
    </row>
    <row r="570" customFormat="false" ht="15" hidden="false" customHeight="false" outlineLevel="0" collapsed="false">
      <c r="A570" s="19"/>
      <c r="B570" s="22" t="str">
        <f aca="false">IF($A570="","",IFERROR(INDEX(tblCalisan[Brüt Ücret (₺)],MATCH($A570,tblCalisan[Çalışan Adı],0)),""))</f>
        <v/>
      </c>
      <c r="C570" s="22" t="str">
        <f aca="false">IF($A570="","",$B570*IsverenPayiOrani)</f>
        <v/>
      </c>
      <c r="D570" s="22" t="str">
        <f aca="false">IF($A570="","",$B570*IssizlikOrani)</f>
        <v/>
      </c>
      <c r="E570" s="22" t="str">
        <f aca="false">IF($A570="","",$B570*KidemKarsilikOrani)</f>
        <v/>
      </c>
      <c r="F570" s="20"/>
      <c r="G570" s="22" t="str">
        <f aca="false">IF($A570="","",$B570+$C570+$D570+$E570+$F570)</f>
        <v/>
      </c>
      <c r="H570" s="22" t="str">
        <f aca="false">IF($A570="","",$G570*AySayisi)</f>
        <v/>
      </c>
    </row>
    <row r="571" customFormat="false" ht="15" hidden="false" customHeight="false" outlineLevel="0" collapsed="false">
      <c r="A571" s="19"/>
      <c r="B571" s="22" t="str">
        <f aca="false">IF($A571="","",IFERROR(INDEX(tblCalisan[Brüt Ücret (₺)],MATCH($A571,tblCalisan[Çalışan Adı],0)),""))</f>
        <v/>
      </c>
      <c r="C571" s="22" t="str">
        <f aca="false">IF($A571="","",$B571*IsverenPayiOrani)</f>
        <v/>
      </c>
      <c r="D571" s="22" t="str">
        <f aca="false">IF($A571="","",$B571*IssizlikOrani)</f>
        <v/>
      </c>
      <c r="E571" s="22" t="str">
        <f aca="false">IF($A571="","",$B571*KidemKarsilikOrani)</f>
        <v/>
      </c>
      <c r="F571" s="20"/>
      <c r="G571" s="22" t="str">
        <f aca="false">IF($A571="","",$B571+$C571+$D571+$E571+$F571)</f>
        <v/>
      </c>
      <c r="H571" s="22" t="str">
        <f aca="false">IF($A571="","",$G571*AySayisi)</f>
        <v/>
      </c>
    </row>
    <row r="572" customFormat="false" ht="15" hidden="false" customHeight="false" outlineLevel="0" collapsed="false">
      <c r="A572" s="19"/>
      <c r="B572" s="22" t="str">
        <f aca="false">IF($A572="","",IFERROR(INDEX(tblCalisan[Brüt Ücret (₺)],MATCH($A572,tblCalisan[Çalışan Adı],0)),""))</f>
        <v/>
      </c>
      <c r="C572" s="22" t="str">
        <f aca="false">IF($A572="","",$B572*IsverenPayiOrani)</f>
        <v/>
      </c>
      <c r="D572" s="22" t="str">
        <f aca="false">IF($A572="","",$B572*IssizlikOrani)</f>
        <v/>
      </c>
      <c r="E572" s="22" t="str">
        <f aca="false">IF($A572="","",$B572*KidemKarsilikOrani)</f>
        <v/>
      </c>
      <c r="F572" s="20"/>
      <c r="G572" s="22" t="str">
        <f aca="false">IF($A572="","",$B572+$C572+$D572+$E572+$F572)</f>
        <v/>
      </c>
      <c r="H572" s="22" t="str">
        <f aca="false">IF($A572="","",$G572*AySayisi)</f>
        <v/>
      </c>
    </row>
    <row r="573" customFormat="false" ht="15" hidden="false" customHeight="false" outlineLevel="0" collapsed="false">
      <c r="A573" s="19"/>
      <c r="B573" s="22" t="str">
        <f aca="false">IF($A573="","",IFERROR(INDEX(tblCalisan[Brüt Ücret (₺)],MATCH($A573,tblCalisan[Çalışan Adı],0)),""))</f>
        <v/>
      </c>
      <c r="C573" s="22" t="str">
        <f aca="false">IF($A573="","",$B573*IsverenPayiOrani)</f>
        <v/>
      </c>
      <c r="D573" s="22" t="str">
        <f aca="false">IF($A573="","",$B573*IssizlikOrani)</f>
        <v/>
      </c>
      <c r="E573" s="22" t="str">
        <f aca="false">IF($A573="","",$B573*KidemKarsilikOrani)</f>
        <v/>
      </c>
      <c r="F573" s="20"/>
      <c r="G573" s="22" t="str">
        <f aca="false">IF($A573="","",$B573+$C573+$D573+$E573+$F573)</f>
        <v/>
      </c>
      <c r="H573" s="22" t="str">
        <f aca="false">IF($A573="","",$G573*AySayisi)</f>
        <v/>
      </c>
    </row>
    <row r="574" customFormat="false" ht="15" hidden="false" customHeight="false" outlineLevel="0" collapsed="false">
      <c r="A574" s="19"/>
      <c r="B574" s="22" t="str">
        <f aca="false">IF($A574="","",IFERROR(INDEX(tblCalisan[Brüt Ücret (₺)],MATCH($A574,tblCalisan[Çalışan Adı],0)),""))</f>
        <v/>
      </c>
      <c r="C574" s="22" t="str">
        <f aca="false">IF($A574="","",$B574*IsverenPayiOrani)</f>
        <v/>
      </c>
      <c r="D574" s="22" t="str">
        <f aca="false">IF($A574="","",$B574*IssizlikOrani)</f>
        <v/>
      </c>
      <c r="E574" s="22" t="str">
        <f aca="false">IF($A574="","",$B574*KidemKarsilikOrani)</f>
        <v/>
      </c>
      <c r="F574" s="20"/>
      <c r="G574" s="22" t="str">
        <f aca="false">IF($A574="","",$B574+$C574+$D574+$E574+$F574)</f>
        <v/>
      </c>
      <c r="H574" s="22" t="str">
        <f aca="false">IF($A574="","",$G574*AySayisi)</f>
        <v/>
      </c>
    </row>
    <row r="575" customFormat="false" ht="15" hidden="false" customHeight="false" outlineLevel="0" collapsed="false">
      <c r="A575" s="19"/>
      <c r="B575" s="22" t="str">
        <f aca="false">IF($A575="","",IFERROR(INDEX(tblCalisan[Brüt Ücret (₺)],MATCH($A575,tblCalisan[Çalışan Adı],0)),""))</f>
        <v/>
      </c>
      <c r="C575" s="22" t="str">
        <f aca="false">IF($A575="","",$B575*IsverenPayiOrani)</f>
        <v/>
      </c>
      <c r="D575" s="22" t="str">
        <f aca="false">IF($A575="","",$B575*IssizlikOrani)</f>
        <v/>
      </c>
      <c r="E575" s="22" t="str">
        <f aca="false">IF($A575="","",$B575*KidemKarsilikOrani)</f>
        <v/>
      </c>
      <c r="F575" s="20"/>
      <c r="G575" s="22" t="str">
        <f aca="false">IF($A575="","",$B575+$C575+$D575+$E575+$F575)</f>
        <v/>
      </c>
      <c r="H575" s="22" t="str">
        <f aca="false">IF($A575="","",$G575*AySayisi)</f>
        <v/>
      </c>
    </row>
    <row r="576" customFormat="false" ht="15" hidden="false" customHeight="false" outlineLevel="0" collapsed="false">
      <c r="A576" s="19"/>
      <c r="B576" s="22" t="str">
        <f aca="false">IF($A576="","",IFERROR(INDEX(tblCalisan[Brüt Ücret (₺)],MATCH($A576,tblCalisan[Çalışan Adı],0)),""))</f>
        <v/>
      </c>
      <c r="C576" s="22" t="str">
        <f aca="false">IF($A576="","",$B576*IsverenPayiOrani)</f>
        <v/>
      </c>
      <c r="D576" s="22" t="str">
        <f aca="false">IF($A576="","",$B576*IssizlikOrani)</f>
        <v/>
      </c>
      <c r="E576" s="22" t="str">
        <f aca="false">IF($A576="","",$B576*KidemKarsilikOrani)</f>
        <v/>
      </c>
      <c r="F576" s="20"/>
      <c r="G576" s="22" t="str">
        <f aca="false">IF($A576="","",$B576+$C576+$D576+$E576+$F576)</f>
        <v/>
      </c>
      <c r="H576" s="22" t="str">
        <f aca="false">IF($A576="","",$G576*AySayisi)</f>
        <v/>
      </c>
    </row>
    <row r="577" customFormat="false" ht="15" hidden="false" customHeight="false" outlineLevel="0" collapsed="false">
      <c r="A577" s="19"/>
      <c r="B577" s="22" t="str">
        <f aca="false">IF($A577="","",IFERROR(INDEX(tblCalisan[Brüt Ücret (₺)],MATCH($A577,tblCalisan[Çalışan Adı],0)),""))</f>
        <v/>
      </c>
      <c r="C577" s="22" t="str">
        <f aca="false">IF($A577="","",$B577*IsverenPayiOrani)</f>
        <v/>
      </c>
      <c r="D577" s="22" t="str">
        <f aca="false">IF($A577="","",$B577*IssizlikOrani)</f>
        <v/>
      </c>
      <c r="E577" s="22" t="str">
        <f aca="false">IF($A577="","",$B577*KidemKarsilikOrani)</f>
        <v/>
      </c>
      <c r="F577" s="20"/>
      <c r="G577" s="22" t="str">
        <f aca="false">IF($A577="","",$B577+$C577+$D577+$E577+$F577)</f>
        <v/>
      </c>
      <c r="H577" s="22" t="str">
        <f aca="false">IF($A577="","",$G577*AySayisi)</f>
        <v/>
      </c>
    </row>
    <row r="578" customFormat="false" ht="15" hidden="false" customHeight="false" outlineLevel="0" collapsed="false">
      <c r="A578" s="19"/>
      <c r="B578" s="22" t="str">
        <f aca="false">IF($A578="","",IFERROR(INDEX(tblCalisan[Brüt Ücret (₺)],MATCH($A578,tblCalisan[Çalışan Adı],0)),""))</f>
        <v/>
      </c>
      <c r="C578" s="22" t="str">
        <f aca="false">IF($A578="","",$B578*IsverenPayiOrani)</f>
        <v/>
      </c>
      <c r="D578" s="22" t="str">
        <f aca="false">IF($A578="","",$B578*IssizlikOrani)</f>
        <v/>
      </c>
      <c r="E578" s="22" t="str">
        <f aca="false">IF($A578="","",$B578*KidemKarsilikOrani)</f>
        <v/>
      </c>
      <c r="F578" s="20"/>
      <c r="G578" s="22" t="str">
        <f aca="false">IF($A578="","",$B578+$C578+$D578+$E578+$F578)</f>
        <v/>
      </c>
      <c r="H578" s="22" t="str">
        <f aca="false">IF($A578="","",$G578*AySayisi)</f>
        <v/>
      </c>
    </row>
    <row r="579" customFormat="false" ht="15" hidden="false" customHeight="false" outlineLevel="0" collapsed="false">
      <c r="A579" s="19"/>
      <c r="B579" s="22" t="str">
        <f aca="false">IF($A579="","",IFERROR(INDEX(tblCalisan[Brüt Ücret (₺)],MATCH($A579,tblCalisan[Çalışan Adı],0)),""))</f>
        <v/>
      </c>
      <c r="C579" s="22" t="str">
        <f aca="false">IF($A579="","",$B579*IsverenPayiOrani)</f>
        <v/>
      </c>
      <c r="D579" s="22" t="str">
        <f aca="false">IF($A579="","",$B579*IssizlikOrani)</f>
        <v/>
      </c>
      <c r="E579" s="22" t="str">
        <f aca="false">IF($A579="","",$B579*KidemKarsilikOrani)</f>
        <v/>
      </c>
      <c r="F579" s="20"/>
      <c r="G579" s="22" t="str">
        <f aca="false">IF($A579="","",$B579+$C579+$D579+$E579+$F579)</f>
        <v/>
      </c>
      <c r="H579" s="22" t="str">
        <f aca="false">IF($A579="","",$G579*AySayisi)</f>
        <v/>
      </c>
    </row>
    <row r="580" customFormat="false" ht="15" hidden="false" customHeight="false" outlineLevel="0" collapsed="false">
      <c r="A580" s="19"/>
      <c r="B580" s="22" t="str">
        <f aca="false">IF($A580="","",IFERROR(INDEX(tblCalisan[Brüt Ücret (₺)],MATCH($A580,tblCalisan[Çalışan Adı],0)),""))</f>
        <v/>
      </c>
      <c r="C580" s="22" t="str">
        <f aca="false">IF($A580="","",$B580*IsverenPayiOrani)</f>
        <v/>
      </c>
      <c r="D580" s="22" t="str">
        <f aca="false">IF($A580="","",$B580*IssizlikOrani)</f>
        <v/>
      </c>
      <c r="E580" s="22" t="str">
        <f aca="false">IF($A580="","",$B580*KidemKarsilikOrani)</f>
        <v/>
      </c>
      <c r="F580" s="20"/>
      <c r="G580" s="22" t="str">
        <f aca="false">IF($A580="","",$B580+$C580+$D580+$E580+$F580)</f>
        <v/>
      </c>
      <c r="H580" s="22" t="str">
        <f aca="false">IF($A580="","",$G580*AySayisi)</f>
        <v/>
      </c>
    </row>
    <row r="581" customFormat="false" ht="15" hidden="false" customHeight="false" outlineLevel="0" collapsed="false">
      <c r="A581" s="19"/>
      <c r="B581" s="22" t="str">
        <f aca="false">IF($A581="","",IFERROR(INDEX(tblCalisan[Brüt Ücret (₺)],MATCH($A581,tblCalisan[Çalışan Adı],0)),""))</f>
        <v/>
      </c>
      <c r="C581" s="22" t="str">
        <f aca="false">IF($A581="","",$B581*IsverenPayiOrani)</f>
        <v/>
      </c>
      <c r="D581" s="22" t="str">
        <f aca="false">IF($A581="","",$B581*IssizlikOrani)</f>
        <v/>
      </c>
      <c r="E581" s="22" t="str">
        <f aca="false">IF($A581="","",$B581*KidemKarsilikOrani)</f>
        <v/>
      </c>
      <c r="F581" s="20"/>
      <c r="G581" s="22" t="str">
        <f aca="false">IF($A581="","",$B581+$C581+$D581+$E581+$F581)</f>
        <v/>
      </c>
      <c r="H581" s="22" t="str">
        <f aca="false">IF($A581="","",$G581*AySayisi)</f>
        <v/>
      </c>
    </row>
    <row r="582" customFormat="false" ht="15" hidden="false" customHeight="false" outlineLevel="0" collapsed="false">
      <c r="A582" s="19"/>
      <c r="B582" s="22" t="str">
        <f aca="false">IF($A582="","",IFERROR(INDEX(tblCalisan[Brüt Ücret (₺)],MATCH($A582,tblCalisan[Çalışan Adı],0)),""))</f>
        <v/>
      </c>
      <c r="C582" s="22" t="str">
        <f aca="false">IF($A582="","",$B582*IsverenPayiOrani)</f>
        <v/>
      </c>
      <c r="D582" s="22" t="str">
        <f aca="false">IF($A582="","",$B582*IssizlikOrani)</f>
        <v/>
      </c>
      <c r="E582" s="22" t="str">
        <f aca="false">IF($A582="","",$B582*KidemKarsilikOrani)</f>
        <v/>
      </c>
      <c r="F582" s="20"/>
      <c r="G582" s="22" t="str">
        <f aca="false">IF($A582="","",$B582+$C582+$D582+$E582+$F582)</f>
        <v/>
      </c>
      <c r="H582" s="22" t="str">
        <f aca="false">IF($A582="","",$G582*AySayisi)</f>
        <v/>
      </c>
    </row>
    <row r="583" customFormat="false" ht="15" hidden="false" customHeight="false" outlineLevel="0" collapsed="false">
      <c r="A583" s="19"/>
      <c r="B583" s="22" t="str">
        <f aca="false">IF($A583="","",IFERROR(INDEX(tblCalisan[Brüt Ücret (₺)],MATCH($A583,tblCalisan[Çalışan Adı],0)),""))</f>
        <v/>
      </c>
      <c r="C583" s="22" t="str">
        <f aca="false">IF($A583="","",$B583*IsverenPayiOrani)</f>
        <v/>
      </c>
      <c r="D583" s="22" t="str">
        <f aca="false">IF($A583="","",$B583*IssizlikOrani)</f>
        <v/>
      </c>
      <c r="E583" s="22" t="str">
        <f aca="false">IF($A583="","",$B583*KidemKarsilikOrani)</f>
        <v/>
      </c>
      <c r="F583" s="20"/>
      <c r="G583" s="22" t="str">
        <f aca="false">IF($A583="","",$B583+$C583+$D583+$E583+$F583)</f>
        <v/>
      </c>
      <c r="H583" s="22" t="str">
        <f aca="false">IF($A583="","",$G583*AySayisi)</f>
        <v/>
      </c>
    </row>
    <row r="584" customFormat="false" ht="15" hidden="false" customHeight="false" outlineLevel="0" collapsed="false">
      <c r="A584" s="19"/>
      <c r="B584" s="22" t="str">
        <f aca="false">IF($A584="","",IFERROR(INDEX(tblCalisan[Brüt Ücret (₺)],MATCH($A584,tblCalisan[Çalışan Adı],0)),""))</f>
        <v/>
      </c>
      <c r="C584" s="22" t="str">
        <f aca="false">IF($A584="","",$B584*IsverenPayiOrani)</f>
        <v/>
      </c>
      <c r="D584" s="22" t="str">
        <f aca="false">IF($A584="","",$B584*IssizlikOrani)</f>
        <v/>
      </c>
      <c r="E584" s="22" t="str">
        <f aca="false">IF($A584="","",$B584*KidemKarsilikOrani)</f>
        <v/>
      </c>
      <c r="F584" s="20"/>
      <c r="G584" s="22" t="str">
        <f aca="false">IF($A584="","",$B584+$C584+$D584+$E584+$F584)</f>
        <v/>
      </c>
      <c r="H584" s="22" t="str">
        <f aca="false">IF($A584="","",$G584*AySayisi)</f>
        <v/>
      </c>
    </row>
    <row r="585" customFormat="false" ht="15" hidden="false" customHeight="false" outlineLevel="0" collapsed="false">
      <c r="A585" s="19"/>
      <c r="B585" s="22" t="str">
        <f aca="false">IF($A585="","",IFERROR(INDEX(tblCalisan[Brüt Ücret (₺)],MATCH($A585,tblCalisan[Çalışan Adı],0)),""))</f>
        <v/>
      </c>
      <c r="C585" s="22" t="str">
        <f aca="false">IF($A585="","",$B585*IsverenPayiOrani)</f>
        <v/>
      </c>
      <c r="D585" s="22" t="str">
        <f aca="false">IF($A585="","",$B585*IssizlikOrani)</f>
        <v/>
      </c>
      <c r="E585" s="22" t="str">
        <f aca="false">IF($A585="","",$B585*KidemKarsilikOrani)</f>
        <v/>
      </c>
      <c r="F585" s="20"/>
      <c r="G585" s="22" t="str">
        <f aca="false">IF($A585="","",$B585+$C585+$D585+$E585+$F585)</f>
        <v/>
      </c>
      <c r="H585" s="22" t="str">
        <f aca="false">IF($A585="","",$G585*AySayisi)</f>
        <v/>
      </c>
    </row>
    <row r="586" customFormat="false" ht="15" hidden="false" customHeight="false" outlineLevel="0" collapsed="false">
      <c r="A586" s="19"/>
      <c r="B586" s="22" t="str">
        <f aca="false">IF($A586="","",IFERROR(INDEX(tblCalisan[Brüt Ücret (₺)],MATCH($A586,tblCalisan[Çalışan Adı],0)),""))</f>
        <v/>
      </c>
      <c r="C586" s="22" t="str">
        <f aca="false">IF($A586="","",$B586*IsverenPayiOrani)</f>
        <v/>
      </c>
      <c r="D586" s="22" t="str">
        <f aca="false">IF($A586="","",$B586*IssizlikOrani)</f>
        <v/>
      </c>
      <c r="E586" s="22" t="str">
        <f aca="false">IF($A586="","",$B586*KidemKarsilikOrani)</f>
        <v/>
      </c>
      <c r="F586" s="20"/>
      <c r="G586" s="22" t="str">
        <f aca="false">IF($A586="","",$B586+$C586+$D586+$E586+$F586)</f>
        <v/>
      </c>
      <c r="H586" s="22" t="str">
        <f aca="false">IF($A586="","",$G586*AySayisi)</f>
        <v/>
      </c>
    </row>
    <row r="587" customFormat="false" ht="15" hidden="false" customHeight="false" outlineLevel="0" collapsed="false">
      <c r="A587" s="19"/>
      <c r="B587" s="22" t="str">
        <f aca="false">IF($A587="","",IFERROR(INDEX(tblCalisan[Brüt Ücret (₺)],MATCH($A587,tblCalisan[Çalışan Adı],0)),""))</f>
        <v/>
      </c>
      <c r="C587" s="22" t="str">
        <f aca="false">IF($A587="","",$B587*IsverenPayiOrani)</f>
        <v/>
      </c>
      <c r="D587" s="22" t="str">
        <f aca="false">IF($A587="","",$B587*IssizlikOrani)</f>
        <v/>
      </c>
      <c r="E587" s="22" t="str">
        <f aca="false">IF($A587="","",$B587*KidemKarsilikOrani)</f>
        <v/>
      </c>
      <c r="F587" s="20"/>
      <c r="G587" s="22" t="str">
        <f aca="false">IF($A587="","",$B587+$C587+$D587+$E587+$F587)</f>
        <v/>
      </c>
      <c r="H587" s="22" t="str">
        <f aca="false">IF($A587="","",$G587*AySayisi)</f>
        <v/>
      </c>
    </row>
    <row r="588" customFormat="false" ht="15" hidden="false" customHeight="false" outlineLevel="0" collapsed="false">
      <c r="A588" s="19"/>
      <c r="B588" s="22" t="str">
        <f aca="false">IF($A588="","",IFERROR(INDEX(tblCalisan[Brüt Ücret (₺)],MATCH($A588,tblCalisan[Çalışan Adı],0)),""))</f>
        <v/>
      </c>
      <c r="C588" s="22" t="str">
        <f aca="false">IF($A588="","",$B588*IsverenPayiOrani)</f>
        <v/>
      </c>
      <c r="D588" s="22" t="str">
        <f aca="false">IF($A588="","",$B588*IssizlikOrani)</f>
        <v/>
      </c>
      <c r="E588" s="22" t="str">
        <f aca="false">IF($A588="","",$B588*KidemKarsilikOrani)</f>
        <v/>
      </c>
      <c r="F588" s="20"/>
      <c r="G588" s="22" t="str">
        <f aca="false">IF($A588="","",$B588+$C588+$D588+$E588+$F588)</f>
        <v/>
      </c>
      <c r="H588" s="22" t="str">
        <f aca="false">IF($A588="","",$G588*AySayisi)</f>
        <v/>
      </c>
    </row>
    <row r="589" customFormat="false" ht="15" hidden="false" customHeight="false" outlineLevel="0" collapsed="false">
      <c r="A589" s="19"/>
      <c r="B589" s="22" t="str">
        <f aca="false">IF($A589="","",IFERROR(INDEX(tblCalisan[Brüt Ücret (₺)],MATCH($A589,tblCalisan[Çalışan Adı],0)),""))</f>
        <v/>
      </c>
      <c r="C589" s="22" t="str">
        <f aca="false">IF($A589="","",$B589*IsverenPayiOrani)</f>
        <v/>
      </c>
      <c r="D589" s="22" t="str">
        <f aca="false">IF($A589="","",$B589*IssizlikOrani)</f>
        <v/>
      </c>
      <c r="E589" s="22" t="str">
        <f aca="false">IF($A589="","",$B589*KidemKarsilikOrani)</f>
        <v/>
      </c>
      <c r="F589" s="20"/>
      <c r="G589" s="22" t="str">
        <f aca="false">IF($A589="","",$B589+$C589+$D589+$E589+$F589)</f>
        <v/>
      </c>
      <c r="H589" s="22" t="str">
        <f aca="false">IF($A589="","",$G589*AySayisi)</f>
        <v/>
      </c>
    </row>
    <row r="590" customFormat="false" ht="15" hidden="false" customHeight="false" outlineLevel="0" collapsed="false">
      <c r="A590" s="19"/>
      <c r="B590" s="22" t="str">
        <f aca="false">IF($A590="","",IFERROR(INDEX(tblCalisan[Brüt Ücret (₺)],MATCH($A590,tblCalisan[Çalışan Adı],0)),""))</f>
        <v/>
      </c>
      <c r="C590" s="22" t="str">
        <f aca="false">IF($A590="","",$B590*IsverenPayiOrani)</f>
        <v/>
      </c>
      <c r="D590" s="22" t="str">
        <f aca="false">IF($A590="","",$B590*IssizlikOrani)</f>
        <v/>
      </c>
      <c r="E590" s="22" t="str">
        <f aca="false">IF($A590="","",$B590*KidemKarsilikOrani)</f>
        <v/>
      </c>
      <c r="F590" s="20"/>
      <c r="G590" s="22" t="str">
        <f aca="false">IF($A590="","",$B590+$C590+$D590+$E590+$F590)</f>
        <v/>
      </c>
      <c r="H590" s="22" t="str">
        <f aca="false">IF($A590="","",$G590*AySayisi)</f>
        <v/>
      </c>
    </row>
    <row r="591" customFormat="false" ht="15" hidden="false" customHeight="false" outlineLevel="0" collapsed="false">
      <c r="A591" s="19"/>
      <c r="B591" s="22" t="str">
        <f aca="false">IF($A591="","",IFERROR(INDEX(tblCalisan[Brüt Ücret (₺)],MATCH($A591,tblCalisan[Çalışan Adı],0)),""))</f>
        <v/>
      </c>
      <c r="C591" s="22" t="str">
        <f aca="false">IF($A591="","",$B591*IsverenPayiOrani)</f>
        <v/>
      </c>
      <c r="D591" s="22" t="str">
        <f aca="false">IF($A591="","",$B591*IssizlikOrani)</f>
        <v/>
      </c>
      <c r="E591" s="22" t="str">
        <f aca="false">IF($A591="","",$B591*KidemKarsilikOrani)</f>
        <v/>
      </c>
      <c r="F591" s="20"/>
      <c r="G591" s="22" t="str">
        <f aca="false">IF($A591="","",$B591+$C591+$D591+$E591+$F591)</f>
        <v/>
      </c>
      <c r="H591" s="22" t="str">
        <f aca="false">IF($A591="","",$G591*AySayisi)</f>
        <v/>
      </c>
    </row>
    <row r="592" customFormat="false" ht="15" hidden="false" customHeight="false" outlineLevel="0" collapsed="false">
      <c r="A592" s="19"/>
      <c r="B592" s="22" t="str">
        <f aca="false">IF($A592="","",IFERROR(INDEX(tblCalisan[Brüt Ücret (₺)],MATCH($A592,tblCalisan[Çalışan Adı],0)),""))</f>
        <v/>
      </c>
      <c r="C592" s="22" t="str">
        <f aca="false">IF($A592="","",$B592*IsverenPayiOrani)</f>
        <v/>
      </c>
      <c r="D592" s="22" t="str">
        <f aca="false">IF($A592="","",$B592*IssizlikOrani)</f>
        <v/>
      </c>
      <c r="E592" s="22" t="str">
        <f aca="false">IF($A592="","",$B592*KidemKarsilikOrani)</f>
        <v/>
      </c>
      <c r="F592" s="20"/>
      <c r="G592" s="22" t="str">
        <f aca="false">IF($A592="","",$B592+$C592+$D592+$E592+$F592)</f>
        <v/>
      </c>
      <c r="H592" s="22" t="str">
        <f aca="false">IF($A592="","",$G592*AySayisi)</f>
        <v/>
      </c>
    </row>
    <row r="593" customFormat="false" ht="15" hidden="false" customHeight="false" outlineLevel="0" collapsed="false">
      <c r="A593" s="19"/>
      <c r="B593" s="22" t="str">
        <f aca="false">IF($A593="","",IFERROR(INDEX(tblCalisan[Brüt Ücret (₺)],MATCH($A593,tblCalisan[Çalışan Adı],0)),""))</f>
        <v/>
      </c>
      <c r="C593" s="22" t="str">
        <f aca="false">IF($A593="","",$B593*IsverenPayiOrani)</f>
        <v/>
      </c>
      <c r="D593" s="22" t="str">
        <f aca="false">IF($A593="","",$B593*IssizlikOrani)</f>
        <v/>
      </c>
      <c r="E593" s="22" t="str">
        <f aca="false">IF($A593="","",$B593*KidemKarsilikOrani)</f>
        <v/>
      </c>
      <c r="F593" s="20"/>
      <c r="G593" s="22" t="str">
        <f aca="false">IF($A593="","",$B593+$C593+$D593+$E593+$F593)</f>
        <v/>
      </c>
      <c r="H593" s="22" t="str">
        <f aca="false">IF($A593="","",$G593*AySayisi)</f>
        <v/>
      </c>
    </row>
    <row r="594" customFormat="false" ht="15" hidden="false" customHeight="false" outlineLevel="0" collapsed="false">
      <c r="A594" s="19"/>
      <c r="B594" s="22" t="str">
        <f aca="false">IF($A594="","",IFERROR(INDEX(tblCalisan[Brüt Ücret (₺)],MATCH($A594,tblCalisan[Çalışan Adı],0)),""))</f>
        <v/>
      </c>
      <c r="C594" s="22" t="str">
        <f aca="false">IF($A594="","",$B594*IsverenPayiOrani)</f>
        <v/>
      </c>
      <c r="D594" s="22" t="str">
        <f aca="false">IF($A594="","",$B594*IssizlikOrani)</f>
        <v/>
      </c>
      <c r="E594" s="22" t="str">
        <f aca="false">IF($A594="","",$B594*KidemKarsilikOrani)</f>
        <v/>
      </c>
      <c r="F594" s="20"/>
      <c r="G594" s="22" t="str">
        <f aca="false">IF($A594="","",$B594+$C594+$D594+$E594+$F594)</f>
        <v/>
      </c>
      <c r="H594" s="22" t="str">
        <f aca="false">IF($A594="","",$G594*AySayisi)</f>
        <v/>
      </c>
    </row>
    <row r="595" customFormat="false" ht="15" hidden="false" customHeight="false" outlineLevel="0" collapsed="false">
      <c r="A595" s="19"/>
      <c r="B595" s="22" t="str">
        <f aca="false">IF($A595="","",IFERROR(INDEX(tblCalisan[Brüt Ücret (₺)],MATCH($A595,tblCalisan[Çalışan Adı],0)),""))</f>
        <v/>
      </c>
      <c r="C595" s="22" t="str">
        <f aca="false">IF($A595="","",$B595*IsverenPayiOrani)</f>
        <v/>
      </c>
      <c r="D595" s="22" t="str">
        <f aca="false">IF($A595="","",$B595*IssizlikOrani)</f>
        <v/>
      </c>
      <c r="E595" s="22" t="str">
        <f aca="false">IF($A595="","",$B595*KidemKarsilikOrani)</f>
        <v/>
      </c>
      <c r="F595" s="20"/>
      <c r="G595" s="22" t="str">
        <f aca="false">IF($A595="","",$B595+$C595+$D595+$E595+$F595)</f>
        <v/>
      </c>
      <c r="H595" s="22" t="str">
        <f aca="false">IF($A595="","",$G595*AySayisi)</f>
        <v/>
      </c>
    </row>
    <row r="596" customFormat="false" ht="15" hidden="false" customHeight="false" outlineLevel="0" collapsed="false">
      <c r="A596" s="19"/>
      <c r="B596" s="22" t="str">
        <f aca="false">IF($A596="","",IFERROR(INDEX(tblCalisan[Brüt Ücret (₺)],MATCH($A596,tblCalisan[Çalışan Adı],0)),""))</f>
        <v/>
      </c>
      <c r="C596" s="22" t="str">
        <f aca="false">IF($A596="","",$B596*IsverenPayiOrani)</f>
        <v/>
      </c>
      <c r="D596" s="22" t="str">
        <f aca="false">IF($A596="","",$B596*IssizlikOrani)</f>
        <v/>
      </c>
      <c r="E596" s="22" t="str">
        <f aca="false">IF($A596="","",$B596*KidemKarsilikOrani)</f>
        <v/>
      </c>
      <c r="F596" s="20"/>
      <c r="G596" s="22" t="str">
        <f aca="false">IF($A596="","",$B596+$C596+$D596+$E596+$F596)</f>
        <v/>
      </c>
      <c r="H596" s="22" t="str">
        <f aca="false">IF($A596="","",$G596*AySayisi)</f>
        <v/>
      </c>
    </row>
    <row r="597" customFormat="false" ht="15" hidden="false" customHeight="false" outlineLevel="0" collapsed="false">
      <c r="A597" s="19"/>
      <c r="B597" s="22" t="str">
        <f aca="false">IF($A597="","",IFERROR(INDEX(tblCalisan[Brüt Ücret (₺)],MATCH($A597,tblCalisan[Çalışan Adı],0)),""))</f>
        <v/>
      </c>
      <c r="C597" s="22" t="str">
        <f aca="false">IF($A597="","",$B597*IsverenPayiOrani)</f>
        <v/>
      </c>
      <c r="D597" s="22" t="str">
        <f aca="false">IF($A597="","",$B597*IssizlikOrani)</f>
        <v/>
      </c>
      <c r="E597" s="22" t="str">
        <f aca="false">IF($A597="","",$B597*KidemKarsilikOrani)</f>
        <v/>
      </c>
      <c r="F597" s="20"/>
      <c r="G597" s="22" t="str">
        <f aca="false">IF($A597="","",$B597+$C597+$D597+$E597+$F597)</f>
        <v/>
      </c>
      <c r="H597" s="22" t="str">
        <f aca="false">IF($A597="","",$G597*AySayisi)</f>
        <v/>
      </c>
    </row>
    <row r="598" customFormat="false" ht="15" hidden="false" customHeight="false" outlineLevel="0" collapsed="false">
      <c r="A598" s="19"/>
      <c r="B598" s="22" t="str">
        <f aca="false">IF($A598="","",IFERROR(INDEX(tblCalisan[Brüt Ücret (₺)],MATCH($A598,tblCalisan[Çalışan Adı],0)),""))</f>
        <v/>
      </c>
      <c r="C598" s="22" t="str">
        <f aca="false">IF($A598="","",$B598*IsverenPayiOrani)</f>
        <v/>
      </c>
      <c r="D598" s="22" t="str">
        <f aca="false">IF($A598="","",$B598*IssizlikOrani)</f>
        <v/>
      </c>
      <c r="E598" s="22" t="str">
        <f aca="false">IF($A598="","",$B598*KidemKarsilikOrani)</f>
        <v/>
      </c>
      <c r="F598" s="20"/>
      <c r="G598" s="22" t="str">
        <f aca="false">IF($A598="","",$B598+$C598+$D598+$E598+$F598)</f>
        <v/>
      </c>
      <c r="H598" s="22" t="str">
        <f aca="false">IF($A598="","",$G598*AySayisi)</f>
        <v/>
      </c>
    </row>
    <row r="599" customFormat="false" ht="15" hidden="false" customHeight="false" outlineLevel="0" collapsed="false">
      <c r="A599" s="19"/>
      <c r="B599" s="22" t="str">
        <f aca="false">IF($A599="","",IFERROR(INDEX(tblCalisan[Brüt Ücret (₺)],MATCH($A599,tblCalisan[Çalışan Adı],0)),""))</f>
        <v/>
      </c>
      <c r="C599" s="22" t="str">
        <f aca="false">IF($A599="","",$B599*IsverenPayiOrani)</f>
        <v/>
      </c>
      <c r="D599" s="22" t="str">
        <f aca="false">IF($A599="","",$B599*IssizlikOrani)</f>
        <v/>
      </c>
      <c r="E599" s="22" t="str">
        <f aca="false">IF($A599="","",$B599*KidemKarsilikOrani)</f>
        <v/>
      </c>
      <c r="F599" s="20"/>
      <c r="G599" s="22" t="str">
        <f aca="false">IF($A599="","",$B599+$C599+$D599+$E599+$F599)</f>
        <v/>
      </c>
      <c r="H599" s="22" t="str">
        <f aca="false">IF($A599="","",$G599*AySayisi)</f>
        <v/>
      </c>
    </row>
    <row r="600" customFormat="false" ht="15" hidden="false" customHeight="false" outlineLevel="0" collapsed="false">
      <c r="A600" s="19"/>
      <c r="B600" s="22" t="str">
        <f aca="false">IF($A600="","",IFERROR(INDEX(tblCalisan[Brüt Ücret (₺)],MATCH($A600,tblCalisan[Çalışan Adı],0)),""))</f>
        <v/>
      </c>
      <c r="C600" s="22" t="str">
        <f aca="false">IF($A600="","",$B600*IsverenPayiOrani)</f>
        <v/>
      </c>
      <c r="D600" s="22" t="str">
        <f aca="false">IF($A600="","",$B600*IssizlikOrani)</f>
        <v/>
      </c>
      <c r="E600" s="22" t="str">
        <f aca="false">IF($A600="","",$B600*KidemKarsilikOrani)</f>
        <v/>
      </c>
      <c r="F600" s="20"/>
      <c r="G600" s="22" t="str">
        <f aca="false">IF($A600="","",$B600+$C600+$D600+$E600+$F600)</f>
        <v/>
      </c>
      <c r="H600" s="22" t="str">
        <f aca="false">IF($A600="","",$G600*AySayisi)</f>
        <v/>
      </c>
    </row>
    <row r="601" customFormat="false" ht="15" hidden="false" customHeight="false" outlineLevel="0" collapsed="false">
      <c r="A601" s="19"/>
      <c r="B601" s="22" t="str">
        <f aca="false">IF($A601="","",IFERROR(INDEX(tblCalisan[Brüt Ücret (₺)],MATCH($A601,tblCalisan[Çalışan Adı],0)),""))</f>
        <v/>
      </c>
      <c r="C601" s="22" t="str">
        <f aca="false">IF($A601="","",$B601*IsverenPayiOrani)</f>
        <v/>
      </c>
      <c r="D601" s="22" t="str">
        <f aca="false">IF($A601="","",$B601*IssizlikOrani)</f>
        <v/>
      </c>
      <c r="E601" s="22" t="str">
        <f aca="false">IF($A601="","",$B601*KidemKarsilikOrani)</f>
        <v/>
      </c>
      <c r="F601" s="20"/>
      <c r="G601" s="22" t="str">
        <f aca="false">IF($A601="","",$B601+$C601+$D601+$E601+$F601)</f>
        <v/>
      </c>
      <c r="H601" s="22" t="str">
        <f aca="false">IF($A601="","",$G601*AySayisi)</f>
        <v/>
      </c>
    </row>
    <row r="602" customFormat="false" ht="15" hidden="false" customHeight="false" outlineLevel="0" collapsed="false">
      <c r="A602" s="19"/>
      <c r="B602" s="22" t="str">
        <f aca="false">IF($A602="","",IFERROR(INDEX(tblCalisan[Brüt Ücret (₺)],MATCH($A602,tblCalisan[Çalışan Adı],0)),""))</f>
        <v/>
      </c>
      <c r="C602" s="22" t="str">
        <f aca="false">IF($A602="","",$B602*IsverenPayiOrani)</f>
        <v/>
      </c>
      <c r="D602" s="22" t="str">
        <f aca="false">IF($A602="","",$B602*IssizlikOrani)</f>
        <v/>
      </c>
      <c r="E602" s="22" t="str">
        <f aca="false">IF($A602="","",$B602*KidemKarsilikOrani)</f>
        <v/>
      </c>
      <c r="F602" s="20"/>
      <c r="G602" s="22" t="str">
        <f aca="false">IF($A602="","",$B602+$C602+$D602+$E602+$F602)</f>
        <v/>
      </c>
      <c r="H602" s="22" t="str">
        <f aca="false">IF($A602="","",$G602*AySayisi)</f>
        <v/>
      </c>
    </row>
    <row r="603" customFormat="false" ht="15" hidden="false" customHeight="false" outlineLevel="0" collapsed="false">
      <c r="A603" s="19"/>
      <c r="B603" s="22" t="str">
        <f aca="false">IF($A603="","",IFERROR(INDEX(tblCalisan[Brüt Ücret (₺)],MATCH($A603,tblCalisan[Çalışan Adı],0)),""))</f>
        <v/>
      </c>
      <c r="C603" s="22" t="str">
        <f aca="false">IF($A603="","",$B603*IsverenPayiOrani)</f>
        <v/>
      </c>
      <c r="D603" s="22" t="str">
        <f aca="false">IF($A603="","",$B603*IssizlikOrani)</f>
        <v/>
      </c>
      <c r="E603" s="22" t="str">
        <f aca="false">IF($A603="","",$B603*KidemKarsilikOrani)</f>
        <v/>
      </c>
      <c r="F603" s="20"/>
      <c r="G603" s="22" t="str">
        <f aca="false">IF($A603="","",$B603+$C603+$D603+$E603+$F603)</f>
        <v/>
      </c>
      <c r="H603" s="22" t="str">
        <f aca="false">IF($A603="","",$G603*AySayisi)</f>
        <v/>
      </c>
    </row>
    <row r="604" customFormat="false" ht="15" hidden="false" customHeight="false" outlineLevel="0" collapsed="false">
      <c r="A604" s="19"/>
      <c r="B604" s="22" t="str">
        <f aca="false">IF($A604="","",IFERROR(INDEX(tblCalisan[Brüt Ücret (₺)],MATCH($A604,tblCalisan[Çalışan Adı],0)),""))</f>
        <v/>
      </c>
      <c r="C604" s="22" t="str">
        <f aca="false">IF($A604="","",$B604*IsverenPayiOrani)</f>
        <v/>
      </c>
      <c r="D604" s="22" t="str">
        <f aca="false">IF($A604="","",$B604*IssizlikOrani)</f>
        <v/>
      </c>
      <c r="E604" s="22" t="str">
        <f aca="false">IF($A604="","",$B604*KidemKarsilikOrani)</f>
        <v/>
      </c>
      <c r="F604" s="20"/>
      <c r="G604" s="22" t="str">
        <f aca="false">IF($A604="","",$B604+$C604+$D604+$E604+$F604)</f>
        <v/>
      </c>
      <c r="H604" s="22" t="str">
        <f aca="false">IF($A604="","",$G604*AySayisi)</f>
        <v/>
      </c>
    </row>
    <row r="605" customFormat="false" ht="15" hidden="false" customHeight="false" outlineLevel="0" collapsed="false">
      <c r="A605" s="19"/>
      <c r="B605" s="22" t="str">
        <f aca="false">IF($A605="","",IFERROR(INDEX(tblCalisan[Brüt Ücret (₺)],MATCH($A605,tblCalisan[Çalışan Adı],0)),""))</f>
        <v/>
      </c>
      <c r="C605" s="22" t="str">
        <f aca="false">IF($A605="","",$B605*IsverenPayiOrani)</f>
        <v/>
      </c>
      <c r="D605" s="22" t="str">
        <f aca="false">IF($A605="","",$B605*IssizlikOrani)</f>
        <v/>
      </c>
      <c r="E605" s="22" t="str">
        <f aca="false">IF($A605="","",$B605*KidemKarsilikOrani)</f>
        <v/>
      </c>
      <c r="F605" s="20"/>
      <c r="G605" s="22" t="str">
        <f aca="false">IF($A605="","",$B605+$C605+$D605+$E605+$F605)</f>
        <v/>
      </c>
      <c r="H605" s="22" t="str">
        <f aca="false">IF($A605="","",$G605*AySayisi)</f>
        <v/>
      </c>
    </row>
    <row r="606" customFormat="false" ht="15" hidden="false" customHeight="false" outlineLevel="0" collapsed="false">
      <c r="A606" s="19"/>
      <c r="B606" s="22" t="str">
        <f aca="false">IF($A606="","",IFERROR(INDEX(tblCalisan[Brüt Ücret (₺)],MATCH($A606,tblCalisan[Çalışan Adı],0)),""))</f>
        <v/>
      </c>
      <c r="C606" s="22" t="str">
        <f aca="false">IF($A606="","",$B606*IsverenPayiOrani)</f>
        <v/>
      </c>
      <c r="D606" s="22" t="str">
        <f aca="false">IF($A606="","",$B606*IssizlikOrani)</f>
        <v/>
      </c>
      <c r="E606" s="22" t="str">
        <f aca="false">IF($A606="","",$B606*KidemKarsilikOrani)</f>
        <v/>
      </c>
      <c r="F606" s="20"/>
      <c r="G606" s="22" t="str">
        <f aca="false">IF($A606="","",$B606+$C606+$D606+$E606+$F606)</f>
        <v/>
      </c>
      <c r="H606" s="22" t="str">
        <f aca="false">IF($A606="","",$G606*AySayisi)</f>
        <v/>
      </c>
    </row>
    <row r="607" customFormat="false" ht="15" hidden="false" customHeight="false" outlineLevel="0" collapsed="false">
      <c r="A607" s="19"/>
      <c r="B607" s="22" t="str">
        <f aca="false">IF($A607="","",IFERROR(INDEX(tblCalisan[Brüt Ücret (₺)],MATCH($A607,tblCalisan[Çalışan Adı],0)),""))</f>
        <v/>
      </c>
      <c r="C607" s="22" t="str">
        <f aca="false">IF($A607="","",$B607*IsverenPayiOrani)</f>
        <v/>
      </c>
      <c r="D607" s="22" t="str">
        <f aca="false">IF($A607="","",$B607*IssizlikOrani)</f>
        <v/>
      </c>
      <c r="E607" s="22" t="str">
        <f aca="false">IF($A607="","",$B607*KidemKarsilikOrani)</f>
        <v/>
      </c>
      <c r="F607" s="20"/>
      <c r="G607" s="22" t="str">
        <f aca="false">IF($A607="","",$B607+$C607+$D607+$E607+$F607)</f>
        <v/>
      </c>
      <c r="H607" s="22" t="str">
        <f aca="false">IF($A607="","",$G607*AySayisi)</f>
        <v/>
      </c>
    </row>
    <row r="608" customFormat="false" ht="15" hidden="false" customHeight="false" outlineLevel="0" collapsed="false">
      <c r="A608" s="19"/>
      <c r="B608" s="22" t="str">
        <f aca="false">IF($A608="","",IFERROR(INDEX(tblCalisan[Brüt Ücret (₺)],MATCH($A608,tblCalisan[Çalışan Adı],0)),""))</f>
        <v/>
      </c>
      <c r="C608" s="22" t="str">
        <f aca="false">IF($A608="","",$B608*IsverenPayiOrani)</f>
        <v/>
      </c>
      <c r="D608" s="22" t="str">
        <f aca="false">IF($A608="","",$B608*IssizlikOrani)</f>
        <v/>
      </c>
      <c r="E608" s="22" t="str">
        <f aca="false">IF($A608="","",$B608*KidemKarsilikOrani)</f>
        <v/>
      </c>
      <c r="F608" s="20"/>
      <c r="G608" s="22" t="str">
        <f aca="false">IF($A608="","",$B608+$C608+$D608+$E608+$F608)</f>
        <v/>
      </c>
      <c r="H608" s="22" t="str">
        <f aca="false">IF($A608="","",$G608*AySayisi)</f>
        <v/>
      </c>
    </row>
    <row r="609" customFormat="false" ht="15" hidden="false" customHeight="false" outlineLevel="0" collapsed="false">
      <c r="A609" s="19"/>
      <c r="B609" s="22" t="str">
        <f aca="false">IF($A609="","",IFERROR(INDEX(tblCalisan[Brüt Ücret (₺)],MATCH($A609,tblCalisan[Çalışan Adı],0)),""))</f>
        <v/>
      </c>
      <c r="C609" s="22" t="str">
        <f aca="false">IF($A609="","",$B609*IsverenPayiOrani)</f>
        <v/>
      </c>
      <c r="D609" s="22" t="str">
        <f aca="false">IF($A609="","",$B609*IssizlikOrani)</f>
        <v/>
      </c>
      <c r="E609" s="22" t="str">
        <f aca="false">IF($A609="","",$B609*KidemKarsilikOrani)</f>
        <v/>
      </c>
      <c r="F609" s="20"/>
      <c r="G609" s="22" t="str">
        <f aca="false">IF($A609="","",$B609+$C609+$D609+$E609+$F609)</f>
        <v/>
      </c>
      <c r="H609" s="22" t="str">
        <f aca="false">IF($A609="","",$G609*AySayisi)</f>
        <v/>
      </c>
    </row>
    <row r="610" customFormat="false" ht="15" hidden="false" customHeight="false" outlineLevel="0" collapsed="false">
      <c r="A610" s="19"/>
      <c r="B610" s="22" t="str">
        <f aca="false">IF($A610="","",IFERROR(INDEX(tblCalisan[Brüt Ücret (₺)],MATCH($A610,tblCalisan[Çalışan Adı],0)),""))</f>
        <v/>
      </c>
      <c r="C610" s="22" t="str">
        <f aca="false">IF($A610="","",$B610*IsverenPayiOrani)</f>
        <v/>
      </c>
      <c r="D610" s="22" t="str">
        <f aca="false">IF($A610="","",$B610*IssizlikOrani)</f>
        <v/>
      </c>
      <c r="E610" s="22" t="str">
        <f aca="false">IF($A610="","",$B610*KidemKarsilikOrani)</f>
        <v/>
      </c>
      <c r="F610" s="20"/>
      <c r="G610" s="22" t="str">
        <f aca="false">IF($A610="","",$B610+$C610+$D610+$E610+$F610)</f>
        <v/>
      </c>
      <c r="H610" s="22" t="str">
        <f aca="false">IF($A610="","",$G610*AySayisi)</f>
        <v/>
      </c>
    </row>
    <row r="611" customFormat="false" ht="15" hidden="false" customHeight="false" outlineLevel="0" collapsed="false">
      <c r="A611" s="19"/>
      <c r="B611" s="22" t="str">
        <f aca="false">IF($A611="","",IFERROR(INDEX(tblCalisan[Brüt Ücret (₺)],MATCH($A611,tblCalisan[Çalışan Adı],0)),""))</f>
        <v/>
      </c>
      <c r="C611" s="22" t="str">
        <f aca="false">IF($A611="","",$B611*IsverenPayiOrani)</f>
        <v/>
      </c>
      <c r="D611" s="22" t="str">
        <f aca="false">IF($A611="","",$B611*IssizlikOrani)</f>
        <v/>
      </c>
      <c r="E611" s="22" t="str">
        <f aca="false">IF($A611="","",$B611*KidemKarsilikOrani)</f>
        <v/>
      </c>
      <c r="F611" s="20"/>
      <c r="G611" s="22" t="str">
        <f aca="false">IF($A611="","",$B611+$C611+$D611+$E611+$F611)</f>
        <v/>
      </c>
      <c r="H611" s="22" t="str">
        <f aca="false">IF($A611="","",$G611*AySayisi)</f>
        <v/>
      </c>
    </row>
    <row r="612" customFormat="false" ht="15" hidden="false" customHeight="false" outlineLevel="0" collapsed="false">
      <c r="A612" s="19"/>
      <c r="B612" s="22" t="str">
        <f aca="false">IF($A612="","",IFERROR(INDEX(tblCalisan[Brüt Ücret (₺)],MATCH($A612,tblCalisan[Çalışan Adı],0)),""))</f>
        <v/>
      </c>
      <c r="C612" s="22" t="str">
        <f aca="false">IF($A612="","",$B612*IsverenPayiOrani)</f>
        <v/>
      </c>
      <c r="D612" s="22" t="str">
        <f aca="false">IF($A612="","",$B612*IssizlikOrani)</f>
        <v/>
      </c>
      <c r="E612" s="22" t="str">
        <f aca="false">IF($A612="","",$B612*KidemKarsilikOrani)</f>
        <v/>
      </c>
      <c r="F612" s="20"/>
      <c r="G612" s="22" t="str">
        <f aca="false">IF($A612="","",$B612+$C612+$D612+$E612+$F612)</f>
        <v/>
      </c>
      <c r="H612" s="22" t="str">
        <f aca="false">IF($A612="","",$G612*AySayisi)</f>
        <v/>
      </c>
    </row>
    <row r="613" customFormat="false" ht="15" hidden="false" customHeight="false" outlineLevel="0" collapsed="false">
      <c r="A613" s="19"/>
      <c r="B613" s="22" t="str">
        <f aca="false">IF($A613="","",IFERROR(INDEX(tblCalisan[Brüt Ücret (₺)],MATCH($A613,tblCalisan[Çalışan Adı],0)),""))</f>
        <v/>
      </c>
      <c r="C613" s="22" t="str">
        <f aca="false">IF($A613="","",$B613*IsverenPayiOrani)</f>
        <v/>
      </c>
      <c r="D613" s="22" t="str">
        <f aca="false">IF($A613="","",$B613*IssizlikOrani)</f>
        <v/>
      </c>
      <c r="E613" s="22" t="str">
        <f aca="false">IF($A613="","",$B613*KidemKarsilikOrani)</f>
        <v/>
      </c>
      <c r="F613" s="20"/>
      <c r="G613" s="22" t="str">
        <f aca="false">IF($A613="","",$B613+$C613+$D613+$E613+$F613)</f>
        <v/>
      </c>
      <c r="H613" s="22" t="str">
        <f aca="false">IF($A613="","",$G613*AySayisi)</f>
        <v/>
      </c>
    </row>
    <row r="614" customFormat="false" ht="15" hidden="false" customHeight="false" outlineLevel="0" collapsed="false">
      <c r="A614" s="19"/>
      <c r="B614" s="22" t="str">
        <f aca="false">IF($A614="","",IFERROR(INDEX(tblCalisan[Brüt Ücret (₺)],MATCH($A614,tblCalisan[Çalışan Adı],0)),""))</f>
        <v/>
      </c>
      <c r="C614" s="22" t="str">
        <f aca="false">IF($A614="","",$B614*IsverenPayiOrani)</f>
        <v/>
      </c>
      <c r="D614" s="22" t="str">
        <f aca="false">IF($A614="","",$B614*IssizlikOrani)</f>
        <v/>
      </c>
      <c r="E614" s="22" t="str">
        <f aca="false">IF($A614="","",$B614*KidemKarsilikOrani)</f>
        <v/>
      </c>
      <c r="F614" s="20"/>
      <c r="G614" s="22" t="str">
        <f aca="false">IF($A614="","",$B614+$C614+$D614+$E614+$F614)</f>
        <v/>
      </c>
      <c r="H614" s="22" t="str">
        <f aca="false">IF($A614="","",$G614*AySayisi)</f>
        <v/>
      </c>
    </row>
    <row r="615" customFormat="false" ht="15" hidden="false" customHeight="false" outlineLevel="0" collapsed="false">
      <c r="A615" s="19"/>
      <c r="B615" s="22" t="str">
        <f aca="false">IF($A615="","",IFERROR(INDEX(tblCalisan[Brüt Ücret (₺)],MATCH($A615,tblCalisan[Çalışan Adı],0)),""))</f>
        <v/>
      </c>
      <c r="C615" s="22" t="str">
        <f aca="false">IF($A615="","",$B615*IsverenPayiOrani)</f>
        <v/>
      </c>
      <c r="D615" s="22" t="str">
        <f aca="false">IF($A615="","",$B615*IssizlikOrani)</f>
        <v/>
      </c>
      <c r="E615" s="22" t="str">
        <f aca="false">IF($A615="","",$B615*KidemKarsilikOrani)</f>
        <v/>
      </c>
      <c r="F615" s="20"/>
      <c r="G615" s="22" t="str">
        <f aca="false">IF($A615="","",$B615+$C615+$D615+$E615+$F615)</f>
        <v/>
      </c>
      <c r="H615" s="22" t="str">
        <f aca="false">IF($A615="","",$G615*AySayisi)</f>
        <v/>
      </c>
    </row>
    <row r="616" customFormat="false" ht="15" hidden="false" customHeight="false" outlineLevel="0" collapsed="false">
      <c r="A616" s="19"/>
      <c r="B616" s="22" t="str">
        <f aca="false">IF($A616="","",IFERROR(INDEX(tblCalisan[Brüt Ücret (₺)],MATCH($A616,tblCalisan[Çalışan Adı],0)),""))</f>
        <v/>
      </c>
      <c r="C616" s="22" t="str">
        <f aca="false">IF($A616="","",$B616*IsverenPayiOrani)</f>
        <v/>
      </c>
      <c r="D616" s="22" t="str">
        <f aca="false">IF($A616="","",$B616*IssizlikOrani)</f>
        <v/>
      </c>
      <c r="E616" s="22" t="str">
        <f aca="false">IF($A616="","",$B616*KidemKarsilikOrani)</f>
        <v/>
      </c>
      <c r="F616" s="20"/>
      <c r="G616" s="22" t="str">
        <f aca="false">IF($A616="","",$B616+$C616+$D616+$E616+$F616)</f>
        <v/>
      </c>
      <c r="H616" s="22" t="str">
        <f aca="false">IF($A616="","",$G616*AySayisi)</f>
        <v/>
      </c>
    </row>
    <row r="617" customFormat="false" ht="15" hidden="false" customHeight="false" outlineLevel="0" collapsed="false">
      <c r="A617" s="19"/>
      <c r="B617" s="22" t="str">
        <f aca="false">IF($A617="","",IFERROR(INDEX(tblCalisan[Brüt Ücret (₺)],MATCH($A617,tblCalisan[Çalışan Adı],0)),""))</f>
        <v/>
      </c>
      <c r="C617" s="22" t="str">
        <f aca="false">IF($A617="","",$B617*IsverenPayiOrani)</f>
        <v/>
      </c>
      <c r="D617" s="22" t="str">
        <f aca="false">IF($A617="","",$B617*IssizlikOrani)</f>
        <v/>
      </c>
      <c r="E617" s="22" t="str">
        <f aca="false">IF($A617="","",$B617*KidemKarsilikOrani)</f>
        <v/>
      </c>
      <c r="F617" s="20"/>
      <c r="G617" s="22" t="str">
        <f aca="false">IF($A617="","",$B617+$C617+$D617+$E617+$F617)</f>
        <v/>
      </c>
      <c r="H617" s="22" t="str">
        <f aca="false">IF($A617="","",$G617*AySayisi)</f>
        <v/>
      </c>
    </row>
    <row r="618" customFormat="false" ht="15" hidden="false" customHeight="false" outlineLevel="0" collapsed="false">
      <c r="A618" s="19"/>
      <c r="B618" s="22" t="str">
        <f aca="false">IF($A618="","",IFERROR(INDEX(tblCalisan[Brüt Ücret (₺)],MATCH($A618,tblCalisan[Çalışan Adı],0)),""))</f>
        <v/>
      </c>
      <c r="C618" s="22" t="str">
        <f aca="false">IF($A618="","",$B618*IsverenPayiOrani)</f>
        <v/>
      </c>
      <c r="D618" s="22" t="str">
        <f aca="false">IF($A618="","",$B618*IssizlikOrani)</f>
        <v/>
      </c>
      <c r="E618" s="22" t="str">
        <f aca="false">IF($A618="","",$B618*KidemKarsilikOrani)</f>
        <v/>
      </c>
      <c r="F618" s="20"/>
      <c r="G618" s="22" t="str">
        <f aca="false">IF($A618="","",$B618+$C618+$D618+$E618+$F618)</f>
        <v/>
      </c>
      <c r="H618" s="22" t="str">
        <f aca="false">IF($A618="","",$G618*AySayisi)</f>
        <v/>
      </c>
    </row>
    <row r="619" customFormat="false" ht="15" hidden="false" customHeight="false" outlineLevel="0" collapsed="false">
      <c r="A619" s="19"/>
      <c r="B619" s="22" t="str">
        <f aca="false">IF($A619="","",IFERROR(INDEX(tblCalisan[Brüt Ücret (₺)],MATCH($A619,tblCalisan[Çalışan Adı],0)),""))</f>
        <v/>
      </c>
      <c r="C619" s="22" t="str">
        <f aca="false">IF($A619="","",$B619*IsverenPayiOrani)</f>
        <v/>
      </c>
      <c r="D619" s="22" t="str">
        <f aca="false">IF($A619="","",$B619*IssizlikOrani)</f>
        <v/>
      </c>
      <c r="E619" s="22" t="str">
        <f aca="false">IF($A619="","",$B619*KidemKarsilikOrani)</f>
        <v/>
      </c>
      <c r="F619" s="20"/>
      <c r="G619" s="22" t="str">
        <f aca="false">IF($A619="","",$B619+$C619+$D619+$E619+$F619)</f>
        <v/>
      </c>
      <c r="H619" s="22" t="str">
        <f aca="false">IF($A619="","",$G619*AySayisi)</f>
        <v/>
      </c>
    </row>
    <row r="620" customFormat="false" ht="15" hidden="false" customHeight="false" outlineLevel="0" collapsed="false">
      <c r="A620" s="19"/>
      <c r="B620" s="22" t="str">
        <f aca="false">IF($A620="","",IFERROR(INDEX(tblCalisan[Brüt Ücret (₺)],MATCH($A620,tblCalisan[Çalışan Adı],0)),""))</f>
        <v/>
      </c>
      <c r="C620" s="22" t="str">
        <f aca="false">IF($A620="","",$B620*IsverenPayiOrani)</f>
        <v/>
      </c>
      <c r="D620" s="22" t="str">
        <f aca="false">IF($A620="","",$B620*IssizlikOrani)</f>
        <v/>
      </c>
      <c r="E620" s="22" t="str">
        <f aca="false">IF($A620="","",$B620*KidemKarsilikOrani)</f>
        <v/>
      </c>
      <c r="F620" s="20"/>
      <c r="G620" s="22" t="str">
        <f aca="false">IF($A620="","",$B620+$C620+$D620+$E620+$F620)</f>
        <v/>
      </c>
      <c r="H620" s="22" t="str">
        <f aca="false">IF($A620="","",$G620*AySayisi)</f>
        <v/>
      </c>
    </row>
    <row r="621" customFormat="false" ht="15" hidden="false" customHeight="false" outlineLevel="0" collapsed="false">
      <c r="A621" s="19"/>
      <c r="B621" s="22" t="str">
        <f aca="false">IF($A621="","",IFERROR(INDEX(tblCalisan[Brüt Ücret (₺)],MATCH($A621,tblCalisan[Çalışan Adı],0)),""))</f>
        <v/>
      </c>
      <c r="C621" s="22" t="str">
        <f aca="false">IF($A621="","",$B621*IsverenPayiOrani)</f>
        <v/>
      </c>
      <c r="D621" s="22" t="str">
        <f aca="false">IF($A621="","",$B621*IssizlikOrani)</f>
        <v/>
      </c>
      <c r="E621" s="22" t="str">
        <f aca="false">IF($A621="","",$B621*KidemKarsilikOrani)</f>
        <v/>
      </c>
      <c r="F621" s="20"/>
      <c r="G621" s="22" t="str">
        <f aca="false">IF($A621="","",$B621+$C621+$D621+$E621+$F621)</f>
        <v/>
      </c>
      <c r="H621" s="22" t="str">
        <f aca="false">IF($A621="","",$G621*AySayisi)</f>
        <v/>
      </c>
    </row>
    <row r="622" customFormat="false" ht="15" hidden="false" customHeight="false" outlineLevel="0" collapsed="false">
      <c r="A622" s="19"/>
      <c r="B622" s="22" t="str">
        <f aca="false">IF($A622="","",IFERROR(INDEX(tblCalisan[Brüt Ücret (₺)],MATCH($A622,tblCalisan[Çalışan Adı],0)),""))</f>
        <v/>
      </c>
      <c r="C622" s="22" t="str">
        <f aca="false">IF($A622="","",$B622*IsverenPayiOrani)</f>
        <v/>
      </c>
      <c r="D622" s="22" t="str">
        <f aca="false">IF($A622="","",$B622*IssizlikOrani)</f>
        <v/>
      </c>
      <c r="E622" s="22" t="str">
        <f aca="false">IF($A622="","",$B622*KidemKarsilikOrani)</f>
        <v/>
      </c>
      <c r="F622" s="20"/>
      <c r="G622" s="22" t="str">
        <f aca="false">IF($A622="","",$B622+$C622+$D622+$E622+$F622)</f>
        <v/>
      </c>
      <c r="H622" s="22" t="str">
        <f aca="false">IF($A622="","",$G622*AySayisi)</f>
        <v/>
      </c>
    </row>
    <row r="623" customFormat="false" ht="15" hidden="false" customHeight="false" outlineLevel="0" collapsed="false">
      <c r="A623" s="19"/>
      <c r="B623" s="22" t="str">
        <f aca="false">IF($A623="","",IFERROR(INDEX(tblCalisan[Brüt Ücret (₺)],MATCH($A623,tblCalisan[Çalışan Adı],0)),""))</f>
        <v/>
      </c>
      <c r="C623" s="22" t="str">
        <f aca="false">IF($A623="","",$B623*IsverenPayiOrani)</f>
        <v/>
      </c>
      <c r="D623" s="22" t="str">
        <f aca="false">IF($A623="","",$B623*IssizlikOrani)</f>
        <v/>
      </c>
      <c r="E623" s="22" t="str">
        <f aca="false">IF($A623="","",$B623*KidemKarsilikOrani)</f>
        <v/>
      </c>
      <c r="F623" s="20"/>
      <c r="G623" s="22" t="str">
        <f aca="false">IF($A623="","",$B623+$C623+$D623+$E623+$F623)</f>
        <v/>
      </c>
      <c r="H623" s="22" t="str">
        <f aca="false">IF($A623="","",$G623*AySayisi)</f>
        <v/>
      </c>
    </row>
    <row r="624" customFormat="false" ht="15" hidden="false" customHeight="false" outlineLevel="0" collapsed="false">
      <c r="A624" s="19"/>
      <c r="B624" s="22" t="str">
        <f aca="false">IF($A624="","",IFERROR(INDEX(tblCalisan[Brüt Ücret (₺)],MATCH($A624,tblCalisan[Çalışan Adı],0)),""))</f>
        <v/>
      </c>
      <c r="C624" s="22" t="str">
        <f aca="false">IF($A624="","",$B624*IsverenPayiOrani)</f>
        <v/>
      </c>
      <c r="D624" s="22" t="str">
        <f aca="false">IF($A624="","",$B624*IssizlikOrani)</f>
        <v/>
      </c>
      <c r="E624" s="22" t="str">
        <f aca="false">IF($A624="","",$B624*KidemKarsilikOrani)</f>
        <v/>
      </c>
      <c r="F624" s="20"/>
      <c r="G624" s="22" t="str">
        <f aca="false">IF($A624="","",$B624+$C624+$D624+$E624+$F624)</f>
        <v/>
      </c>
      <c r="H624" s="22" t="str">
        <f aca="false">IF($A624="","",$G624*AySayisi)</f>
        <v/>
      </c>
    </row>
    <row r="625" customFormat="false" ht="15" hidden="false" customHeight="false" outlineLevel="0" collapsed="false">
      <c r="A625" s="19"/>
      <c r="B625" s="22" t="str">
        <f aca="false">IF($A625="","",IFERROR(INDEX(tblCalisan[Brüt Ücret (₺)],MATCH($A625,tblCalisan[Çalışan Adı],0)),""))</f>
        <v/>
      </c>
      <c r="C625" s="22" t="str">
        <f aca="false">IF($A625="","",$B625*IsverenPayiOrani)</f>
        <v/>
      </c>
      <c r="D625" s="22" t="str">
        <f aca="false">IF($A625="","",$B625*IssizlikOrani)</f>
        <v/>
      </c>
      <c r="E625" s="22" t="str">
        <f aca="false">IF($A625="","",$B625*KidemKarsilikOrani)</f>
        <v/>
      </c>
      <c r="F625" s="20"/>
      <c r="G625" s="22" t="str">
        <f aca="false">IF($A625="","",$B625+$C625+$D625+$E625+$F625)</f>
        <v/>
      </c>
      <c r="H625" s="22" t="str">
        <f aca="false">IF($A625="","",$G625*AySayisi)</f>
        <v/>
      </c>
    </row>
    <row r="626" customFormat="false" ht="15" hidden="false" customHeight="false" outlineLevel="0" collapsed="false">
      <c r="A626" s="19"/>
      <c r="B626" s="22" t="str">
        <f aca="false">IF($A626="","",IFERROR(INDEX(tblCalisan[Brüt Ücret (₺)],MATCH($A626,tblCalisan[Çalışan Adı],0)),""))</f>
        <v/>
      </c>
      <c r="C626" s="22" t="str">
        <f aca="false">IF($A626="","",$B626*IsverenPayiOrani)</f>
        <v/>
      </c>
      <c r="D626" s="22" t="str">
        <f aca="false">IF($A626="","",$B626*IssizlikOrani)</f>
        <v/>
      </c>
      <c r="E626" s="22" t="str">
        <f aca="false">IF($A626="","",$B626*KidemKarsilikOrani)</f>
        <v/>
      </c>
      <c r="F626" s="20"/>
      <c r="G626" s="22" t="str">
        <f aca="false">IF($A626="","",$B626+$C626+$D626+$E626+$F626)</f>
        <v/>
      </c>
      <c r="H626" s="22" t="str">
        <f aca="false">IF($A626="","",$G626*AySayisi)</f>
        <v/>
      </c>
    </row>
    <row r="627" customFormat="false" ht="15" hidden="false" customHeight="false" outlineLevel="0" collapsed="false">
      <c r="A627" s="19"/>
      <c r="B627" s="22" t="str">
        <f aca="false">IF($A627="","",IFERROR(INDEX(tblCalisan[Brüt Ücret (₺)],MATCH($A627,tblCalisan[Çalışan Adı],0)),""))</f>
        <v/>
      </c>
      <c r="C627" s="22" t="str">
        <f aca="false">IF($A627="","",$B627*IsverenPayiOrani)</f>
        <v/>
      </c>
      <c r="D627" s="22" t="str">
        <f aca="false">IF($A627="","",$B627*IssizlikOrani)</f>
        <v/>
      </c>
      <c r="E627" s="22" t="str">
        <f aca="false">IF($A627="","",$B627*KidemKarsilikOrani)</f>
        <v/>
      </c>
      <c r="F627" s="20"/>
      <c r="G627" s="22" t="str">
        <f aca="false">IF($A627="","",$B627+$C627+$D627+$E627+$F627)</f>
        <v/>
      </c>
      <c r="H627" s="22" t="str">
        <f aca="false">IF($A627="","",$G627*AySayisi)</f>
        <v/>
      </c>
    </row>
    <row r="628" customFormat="false" ht="15" hidden="false" customHeight="false" outlineLevel="0" collapsed="false">
      <c r="A628" s="19"/>
      <c r="B628" s="22" t="str">
        <f aca="false">IF($A628="","",IFERROR(INDEX(tblCalisan[Brüt Ücret (₺)],MATCH($A628,tblCalisan[Çalışan Adı],0)),""))</f>
        <v/>
      </c>
      <c r="C628" s="22" t="str">
        <f aca="false">IF($A628="","",$B628*IsverenPayiOrani)</f>
        <v/>
      </c>
      <c r="D628" s="22" t="str">
        <f aca="false">IF($A628="","",$B628*IssizlikOrani)</f>
        <v/>
      </c>
      <c r="E628" s="22" t="str">
        <f aca="false">IF($A628="","",$B628*KidemKarsilikOrani)</f>
        <v/>
      </c>
      <c r="F628" s="20"/>
      <c r="G628" s="22" t="str">
        <f aca="false">IF($A628="","",$B628+$C628+$D628+$E628+$F628)</f>
        <v/>
      </c>
      <c r="H628" s="22" t="str">
        <f aca="false">IF($A628="","",$G628*AySayisi)</f>
        <v/>
      </c>
    </row>
    <row r="629" customFormat="false" ht="15" hidden="false" customHeight="false" outlineLevel="0" collapsed="false">
      <c r="A629" s="19"/>
      <c r="B629" s="22" t="str">
        <f aca="false">IF($A629="","",IFERROR(INDEX(tblCalisan[Brüt Ücret (₺)],MATCH($A629,tblCalisan[Çalışan Adı],0)),""))</f>
        <v/>
      </c>
      <c r="C629" s="22" t="str">
        <f aca="false">IF($A629="","",$B629*IsverenPayiOrani)</f>
        <v/>
      </c>
      <c r="D629" s="22" t="str">
        <f aca="false">IF($A629="","",$B629*IssizlikOrani)</f>
        <v/>
      </c>
      <c r="E629" s="22" t="str">
        <f aca="false">IF($A629="","",$B629*KidemKarsilikOrani)</f>
        <v/>
      </c>
      <c r="F629" s="20"/>
      <c r="G629" s="22" t="str">
        <f aca="false">IF($A629="","",$B629+$C629+$D629+$E629+$F629)</f>
        <v/>
      </c>
      <c r="H629" s="22" t="str">
        <f aca="false">IF($A629="","",$G629*AySayisi)</f>
        <v/>
      </c>
    </row>
    <row r="630" customFormat="false" ht="15" hidden="false" customHeight="false" outlineLevel="0" collapsed="false">
      <c r="A630" s="19"/>
      <c r="B630" s="22" t="str">
        <f aca="false">IF($A630="","",IFERROR(INDEX(tblCalisan[Brüt Ücret (₺)],MATCH($A630,tblCalisan[Çalışan Adı],0)),""))</f>
        <v/>
      </c>
      <c r="C630" s="22" t="str">
        <f aca="false">IF($A630="","",$B630*IsverenPayiOrani)</f>
        <v/>
      </c>
      <c r="D630" s="22" t="str">
        <f aca="false">IF($A630="","",$B630*IssizlikOrani)</f>
        <v/>
      </c>
      <c r="E630" s="22" t="str">
        <f aca="false">IF($A630="","",$B630*KidemKarsilikOrani)</f>
        <v/>
      </c>
      <c r="F630" s="20"/>
      <c r="G630" s="22" t="str">
        <f aca="false">IF($A630="","",$B630+$C630+$D630+$E630+$F630)</f>
        <v/>
      </c>
      <c r="H630" s="22" t="str">
        <f aca="false">IF($A630="","",$G630*AySayisi)</f>
        <v/>
      </c>
    </row>
    <row r="631" customFormat="false" ht="15" hidden="false" customHeight="false" outlineLevel="0" collapsed="false">
      <c r="A631" s="19"/>
      <c r="B631" s="22" t="str">
        <f aca="false">IF($A631="","",IFERROR(INDEX(tblCalisan[Brüt Ücret (₺)],MATCH($A631,tblCalisan[Çalışan Adı],0)),""))</f>
        <v/>
      </c>
      <c r="C631" s="22" t="str">
        <f aca="false">IF($A631="","",$B631*IsverenPayiOrani)</f>
        <v/>
      </c>
      <c r="D631" s="22" t="str">
        <f aca="false">IF($A631="","",$B631*IssizlikOrani)</f>
        <v/>
      </c>
      <c r="E631" s="22" t="str">
        <f aca="false">IF($A631="","",$B631*KidemKarsilikOrani)</f>
        <v/>
      </c>
      <c r="F631" s="20"/>
      <c r="G631" s="22" t="str">
        <f aca="false">IF($A631="","",$B631+$C631+$D631+$E631+$F631)</f>
        <v/>
      </c>
      <c r="H631" s="22" t="str">
        <f aca="false">IF($A631="","",$G631*AySayisi)</f>
        <v/>
      </c>
    </row>
    <row r="632" customFormat="false" ht="15" hidden="false" customHeight="false" outlineLevel="0" collapsed="false">
      <c r="A632" s="19"/>
      <c r="B632" s="22" t="str">
        <f aca="false">IF($A632="","",IFERROR(INDEX(tblCalisan[Brüt Ücret (₺)],MATCH($A632,tblCalisan[Çalışan Adı],0)),""))</f>
        <v/>
      </c>
      <c r="C632" s="22" t="str">
        <f aca="false">IF($A632="","",$B632*IsverenPayiOrani)</f>
        <v/>
      </c>
      <c r="D632" s="22" t="str">
        <f aca="false">IF($A632="","",$B632*IssizlikOrani)</f>
        <v/>
      </c>
      <c r="E632" s="22" t="str">
        <f aca="false">IF($A632="","",$B632*KidemKarsilikOrani)</f>
        <v/>
      </c>
      <c r="F632" s="20"/>
      <c r="G632" s="22" t="str">
        <f aca="false">IF($A632="","",$B632+$C632+$D632+$E632+$F632)</f>
        <v/>
      </c>
      <c r="H632" s="22" t="str">
        <f aca="false">IF($A632="","",$G632*AySayisi)</f>
        <v/>
      </c>
    </row>
    <row r="633" customFormat="false" ht="15" hidden="false" customHeight="false" outlineLevel="0" collapsed="false">
      <c r="A633" s="19"/>
      <c r="B633" s="22" t="str">
        <f aca="false">IF($A633="","",IFERROR(INDEX(tblCalisan[Brüt Ücret (₺)],MATCH($A633,tblCalisan[Çalışan Adı],0)),""))</f>
        <v/>
      </c>
      <c r="C633" s="22" t="str">
        <f aca="false">IF($A633="","",$B633*IsverenPayiOrani)</f>
        <v/>
      </c>
      <c r="D633" s="22" t="str">
        <f aca="false">IF($A633="","",$B633*IssizlikOrani)</f>
        <v/>
      </c>
      <c r="E633" s="22" t="str">
        <f aca="false">IF($A633="","",$B633*KidemKarsilikOrani)</f>
        <v/>
      </c>
      <c r="F633" s="20"/>
      <c r="G633" s="22" t="str">
        <f aca="false">IF($A633="","",$B633+$C633+$D633+$E633+$F633)</f>
        <v/>
      </c>
      <c r="H633" s="22" t="str">
        <f aca="false">IF($A633="","",$G633*AySayisi)</f>
        <v/>
      </c>
    </row>
    <row r="634" customFormat="false" ht="15" hidden="false" customHeight="false" outlineLevel="0" collapsed="false">
      <c r="A634" s="19"/>
      <c r="B634" s="22" t="str">
        <f aca="false">IF($A634="","",IFERROR(INDEX(tblCalisan[Brüt Ücret (₺)],MATCH($A634,tblCalisan[Çalışan Adı],0)),""))</f>
        <v/>
      </c>
      <c r="C634" s="22" t="str">
        <f aca="false">IF($A634="","",$B634*IsverenPayiOrani)</f>
        <v/>
      </c>
      <c r="D634" s="22" t="str">
        <f aca="false">IF($A634="","",$B634*IssizlikOrani)</f>
        <v/>
      </c>
      <c r="E634" s="22" t="str">
        <f aca="false">IF($A634="","",$B634*KidemKarsilikOrani)</f>
        <v/>
      </c>
      <c r="F634" s="20"/>
      <c r="G634" s="22" t="str">
        <f aca="false">IF($A634="","",$B634+$C634+$D634+$E634+$F634)</f>
        <v/>
      </c>
      <c r="H634" s="22" t="str">
        <f aca="false">IF($A634="","",$G634*AySayisi)</f>
        <v/>
      </c>
    </row>
    <row r="635" customFormat="false" ht="15" hidden="false" customHeight="false" outlineLevel="0" collapsed="false">
      <c r="A635" s="19"/>
      <c r="B635" s="22" t="str">
        <f aca="false">IF($A635="","",IFERROR(INDEX(tblCalisan[Brüt Ücret (₺)],MATCH($A635,tblCalisan[Çalışan Adı],0)),""))</f>
        <v/>
      </c>
      <c r="C635" s="22" t="str">
        <f aca="false">IF($A635="","",$B635*IsverenPayiOrani)</f>
        <v/>
      </c>
      <c r="D635" s="22" t="str">
        <f aca="false">IF($A635="","",$B635*IssizlikOrani)</f>
        <v/>
      </c>
      <c r="E635" s="22" t="str">
        <f aca="false">IF($A635="","",$B635*KidemKarsilikOrani)</f>
        <v/>
      </c>
      <c r="F635" s="20"/>
      <c r="G635" s="22" t="str">
        <f aca="false">IF($A635="","",$B635+$C635+$D635+$E635+$F635)</f>
        <v/>
      </c>
      <c r="H635" s="22" t="str">
        <f aca="false">IF($A635="","",$G635*AySayisi)</f>
        <v/>
      </c>
    </row>
    <row r="636" customFormat="false" ht="15" hidden="false" customHeight="false" outlineLevel="0" collapsed="false">
      <c r="A636" s="19"/>
      <c r="B636" s="22" t="str">
        <f aca="false">IF($A636="","",IFERROR(INDEX(tblCalisan[Brüt Ücret (₺)],MATCH($A636,tblCalisan[Çalışan Adı],0)),""))</f>
        <v/>
      </c>
      <c r="C636" s="22" t="str">
        <f aca="false">IF($A636="","",$B636*IsverenPayiOrani)</f>
        <v/>
      </c>
      <c r="D636" s="22" t="str">
        <f aca="false">IF($A636="","",$B636*IssizlikOrani)</f>
        <v/>
      </c>
      <c r="E636" s="22" t="str">
        <f aca="false">IF($A636="","",$B636*KidemKarsilikOrani)</f>
        <v/>
      </c>
      <c r="F636" s="20"/>
      <c r="G636" s="22" t="str">
        <f aca="false">IF($A636="","",$B636+$C636+$D636+$E636+$F636)</f>
        <v/>
      </c>
      <c r="H636" s="22" t="str">
        <f aca="false">IF($A636="","",$G636*AySayisi)</f>
        <v/>
      </c>
    </row>
    <row r="637" customFormat="false" ht="15" hidden="false" customHeight="false" outlineLevel="0" collapsed="false">
      <c r="A637" s="19"/>
      <c r="B637" s="22" t="str">
        <f aca="false">IF($A637="","",IFERROR(INDEX(tblCalisan[Brüt Ücret (₺)],MATCH($A637,tblCalisan[Çalışan Adı],0)),""))</f>
        <v/>
      </c>
      <c r="C637" s="22" t="str">
        <f aca="false">IF($A637="","",$B637*IsverenPayiOrani)</f>
        <v/>
      </c>
      <c r="D637" s="22" t="str">
        <f aca="false">IF($A637="","",$B637*IssizlikOrani)</f>
        <v/>
      </c>
      <c r="E637" s="22" t="str">
        <f aca="false">IF($A637="","",$B637*KidemKarsilikOrani)</f>
        <v/>
      </c>
      <c r="F637" s="20"/>
      <c r="G637" s="22" t="str">
        <f aca="false">IF($A637="","",$B637+$C637+$D637+$E637+$F637)</f>
        <v/>
      </c>
      <c r="H637" s="22" t="str">
        <f aca="false">IF($A637="","",$G637*AySayisi)</f>
        <v/>
      </c>
    </row>
    <row r="638" customFormat="false" ht="15" hidden="false" customHeight="false" outlineLevel="0" collapsed="false">
      <c r="A638" s="19"/>
      <c r="B638" s="22" t="str">
        <f aca="false">IF($A638="","",IFERROR(INDEX(tblCalisan[Brüt Ücret (₺)],MATCH($A638,tblCalisan[Çalışan Adı],0)),""))</f>
        <v/>
      </c>
      <c r="C638" s="22" t="str">
        <f aca="false">IF($A638="","",$B638*IsverenPayiOrani)</f>
        <v/>
      </c>
      <c r="D638" s="22" t="str">
        <f aca="false">IF($A638="","",$B638*IssizlikOrani)</f>
        <v/>
      </c>
      <c r="E638" s="22" t="str">
        <f aca="false">IF($A638="","",$B638*KidemKarsilikOrani)</f>
        <v/>
      </c>
      <c r="F638" s="20"/>
      <c r="G638" s="22" t="str">
        <f aca="false">IF($A638="","",$B638+$C638+$D638+$E638+$F638)</f>
        <v/>
      </c>
      <c r="H638" s="22" t="str">
        <f aca="false">IF($A638="","",$G638*AySayisi)</f>
        <v/>
      </c>
    </row>
    <row r="639" customFormat="false" ht="15" hidden="false" customHeight="false" outlineLevel="0" collapsed="false">
      <c r="A639" s="19"/>
      <c r="B639" s="22" t="str">
        <f aca="false">IF($A639="","",IFERROR(INDEX(tblCalisan[Brüt Ücret (₺)],MATCH($A639,tblCalisan[Çalışan Adı],0)),""))</f>
        <v/>
      </c>
      <c r="C639" s="22" t="str">
        <f aca="false">IF($A639="","",$B639*IsverenPayiOrani)</f>
        <v/>
      </c>
      <c r="D639" s="22" t="str">
        <f aca="false">IF($A639="","",$B639*IssizlikOrani)</f>
        <v/>
      </c>
      <c r="E639" s="22" t="str">
        <f aca="false">IF($A639="","",$B639*KidemKarsilikOrani)</f>
        <v/>
      </c>
      <c r="F639" s="20"/>
      <c r="G639" s="22" t="str">
        <f aca="false">IF($A639="","",$B639+$C639+$D639+$E639+$F639)</f>
        <v/>
      </c>
      <c r="H639" s="22" t="str">
        <f aca="false">IF($A639="","",$G639*AySayisi)</f>
        <v/>
      </c>
    </row>
    <row r="640" customFormat="false" ht="15" hidden="false" customHeight="false" outlineLevel="0" collapsed="false">
      <c r="A640" s="19"/>
      <c r="B640" s="22" t="str">
        <f aca="false">IF($A640="","",IFERROR(INDEX(tblCalisan[Brüt Ücret (₺)],MATCH($A640,tblCalisan[Çalışan Adı],0)),""))</f>
        <v/>
      </c>
      <c r="C640" s="22" t="str">
        <f aca="false">IF($A640="","",$B640*IsverenPayiOrani)</f>
        <v/>
      </c>
      <c r="D640" s="22" t="str">
        <f aca="false">IF($A640="","",$B640*IssizlikOrani)</f>
        <v/>
      </c>
      <c r="E640" s="22" t="str">
        <f aca="false">IF($A640="","",$B640*KidemKarsilikOrani)</f>
        <v/>
      </c>
      <c r="F640" s="20"/>
      <c r="G640" s="22" t="str">
        <f aca="false">IF($A640="","",$B640+$C640+$D640+$E640+$F640)</f>
        <v/>
      </c>
      <c r="H640" s="22" t="str">
        <f aca="false">IF($A640="","",$G640*AySayisi)</f>
        <v/>
      </c>
    </row>
    <row r="641" customFormat="false" ht="15" hidden="false" customHeight="false" outlineLevel="0" collapsed="false">
      <c r="A641" s="19"/>
      <c r="B641" s="22" t="str">
        <f aca="false">IF($A641="","",IFERROR(INDEX(tblCalisan[Brüt Ücret (₺)],MATCH($A641,tblCalisan[Çalışan Adı],0)),""))</f>
        <v/>
      </c>
      <c r="C641" s="22" t="str">
        <f aca="false">IF($A641="","",$B641*IsverenPayiOrani)</f>
        <v/>
      </c>
      <c r="D641" s="22" t="str">
        <f aca="false">IF($A641="","",$B641*IssizlikOrani)</f>
        <v/>
      </c>
      <c r="E641" s="22" t="str">
        <f aca="false">IF($A641="","",$B641*KidemKarsilikOrani)</f>
        <v/>
      </c>
      <c r="F641" s="20"/>
      <c r="G641" s="22" t="str">
        <f aca="false">IF($A641="","",$B641+$C641+$D641+$E641+$F641)</f>
        <v/>
      </c>
      <c r="H641" s="22" t="str">
        <f aca="false">IF($A641="","",$G641*AySayisi)</f>
        <v/>
      </c>
    </row>
    <row r="642" customFormat="false" ht="15" hidden="false" customHeight="false" outlineLevel="0" collapsed="false">
      <c r="A642" s="19"/>
      <c r="B642" s="22" t="str">
        <f aca="false">IF($A642="","",IFERROR(INDEX(tblCalisan[Brüt Ücret (₺)],MATCH($A642,tblCalisan[Çalışan Adı],0)),""))</f>
        <v/>
      </c>
      <c r="C642" s="22" t="str">
        <f aca="false">IF($A642="","",$B642*IsverenPayiOrani)</f>
        <v/>
      </c>
      <c r="D642" s="22" t="str">
        <f aca="false">IF($A642="","",$B642*IssizlikOrani)</f>
        <v/>
      </c>
      <c r="E642" s="22" t="str">
        <f aca="false">IF($A642="","",$B642*KidemKarsilikOrani)</f>
        <v/>
      </c>
      <c r="F642" s="20"/>
      <c r="G642" s="22" t="str">
        <f aca="false">IF($A642="","",$B642+$C642+$D642+$E642+$F642)</f>
        <v/>
      </c>
      <c r="H642" s="22" t="str">
        <f aca="false">IF($A642="","",$G642*AySayisi)</f>
        <v/>
      </c>
    </row>
    <row r="643" customFormat="false" ht="15" hidden="false" customHeight="false" outlineLevel="0" collapsed="false">
      <c r="A643" s="19"/>
      <c r="B643" s="22" t="str">
        <f aca="false">IF($A643="","",IFERROR(INDEX(tblCalisan[Brüt Ücret (₺)],MATCH($A643,tblCalisan[Çalışan Adı],0)),""))</f>
        <v/>
      </c>
      <c r="C643" s="22" t="str">
        <f aca="false">IF($A643="","",$B643*IsverenPayiOrani)</f>
        <v/>
      </c>
      <c r="D643" s="22" t="str">
        <f aca="false">IF($A643="","",$B643*IssizlikOrani)</f>
        <v/>
      </c>
      <c r="E643" s="22" t="str">
        <f aca="false">IF($A643="","",$B643*KidemKarsilikOrani)</f>
        <v/>
      </c>
      <c r="F643" s="20"/>
      <c r="G643" s="22" t="str">
        <f aca="false">IF($A643="","",$B643+$C643+$D643+$E643+$F643)</f>
        <v/>
      </c>
      <c r="H643" s="22" t="str">
        <f aca="false">IF($A643="","",$G643*AySayisi)</f>
        <v/>
      </c>
    </row>
    <row r="644" customFormat="false" ht="15" hidden="false" customHeight="false" outlineLevel="0" collapsed="false">
      <c r="A644" s="19"/>
      <c r="B644" s="22" t="str">
        <f aca="false">IF($A644="","",IFERROR(INDEX(tblCalisan[Brüt Ücret (₺)],MATCH($A644,tblCalisan[Çalışan Adı],0)),""))</f>
        <v/>
      </c>
      <c r="C644" s="22" t="str">
        <f aca="false">IF($A644="","",$B644*IsverenPayiOrani)</f>
        <v/>
      </c>
      <c r="D644" s="22" t="str">
        <f aca="false">IF($A644="","",$B644*IssizlikOrani)</f>
        <v/>
      </c>
      <c r="E644" s="22" t="str">
        <f aca="false">IF($A644="","",$B644*KidemKarsilikOrani)</f>
        <v/>
      </c>
      <c r="F644" s="20"/>
      <c r="G644" s="22" t="str">
        <f aca="false">IF($A644="","",$B644+$C644+$D644+$E644+$F644)</f>
        <v/>
      </c>
      <c r="H644" s="22" t="str">
        <f aca="false">IF($A644="","",$G644*AySayisi)</f>
        <v/>
      </c>
    </row>
    <row r="645" customFormat="false" ht="15" hidden="false" customHeight="false" outlineLevel="0" collapsed="false">
      <c r="A645" s="19"/>
      <c r="B645" s="22" t="str">
        <f aca="false">IF($A645="","",IFERROR(INDEX(tblCalisan[Brüt Ücret (₺)],MATCH($A645,tblCalisan[Çalışan Adı],0)),""))</f>
        <v/>
      </c>
      <c r="C645" s="22" t="str">
        <f aca="false">IF($A645="","",$B645*IsverenPayiOrani)</f>
        <v/>
      </c>
      <c r="D645" s="22" t="str">
        <f aca="false">IF($A645="","",$B645*IssizlikOrani)</f>
        <v/>
      </c>
      <c r="E645" s="22" t="str">
        <f aca="false">IF($A645="","",$B645*KidemKarsilikOrani)</f>
        <v/>
      </c>
      <c r="F645" s="20"/>
      <c r="G645" s="22" t="str">
        <f aca="false">IF($A645="","",$B645+$C645+$D645+$E645+$F645)</f>
        <v/>
      </c>
      <c r="H645" s="22" t="str">
        <f aca="false">IF($A645="","",$G645*AySayisi)</f>
        <v/>
      </c>
    </row>
    <row r="646" customFormat="false" ht="15" hidden="false" customHeight="false" outlineLevel="0" collapsed="false">
      <c r="A646" s="19"/>
      <c r="B646" s="22" t="str">
        <f aca="false">IF($A646="","",IFERROR(INDEX(tblCalisan[Brüt Ücret (₺)],MATCH($A646,tblCalisan[Çalışan Adı],0)),""))</f>
        <v/>
      </c>
      <c r="C646" s="22" t="str">
        <f aca="false">IF($A646="","",$B646*IsverenPayiOrani)</f>
        <v/>
      </c>
      <c r="D646" s="22" t="str">
        <f aca="false">IF($A646="","",$B646*IssizlikOrani)</f>
        <v/>
      </c>
      <c r="E646" s="22" t="str">
        <f aca="false">IF($A646="","",$B646*KidemKarsilikOrani)</f>
        <v/>
      </c>
      <c r="F646" s="20"/>
      <c r="G646" s="22" t="str">
        <f aca="false">IF($A646="","",$B646+$C646+$D646+$E646+$F646)</f>
        <v/>
      </c>
      <c r="H646" s="22" t="str">
        <f aca="false">IF($A646="","",$G646*AySayisi)</f>
        <v/>
      </c>
    </row>
    <row r="647" customFormat="false" ht="15" hidden="false" customHeight="false" outlineLevel="0" collapsed="false">
      <c r="A647" s="19"/>
      <c r="B647" s="22" t="str">
        <f aca="false">IF($A647="","",IFERROR(INDEX(tblCalisan[Brüt Ücret (₺)],MATCH($A647,tblCalisan[Çalışan Adı],0)),""))</f>
        <v/>
      </c>
      <c r="C647" s="22" t="str">
        <f aca="false">IF($A647="","",$B647*IsverenPayiOrani)</f>
        <v/>
      </c>
      <c r="D647" s="22" t="str">
        <f aca="false">IF($A647="","",$B647*IssizlikOrani)</f>
        <v/>
      </c>
      <c r="E647" s="22" t="str">
        <f aca="false">IF($A647="","",$B647*KidemKarsilikOrani)</f>
        <v/>
      </c>
      <c r="F647" s="20"/>
      <c r="G647" s="22" t="str">
        <f aca="false">IF($A647="","",$B647+$C647+$D647+$E647+$F647)</f>
        <v/>
      </c>
      <c r="H647" s="22" t="str">
        <f aca="false">IF($A647="","",$G647*AySayisi)</f>
        <v/>
      </c>
    </row>
    <row r="648" customFormat="false" ht="15" hidden="false" customHeight="false" outlineLevel="0" collapsed="false">
      <c r="A648" s="19"/>
      <c r="B648" s="22" t="str">
        <f aca="false">IF($A648="","",IFERROR(INDEX(tblCalisan[Brüt Ücret (₺)],MATCH($A648,tblCalisan[Çalışan Adı],0)),""))</f>
        <v/>
      </c>
      <c r="C648" s="22" t="str">
        <f aca="false">IF($A648="","",$B648*IsverenPayiOrani)</f>
        <v/>
      </c>
      <c r="D648" s="22" t="str">
        <f aca="false">IF($A648="","",$B648*IssizlikOrani)</f>
        <v/>
      </c>
      <c r="E648" s="22" t="str">
        <f aca="false">IF($A648="","",$B648*KidemKarsilikOrani)</f>
        <v/>
      </c>
      <c r="F648" s="20"/>
      <c r="G648" s="22" t="str">
        <f aca="false">IF($A648="","",$B648+$C648+$D648+$E648+$F648)</f>
        <v/>
      </c>
      <c r="H648" s="22" t="str">
        <f aca="false">IF($A648="","",$G648*AySayisi)</f>
        <v/>
      </c>
    </row>
    <row r="649" customFormat="false" ht="15" hidden="false" customHeight="false" outlineLevel="0" collapsed="false">
      <c r="A649" s="19"/>
      <c r="B649" s="22" t="str">
        <f aca="false">IF($A649="","",IFERROR(INDEX(tblCalisan[Brüt Ücret (₺)],MATCH($A649,tblCalisan[Çalışan Adı],0)),""))</f>
        <v/>
      </c>
      <c r="C649" s="22" t="str">
        <f aca="false">IF($A649="","",$B649*IsverenPayiOrani)</f>
        <v/>
      </c>
      <c r="D649" s="22" t="str">
        <f aca="false">IF($A649="","",$B649*IssizlikOrani)</f>
        <v/>
      </c>
      <c r="E649" s="22" t="str">
        <f aca="false">IF($A649="","",$B649*KidemKarsilikOrani)</f>
        <v/>
      </c>
      <c r="F649" s="20"/>
      <c r="G649" s="22" t="str">
        <f aca="false">IF($A649="","",$B649+$C649+$D649+$E649+$F649)</f>
        <v/>
      </c>
      <c r="H649" s="22" t="str">
        <f aca="false">IF($A649="","",$G649*AySayisi)</f>
        <v/>
      </c>
    </row>
    <row r="650" customFormat="false" ht="15" hidden="false" customHeight="false" outlineLevel="0" collapsed="false">
      <c r="A650" s="19"/>
      <c r="B650" s="22" t="str">
        <f aca="false">IF($A650="","",IFERROR(INDEX(tblCalisan[Brüt Ücret (₺)],MATCH($A650,tblCalisan[Çalışan Adı],0)),""))</f>
        <v/>
      </c>
      <c r="C650" s="22" t="str">
        <f aca="false">IF($A650="","",$B650*IsverenPayiOrani)</f>
        <v/>
      </c>
      <c r="D650" s="22" t="str">
        <f aca="false">IF($A650="","",$B650*IssizlikOrani)</f>
        <v/>
      </c>
      <c r="E650" s="22" t="str">
        <f aca="false">IF($A650="","",$B650*KidemKarsilikOrani)</f>
        <v/>
      </c>
      <c r="F650" s="20"/>
      <c r="G650" s="22" t="str">
        <f aca="false">IF($A650="","",$B650+$C650+$D650+$E650+$F650)</f>
        <v/>
      </c>
      <c r="H650" s="22" t="str">
        <f aca="false">IF($A650="","",$G650*AySayisi)</f>
        <v/>
      </c>
    </row>
    <row r="651" customFormat="false" ht="15" hidden="false" customHeight="false" outlineLevel="0" collapsed="false">
      <c r="A651" s="19"/>
      <c r="B651" s="22" t="str">
        <f aca="false">IF($A651="","",IFERROR(INDEX(tblCalisan[Brüt Ücret (₺)],MATCH($A651,tblCalisan[Çalışan Adı],0)),""))</f>
        <v/>
      </c>
      <c r="C651" s="22" t="str">
        <f aca="false">IF($A651="","",$B651*IsverenPayiOrani)</f>
        <v/>
      </c>
      <c r="D651" s="22" t="str">
        <f aca="false">IF($A651="","",$B651*IssizlikOrani)</f>
        <v/>
      </c>
      <c r="E651" s="22" t="str">
        <f aca="false">IF($A651="","",$B651*KidemKarsilikOrani)</f>
        <v/>
      </c>
      <c r="F651" s="20"/>
      <c r="G651" s="22" t="str">
        <f aca="false">IF($A651="","",$B651+$C651+$D651+$E651+$F651)</f>
        <v/>
      </c>
      <c r="H651" s="22" t="str">
        <f aca="false">IF($A651="","",$G651*AySayisi)</f>
        <v/>
      </c>
    </row>
    <row r="652" customFormat="false" ht="15" hidden="false" customHeight="false" outlineLevel="0" collapsed="false">
      <c r="A652" s="19"/>
      <c r="B652" s="22" t="str">
        <f aca="false">IF($A652="","",IFERROR(INDEX(tblCalisan[Brüt Ücret (₺)],MATCH($A652,tblCalisan[Çalışan Adı],0)),""))</f>
        <v/>
      </c>
      <c r="C652" s="22" t="str">
        <f aca="false">IF($A652="","",$B652*IsverenPayiOrani)</f>
        <v/>
      </c>
      <c r="D652" s="22" t="str">
        <f aca="false">IF($A652="","",$B652*IssizlikOrani)</f>
        <v/>
      </c>
      <c r="E652" s="22" t="str">
        <f aca="false">IF($A652="","",$B652*KidemKarsilikOrani)</f>
        <v/>
      </c>
      <c r="F652" s="20"/>
      <c r="G652" s="22" t="str">
        <f aca="false">IF($A652="","",$B652+$C652+$D652+$E652+$F652)</f>
        <v/>
      </c>
      <c r="H652" s="22" t="str">
        <f aca="false">IF($A652="","",$G652*AySayisi)</f>
        <v/>
      </c>
    </row>
    <row r="653" customFormat="false" ht="15" hidden="false" customHeight="false" outlineLevel="0" collapsed="false">
      <c r="A653" s="19"/>
      <c r="B653" s="22" t="str">
        <f aca="false">IF($A653="","",IFERROR(INDEX(tblCalisan[Brüt Ücret (₺)],MATCH($A653,tblCalisan[Çalışan Adı],0)),""))</f>
        <v/>
      </c>
      <c r="C653" s="22" t="str">
        <f aca="false">IF($A653="","",$B653*IsverenPayiOrani)</f>
        <v/>
      </c>
      <c r="D653" s="22" t="str">
        <f aca="false">IF($A653="","",$B653*IssizlikOrani)</f>
        <v/>
      </c>
      <c r="E653" s="22" t="str">
        <f aca="false">IF($A653="","",$B653*KidemKarsilikOrani)</f>
        <v/>
      </c>
      <c r="F653" s="20"/>
      <c r="G653" s="22" t="str">
        <f aca="false">IF($A653="","",$B653+$C653+$D653+$E653+$F653)</f>
        <v/>
      </c>
      <c r="H653" s="22" t="str">
        <f aca="false">IF($A653="","",$G653*AySayisi)</f>
        <v/>
      </c>
    </row>
    <row r="654" customFormat="false" ht="15" hidden="false" customHeight="false" outlineLevel="0" collapsed="false">
      <c r="A654" s="19"/>
      <c r="B654" s="22" t="str">
        <f aca="false">IF($A654="","",IFERROR(INDEX(tblCalisan[Brüt Ücret (₺)],MATCH($A654,tblCalisan[Çalışan Adı],0)),""))</f>
        <v/>
      </c>
      <c r="C654" s="22" t="str">
        <f aca="false">IF($A654="","",$B654*IsverenPayiOrani)</f>
        <v/>
      </c>
      <c r="D654" s="22" t="str">
        <f aca="false">IF($A654="","",$B654*IssizlikOrani)</f>
        <v/>
      </c>
      <c r="E654" s="22" t="str">
        <f aca="false">IF($A654="","",$B654*KidemKarsilikOrani)</f>
        <v/>
      </c>
      <c r="F654" s="20"/>
      <c r="G654" s="22" t="str">
        <f aca="false">IF($A654="","",$B654+$C654+$D654+$E654+$F654)</f>
        <v/>
      </c>
      <c r="H654" s="22" t="str">
        <f aca="false">IF($A654="","",$G654*AySayisi)</f>
        <v/>
      </c>
    </row>
    <row r="655" customFormat="false" ht="15" hidden="false" customHeight="false" outlineLevel="0" collapsed="false">
      <c r="A655" s="19"/>
      <c r="B655" s="22" t="str">
        <f aca="false">IF($A655="","",IFERROR(INDEX(tblCalisan[Brüt Ücret (₺)],MATCH($A655,tblCalisan[Çalışan Adı],0)),""))</f>
        <v/>
      </c>
      <c r="C655" s="22" t="str">
        <f aca="false">IF($A655="","",$B655*IsverenPayiOrani)</f>
        <v/>
      </c>
      <c r="D655" s="22" t="str">
        <f aca="false">IF($A655="","",$B655*IssizlikOrani)</f>
        <v/>
      </c>
      <c r="E655" s="22" t="str">
        <f aca="false">IF($A655="","",$B655*KidemKarsilikOrani)</f>
        <v/>
      </c>
      <c r="F655" s="20"/>
      <c r="G655" s="22" t="str">
        <f aca="false">IF($A655="","",$B655+$C655+$D655+$E655+$F655)</f>
        <v/>
      </c>
      <c r="H655" s="22" t="str">
        <f aca="false">IF($A655="","",$G655*AySayisi)</f>
        <v/>
      </c>
    </row>
    <row r="656" customFormat="false" ht="15" hidden="false" customHeight="false" outlineLevel="0" collapsed="false">
      <c r="A656" s="19"/>
      <c r="B656" s="22" t="str">
        <f aca="false">IF($A656="","",IFERROR(INDEX(tblCalisan[Brüt Ücret (₺)],MATCH($A656,tblCalisan[Çalışan Adı],0)),""))</f>
        <v/>
      </c>
      <c r="C656" s="22" t="str">
        <f aca="false">IF($A656="","",$B656*IsverenPayiOrani)</f>
        <v/>
      </c>
      <c r="D656" s="22" t="str">
        <f aca="false">IF($A656="","",$B656*IssizlikOrani)</f>
        <v/>
      </c>
      <c r="E656" s="22" t="str">
        <f aca="false">IF($A656="","",$B656*KidemKarsilikOrani)</f>
        <v/>
      </c>
      <c r="F656" s="20"/>
      <c r="G656" s="22" t="str">
        <f aca="false">IF($A656="","",$B656+$C656+$D656+$E656+$F656)</f>
        <v/>
      </c>
      <c r="H656" s="22" t="str">
        <f aca="false">IF($A656="","",$G656*AySayisi)</f>
        <v/>
      </c>
    </row>
    <row r="657" customFormat="false" ht="15" hidden="false" customHeight="false" outlineLevel="0" collapsed="false">
      <c r="A657" s="19"/>
      <c r="B657" s="22" t="str">
        <f aca="false">IF($A657="","",IFERROR(INDEX(tblCalisan[Brüt Ücret (₺)],MATCH($A657,tblCalisan[Çalışan Adı],0)),""))</f>
        <v/>
      </c>
      <c r="C657" s="22" t="str">
        <f aca="false">IF($A657="","",$B657*IsverenPayiOrani)</f>
        <v/>
      </c>
      <c r="D657" s="22" t="str">
        <f aca="false">IF($A657="","",$B657*IssizlikOrani)</f>
        <v/>
      </c>
      <c r="E657" s="22" t="str">
        <f aca="false">IF($A657="","",$B657*KidemKarsilikOrani)</f>
        <v/>
      </c>
      <c r="F657" s="20"/>
      <c r="G657" s="22" t="str">
        <f aca="false">IF($A657="","",$B657+$C657+$D657+$E657+$F657)</f>
        <v/>
      </c>
      <c r="H657" s="22" t="str">
        <f aca="false">IF($A657="","",$G657*AySayisi)</f>
        <v/>
      </c>
    </row>
    <row r="658" customFormat="false" ht="15" hidden="false" customHeight="false" outlineLevel="0" collapsed="false">
      <c r="A658" s="19"/>
      <c r="B658" s="22" t="str">
        <f aca="false">IF($A658="","",IFERROR(INDEX(tblCalisan[Brüt Ücret (₺)],MATCH($A658,tblCalisan[Çalışan Adı],0)),""))</f>
        <v/>
      </c>
      <c r="C658" s="22" t="str">
        <f aca="false">IF($A658="","",$B658*IsverenPayiOrani)</f>
        <v/>
      </c>
      <c r="D658" s="22" t="str">
        <f aca="false">IF($A658="","",$B658*IssizlikOrani)</f>
        <v/>
      </c>
      <c r="E658" s="22" t="str">
        <f aca="false">IF($A658="","",$B658*KidemKarsilikOrani)</f>
        <v/>
      </c>
      <c r="F658" s="20"/>
      <c r="G658" s="22" t="str">
        <f aca="false">IF($A658="","",$B658+$C658+$D658+$E658+$F658)</f>
        <v/>
      </c>
      <c r="H658" s="22" t="str">
        <f aca="false">IF($A658="","",$G658*AySayisi)</f>
        <v/>
      </c>
    </row>
    <row r="659" customFormat="false" ht="15" hidden="false" customHeight="false" outlineLevel="0" collapsed="false">
      <c r="A659" s="19"/>
      <c r="B659" s="22" t="str">
        <f aca="false">IF($A659="","",IFERROR(INDEX(tblCalisan[Brüt Ücret (₺)],MATCH($A659,tblCalisan[Çalışan Adı],0)),""))</f>
        <v/>
      </c>
      <c r="C659" s="22" t="str">
        <f aca="false">IF($A659="","",$B659*IsverenPayiOrani)</f>
        <v/>
      </c>
      <c r="D659" s="22" t="str">
        <f aca="false">IF($A659="","",$B659*IssizlikOrani)</f>
        <v/>
      </c>
      <c r="E659" s="22" t="str">
        <f aca="false">IF($A659="","",$B659*KidemKarsilikOrani)</f>
        <v/>
      </c>
      <c r="F659" s="20"/>
      <c r="G659" s="22" t="str">
        <f aca="false">IF($A659="","",$B659+$C659+$D659+$E659+$F659)</f>
        <v/>
      </c>
      <c r="H659" s="22" t="str">
        <f aca="false">IF($A659="","",$G659*AySayisi)</f>
        <v/>
      </c>
    </row>
    <row r="660" customFormat="false" ht="15" hidden="false" customHeight="false" outlineLevel="0" collapsed="false">
      <c r="A660" s="19"/>
      <c r="B660" s="22" t="str">
        <f aca="false">IF($A660="","",IFERROR(INDEX(tblCalisan[Brüt Ücret (₺)],MATCH($A660,tblCalisan[Çalışan Adı],0)),""))</f>
        <v/>
      </c>
      <c r="C660" s="22" t="str">
        <f aca="false">IF($A660="","",$B660*IsverenPayiOrani)</f>
        <v/>
      </c>
      <c r="D660" s="22" t="str">
        <f aca="false">IF($A660="","",$B660*IssizlikOrani)</f>
        <v/>
      </c>
      <c r="E660" s="22" t="str">
        <f aca="false">IF($A660="","",$B660*KidemKarsilikOrani)</f>
        <v/>
      </c>
      <c r="F660" s="20"/>
      <c r="G660" s="22" t="str">
        <f aca="false">IF($A660="","",$B660+$C660+$D660+$E660+$F660)</f>
        <v/>
      </c>
      <c r="H660" s="22" t="str">
        <f aca="false">IF($A660="","",$G660*AySayisi)</f>
        <v/>
      </c>
    </row>
    <row r="661" customFormat="false" ht="15" hidden="false" customHeight="false" outlineLevel="0" collapsed="false">
      <c r="A661" s="19"/>
      <c r="B661" s="22" t="str">
        <f aca="false">IF($A661="","",IFERROR(INDEX(tblCalisan[Brüt Ücret (₺)],MATCH($A661,tblCalisan[Çalışan Adı],0)),""))</f>
        <v/>
      </c>
      <c r="C661" s="22" t="str">
        <f aca="false">IF($A661="","",$B661*IsverenPayiOrani)</f>
        <v/>
      </c>
      <c r="D661" s="22" t="str">
        <f aca="false">IF($A661="","",$B661*IssizlikOrani)</f>
        <v/>
      </c>
      <c r="E661" s="22" t="str">
        <f aca="false">IF($A661="","",$B661*KidemKarsilikOrani)</f>
        <v/>
      </c>
      <c r="F661" s="20"/>
      <c r="G661" s="22" t="str">
        <f aca="false">IF($A661="","",$B661+$C661+$D661+$E661+$F661)</f>
        <v/>
      </c>
      <c r="H661" s="22" t="str">
        <f aca="false">IF($A661="","",$G661*AySayisi)</f>
        <v/>
      </c>
    </row>
    <row r="662" customFormat="false" ht="15" hidden="false" customHeight="false" outlineLevel="0" collapsed="false">
      <c r="A662" s="19"/>
      <c r="B662" s="22" t="str">
        <f aca="false">IF($A662="","",IFERROR(INDEX(tblCalisan[Brüt Ücret (₺)],MATCH($A662,tblCalisan[Çalışan Adı],0)),""))</f>
        <v/>
      </c>
      <c r="C662" s="22" t="str">
        <f aca="false">IF($A662="","",$B662*IsverenPayiOrani)</f>
        <v/>
      </c>
      <c r="D662" s="22" t="str">
        <f aca="false">IF($A662="","",$B662*IssizlikOrani)</f>
        <v/>
      </c>
      <c r="E662" s="22" t="str">
        <f aca="false">IF($A662="","",$B662*KidemKarsilikOrani)</f>
        <v/>
      </c>
      <c r="F662" s="20"/>
      <c r="G662" s="22" t="str">
        <f aca="false">IF($A662="","",$B662+$C662+$D662+$E662+$F662)</f>
        <v/>
      </c>
      <c r="H662" s="22" t="str">
        <f aca="false">IF($A662="","",$G662*AySayisi)</f>
        <v/>
      </c>
    </row>
    <row r="663" customFormat="false" ht="15" hidden="false" customHeight="false" outlineLevel="0" collapsed="false">
      <c r="A663" s="19"/>
      <c r="B663" s="22" t="str">
        <f aca="false">IF($A663="","",IFERROR(INDEX(tblCalisan[Brüt Ücret (₺)],MATCH($A663,tblCalisan[Çalışan Adı],0)),""))</f>
        <v/>
      </c>
      <c r="C663" s="22" t="str">
        <f aca="false">IF($A663="","",$B663*IsverenPayiOrani)</f>
        <v/>
      </c>
      <c r="D663" s="22" t="str">
        <f aca="false">IF($A663="","",$B663*IssizlikOrani)</f>
        <v/>
      </c>
      <c r="E663" s="22" t="str">
        <f aca="false">IF($A663="","",$B663*KidemKarsilikOrani)</f>
        <v/>
      </c>
      <c r="F663" s="20"/>
      <c r="G663" s="22" t="str">
        <f aca="false">IF($A663="","",$B663+$C663+$D663+$E663+$F663)</f>
        <v/>
      </c>
      <c r="H663" s="22" t="str">
        <f aca="false">IF($A663="","",$G663*AySayisi)</f>
        <v/>
      </c>
    </row>
    <row r="664" customFormat="false" ht="15" hidden="false" customHeight="false" outlineLevel="0" collapsed="false">
      <c r="A664" s="19"/>
      <c r="B664" s="22" t="str">
        <f aca="false">IF($A664="","",IFERROR(INDEX(tblCalisan[Brüt Ücret (₺)],MATCH($A664,tblCalisan[Çalışan Adı],0)),""))</f>
        <v/>
      </c>
      <c r="C664" s="22" t="str">
        <f aca="false">IF($A664="","",$B664*IsverenPayiOrani)</f>
        <v/>
      </c>
      <c r="D664" s="22" t="str">
        <f aca="false">IF($A664="","",$B664*IssizlikOrani)</f>
        <v/>
      </c>
      <c r="E664" s="22" t="str">
        <f aca="false">IF($A664="","",$B664*KidemKarsilikOrani)</f>
        <v/>
      </c>
      <c r="F664" s="20"/>
      <c r="G664" s="22" t="str">
        <f aca="false">IF($A664="","",$B664+$C664+$D664+$E664+$F664)</f>
        <v/>
      </c>
      <c r="H664" s="22" t="str">
        <f aca="false">IF($A664="","",$G664*AySayisi)</f>
        <v/>
      </c>
    </row>
    <row r="665" customFormat="false" ht="15" hidden="false" customHeight="false" outlineLevel="0" collapsed="false">
      <c r="A665" s="19"/>
      <c r="B665" s="22" t="str">
        <f aca="false">IF($A665="","",IFERROR(INDEX(tblCalisan[Brüt Ücret (₺)],MATCH($A665,tblCalisan[Çalışan Adı],0)),""))</f>
        <v/>
      </c>
      <c r="C665" s="22" t="str">
        <f aca="false">IF($A665="","",$B665*IsverenPayiOrani)</f>
        <v/>
      </c>
      <c r="D665" s="22" t="str">
        <f aca="false">IF($A665="","",$B665*IssizlikOrani)</f>
        <v/>
      </c>
      <c r="E665" s="22" t="str">
        <f aca="false">IF($A665="","",$B665*KidemKarsilikOrani)</f>
        <v/>
      </c>
      <c r="F665" s="20"/>
      <c r="G665" s="22" t="str">
        <f aca="false">IF($A665="","",$B665+$C665+$D665+$E665+$F665)</f>
        <v/>
      </c>
      <c r="H665" s="22" t="str">
        <f aca="false">IF($A665="","",$G665*AySayisi)</f>
        <v/>
      </c>
    </row>
    <row r="666" customFormat="false" ht="15" hidden="false" customHeight="false" outlineLevel="0" collapsed="false">
      <c r="A666" s="19"/>
      <c r="B666" s="22" t="str">
        <f aca="false">IF($A666="","",IFERROR(INDEX(tblCalisan[Brüt Ücret (₺)],MATCH($A666,tblCalisan[Çalışan Adı],0)),""))</f>
        <v/>
      </c>
      <c r="C666" s="22" t="str">
        <f aca="false">IF($A666="","",$B666*IsverenPayiOrani)</f>
        <v/>
      </c>
      <c r="D666" s="22" t="str">
        <f aca="false">IF($A666="","",$B666*IssizlikOrani)</f>
        <v/>
      </c>
      <c r="E666" s="22" t="str">
        <f aca="false">IF($A666="","",$B666*KidemKarsilikOrani)</f>
        <v/>
      </c>
      <c r="F666" s="20"/>
      <c r="G666" s="22" t="str">
        <f aca="false">IF($A666="","",$B666+$C666+$D666+$E666+$F666)</f>
        <v/>
      </c>
      <c r="H666" s="22" t="str">
        <f aca="false">IF($A666="","",$G666*AySayisi)</f>
        <v/>
      </c>
    </row>
    <row r="667" customFormat="false" ht="15" hidden="false" customHeight="false" outlineLevel="0" collapsed="false">
      <c r="A667" s="19"/>
      <c r="B667" s="22" t="str">
        <f aca="false">IF($A667="","",IFERROR(INDEX(tblCalisan[Brüt Ücret (₺)],MATCH($A667,tblCalisan[Çalışan Adı],0)),""))</f>
        <v/>
      </c>
      <c r="C667" s="22" t="str">
        <f aca="false">IF($A667="","",$B667*IsverenPayiOrani)</f>
        <v/>
      </c>
      <c r="D667" s="22" t="str">
        <f aca="false">IF($A667="","",$B667*IssizlikOrani)</f>
        <v/>
      </c>
      <c r="E667" s="22" t="str">
        <f aca="false">IF($A667="","",$B667*KidemKarsilikOrani)</f>
        <v/>
      </c>
      <c r="F667" s="20"/>
      <c r="G667" s="22" t="str">
        <f aca="false">IF($A667="","",$B667+$C667+$D667+$E667+$F667)</f>
        <v/>
      </c>
      <c r="H667" s="22" t="str">
        <f aca="false">IF($A667="","",$G667*AySayisi)</f>
        <v/>
      </c>
    </row>
    <row r="668" customFormat="false" ht="15" hidden="false" customHeight="false" outlineLevel="0" collapsed="false">
      <c r="A668" s="19"/>
      <c r="B668" s="22" t="str">
        <f aca="false">IF($A668="","",IFERROR(INDEX(tblCalisan[Brüt Ücret (₺)],MATCH($A668,tblCalisan[Çalışan Adı],0)),""))</f>
        <v/>
      </c>
      <c r="C668" s="22" t="str">
        <f aca="false">IF($A668="","",$B668*IsverenPayiOrani)</f>
        <v/>
      </c>
      <c r="D668" s="22" t="str">
        <f aca="false">IF($A668="","",$B668*IssizlikOrani)</f>
        <v/>
      </c>
      <c r="E668" s="22" t="str">
        <f aca="false">IF($A668="","",$B668*KidemKarsilikOrani)</f>
        <v/>
      </c>
      <c r="F668" s="20"/>
      <c r="G668" s="22" t="str">
        <f aca="false">IF($A668="","",$B668+$C668+$D668+$E668+$F668)</f>
        <v/>
      </c>
      <c r="H668" s="22" t="str">
        <f aca="false">IF($A668="","",$G668*AySayisi)</f>
        <v/>
      </c>
    </row>
    <row r="669" customFormat="false" ht="15" hidden="false" customHeight="false" outlineLevel="0" collapsed="false">
      <c r="A669" s="19"/>
      <c r="B669" s="22" t="str">
        <f aca="false">IF($A669="","",IFERROR(INDEX(tblCalisan[Brüt Ücret (₺)],MATCH($A669,tblCalisan[Çalışan Adı],0)),""))</f>
        <v/>
      </c>
      <c r="C669" s="22" t="str">
        <f aca="false">IF($A669="","",$B669*IsverenPayiOrani)</f>
        <v/>
      </c>
      <c r="D669" s="22" t="str">
        <f aca="false">IF($A669="","",$B669*IssizlikOrani)</f>
        <v/>
      </c>
      <c r="E669" s="22" t="str">
        <f aca="false">IF($A669="","",$B669*KidemKarsilikOrani)</f>
        <v/>
      </c>
      <c r="F669" s="20"/>
      <c r="G669" s="22" t="str">
        <f aca="false">IF($A669="","",$B669+$C669+$D669+$E669+$F669)</f>
        <v/>
      </c>
      <c r="H669" s="22" t="str">
        <f aca="false">IF($A669="","",$G669*AySayisi)</f>
        <v/>
      </c>
    </row>
    <row r="670" customFormat="false" ht="15" hidden="false" customHeight="false" outlineLevel="0" collapsed="false">
      <c r="A670" s="19"/>
      <c r="B670" s="22" t="str">
        <f aca="false">IF($A670="","",IFERROR(INDEX(tblCalisan[Brüt Ücret (₺)],MATCH($A670,tblCalisan[Çalışan Adı],0)),""))</f>
        <v/>
      </c>
      <c r="C670" s="22" t="str">
        <f aca="false">IF($A670="","",$B670*IsverenPayiOrani)</f>
        <v/>
      </c>
      <c r="D670" s="22" t="str">
        <f aca="false">IF($A670="","",$B670*IssizlikOrani)</f>
        <v/>
      </c>
      <c r="E670" s="22" t="str">
        <f aca="false">IF($A670="","",$B670*KidemKarsilikOrani)</f>
        <v/>
      </c>
      <c r="F670" s="20"/>
      <c r="G670" s="22" t="str">
        <f aca="false">IF($A670="","",$B670+$C670+$D670+$E670+$F670)</f>
        <v/>
      </c>
      <c r="H670" s="22" t="str">
        <f aca="false">IF($A670="","",$G670*AySayisi)</f>
        <v/>
      </c>
    </row>
    <row r="671" customFormat="false" ht="15" hidden="false" customHeight="false" outlineLevel="0" collapsed="false">
      <c r="A671" s="19"/>
      <c r="B671" s="22" t="str">
        <f aca="false">IF($A671="","",IFERROR(INDEX(tblCalisan[Brüt Ücret (₺)],MATCH($A671,tblCalisan[Çalışan Adı],0)),""))</f>
        <v/>
      </c>
      <c r="C671" s="22" t="str">
        <f aca="false">IF($A671="","",$B671*IsverenPayiOrani)</f>
        <v/>
      </c>
      <c r="D671" s="22" t="str">
        <f aca="false">IF($A671="","",$B671*IssizlikOrani)</f>
        <v/>
      </c>
      <c r="E671" s="22" t="str">
        <f aca="false">IF($A671="","",$B671*KidemKarsilikOrani)</f>
        <v/>
      </c>
      <c r="F671" s="20"/>
      <c r="G671" s="22" t="str">
        <f aca="false">IF($A671="","",$B671+$C671+$D671+$E671+$F671)</f>
        <v/>
      </c>
      <c r="H671" s="22" t="str">
        <f aca="false">IF($A671="","",$G671*AySayisi)</f>
        <v/>
      </c>
    </row>
    <row r="672" customFormat="false" ht="15" hidden="false" customHeight="false" outlineLevel="0" collapsed="false">
      <c r="A672" s="19"/>
      <c r="B672" s="22" t="str">
        <f aca="false">IF($A672="","",IFERROR(INDEX(tblCalisan[Brüt Ücret (₺)],MATCH($A672,tblCalisan[Çalışan Adı],0)),""))</f>
        <v/>
      </c>
      <c r="C672" s="22" t="str">
        <f aca="false">IF($A672="","",$B672*IsverenPayiOrani)</f>
        <v/>
      </c>
      <c r="D672" s="22" t="str">
        <f aca="false">IF($A672="","",$B672*IssizlikOrani)</f>
        <v/>
      </c>
      <c r="E672" s="22" t="str">
        <f aca="false">IF($A672="","",$B672*KidemKarsilikOrani)</f>
        <v/>
      </c>
      <c r="F672" s="20"/>
      <c r="G672" s="22" t="str">
        <f aca="false">IF($A672="","",$B672+$C672+$D672+$E672+$F672)</f>
        <v/>
      </c>
      <c r="H672" s="22" t="str">
        <f aca="false">IF($A672="","",$G672*AySayisi)</f>
        <v/>
      </c>
    </row>
    <row r="673" customFormat="false" ht="15" hidden="false" customHeight="false" outlineLevel="0" collapsed="false">
      <c r="A673" s="19"/>
      <c r="B673" s="22" t="str">
        <f aca="false">IF($A673="","",IFERROR(INDEX(tblCalisan[Brüt Ücret (₺)],MATCH($A673,tblCalisan[Çalışan Adı],0)),""))</f>
        <v/>
      </c>
      <c r="C673" s="22" t="str">
        <f aca="false">IF($A673="","",$B673*IsverenPayiOrani)</f>
        <v/>
      </c>
      <c r="D673" s="22" t="str">
        <f aca="false">IF($A673="","",$B673*IssizlikOrani)</f>
        <v/>
      </c>
      <c r="E673" s="22" t="str">
        <f aca="false">IF($A673="","",$B673*KidemKarsilikOrani)</f>
        <v/>
      </c>
      <c r="F673" s="20"/>
      <c r="G673" s="22" t="str">
        <f aca="false">IF($A673="","",$B673+$C673+$D673+$E673+$F673)</f>
        <v/>
      </c>
      <c r="H673" s="22" t="str">
        <f aca="false">IF($A673="","",$G673*AySayisi)</f>
        <v/>
      </c>
    </row>
    <row r="674" customFormat="false" ht="15" hidden="false" customHeight="false" outlineLevel="0" collapsed="false">
      <c r="A674" s="19"/>
      <c r="B674" s="22" t="str">
        <f aca="false">IF($A674="","",IFERROR(INDEX(tblCalisan[Brüt Ücret (₺)],MATCH($A674,tblCalisan[Çalışan Adı],0)),""))</f>
        <v/>
      </c>
      <c r="C674" s="22" t="str">
        <f aca="false">IF($A674="","",$B674*IsverenPayiOrani)</f>
        <v/>
      </c>
      <c r="D674" s="22" t="str">
        <f aca="false">IF($A674="","",$B674*IssizlikOrani)</f>
        <v/>
      </c>
      <c r="E674" s="22" t="str">
        <f aca="false">IF($A674="","",$B674*KidemKarsilikOrani)</f>
        <v/>
      </c>
      <c r="F674" s="20"/>
      <c r="G674" s="22" t="str">
        <f aca="false">IF($A674="","",$B674+$C674+$D674+$E674+$F674)</f>
        <v/>
      </c>
      <c r="H674" s="22" t="str">
        <f aca="false">IF($A674="","",$G674*AySayisi)</f>
        <v/>
      </c>
    </row>
    <row r="675" customFormat="false" ht="15" hidden="false" customHeight="false" outlineLevel="0" collapsed="false">
      <c r="A675" s="19"/>
      <c r="B675" s="22" t="str">
        <f aca="false">IF($A675="","",IFERROR(INDEX(tblCalisan[Brüt Ücret (₺)],MATCH($A675,tblCalisan[Çalışan Adı],0)),""))</f>
        <v/>
      </c>
      <c r="C675" s="22" t="str">
        <f aca="false">IF($A675="","",$B675*IsverenPayiOrani)</f>
        <v/>
      </c>
      <c r="D675" s="22" t="str">
        <f aca="false">IF($A675="","",$B675*IssizlikOrani)</f>
        <v/>
      </c>
      <c r="E675" s="22" t="str">
        <f aca="false">IF($A675="","",$B675*KidemKarsilikOrani)</f>
        <v/>
      </c>
      <c r="F675" s="20"/>
      <c r="G675" s="22" t="str">
        <f aca="false">IF($A675="","",$B675+$C675+$D675+$E675+$F675)</f>
        <v/>
      </c>
      <c r="H675" s="22" t="str">
        <f aca="false">IF($A675="","",$G675*AySayisi)</f>
        <v/>
      </c>
    </row>
    <row r="676" customFormat="false" ht="15" hidden="false" customHeight="false" outlineLevel="0" collapsed="false">
      <c r="A676" s="19"/>
      <c r="B676" s="22" t="str">
        <f aca="false">IF($A676="","",IFERROR(INDEX(tblCalisan[Brüt Ücret (₺)],MATCH($A676,tblCalisan[Çalışan Adı],0)),""))</f>
        <v/>
      </c>
      <c r="C676" s="22" t="str">
        <f aca="false">IF($A676="","",$B676*IsverenPayiOrani)</f>
        <v/>
      </c>
      <c r="D676" s="22" t="str">
        <f aca="false">IF($A676="","",$B676*IssizlikOrani)</f>
        <v/>
      </c>
      <c r="E676" s="22" t="str">
        <f aca="false">IF($A676="","",$B676*KidemKarsilikOrani)</f>
        <v/>
      </c>
      <c r="F676" s="20"/>
      <c r="G676" s="22" t="str">
        <f aca="false">IF($A676="","",$B676+$C676+$D676+$E676+$F676)</f>
        <v/>
      </c>
      <c r="H676" s="22" t="str">
        <f aca="false">IF($A676="","",$G676*AySayisi)</f>
        <v/>
      </c>
    </row>
    <row r="677" customFormat="false" ht="15" hidden="false" customHeight="false" outlineLevel="0" collapsed="false">
      <c r="A677" s="19"/>
      <c r="B677" s="22" t="str">
        <f aca="false">IF($A677="","",IFERROR(INDEX(tblCalisan[Brüt Ücret (₺)],MATCH($A677,tblCalisan[Çalışan Adı],0)),""))</f>
        <v/>
      </c>
      <c r="C677" s="22" t="str">
        <f aca="false">IF($A677="","",$B677*IsverenPayiOrani)</f>
        <v/>
      </c>
      <c r="D677" s="22" t="str">
        <f aca="false">IF($A677="","",$B677*IssizlikOrani)</f>
        <v/>
      </c>
      <c r="E677" s="22" t="str">
        <f aca="false">IF($A677="","",$B677*KidemKarsilikOrani)</f>
        <v/>
      </c>
      <c r="F677" s="20"/>
      <c r="G677" s="22" t="str">
        <f aca="false">IF($A677="","",$B677+$C677+$D677+$E677+$F677)</f>
        <v/>
      </c>
      <c r="H677" s="22" t="str">
        <f aca="false">IF($A677="","",$G677*AySayisi)</f>
        <v/>
      </c>
    </row>
    <row r="678" customFormat="false" ht="15" hidden="false" customHeight="false" outlineLevel="0" collapsed="false">
      <c r="A678" s="19"/>
      <c r="B678" s="22" t="str">
        <f aca="false">IF($A678="","",IFERROR(INDEX(tblCalisan[Brüt Ücret (₺)],MATCH($A678,tblCalisan[Çalışan Adı],0)),""))</f>
        <v/>
      </c>
      <c r="C678" s="22" t="str">
        <f aca="false">IF($A678="","",$B678*IsverenPayiOrani)</f>
        <v/>
      </c>
      <c r="D678" s="22" t="str">
        <f aca="false">IF($A678="","",$B678*IssizlikOrani)</f>
        <v/>
      </c>
      <c r="E678" s="22" t="str">
        <f aca="false">IF($A678="","",$B678*KidemKarsilikOrani)</f>
        <v/>
      </c>
      <c r="F678" s="20"/>
      <c r="G678" s="22" t="str">
        <f aca="false">IF($A678="","",$B678+$C678+$D678+$E678+$F678)</f>
        <v/>
      </c>
      <c r="H678" s="22" t="str">
        <f aca="false">IF($A678="","",$G678*AySayisi)</f>
        <v/>
      </c>
    </row>
    <row r="679" customFormat="false" ht="15" hidden="false" customHeight="false" outlineLevel="0" collapsed="false">
      <c r="A679" s="19"/>
      <c r="B679" s="22" t="str">
        <f aca="false">IF($A679="","",IFERROR(INDEX(tblCalisan[Brüt Ücret (₺)],MATCH($A679,tblCalisan[Çalışan Adı],0)),""))</f>
        <v/>
      </c>
      <c r="C679" s="22" t="str">
        <f aca="false">IF($A679="","",$B679*IsverenPayiOrani)</f>
        <v/>
      </c>
      <c r="D679" s="22" t="str">
        <f aca="false">IF($A679="","",$B679*IssizlikOrani)</f>
        <v/>
      </c>
      <c r="E679" s="22" t="str">
        <f aca="false">IF($A679="","",$B679*KidemKarsilikOrani)</f>
        <v/>
      </c>
      <c r="F679" s="20"/>
      <c r="G679" s="22" t="str">
        <f aca="false">IF($A679="","",$B679+$C679+$D679+$E679+$F679)</f>
        <v/>
      </c>
      <c r="H679" s="22" t="str">
        <f aca="false">IF($A679="","",$G679*AySayisi)</f>
        <v/>
      </c>
    </row>
    <row r="680" customFormat="false" ht="15" hidden="false" customHeight="false" outlineLevel="0" collapsed="false">
      <c r="A680" s="19"/>
      <c r="B680" s="22" t="str">
        <f aca="false">IF($A680="","",IFERROR(INDEX(tblCalisan[Brüt Ücret (₺)],MATCH($A680,tblCalisan[Çalışan Adı],0)),""))</f>
        <v/>
      </c>
      <c r="C680" s="22" t="str">
        <f aca="false">IF($A680="","",$B680*IsverenPayiOrani)</f>
        <v/>
      </c>
      <c r="D680" s="22" t="str">
        <f aca="false">IF($A680="","",$B680*IssizlikOrani)</f>
        <v/>
      </c>
      <c r="E680" s="22" t="str">
        <f aca="false">IF($A680="","",$B680*KidemKarsilikOrani)</f>
        <v/>
      </c>
      <c r="F680" s="20"/>
      <c r="G680" s="22" t="str">
        <f aca="false">IF($A680="","",$B680+$C680+$D680+$E680+$F680)</f>
        <v/>
      </c>
      <c r="H680" s="22" t="str">
        <f aca="false">IF($A680="","",$G680*AySayisi)</f>
        <v/>
      </c>
    </row>
    <row r="681" customFormat="false" ht="15" hidden="false" customHeight="false" outlineLevel="0" collapsed="false">
      <c r="A681" s="19"/>
      <c r="B681" s="22" t="str">
        <f aca="false">IF($A681="","",IFERROR(INDEX(tblCalisan[Brüt Ücret (₺)],MATCH($A681,tblCalisan[Çalışan Adı],0)),""))</f>
        <v/>
      </c>
      <c r="C681" s="22" t="str">
        <f aca="false">IF($A681="","",$B681*IsverenPayiOrani)</f>
        <v/>
      </c>
      <c r="D681" s="22" t="str">
        <f aca="false">IF($A681="","",$B681*IssizlikOrani)</f>
        <v/>
      </c>
      <c r="E681" s="22" t="str">
        <f aca="false">IF($A681="","",$B681*KidemKarsilikOrani)</f>
        <v/>
      </c>
      <c r="F681" s="20"/>
      <c r="G681" s="22" t="str">
        <f aca="false">IF($A681="","",$B681+$C681+$D681+$E681+$F681)</f>
        <v/>
      </c>
      <c r="H681" s="22" t="str">
        <f aca="false">IF($A681="","",$G681*AySayisi)</f>
        <v/>
      </c>
    </row>
    <row r="682" customFormat="false" ht="15" hidden="false" customHeight="false" outlineLevel="0" collapsed="false">
      <c r="A682" s="19"/>
      <c r="B682" s="22" t="str">
        <f aca="false">IF($A682="","",IFERROR(INDEX(tblCalisan[Brüt Ücret (₺)],MATCH($A682,tblCalisan[Çalışan Adı],0)),""))</f>
        <v/>
      </c>
      <c r="C682" s="22" t="str">
        <f aca="false">IF($A682="","",$B682*IsverenPayiOrani)</f>
        <v/>
      </c>
      <c r="D682" s="22" t="str">
        <f aca="false">IF($A682="","",$B682*IssizlikOrani)</f>
        <v/>
      </c>
      <c r="E682" s="22" t="str">
        <f aca="false">IF($A682="","",$B682*KidemKarsilikOrani)</f>
        <v/>
      </c>
      <c r="F682" s="20"/>
      <c r="G682" s="22" t="str">
        <f aca="false">IF($A682="","",$B682+$C682+$D682+$E682+$F682)</f>
        <v/>
      </c>
      <c r="H682" s="22" t="str">
        <f aca="false">IF($A682="","",$G682*AySayisi)</f>
        <v/>
      </c>
    </row>
    <row r="683" customFormat="false" ht="15" hidden="false" customHeight="false" outlineLevel="0" collapsed="false">
      <c r="A683" s="19"/>
      <c r="B683" s="22" t="str">
        <f aca="false">IF($A683="","",IFERROR(INDEX(tblCalisan[Brüt Ücret (₺)],MATCH($A683,tblCalisan[Çalışan Adı],0)),""))</f>
        <v/>
      </c>
      <c r="C683" s="22" t="str">
        <f aca="false">IF($A683="","",$B683*IsverenPayiOrani)</f>
        <v/>
      </c>
      <c r="D683" s="22" t="str">
        <f aca="false">IF($A683="","",$B683*IssizlikOrani)</f>
        <v/>
      </c>
      <c r="E683" s="22" t="str">
        <f aca="false">IF($A683="","",$B683*KidemKarsilikOrani)</f>
        <v/>
      </c>
      <c r="F683" s="20"/>
      <c r="G683" s="22" t="str">
        <f aca="false">IF($A683="","",$B683+$C683+$D683+$E683+$F683)</f>
        <v/>
      </c>
      <c r="H683" s="22" t="str">
        <f aca="false">IF($A683="","",$G683*AySayisi)</f>
        <v/>
      </c>
    </row>
    <row r="684" customFormat="false" ht="15" hidden="false" customHeight="false" outlineLevel="0" collapsed="false">
      <c r="A684" s="19"/>
      <c r="B684" s="22" t="str">
        <f aca="false">IF($A684="","",IFERROR(INDEX(tblCalisan[Brüt Ücret (₺)],MATCH($A684,tblCalisan[Çalışan Adı],0)),""))</f>
        <v/>
      </c>
      <c r="C684" s="22" t="str">
        <f aca="false">IF($A684="","",$B684*IsverenPayiOrani)</f>
        <v/>
      </c>
      <c r="D684" s="22" t="str">
        <f aca="false">IF($A684="","",$B684*IssizlikOrani)</f>
        <v/>
      </c>
      <c r="E684" s="22" t="str">
        <f aca="false">IF($A684="","",$B684*KidemKarsilikOrani)</f>
        <v/>
      </c>
      <c r="F684" s="20"/>
      <c r="G684" s="22" t="str">
        <f aca="false">IF($A684="","",$B684+$C684+$D684+$E684+$F684)</f>
        <v/>
      </c>
      <c r="H684" s="22" t="str">
        <f aca="false">IF($A684="","",$G684*AySayisi)</f>
        <v/>
      </c>
    </row>
    <row r="685" customFormat="false" ht="15" hidden="false" customHeight="false" outlineLevel="0" collapsed="false">
      <c r="A685" s="19"/>
      <c r="B685" s="22" t="str">
        <f aca="false">IF($A685="","",IFERROR(INDEX(tblCalisan[Brüt Ücret (₺)],MATCH($A685,tblCalisan[Çalışan Adı],0)),""))</f>
        <v/>
      </c>
      <c r="C685" s="22" t="str">
        <f aca="false">IF($A685="","",$B685*IsverenPayiOrani)</f>
        <v/>
      </c>
      <c r="D685" s="22" t="str">
        <f aca="false">IF($A685="","",$B685*IssizlikOrani)</f>
        <v/>
      </c>
      <c r="E685" s="22" t="str">
        <f aca="false">IF($A685="","",$B685*KidemKarsilikOrani)</f>
        <v/>
      </c>
      <c r="F685" s="20"/>
      <c r="G685" s="22" t="str">
        <f aca="false">IF($A685="","",$B685+$C685+$D685+$E685+$F685)</f>
        <v/>
      </c>
      <c r="H685" s="22" t="str">
        <f aca="false">IF($A685="","",$G685*AySayisi)</f>
        <v/>
      </c>
    </row>
    <row r="686" customFormat="false" ht="15" hidden="false" customHeight="false" outlineLevel="0" collapsed="false">
      <c r="A686" s="19"/>
      <c r="B686" s="22" t="str">
        <f aca="false">IF($A686="","",IFERROR(INDEX(tblCalisan[Brüt Ücret (₺)],MATCH($A686,tblCalisan[Çalışan Adı],0)),""))</f>
        <v/>
      </c>
      <c r="C686" s="22" t="str">
        <f aca="false">IF($A686="","",$B686*IsverenPayiOrani)</f>
        <v/>
      </c>
      <c r="D686" s="22" t="str">
        <f aca="false">IF($A686="","",$B686*IssizlikOrani)</f>
        <v/>
      </c>
      <c r="E686" s="22" t="str">
        <f aca="false">IF($A686="","",$B686*KidemKarsilikOrani)</f>
        <v/>
      </c>
      <c r="F686" s="20"/>
      <c r="G686" s="22" t="str">
        <f aca="false">IF($A686="","",$B686+$C686+$D686+$E686+$F686)</f>
        <v/>
      </c>
      <c r="H686" s="22" t="str">
        <f aca="false">IF($A686="","",$G686*AySayisi)</f>
        <v/>
      </c>
    </row>
    <row r="687" customFormat="false" ht="15" hidden="false" customHeight="false" outlineLevel="0" collapsed="false">
      <c r="A687" s="19"/>
      <c r="B687" s="22" t="str">
        <f aca="false">IF($A687="","",IFERROR(INDEX(tblCalisan[Brüt Ücret (₺)],MATCH($A687,tblCalisan[Çalışan Adı],0)),""))</f>
        <v/>
      </c>
      <c r="C687" s="22" t="str">
        <f aca="false">IF($A687="","",$B687*IsverenPayiOrani)</f>
        <v/>
      </c>
      <c r="D687" s="22" t="str">
        <f aca="false">IF($A687="","",$B687*IssizlikOrani)</f>
        <v/>
      </c>
      <c r="E687" s="22" t="str">
        <f aca="false">IF($A687="","",$B687*KidemKarsilikOrani)</f>
        <v/>
      </c>
      <c r="F687" s="20"/>
      <c r="G687" s="22" t="str">
        <f aca="false">IF($A687="","",$B687+$C687+$D687+$E687+$F687)</f>
        <v/>
      </c>
      <c r="H687" s="22" t="str">
        <f aca="false">IF($A687="","",$G687*AySayisi)</f>
        <v/>
      </c>
    </row>
    <row r="688" customFormat="false" ht="15" hidden="false" customHeight="false" outlineLevel="0" collapsed="false">
      <c r="A688" s="19"/>
      <c r="B688" s="22" t="str">
        <f aca="false">IF($A688="","",IFERROR(INDEX(tblCalisan[Brüt Ücret (₺)],MATCH($A688,tblCalisan[Çalışan Adı],0)),""))</f>
        <v/>
      </c>
      <c r="C688" s="22" t="str">
        <f aca="false">IF($A688="","",$B688*IsverenPayiOrani)</f>
        <v/>
      </c>
      <c r="D688" s="22" t="str">
        <f aca="false">IF($A688="","",$B688*IssizlikOrani)</f>
        <v/>
      </c>
      <c r="E688" s="22" t="str">
        <f aca="false">IF($A688="","",$B688*KidemKarsilikOrani)</f>
        <v/>
      </c>
      <c r="F688" s="20"/>
      <c r="G688" s="22" t="str">
        <f aca="false">IF($A688="","",$B688+$C688+$D688+$E688+$F688)</f>
        <v/>
      </c>
      <c r="H688" s="22" t="str">
        <f aca="false">IF($A688="","",$G688*AySayisi)</f>
        <v/>
      </c>
    </row>
    <row r="689" customFormat="false" ht="15" hidden="false" customHeight="false" outlineLevel="0" collapsed="false">
      <c r="A689" s="19"/>
      <c r="B689" s="22" t="str">
        <f aca="false">IF($A689="","",IFERROR(INDEX(tblCalisan[Brüt Ücret (₺)],MATCH($A689,tblCalisan[Çalışan Adı],0)),""))</f>
        <v/>
      </c>
      <c r="C689" s="22" t="str">
        <f aca="false">IF($A689="","",$B689*IsverenPayiOrani)</f>
        <v/>
      </c>
      <c r="D689" s="22" t="str">
        <f aca="false">IF($A689="","",$B689*IssizlikOrani)</f>
        <v/>
      </c>
      <c r="E689" s="22" t="str">
        <f aca="false">IF($A689="","",$B689*KidemKarsilikOrani)</f>
        <v/>
      </c>
      <c r="F689" s="20"/>
      <c r="G689" s="22" t="str">
        <f aca="false">IF($A689="","",$B689+$C689+$D689+$E689+$F689)</f>
        <v/>
      </c>
      <c r="H689" s="22" t="str">
        <f aca="false">IF($A689="","",$G689*AySayisi)</f>
        <v/>
      </c>
    </row>
    <row r="690" customFormat="false" ht="15" hidden="false" customHeight="false" outlineLevel="0" collapsed="false">
      <c r="A690" s="19"/>
      <c r="B690" s="22" t="str">
        <f aca="false">IF($A690="","",IFERROR(INDEX(tblCalisan[Brüt Ücret (₺)],MATCH($A690,tblCalisan[Çalışan Adı],0)),""))</f>
        <v/>
      </c>
      <c r="C690" s="22" t="str">
        <f aca="false">IF($A690="","",$B690*IsverenPayiOrani)</f>
        <v/>
      </c>
      <c r="D690" s="22" t="str">
        <f aca="false">IF($A690="","",$B690*IssizlikOrani)</f>
        <v/>
      </c>
      <c r="E690" s="22" t="str">
        <f aca="false">IF($A690="","",$B690*KidemKarsilikOrani)</f>
        <v/>
      </c>
      <c r="F690" s="20"/>
      <c r="G690" s="22" t="str">
        <f aca="false">IF($A690="","",$B690+$C690+$D690+$E690+$F690)</f>
        <v/>
      </c>
      <c r="H690" s="22" t="str">
        <f aca="false">IF($A690="","",$G690*AySayisi)</f>
        <v/>
      </c>
    </row>
    <row r="691" customFormat="false" ht="15" hidden="false" customHeight="false" outlineLevel="0" collapsed="false">
      <c r="A691" s="19"/>
      <c r="B691" s="22" t="str">
        <f aca="false">IF($A691="","",IFERROR(INDEX(tblCalisan[Brüt Ücret (₺)],MATCH($A691,tblCalisan[Çalışan Adı],0)),""))</f>
        <v/>
      </c>
      <c r="C691" s="22" t="str">
        <f aca="false">IF($A691="","",$B691*IsverenPayiOrani)</f>
        <v/>
      </c>
      <c r="D691" s="22" t="str">
        <f aca="false">IF($A691="","",$B691*IssizlikOrani)</f>
        <v/>
      </c>
      <c r="E691" s="22" t="str">
        <f aca="false">IF($A691="","",$B691*KidemKarsilikOrani)</f>
        <v/>
      </c>
      <c r="F691" s="20"/>
      <c r="G691" s="22" t="str">
        <f aca="false">IF($A691="","",$B691+$C691+$D691+$E691+$F691)</f>
        <v/>
      </c>
      <c r="H691" s="22" t="str">
        <f aca="false">IF($A691="","",$G691*AySayisi)</f>
        <v/>
      </c>
    </row>
    <row r="692" customFormat="false" ht="15" hidden="false" customHeight="false" outlineLevel="0" collapsed="false">
      <c r="A692" s="19"/>
      <c r="B692" s="22" t="str">
        <f aca="false">IF($A692="","",IFERROR(INDEX(tblCalisan[Brüt Ücret (₺)],MATCH($A692,tblCalisan[Çalışan Adı],0)),""))</f>
        <v/>
      </c>
      <c r="C692" s="22" t="str">
        <f aca="false">IF($A692="","",$B692*IsverenPayiOrani)</f>
        <v/>
      </c>
      <c r="D692" s="22" t="str">
        <f aca="false">IF($A692="","",$B692*IssizlikOrani)</f>
        <v/>
      </c>
      <c r="E692" s="22" t="str">
        <f aca="false">IF($A692="","",$B692*KidemKarsilikOrani)</f>
        <v/>
      </c>
      <c r="F692" s="20"/>
      <c r="G692" s="22" t="str">
        <f aca="false">IF($A692="","",$B692+$C692+$D692+$E692+$F692)</f>
        <v/>
      </c>
      <c r="H692" s="22" t="str">
        <f aca="false">IF($A692="","",$G692*AySayisi)</f>
        <v/>
      </c>
    </row>
    <row r="693" customFormat="false" ht="15" hidden="false" customHeight="false" outlineLevel="0" collapsed="false">
      <c r="A693" s="19"/>
      <c r="B693" s="22" t="str">
        <f aca="false">IF($A693="","",IFERROR(INDEX(tblCalisan[Brüt Ücret (₺)],MATCH($A693,tblCalisan[Çalışan Adı],0)),""))</f>
        <v/>
      </c>
      <c r="C693" s="22" t="str">
        <f aca="false">IF($A693="","",$B693*IsverenPayiOrani)</f>
        <v/>
      </c>
      <c r="D693" s="22" t="str">
        <f aca="false">IF($A693="","",$B693*IssizlikOrani)</f>
        <v/>
      </c>
      <c r="E693" s="22" t="str">
        <f aca="false">IF($A693="","",$B693*KidemKarsilikOrani)</f>
        <v/>
      </c>
      <c r="F693" s="20"/>
      <c r="G693" s="22" t="str">
        <f aca="false">IF($A693="","",$B693+$C693+$D693+$E693+$F693)</f>
        <v/>
      </c>
      <c r="H693" s="22" t="str">
        <f aca="false">IF($A693="","",$G693*AySayisi)</f>
        <v/>
      </c>
    </row>
    <row r="694" customFormat="false" ht="15" hidden="false" customHeight="false" outlineLevel="0" collapsed="false">
      <c r="A694" s="19"/>
      <c r="B694" s="22" t="str">
        <f aca="false">IF($A694="","",IFERROR(INDEX(tblCalisan[Brüt Ücret (₺)],MATCH($A694,tblCalisan[Çalışan Adı],0)),""))</f>
        <v/>
      </c>
      <c r="C694" s="22" t="str">
        <f aca="false">IF($A694="","",$B694*IsverenPayiOrani)</f>
        <v/>
      </c>
      <c r="D694" s="22" t="str">
        <f aca="false">IF($A694="","",$B694*IssizlikOrani)</f>
        <v/>
      </c>
      <c r="E694" s="22" t="str">
        <f aca="false">IF($A694="","",$B694*KidemKarsilikOrani)</f>
        <v/>
      </c>
      <c r="F694" s="20"/>
      <c r="G694" s="22" t="str">
        <f aca="false">IF($A694="","",$B694+$C694+$D694+$E694+$F694)</f>
        <v/>
      </c>
      <c r="H694" s="22" t="str">
        <f aca="false">IF($A694="","",$G694*AySayisi)</f>
        <v/>
      </c>
    </row>
    <row r="695" customFormat="false" ht="15" hidden="false" customHeight="false" outlineLevel="0" collapsed="false">
      <c r="A695" s="19"/>
      <c r="B695" s="22" t="str">
        <f aca="false">IF($A695="","",IFERROR(INDEX(tblCalisan[Brüt Ücret (₺)],MATCH($A695,tblCalisan[Çalışan Adı],0)),""))</f>
        <v/>
      </c>
      <c r="C695" s="22" t="str">
        <f aca="false">IF($A695="","",$B695*IsverenPayiOrani)</f>
        <v/>
      </c>
      <c r="D695" s="22" t="str">
        <f aca="false">IF($A695="","",$B695*IssizlikOrani)</f>
        <v/>
      </c>
      <c r="E695" s="22" t="str">
        <f aca="false">IF($A695="","",$B695*KidemKarsilikOrani)</f>
        <v/>
      </c>
      <c r="F695" s="20"/>
      <c r="G695" s="22" t="str">
        <f aca="false">IF($A695="","",$B695+$C695+$D695+$E695+$F695)</f>
        <v/>
      </c>
      <c r="H695" s="22" t="str">
        <f aca="false">IF($A695="","",$G695*AySayisi)</f>
        <v/>
      </c>
    </row>
    <row r="696" customFormat="false" ht="15" hidden="false" customHeight="false" outlineLevel="0" collapsed="false">
      <c r="A696" s="19"/>
      <c r="B696" s="22" t="str">
        <f aca="false">IF($A696="","",IFERROR(INDEX(tblCalisan[Brüt Ücret (₺)],MATCH($A696,tblCalisan[Çalışan Adı],0)),""))</f>
        <v/>
      </c>
      <c r="C696" s="22" t="str">
        <f aca="false">IF($A696="","",$B696*IsverenPayiOrani)</f>
        <v/>
      </c>
      <c r="D696" s="22" t="str">
        <f aca="false">IF($A696="","",$B696*IssizlikOrani)</f>
        <v/>
      </c>
      <c r="E696" s="22" t="str">
        <f aca="false">IF($A696="","",$B696*KidemKarsilikOrani)</f>
        <v/>
      </c>
      <c r="F696" s="20"/>
      <c r="G696" s="22" t="str">
        <f aca="false">IF($A696="","",$B696+$C696+$D696+$E696+$F696)</f>
        <v/>
      </c>
      <c r="H696" s="22" t="str">
        <f aca="false">IF($A696="","",$G696*AySayisi)</f>
        <v/>
      </c>
    </row>
    <row r="697" customFormat="false" ht="15" hidden="false" customHeight="false" outlineLevel="0" collapsed="false">
      <c r="A697" s="19"/>
      <c r="B697" s="22" t="str">
        <f aca="false">IF($A697="","",IFERROR(INDEX(tblCalisan[Brüt Ücret (₺)],MATCH($A697,tblCalisan[Çalışan Adı],0)),""))</f>
        <v/>
      </c>
      <c r="C697" s="22" t="str">
        <f aca="false">IF($A697="","",$B697*IsverenPayiOrani)</f>
        <v/>
      </c>
      <c r="D697" s="22" t="str">
        <f aca="false">IF($A697="","",$B697*IssizlikOrani)</f>
        <v/>
      </c>
      <c r="E697" s="22" t="str">
        <f aca="false">IF($A697="","",$B697*KidemKarsilikOrani)</f>
        <v/>
      </c>
      <c r="F697" s="20"/>
      <c r="G697" s="22" t="str">
        <f aca="false">IF($A697="","",$B697+$C697+$D697+$E697+$F697)</f>
        <v/>
      </c>
      <c r="H697" s="22" t="str">
        <f aca="false">IF($A697="","",$G697*AySayisi)</f>
        <v/>
      </c>
    </row>
    <row r="698" customFormat="false" ht="15" hidden="false" customHeight="false" outlineLevel="0" collapsed="false">
      <c r="A698" s="19"/>
      <c r="B698" s="22" t="str">
        <f aca="false">IF($A698="","",IFERROR(INDEX(tblCalisan[Brüt Ücret (₺)],MATCH($A698,tblCalisan[Çalışan Adı],0)),""))</f>
        <v/>
      </c>
      <c r="C698" s="22" t="str">
        <f aca="false">IF($A698="","",$B698*IsverenPayiOrani)</f>
        <v/>
      </c>
      <c r="D698" s="22" t="str">
        <f aca="false">IF($A698="","",$B698*IssizlikOrani)</f>
        <v/>
      </c>
      <c r="E698" s="22" t="str">
        <f aca="false">IF($A698="","",$B698*KidemKarsilikOrani)</f>
        <v/>
      </c>
      <c r="F698" s="20"/>
      <c r="G698" s="22" t="str">
        <f aca="false">IF($A698="","",$B698+$C698+$D698+$E698+$F698)</f>
        <v/>
      </c>
      <c r="H698" s="22" t="str">
        <f aca="false">IF($A698="","",$G698*AySayisi)</f>
        <v/>
      </c>
    </row>
    <row r="699" customFormat="false" ht="15" hidden="false" customHeight="false" outlineLevel="0" collapsed="false">
      <c r="A699" s="19"/>
      <c r="B699" s="22" t="str">
        <f aca="false">IF($A699="","",IFERROR(INDEX(tblCalisan[Brüt Ücret (₺)],MATCH($A699,tblCalisan[Çalışan Adı],0)),""))</f>
        <v/>
      </c>
      <c r="C699" s="22" t="str">
        <f aca="false">IF($A699="","",$B699*IsverenPayiOrani)</f>
        <v/>
      </c>
      <c r="D699" s="22" t="str">
        <f aca="false">IF($A699="","",$B699*IssizlikOrani)</f>
        <v/>
      </c>
      <c r="E699" s="22" t="str">
        <f aca="false">IF($A699="","",$B699*KidemKarsilikOrani)</f>
        <v/>
      </c>
      <c r="F699" s="20"/>
      <c r="G699" s="22" t="str">
        <f aca="false">IF($A699="","",$B699+$C699+$D699+$E699+$F699)</f>
        <v/>
      </c>
      <c r="H699" s="22" t="str">
        <f aca="false">IF($A699="","",$G699*AySayisi)</f>
        <v/>
      </c>
    </row>
    <row r="700" customFormat="false" ht="15" hidden="false" customHeight="false" outlineLevel="0" collapsed="false">
      <c r="A700" s="19"/>
      <c r="B700" s="22" t="str">
        <f aca="false">IF($A700="","",IFERROR(INDEX(tblCalisan[Brüt Ücret (₺)],MATCH($A700,tblCalisan[Çalışan Adı],0)),""))</f>
        <v/>
      </c>
      <c r="C700" s="22" t="str">
        <f aca="false">IF($A700="","",$B700*IsverenPayiOrani)</f>
        <v/>
      </c>
      <c r="D700" s="22" t="str">
        <f aca="false">IF($A700="","",$B700*IssizlikOrani)</f>
        <v/>
      </c>
      <c r="E700" s="22" t="str">
        <f aca="false">IF($A700="","",$B700*KidemKarsilikOrani)</f>
        <v/>
      </c>
      <c r="F700" s="20"/>
      <c r="G700" s="22" t="str">
        <f aca="false">IF($A700="","",$B700+$C700+$D700+$E700+$F700)</f>
        <v/>
      </c>
      <c r="H700" s="22" t="str">
        <f aca="false">IF($A700="","",$G700*AySayisi)</f>
        <v/>
      </c>
    </row>
    <row r="701" customFormat="false" ht="15" hidden="false" customHeight="false" outlineLevel="0" collapsed="false">
      <c r="A701" s="19"/>
      <c r="B701" s="22" t="str">
        <f aca="false">IF($A701="","",IFERROR(INDEX(tblCalisan[Brüt Ücret (₺)],MATCH($A701,tblCalisan[Çalışan Adı],0)),""))</f>
        <v/>
      </c>
      <c r="C701" s="22" t="str">
        <f aca="false">IF($A701="","",$B701*IsverenPayiOrani)</f>
        <v/>
      </c>
      <c r="D701" s="22" t="str">
        <f aca="false">IF($A701="","",$B701*IssizlikOrani)</f>
        <v/>
      </c>
      <c r="E701" s="22" t="str">
        <f aca="false">IF($A701="","",$B701*KidemKarsilikOrani)</f>
        <v/>
      </c>
      <c r="F701" s="20"/>
      <c r="G701" s="22" t="str">
        <f aca="false">IF($A701="","",$B701+$C701+$D701+$E701+$F701)</f>
        <v/>
      </c>
      <c r="H701" s="22" t="str">
        <f aca="false">IF($A701="","",$G701*AySayisi)</f>
        <v/>
      </c>
    </row>
    <row r="702" customFormat="false" ht="15" hidden="false" customHeight="false" outlineLevel="0" collapsed="false">
      <c r="A702" s="19"/>
      <c r="B702" s="22" t="str">
        <f aca="false">IF($A702="","",IFERROR(INDEX(tblCalisan[Brüt Ücret (₺)],MATCH($A702,tblCalisan[Çalışan Adı],0)),""))</f>
        <v/>
      </c>
      <c r="C702" s="22" t="str">
        <f aca="false">IF($A702="","",$B702*IsverenPayiOrani)</f>
        <v/>
      </c>
      <c r="D702" s="22" t="str">
        <f aca="false">IF($A702="","",$B702*IssizlikOrani)</f>
        <v/>
      </c>
      <c r="E702" s="22" t="str">
        <f aca="false">IF($A702="","",$B702*KidemKarsilikOrani)</f>
        <v/>
      </c>
      <c r="F702" s="20"/>
      <c r="G702" s="22" t="str">
        <f aca="false">IF($A702="","",$B702+$C702+$D702+$E702+$F702)</f>
        <v/>
      </c>
      <c r="H702" s="22" t="str">
        <f aca="false">IF($A702="","",$G702*AySayisi)</f>
        <v/>
      </c>
    </row>
    <row r="703" customFormat="false" ht="15" hidden="false" customHeight="false" outlineLevel="0" collapsed="false">
      <c r="A703" s="19"/>
      <c r="B703" s="22" t="str">
        <f aca="false">IF($A703="","",IFERROR(INDEX(tblCalisan[Brüt Ücret (₺)],MATCH($A703,tblCalisan[Çalışan Adı],0)),""))</f>
        <v/>
      </c>
      <c r="C703" s="22" t="str">
        <f aca="false">IF($A703="","",$B703*IsverenPayiOrani)</f>
        <v/>
      </c>
      <c r="D703" s="22" t="str">
        <f aca="false">IF($A703="","",$B703*IssizlikOrani)</f>
        <v/>
      </c>
      <c r="E703" s="22" t="str">
        <f aca="false">IF($A703="","",$B703*KidemKarsilikOrani)</f>
        <v/>
      </c>
      <c r="F703" s="20"/>
      <c r="G703" s="22" t="str">
        <f aca="false">IF($A703="","",$B703+$C703+$D703+$E703+$F703)</f>
        <v/>
      </c>
      <c r="H703" s="22" t="str">
        <f aca="false">IF($A703="","",$G703*AySayisi)</f>
        <v/>
      </c>
    </row>
    <row r="704" customFormat="false" ht="15" hidden="false" customHeight="false" outlineLevel="0" collapsed="false">
      <c r="A704" s="19"/>
      <c r="B704" s="22" t="str">
        <f aca="false">IF($A704="","",IFERROR(INDEX(tblCalisan[Brüt Ücret (₺)],MATCH($A704,tblCalisan[Çalışan Adı],0)),""))</f>
        <v/>
      </c>
      <c r="C704" s="22" t="str">
        <f aca="false">IF($A704="","",$B704*IsverenPayiOrani)</f>
        <v/>
      </c>
      <c r="D704" s="22" t="str">
        <f aca="false">IF($A704="","",$B704*IssizlikOrani)</f>
        <v/>
      </c>
      <c r="E704" s="22" t="str">
        <f aca="false">IF($A704="","",$B704*KidemKarsilikOrani)</f>
        <v/>
      </c>
      <c r="F704" s="20"/>
      <c r="G704" s="22" t="str">
        <f aca="false">IF($A704="","",$B704+$C704+$D704+$E704+$F704)</f>
        <v/>
      </c>
      <c r="H704" s="22" t="str">
        <f aca="false">IF($A704="","",$G704*AySayisi)</f>
        <v/>
      </c>
    </row>
    <row r="705" customFormat="false" ht="15" hidden="false" customHeight="false" outlineLevel="0" collapsed="false">
      <c r="A705" s="19"/>
      <c r="B705" s="22" t="str">
        <f aca="false">IF($A705="","",IFERROR(INDEX(tblCalisan[Brüt Ücret (₺)],MATCH($A705,tblCalisan[Çalışan Adı],0)),""))</f>
        <v/>
      </c>
      <c r="C705" s="22" t="str">
        <f aca="false">IF($A705="","",$B705*IsverenPayiOrani)</f>
        <v/>
      </c>
      <c r="D705" s="22" t="str">
        <f aca="false">IF($A705="","",$B705*IssizlikOrani)</f>
        <v/>
      </c>
      <c r="E705" s="22" t="str">
        <f aca="false">IF($A705="","",$B705*KidemKarsilikOrani)</f>
        <v/>
      </c>
      <c r="F705" s="20"/>
      <c r="G705" s="22" t="str">
        <f aca="false">IF($A705="","",$B705+$C705+$D705+$E705+$F705)</f>
        <v/>
      </c>
      <c r="H705" s="22" t="str">
        <f aca="false">IF($A705="","",$G705*AySayisi)</f>
        <v/>
      </c>
    </row>
    <row r="706" customFormat="false" ht="15" hidden="false" customHeight="false" outlineLevel="0" collapsed="false">
      <c r="A706" s="19"/>
      <c r="B706" s="22" t="str">
        <f aca="false">IF($A706="","",IFERROR(INDEX(tblCalisan[Brüt Ücret (₺)],MATCH($A706,tblCalisan[Çalışan Adı],0)),""))</f>
        <v/>
      </c>
      <c r="C706" s="22" t="str">
        <f aca="false">IF($A706="","",$B706*IsverenPayiOrani)</f>
        <v/>
      </c>
      <c r="D706" s="22" t="str">
        <f aca="false">IF($A706="","",$B706*IssizlikOrani)</f>
        <v/>
      </c>
      <c r="E706" s="22" t="str">
        <f aca="false">IF($A706="","",$B706*KidemKarsilikOrani)</f>
        <v/>
      </c>
      <c r="F706" s="20"/>
      <c r="G706" s="22" t="str">
        <f aca="false">IF($A706="","",$B706+$C706+$D706+$E706+$F706)</f>
        <v/>
      </c>
      <c r="H706" s="22" t="str">
        <f aca="false">IF($A706="","",$G706*AySayisi)</f>
        <v/>
      </c>
    </row>
    <row r="707" customFormat="false" ht="15" hidden="false" customHeight="false" outlineLevel="0" collapsed="false">
      <c r="A707" s="19"/>
      <c r="B707" s="22" t="str">
        <f aca="false">IF($A707="","",IFERROR(INDEX(tblCalisan[Brüt Ücret (₺)],MATCH($A707,tblCalisan[Çalışan Adı],0)),""))</f>
        <v/>
      </c>
      <c r="C707" s="22" t="str">
        <f aca="false">IF($A707="","",$B707*IsverenPayiOrani)</f>
        <v/>
      </c>
      <c r="D707" s="22" t="str">
        <f aca="false">IF($A707="","",$B707*IssizlikOrani)</f>
        <v/>
      </c>
      <c r="E707" s="22" t="str">
        <f aca="false">IF($A707="","",$B707*KidemKarsilikOrani)</f>
        <v/>
      </c>
      <c r="F707" s="20"/>
      <c r="G707" s="22" t="str">
        <f aca="false">IF($A707="","",$B707+$C707+$D707+$E707+$F707)</f>
        <v/>
      </c>
      <c r="H707" s="22" t="str">
        <f aca="false">IF($A707="","",$G707*AySayisi)</f>
        <v/>
      </c>
    </row>
    <row r="708" customFormat="false" ht="15" hidden="false" customHeight="false" outlineLevel="0" collapsed="false">
      <c r="A708" s="19"/>
      <c r="B708" s="22" t="str">
        <f aca="false">IF($A708="","",IFERROR(INDEX(tblCalisan[Brüt Ücret (₺)],MATCH($A708,tblCalisan[Çalışan Adı],0)),""))</f>
        <v/>
      </c>
      <c r="C708" s="22" t="str">
        <f aca="false">IF($A708="","",$B708*IsverenPayiOrani)</f>
        <v/>
      </c>
      <c r="D708" s="22" t="str">
        <f aca="false">IF($A708="","",$B708*IssizlikOrani)</f>
        <v/>
      </c>
      <c r="E708" s="22" t="str">
        <f aca="false">IF($A708="","",$B708*KidemKarsilikOrani)</f>
        <v/>
      </c>
      <c r="F708" s="20"/>
      <c r="G708" s="22" t="str">
        <f aca="false">IF($A708="","",$B708+$C708+$D708+$E708+$F708)</f>
        <v/>
      </c>
      <c r="H708" s="22" t="str">
        <f aca="false">IF($A708="","",$G708*AySayisi)</f>
        <v/>
      </c>
    </row>
    <row r="709" customFormat="false" ht="15" hidden="false" customHeight="false" outlineLevel="0" collapsed="false">
      <c r="A709" s="19"/>
      <c r="B709" s="22" t="str">
        <f aca="false">IF($A709="","",IFERROR(INDEX(tblCalisan[Brüt Ücret (₺)],MATCH($A709,tblCalisan[Çalışan Adı],0)),""))</f>
        <v/>
      </c>
      <c r="C709" s="22" t="str">
        <f aca="false">IF($A709="","",$B709*IsverenPayiOrani)</f>
        <v/>
      </c>
      <c r="D709" s="22" t="str">
        <f aca="false">IF($A709="","",$B709*IssizlikOrani)</f>
        <v/>
      </c>
      <c r="E709" s="22" t="str">
        <f aca="false">IF($A709="","",$B709*KidemKarsilikOrani)</f>
        <v/>
      </c>
      <c r="F709" s="20"/>
      <c r="G709" s="22" t="str">
        <f aca="false">IF($A709="","",$B709+$C709+$D709+$E709+$F709)</f>
        <v/>
      </c>
      <c r="H709" s="22" t="str">
        <f aca="false">IF($A709="","",$G709*AySayisi)</f>
        <v/>
      </c>
    </row>
    <row r="710" customFormat="false" ht="15" hidden="false" customHeight="false" outlineLevel="0" collapsed="false">
      <c r="A710" s="19"/>
      <c r="B710" s="22" t="str">
        <f aca="false">IF($A710="","",IFERROR(INDEX(tblCalisan[Brüt Ücret (₺)],MATCH($A710,tblCalisan[Çalışan Adı],0)),""))</f>
        <v/>
      </c>
      <c r="C710" s="22" t="str">
        <f aca="false">IF($A710="","",$B710*IsverenPayiOrani)</f>
        <v/>
      </c>
      <c r="D710" s="22" t="str">
        <f aca="false">IF($A710="","",$B710*IssizlikOrani)</f>
        <v/>
      </c>
      <c r="E710" s="22" t="str">
        <f aca="false">IF($A710="","",$B710*KidemKarsilikOrani)</f>
        <v/>
      </c>
      <c r="F710" s="20"/>
      <c r="G710" s="22" t="str">
        <f aca="false">IF($A710="","",$B710+$C710+$D710+$E710+$F710)</f>
        <v/>
      </c>
      <c r="H710" s="22" t="str">
        <f aca="false">IF($A710="","",$G710*AySayisi)</f>
        <v/>
      </c>
    </row>
    <row r="711" customFormat="false" ht="15" hidden="false" customHeight="false" outlineLevel="0" collapsed="false">
      <c r="A711" s="19"/>
      <c r="B711" s="22" t="str">
        <f aca="false">IF($A711="","",IFERROR(INDEX(tblCalisan[Brüt Ücret (₺)],MATCH($A711,tblCalisan[Çalışan Adı],0)),""))</f>
        <v/>
      </c>
      <c r="C711" s="22" t="str">
        <f aca="false">IF($A711="","",$B711*IsverenPayiOrani)</f>
        <v/>
      </c>
      <c r="D711" s="22" t="str">
        <f aca="false">IF($A711="","",$B711*IssizlikOrani)</f>
        <v/>
      </c>
      <c r="E711" s="22" t="str">
        <f aca="false">IF($A711="","",$B711*KidemKarsilikOrani)</f>
        <v/>
      </c>
      <c r="F711" s="20"/>
      <c r="G711" s="22" t="str">
        <f aca="false">IF($A711="","",$B711+$C711+$D711+$E711+$F711)</f>
        <v/>
      </c>
      <c r="H711" s="22" t="str">
        <f aca="false">IF($A711="","",$G711*AySayisi)</f>
        <v/>
      </c>
    </row>
    <row r="712" customFormat="false" ht="15" hidden="false" customHeight="false" outlineLevel="0" collapsed="false">
      <c r="A712" s="19"/>
      <c r="B712" s="22" t="str">
        <f aca="false">IF($A712="","",IFERROR(INDEX(tblCalisan[Brüt Ücret (₺)],MATCH($A712,tblCalisan[Çalışan Adı],0)),""))</f>
        <v/>
      </c>
      <c r="C712" s="22" t="str">
        <f aca="false">IF($A712="","",$B712*IsverenPayiOrani)</f>
        <v/>
      </c>
      <c r="D712" s="22" t="str">
        <f aca="false">IF($A712="","",$B712*IssizlikOrani)</f>
        <v/>
      </c>
      <c r="E712" s="22" t="str">
        <f aca="false">IF($A712="","",$B712*KidemKarsilikOrani)</f>
        <v/>
      </c>
      <c r="F712" s="20"/>
      <c r="G712" s="22" t="str">
        <f aca="false">IF($A712="","",$B712+$C712+$D712+$E712+$F712)</f>
        <v/>
      </c>
      <c r="H712" s="22" t="str">
        <f aca="false">IF($A712="","",$G712*AySayisi)</f>
        <v/>
      </c>
    </row>
    <row r="713" customFormat="false" ht="15" hidden="false" customHeight="false" outlineLevel="0" collapsed="false">
      <c r="A713" s="19"/>
      <c r="B713" s="22" t="str">
        <f aca="false">IF($A713="","",IFERROR(INDEX(tblCalisan[Brüt Ücret (₺)],MATCH($A713,tblCalisan[Çalışan Adı],0)),""))</f>
        <v/>
      </c>
      <c r="C713" s="22" t="str">
        <f aca="false">IF($A713="","",$B713*IsverenPayiOrani)</f>
        <v/>
      </c>
      <c r="D713" s="22" t="str">
        <f aca="false">IF($A713="","",$B713*IssizlikOrani)</f>
        <v/>
      </c>
      <c r="E713" s="22" t="str">
        <f aca="false">IF($A713="","",$B713*KidemKarsilikOrani)</f>
        <v/>
      </c>
      <c r="F713" s="20"/>
      <c r="G713" s="22" t="str">
        <f aca="false">IF($A713="","",$B713+$C713+$D713+$E713+$F713)</f>
        <v/>
      </c>
      <c r="H713" s="22" t="str">
        <f aca="false">IF($A713="","",$G713*AySayisi)</f>
        <v/>
      </c>
    </row>
    <row r="714" customFormat="false" ht="15" hidden="false" customHeight="false" outlineLevel="0" collapsed="false">
      <c r="A714" s="19"/>
      <c r="B714" s="22" t="str">
        <f aca="false">IF($A714="","",IFERROR(INDEX(tblCalisan[Brüt Ücret (₺)],MATCH($A714,tblCalisan[Çalışan Adı],0)),""))</f>
        <v/>
      </c>
      <c r="C714" s="22" t="str">
        <f aca="false">IF($A714="","",$B714*IsverenPayiOrani)</f>
        <v/>
      </c>
      <c r="D714" s="22" t="str">
        <f aca="false">IF($A714="","",$B714*IssizlikOrani)</f>
        <v/>
      </c>
      <c r="E714" s="22" t="str">
        <f aca="false">IF($A714="","",$B714*KidemKarsilikOrani)</f>
        <v/>
      </c>
      <c r="F714" s="20"/>
      <c r="G714" s="22" t="str">
        <f aca="false">IF($A714="","",$B714+$C714+$D714+$E714+$F714)</f>
        <v/>
      </c>
      <c r="H714" s="22" t="str">
        <f aca="false">IF($A714="","",$G714*AySayisi)</f>
        <v/>
      </c>
    </row>
    <row r="715" customFormat="false" ht="15" hidden="false" customHeight="false" outlineLevel="0" collapsed="false">
      <c r="A715" s="19"/>
      <c r="B715" s="22" t="str">
        <f aca="false">IF($A715="","",IFERROR(INDEX(tblCalisan[Brüt Ücret (₺)],MATCH($A715,tblCalisan[Çalışan Adı],0)),""))</f>
        <v/>
      </c>
      <c r="C715" s="22" t="str">
        <f aca="false">IF($A715="","",$B715*IsverenPayiOrani)</f>
        <v/>
      </c>
      <c r="D715" s="22" t="str">
        <f aca="false">IF($A715="","",$B715*IssizlikOrani)</f>
        <v/>
      </c>
      <c r="E715" s="22" t="str">
        <f aca="false">IF($A715="","",$B715*KidemKarsilikOrani)</f>
        <v/>
      </c>
      <c r="F715" s="20"/>
      <c r="G715" s="22" t="str">
        <f aca="false">IF($A715="","",$B715+$C715+$D715+$E715+$F715)</f>
        <v/>
      </c>
      <c r="H715" s="22" t="str">
        <f aca="false">IF($A715="","",$G715*AySayisi)</f>
        <v/>
      </c>
    </row>
    <row r="716" customFormat="false" ht="15" hidden="false" customHeight="false" outlineLevel="0" collapsed="false">
      <c r="A716" s="19"/>
      <c r="B716" s="22" t="str">
        <f aca="false">IF($A716="","",IFERROR(INDEX(tblCalisan[Brüt Ücret (₺)],MATCH($A716,tblCalisan[Çalışan Adı],0)),""))</f>
        <v/>
      </c>
      <c r="C716" s="22" t="str">
        <f aca="false">IF($A716="","",$B716*IsverenPayiOrani)</f>
        <v/>
      </c>
      <c r="D716" s="22" t="str">
        <f aca="false">IF($A716="","",$B716*IssizlikOrani)</f>
        <v/>
      </c>
      <c r="E716" s="22" t="str">
        <f aca="false">IF($A716="","",$B716*KidemKarsilikOrani)</f>
        <v/>
      </c>
      <c r="F716" s="20"/>
      <c r="G716" s="22" t="str">
        <f aca="false">IF($A716="","",$B716+$C716+$D716+$E716+$F716)</f>
        <v/>
      </c>
      <c r="H716" s="22" t="str">
        <f aca="false">IF($A716="","",$G716*AySayisi)</f>
        <v/>
      </c>
    </row>
    <row r="717" customFormat="false" ht="15" hidden="false" customHeight="false" outlineLevel="0" collapsed="false">
      <c r="A717" s="19"/>
      <c r="B717" s="22" t="str">
        <f aca="false">IF($A717="","",IFERROR(INDEX(tblCalisan[Brüt Ücret (₺)],MATCH($A717,tblCalisan[Çalışan Adı],0)),""))</f>
        <v/>
      </c>
      <c r="C717" s="22" t="str">
        <f aca="false">IF($A717="","",$B717*IsverenPayiOrani)</f>
        <v/>
      </c>
      <c r="D717" s="22" t="str">
        <f aca="false">IF($A717="","",$B717*IssizlikOrani)</f>
        <v/>
      </c>
      <c r="E717" s="22" t="str">
        <f aca="false">IF($A717="","",$B717*KidemKarsilikOrani)</f>
        <v/>
      </c>
      <c r="F717" s="20"/>
      <c r="G717" s="22" t="str">
        <f aca="false">IF($A717="","",$B717+$C717+$D717+$E717+$F717)</f>
        <v/>
      </c>
      <c r="H717" s="22" t="str">
        <f aca="false">IF($A717="","",$G717*AySayisi)</f>
        <v/>
      </c>
    </row>
    <row r="718" customFormat="false" ht="15" hidden="false" customHeight="false" outlineLevel="0" collapsed="false">
      <c r="A718" s="19"/>
      <c r="B718" s="22" t="str">
        <f aca="false">IF($A718="","",IFERROR(INDEX(tblCalisan[Brüt Ücret (₺)],MATCH($A718,tblCalisan[Çalışan Adı],0)),""))</f>
        <v/>
      </c>
      <c r="C718" s="22" t="str">
        <f aca="false">IF($A718="","",$B718*IsverenPayiOrani)</f>
        <v/>
      </c>
      <c r="D718" s="22" t="str">
        <f aca="false">IF($A718="","",$B718*IssizlikOrani)</f>
        <v/>
      </c>
      <c r="E718" s="22" t="str">
        <f aca="false">IF($A718="","",$B718*KidemKarsilikOrani)</f>
        <v/>
      </c>
      <c r="F718" s="20"/>
      <c r="G718" s="22" t="str">
        <f aca="false">IF($A718="","",$B718+$C718+$D718+$E718+$F718)</f>
        <v/>
      </c>
      <c r="H718" s="22" t="str">
        <f aca="false">IF($A718="","",$G718*AySayisi)</f>
        <v/>
      </c>
    </row>
    <row r="719" customFormat="false" ht="15" hidden="false" customHeight="false" outlineLevel="0" collapsed="false">
      <c r="A719" s="19"/>
      <c r="B719" s="22" t="str">
        <f aca="false">IF($A719="","",IFERROR(INDEX(tblCalisan[Brüt Ücret (₺)],MATCH($A719,tblCalisan[Çalışan Adı],0)),""))</f>
        <v/>
      </c>
      <c r="C719" s="22" t="str">
        <f aca="false">IF($A719="","",$B719*IsverenPayiOrani)</f>
        <v/>
      </c>
      <c r="D719" s="22" t="str">
        <f aca="false">IF($A719="","",$B719*IssizlikOrani)</f>
        <v/>
      </c>
      <c r="E719" s="22" t="str">
        <f aca="false">IF($A719="","",$B719*KidemKarsilikOrani)</f>
        <v/>
      </c>
      <c r="F719" s="20"/>
      <c r="G719" s="22" t="str">
        <f aca="false">IF($A719="","",$B719+$C719+$D719+$E719+$F719)</f>
        <v/>
      </c>
      <c r="H719" s="22" t="str">
        <f aca="false">IF($A719="","",$G719*AySayisi)</f>
        <v/>
      </c>
    </row>
    <row r="720" customFormat="false" ht="15" hidden="false" customHeight="false" outlineLevel="0" collapsed="false">
      <c r="A720" s="19"/>
      <c r="B720" s="22" t="str">
        <f aca="false">IF($A720="","",IFERROR(INDEX(tblCalisan[Brüt Ücret (₺)],MATCH($A720,tblCalisan[Çalışan Adı],0)),""))</f>
        <v/>
      </c>
      <c r="C720" s="22" t="str">
        <f aca="false">IF($A720="","",$B720*IsverenPayiOrani)</f>
        <v/>
      </c>
      <c r="D720" s="22" t="str">
        <f aca="false">IF($A720="","",$B720*IssizlikOrani)</f>
        <v/>
      </c>
      <c r="E720" s="22" t="str">
        <f aca="false">IF($A720="","",$B720*KidemKarsilikOrani)</f>
        <v/>
      </c>
      <c r="F720" s="20"/>
      <c r="G720" s="22" t="str">
        <f aca="false">IF($A720="","",$B720+$C720+$D720+$E720+$F720)</f>
        <v/>
      </c>
      <c r="H720" s="22" t="str">
        <f aca="false">IF($A720="","",$G720*AySayisi)</f>
        <v/>
      </c>
    </row>
    <row r="721" customFormat="false" ht="15" hidden="false" customHeight="false" outlineLevel="0" collapsed="false">
      <c r="A721" s="19"/>
      <c r="B721" s="22" t="str">
        <f aca="false">IF($A721="","",IFERROR(INDEX(tblCalisan[Brüt Ücret (₺)],MATCH($A721,tblCalisan[Çalışan Adı],0)),""))</f>
        <v/>
      </c>
      <c r="C721" s="22" t="str">
        <f aca="false">IF($A721="","",$B721*IsverenPayiOrani)</f>
        <v/>
      </c>
      <c r="D721" s="22" t="str">
        <f aca="false">IF($A721="","",$B721*IssizlikOrani)</f>
        <v/>
      </c>
      <c r="E721" s="22" t="str">
        <f aca="false">IF($A721="","",$B721*KidemKarsilikOrani)</f>
        <v/>
      </c>
      <c r="F721" s="20"/>
      <c r="G721" s="22" t="str">
        <f aca="false">IF($A721="","",$B721+$C721+$D721+$E721+$F721)</f>
        <v/>
      </c>
      <c r="H721" s="22" t="str">
        <f aca="false">IF($A721="","",$G721*AySayisi)</f>
        <v/>
      </c>
    </row>
    <row r="722" customFormat="false" ht="15" hidden="false" customHeight="false" outlineLevel="0" collapsed="false">
      <c r="A722" s="19"/>
      <c r="B722" s="22" t="str">
        <f aca="false">IF($A722="","",IFERROR(INDEX(tblCalisan[Brüt Ücret (₺)],MATCH($A722,tblCalisan[Çalışan Adı],0)),""))</f>
        <v/>
      </c>
      <c r="C722" s="22" t="str">
        <f aca="false">IF($A722="","",$B722*IsverenPayiOrani)</f>
        <v/>
      </c>
      <c r="D722" s="22" t="str">
        <f aca="false">IF($A722="","",$B722*IssizlikOrani)</f>
        <v/>
      </c>
      <c r="E722" s="22" t="str">
        <f aca="false">IF($A722="","",$B722*KidemKarsilikOrani)</f>
        <v/>
      </c>
      <c r="F722" s="20"/>
      <c r="G722" s="22" t="str">
        <f aca="false">IF($A722="","",$B722+$C722+$D722+$E722+$F722)</f>
        <v/>
      </c>
      <c r="H722" s="22" t="str">
        <f aca="false">IF($A722="","",$G722*AySayisi)</f>
        <v/>
      </c>
    </row>
    <row r="723" customFormat="false" ht="15" hidden="false" customHeight="false" outlineLevel="0" collapsed="false">
      <c r="A723" s="19"/>
      <c r="B723" s="22" t="str">
        <f aca="false">IF($A723="","",IFERROR(INDEX(tblCalisan[Brüt Ücret (₺)],MATCH($A723,tblCalisan[Çalışan Adı],0)),""))</f>
        <v/>
      </c>
      <c r="C723" s="22" t="str">
        <f aca="false">IF($A723="","",$B723*IsverenPayiOrani)</f>
        <v/>
      </c>
      <c r="D723" s="22" t="str">
        <f aca="false">IF($A723="","",$B723*IssizlikOrani)</f>
        <v/>
      </c>
      <c r="E723" s="22" t="str">
        <f aca="false">IF($A723="","",$B723*KidemKarsilikOrani)</f>
        <v/>
      </c>
      <c r="F723" s="20"/>
      <c r="G723" s="22" t="str">
        <f aca="false">IF($A723="","",$B723+$C723+$D723+$E723+$F723)</f>
        <v/>
      </c>
      <c r="H723" s="22" t="str">
        <f aca="false">IF($A723="","",$G723*AySayisi)</f>
        <v/>
      </c>
    </row>
    <row r="724" customFormat="false" ht="15" hidden="false" customHeight="false" outlineLevel="0" collapsed="false">
      <c r="A724" s="19"/>
      <c r="B724" s="22" t="str">
        <f aca="false">IF($A724="","",IFERROR(INDEX(tblCalisan[Brüt Ücret (₺)],MATCH($A724,tblCalisan[Çalışan Adı],0)),""))</f>
        <v/>
      </c>
      <c r="C724" s="22" t="str">
        <f aca="false">IF($A724="","",$B724*IsverenPayiOrani)</f>
        <v/>
      </c>
      <c r="D724" s="22" t="str">
        <f aca="false">IF($A724="","",$B724*IssizlikOrani)</f>
        <v/>
      </c>
      <c r="E724" s="22" t="str">
        <f aca="false">IF($A724="","",$B724*KidemKarsilikOrani)</f>
        <v/>
      </c>
      <c r="F724" s="20"/>
      <c r="G724" s="22" t="str">
        <f aca="false">IF($A724="","",$B724+$C724+$D724+$E724+$F724)</f>
        <v/>
      </c>
      <c r="H724" s="22" t="str">
        <f aca="false">IF($A724="","",$G724*AySayisi)</f>
        <v/>
      </c>
    </row>
    <row r="725" customFormat="false" ht="15" hidden="false" customHeight="false" outlineLevel="0" collapsed="false">
      <c r="A725" s="19"/>
      <c r="B725" s="22" t="str">
        <f aca="false">IF($A725="","",IFERROR(INDEX(tblCalisan[Brüt Ücret (₺)],MATCH($A725,tblCalisan[Çalışan Adı],0)),""))</f>
        <v/>
      </c>
      <c r="C725" s="22" t="str">
        <f aca="false">IF($A725="","",$B725*IsverenPayiOrani)</f>
        <v/>
      </c>
      <c r="D725" s="22" t="str">
        <f aca="false">IF($A725="","",$B725*IssizlikOrani)</f>
        <v/>
      </c>
      <c r="E725" s="22" t="str">
        <f aca="false">IF($A725="","",$B725*KidemKarsilikOrani)</f>
        <v/>
      </c>
      <c r="F725" s="20"/>
      <c r="G725" s="22" t="str">
        <f aca="false">IF($A725="","",$B725+$C725+$D725+$E725+$F725)</f>
        <v/>
      </c>
      <c r="H725" s="22" t="str">
        <f aca="false">IF($A725="","",$G725*AySayisi)</f>
        <v/>
      </c>
    </row>
    <row r="726" customFormat="false" ht="15" hidden="false" customHeight="false" outlineLevel="0" collapsed="false">
      <c r="A726" s="19"/>
      <c r="B726" s="22" t="str">
        <f aca="false">IF($A726="","",IFERROR(INDEX(tblCalisan[Brüt Ücret (₺)],MATCH($A726,tblCalisan[Çalışan Adı],0)),""))</f>
        <v/>
      </c>
      <c r="C726" s="22" t="str">
        <f aca="false">IF($A726="","",$B726*IsverenPayiOrani)</f>
        <v/>
      </c>
      <c r="D726" s="22" t="str">
        <f aca="false">IF($A726="","",$B726*IssizlikOrani)</f>
        <v/>
      </c>
      <c r="E726" s="22" t="str">
        <f aca="false">IF($A726="","",$B726*KidemKarsilikOrani)</f>
        <v/>
      </c>
      <c r="F726" s="20"/>
      <c r="G726" s="22" t="str">
        <f aca="false">IF($A726="","",$B726+$C726+$D726+$E726+$F726)</f>
        <v/>
      </c>
      <c r="H726" s="22" t="str">
        <f aca="false">IF($A726="","",$G726*AySayisi)</f>
        <v/>
      </c>
    </row>
    <row r="727" customFormat="false" ht="15" hidden="false" customHeight="false" outlineLevel="0" collapsed="false">
      <c r="A727" s="19"/>
      <c r="B727" s="22" t="str">
        <f aca="false">IF($A727="","",IFERROR(INDEX(tblCalisan[Brüt Ücret (₺)],MATCH($A727,tblCalisan[Çalışan Adı],0)),""))</f>
        <v/>
      </c>
      <c r="C727" s="22" t="str">
        <f aca="false">IF($A727="","",$B727*IsverenPayiOrani)</f>
        <v/>
      </c>
      <c r="D727" s="22" t="str">
        <f aca="false">IF($A727="","",$B727*IssizlikOrani)</f>
        <v/>
      </c>
      <c r="E727" s="22" t="str">
        <f aca="false">IF($A727="","",$B727*KidemKarsilikOrani)</f>
        <v/>
      </c>
      <c r="F727" s="20"/>
      <c r="G727" s="22" t="str">
        <f aca="false">IF($A727="","",$B727+$C727+$D727+$E727+$F727)</f>
        <v/>
      </c>
      <c r="H727" s="22" t="str">
        <f aca="false">IF($A727="","",$G727*AySayisi)</f>
        <v/>
      </c>
    </row>
    <row r="728" customFormat="false" ht="15" hidden="false" customHeight="false" outlineLevel="0" collapsed="false">
      <c r="A728" s="19"/>
      <c r="B728" s="22" t="str">
        <f aca="false">IF($A728="","",IFERROR(INDEX(tblCalisan[Brüt Ücret (₺)],MATCH($A728,tblCalisan[Çalışan Adı],0)),""))</f>
        <v/>
      </c>
      <c r="C728" s="22" t="str">
        <f aca="false">IF($A728="","",$B728*IsverenPayiOrani)</f>
        <v/>
      </c>
      <c r="D728" s="22" t="str">
        <f aca="false">IF($A728="","",$B728*IssizlikOrani)</f>
        <v/>
      </c>
      <c r="E728" s="22" t="str">
        <f aca="false">IF($A728="","",$B728*KidemKarsilikOrani)</f>
        <v/>
      </c>
      <c r="F728" s="20"/>
      <c r="G728" s="22" t="str">
        <f aca="false">IF($A728="","",$B728+$C728+$D728+$E728+$F728)</f>
        <v/>
      </c>
      <c r="H728" s="22" t="str">
        <f aca="false">IF($A728="","",$G728*AySayisi)</f>
        <v/>
      </c>
    </row>
    <row r="729" customFormat="false" ht="15" hidden="false" customHeight="false" outlineLevel="0" collapsed="false">
      <c r="A729" s="19"/>
      <c r="B729" s="22" t="str">
        <f aca="false">IF($A729="","",IFERROR(INDEX(tblCalisan[Brüt Ücret (₺)],MATCH($A729,tblCalisan[Çalışan Adı],0)),""))</f>
        <v/>
      </c>
      <c r="C729" s="22" t="str">
        <f aca="false">IF($A729="","",$B729*IsverenPayiOrani)</f>
        <v/>
      </c>
      <c r="D729" s="22" t="str">
        <f aca="false">IF($A729="","",$B729*IssizlikOrani)</f>
        <v/>
      </c>
      <c r="E729" s="22" t="str">
        <f aca="false">IF($A729="","",$B729*KidemKarsilikOrani)</f>
        <v/>
      </c>
      <c r="F729" s="20"/>
      <c r="G729" s="22" t="str">
        <f aca="false">IF($A729="","",$B729+$C729+$D729+$E729+$F729)</f>
        <v/>
      </c>
      <c r="H729" s="22" t="str">
        <f aca="false">IF($A729="","",$G729*AySayisi)</f>
        <v/>
      </c>
    </row>
    <row r="730" customFormat="false" ht="15" hidden="false" customHeight="false" outlineLevel="0" collapsed="false">
      <c r="A730" s="19"/>
      <c r="B730" s="22" t="str">
        <f aca="false">IF($A730="","",IFERROR(INDEX(tblCalisan[Brüt Ücret (₺)],MATCH($A730,tblCalisan[Çalışan Adı],0)),""))</f>
        <v/>
      </c>
      <c r="C730" s="22" t="str">
        <f aca="false">IF($A730="","",$B730*IsverenPayiOrani)</f>
        <v/>
      </c>
      <c r="D730" s="22" t="str">
        <f aca="false">IF($A730="","",$B730*IssizlikOrani)</f>
        <v/>
      </c>
      <c r="E730" s="22" t="str">
        <f aca="false">IF($A730="","",$B730*KidemKarsilikOrani)</f>
        <v/>
      </c>
      <c r="F730" s="20"/>
      <c r="G730" s="22" t="str">
        <f aca="false">IF($A730="","",$B730+$C730+$D730+$E730+$F730)</f>
        <v/>
      </c>
      <c r="H730" s="22" t="str">
        <f aca="false">IF($A730="","",$G730*AySayisi)</f>
        <v/>
      </c>
    </row>
    <row r="731" customFormat="false" ht="15" hidden="false" customHeight="false" outlineLevel="0" collapsed="false">
      <c r="A731" s="19"/>
      <c r="B731" s="22" t="str">
        <f aca="false">IF($A731="","",IFERROR(INDEX(tblCalisan[Brüt Ücret (₺)],MATCH($A731,tblCalisan[Çalışan Adı],0)),""))</f>
        <v/>
      </c>
      <c r="C731" s="22" t="str">
        <f aca="false">IF($A731="","",$B731*IsverenPayiOrani)</f>
        <v/>
      </c>
      <c r="D731" s="22" t="str">
        <f aca="false">IF($A731="","",$B731*IssizlikOrani)</f>
        <v/>
      </c>
      <c r="E731" s="22" t="str">
        <f aca="false">IF($A731="","",$B731*KidemKarsilikOrani)</f>
        <v/>
      </c>
      <c r="F731" s="20"/>
      <c r="G731" s="22" t="str">
        <f aca="false">IF($A731="","",$B731+$C731+$D731+$E731+$F731)</f>
        <v/>
      </c>
      <c r="H731" s="22" t="str">
        <f aca="false">IF($A731="","",$G731*AySayisi)</f>
        <v/>
      </c>
    </row>
    <row r="732" customFormat="false" ht="15" hidden="false" customHeight="false" outlineLevel="0" collapsed="false">
      <c r="A732" s="19"/>
      <c r="B732" s="22" t="str">
        <f aca="false">IF($A732="","",IFERROR(INDEX(tblCalisan[Brüt Ücret (₺)],MATCH($A732,tblCalisan[Çalışan Adı],0)),""))</f>
        <v/>
      </c>
      <c r="C732" s="22" t="str">
        <f aca="false">IF($A732="","",$B732*IsverenPayiOrani)</f>
        <v/>
      </c>
      <c r="D732" s="22" t="str">
        <f aca="false">IF($A732="","",$B732*IssizlikOrani)</f>
        <v/>
      </c>
      <c r="E732" s="22" t="str">
        <f aca="false">IF($A732="","",$B732*KidemKarsilikOrani)</f>
        <v/>
      </c>
      <c r="F732" s="20"/>
      <c r="G732" s="22" t="str">
        <f aca="false">IF($A732="","",$B732+$C732+$D732+$E732+$F732)</f>
        <v/>
      </c>
      <c r="H732" s="22" t="str">
        <f aca="false">IF($A732="","",$G732*AySayisi)</f>
        <v/>
      </c>
    </row>
    <row r="733" customFormat="false" ht="15" hidden="false" customHeight="false" outlineLevel="0" collapsed="false">
      <c r="A733" s="19"/>
      <c r="B733" s="22" t="str">
        <f aca="false">IF($A733="","",IFERROR(INDEX(tblCalisan[Brüt Ücret (₺)],MATCH($A733,tblCalisan[Çalışan Adı],0)),""))</f>
        <v/>
      </c>
      <c r="C733" s="22" t="str">
        <f aca="false">IF($A733="","",$B733*IsverenPayiOrani)</f>
        <v/>
      </c>
      <c r="D733" s="22" t="str">
        <f aca="false">IF($A733="","",$B733*IssizlikOrani)</f>
        <v/>
      </c>
      <c r="E733" s="22" t="str">
        <f aca="false">IF($A733="","",$B733*KidemKarsilikOrani)</f>
        <v/>
      </c>
      <c r="F733" s="20"/>
      <c r="G733" s="22" t="str">
        <f aca="false">IF($A733="","",$B733+$C733+$D733+$E733+$F733)</f>
        <v/>
      </c>
      <c r="H733" s="22" t="str">
        <f aca="false">IF($A733="","",$G733*AySayisi)</f>
        <v/>
      </c>
    </row>
    <row r="734" customFormat="false" ht="15" hidden="false" customHeight="false" outlineLevel="0" collapsed="false">
      <c r="A734" s="19"/>
      <c r="B734" s="22" t="str">
        <f aca="false">IF($A734="","",IFERROR(INDEX(tblCalisan[Brüt Ücret (₺)],MATCH($A734,tblCalisan[Çalışan Adı],0)),""))</f>
        <v/>
      </c>
      <c r="C734" s="22" t="str">
        <f aca="false">IF($A734="","",$B734*IsverenPayiOrani)</f>
        <v/>
      </c>
      <c r="D734" s="22" t="str">
        <f aca="false">IF($A734="","",$B734*IssizlikOrani)</f>
        <v/>
      </c>
      <c r="E734" s="22" t="str">
        <f aca="false">IF($A734="","",$B734*KidemKarsilikOrani)</f>
        <v/>
      </c>
      <c r="F734" s="20"/>
      <c r="G734" s="22" t="str">
        <f aca="false">IF($A734="","",$B734+$C734+$D734+$E734+$F734)</f>
        <v/>
      </c>
      <c r="H734" s="22" t="str">
        <f aca="false">IF($A734="","",$G734*AySayisi)</f>
        <v/>
      </c>
    </row>
    <row r="735" customFormat="false" ht="15" hidden="false" customHeight="false" outlineLevel="0" collapsed="false">
      <c r="A735" s="19"/>
      <c r="B735" s="22" t="str">
        <f aca="false">IF($A735="","",IFERROR(INDEX(tblCalisan[Brüt Ücret (₺)],MATCH($A735,tblCalisan[Çalışan Adı],0)),""))</f>
        <v/>
      </c>
      <c r="C735" s="22" t="str">
        <f aca="false">IF($A735="","",$B735*IsverenPayiOrani)</f>
        <v/>
      </c>
      <c r="D735" s="22" t="str">
        <f aca="false">IF($A735="","",$B735*IssizlikOrani)</f>
        <v/>
      </c>
      <c r="E735" s="22" t="str">
        <f aca="false">IF($A735="","",$B735*KidemKarsilikOrani)</f>
        <v/>
      </c>
      <c r="F735" s="20"/>
      <c r="G735" s="22" t="str">
        <f aca="false">IF($A735="","",$B735+$C735+$D735+$E735+$F735)</f>
        <v/>
      </c>
      <c r="H735" s="22" t="str">
        <f aca="false">IF($A735="","",$G735*AySayisi)</f>
        <v/>
      </c>
    </row>
    <row r="736" customFormat="false" ht="15" hidden="false" customHeight="false" outlineLevel="0" collapsed="false">
      <c r="A736" s="19"/>
      <c r="B736" s="22" t="str">
        <f aca="false">IF($A736="","",IFERROR(INDEX(tblCalisan[Brüt Ücret (₺)],MATCH($A736,tblCalisan[Çalışan Adı],0)),""))</f>
        <v/>
      </c>
      <c r="C736" s="22" t="str">
        <f aca="false">IF($A736="","",$B736*IsverenPayiOrani)</f>
        <v/>
      </c>
      <c r="D736" s="22" t="str">
        <f aca="false">IF($A736="","",$B736*IssizlikOrani)</f>
        <v/>
      </c>
      <c r="E736" s="22" t="str">
        <f aca="false">IF($A736="","",$B736*KidemKarsilikOrani)</f>
        <v/>
      </c>
      <c r="F736" s="20"/>
      <c r="G736" s="22" t="str">
        <f aca="false">IF($A736="","",$B736+$C736+$D736+$E736+$F736)</f>
        <v/>
      </c>
      <c r="H736" s="22" t="str">
        <f aca="false">IF($A736="","",$G736*AySayisi)</f>
        <v/>
      </c>
    </row>
    <row r="737" customFormat="false" ht="15" hidden="false" customHeight="false" outlineLevel="0" collapsed="false">
      <c r="A737" s="19"/>
      <c r="B737" s="22" t="str">
        <f aca="false">IF($A737="","",IFERROR(INDEX(tblCalisan[Brüt Ücret (₺)],MATCH($A737,tblCalisan[Çalışan Adı],0)),""))</f>
        <v/>
      </c>
      <c r="C737" s="22" t="str">
        <f aca="false">IF($A737="","",$B737*IsverenPayiOrani)</f>
        <v/>
      </c>
      <c r="D737" s="22" t="str">
        <f aca="false">IF($A737="","",$B737*IssizlikOrani)</f>
        <v/>
      </c>
      <c r="E737" s="22" t="str">
        <f aca="false">IF($A737="","",$B737*KidemKarsilikOrani)</f>
        <v/>
      </c>
      <c r="F737" s="20"/>
      <c r="G737" s="22" t="str">
        <f aca="false">IF($A737="","",$B737+$C737+$D737+$E737+$F737)</f>
        <v/>
      </c>
      <c r="H737" s="22" t="str">
        <f aca="false">IF($A737="","",$G737*AySayisi)</f>
        <v/>
      </c>
    </row>
    <row r="738" customFormat="false" ht="15" hidden="false" customHeight="false" outlineLevel="0" collapsed="false">
      <c r="A738" s="19"/>
      <c r="B738" s="22" t="str">
        <f aca="false">IF($A738="","",IFERROR(INDEX(tblCalisan[Brüt Ücret (₺)],MATCH($A738,tblCalisan[Çalışan Adı],0)),""))</f>
        <v/>
      </c>
      <c r="C738" s="22" t="str">
        <f aca="false">IF($A738="","",$B738*IsverenPayiOrani)</f>
        <v/>
      </c>
      <c r="D738" s="22" t="str">
        <f aca="false">IF($A738="","",$B738*IssizlikOrani)</f>
        <v/>
      </c>
      <c r="E738" s="22" t="str">
        <f aca="false">IF($A738="","",$B738*KidemKarsilikOrani)</f>
        <v/>
      </c>
      <c r="F738" s="20"/>
      <c r="G738" s="22" t="str">
        <f aca="false">IF($A738="","",$B738+$C738+$D738+$E738+$F738)</f>
        <v/>
      </c>
      <c r="H738" s="22" t="str">
        <f aca="false">IF($A738="","",$G738*AySayisi)</f>
        <v/>
      </c>
    </row>
    <row r="739" customFormat="false" ht="15" hidden="false" customHeight="false" outlineLevel="0" collapsed="false">
      <c r="A739" s="19"/>
      <c r="B739" s="22" t="str">
        <f aca="false">IF($A739="","",IFERROR(INDEX(tblCalisan[Brüt Ücret (₺)],MATCH($A739,tblCalisan[Çalışan Adı],0)),""))</f>
        <v/>
      </c>
      <c r="C739" s="22" t="str">
        <f aca="false">IF($A739="","",$B739*IsverenPayiOrani)</f>
        <v/>
      </c>
      <c r="D739" s="22" t="str">
        <f aca="false">IF($A739="","",$B739*IssizlikOrani)</f>
        <v/>
      </c>
      <c r="E739" s="22" t="str">
        <f aca="false">IF($A739="","",$B739*KidemKarsilikOrani)</f>
        <v/>
      </c>
      <c r="F739" s="20"/>
      <c r="G739" s="22" t="str">
        <f aca="false">IF($A739="","",$B739+$C739+$D739+$E739+$F739)</f>
        <v/>
      </c>
      <c r="H739" s="22" t="str">
        <f aca="false">IF($A739="","",$G739*AySayisi)</f>
        <v/>
      </c>
    </row>
    <row r="740" customFormat="false" ht="15" hidden="false" customHeight="false" outlineLevel="0" collapsed="false">
      <c r="A740" s="19"/>
      <c r="B740" s="22" t="str">
        <f aca="false">IF($A740="","",IFERROR(INDEX(tblCalisan[Brüt Ücret (₺)],MATCH($A740,tblCalisan[Çalışan Adı],0)),""))</f>
        <v/>
      </c>
      <c r="C740" s="22" t="str">
        <f aca="false">IF($A740="","",$B740*IsverenPayiOrani)</f>
        <v/>
      </c>
      <c r="D740" s="22" t="str">
        <f aca="false">IF($A740="","",$B740*IssizlikOrani)</f>
        <v/>
      </c>
      <c r="E740" s="22" t="str">
        <f aca="false">IF($A740="","",$B740*KidemKarsilikOrani)</f>
        <v/>
      </c>
      <c r="F740" s="20"/>
      <c r="G740" s="22" t="str">
        <f aca="false">IF($A740="","",$B740+$C740+$D740+$E740+$F740)</f>
        <v/>
      </c>
      <c r="H740" s="22" t="str">
        <f aca="false">IF($A740="","",$G740*AySayisi)</f>
        <v/>
      </c>
    </row>
    <row r="741" customFormat="false" ht="15" hidden="false" customHeight="false" outlineLevel="0" collapsed="false">
      <c r="A741" s="19"/>
      <c r="B741" s="22" t="str">
        <f aca="false">IF($A741="","",IFERROR(INDEX(tblCalisan[Brüt Ücret (₺)],MATCH($A741,tblCalisan[Çalışan Adı],0)),""))</f>
        <v/>
      </c>
      <c r="C741" s="22" t="str">
        <f aca="false">IF($A741="","",$B741*IsverenPayiOrani)</f>
        <v/>
      </c>
      <c r="D741" s="22" t="str">
        <f aca="false">IF($A741="","",$B741*IssizlikOrani)</f>
        <v/>
      </c>
      <c r="E741" s="22" t="str">
        <f aca="false">IF($A741="","",$B741*KidemKarsilikOrani)</f>
        <v/>
      </c>
      <c r="F741" s="20"/>
      <c r="G741" s="22" t="str">
        <f aca="false">IF($A741="","",$B741+$C741+$D741+$E741+$F741)</f>
        <v/>
      </c>
      <c r="H741" s="22" t="str">
        <f aca="false">IF($A741="","",$G741*AySayisi)</f>
        <v/>
      </c>
    </row>
    <row r="742" customFormat="false" ht="15" hidden="false" customHeight="false" outlineLevel="0" collapsed="false">
      <c r="A742" s="19"/>
      <c r="B742" s="22" t="str">
        <f aca="false">IF($A742="","",IFERROR(INDEX(tblCalisan[Brüt Ücret (₺)],MATCH($A742,tblCalisan[Çalışan Adı],0)),""))</f>
        <v/>
      </c>
      <c r="C742" s="22" t="str">
        <f aca="false">IF($A742="","",$B742*IsverenPayiOrani)</f>
        <v/>
      </c>
      <c r="D742" s="22" t="str">
        <f aca="false">IF($A742="","",$B742*IssizlikOrani)</f>
        <v/>
      </c>
      <c r="E742" s="22" t="str">
        <f aca="false">IF($A742="","",$B742*KidemKarsilikOrani)</f>
        <v/>
      </c>
      <c r="F742" s="20"/>
      <c r="G742" s="22" t="str">
        <f aca="false">IF($A742="","",$B742+$C742+$D742+$E742+$F742)</f>
        <v/>
      </c>
      <c r="H742" s="22" t="str">
        <f aca="false">IF($A742="","",$G742*AySayisi)</f>
        <v/>
      </c>
    </row>
    <row r="743" customFormat="false" ht="15" hidden="false" customHeight="false" outlineLevel="0" collapsed="false">
      <c r="A743" s="19"/>
      <c r="B743" s="22" t="str">
        <f aca="false">IF($A743="","",IFERROR(INDEX(tblCalisan[Brüt Ücret (₺)],MATCH($A743,tblCalisan[Çalışan Adı],0)),""))</f>
        <v/>
      </c>
      <c r="C743" s="22" t="str">
        <f aca="false">IF($A743="","",$B743*IsverenPayiOrani)</f>
        <v/>
      </c>
      <c r="D743" s="22" t="str">
        <f aca="false">IF($A743="","",$B743*IssizlikOrani)</f>
        <v/>
      </c>
      <c r="E743" s="22" t="str">
        <f aca="false">IF($A743="","",$B743*KidemKarsilikOrani)</f>
        <v/>
      </c>
      <c r="F743" s="20"/>
      <c r="G743" s="22" t="str">
        <f aca="false">IF($A743="","",$B743+$C743+$D743+$E743+$F743)</f>
        <v/>
      </c>
      <c r="H743" s="22" t="str">
        <f aca="false">IF($A743="","",$G743*AySayisi)</f>
        <v/>
      </c>
    </row>
    <row r="744" customFormat="false" ht="15" hidden="false" customHeight="false" outlineLevel="0" collapsed="false">
      <c r="A744" s="19"/>
      <c r="B744" s="22" t="str">
        <f aca="false">IF($A744="","",IFERROR(INDEX(tblCalisan[Brüt Ücret (₺)],MATCH($A744,tblCalisan[Çalışan Adı],0)),""))</f>
        <v/>
      </c>
      <c r="C744" s="22" t="str">
        <f aca="false">IF($A744="","",$B744*IsverenPayiOrani)</f>
        <v/>
      </c>
      <c r="D744" s="22" t="str">
        <f aca="false">IF($A744="","",$B744*IssizlikOrani)</f>
        <v/>
      </c>
      <c r="E744" s="22" t="str">
        <f aca="false">IF($A744="","",$B744*KidemKarsilikOrani)</f>
        <v/>
      </c>
      <c r="F744" s="20"/>
      <c r="G744" s="22" t="str">
        <f aca="false">IF($A744="","",$B744+$C744+$D744+$E744+$F744)</f>
        <v/>
      </c>
      <c r="H744" s="22" t="str">
        <f aca="false">IF($A744="","",$G744*AySayisi)</f>
        <v/>
      </c>
    </row>
    <row r="745" customFormat="false" ht="15" hidden="false" customHeight="false" outlineLevel="0" collapsed="false">
      <c r="A745" s="19"/>
      <c r="B745" s="22" t="str">
        <f aca="false">IF($A745="","",IFERROR(INDEX(tblCalisan[Brüt Ücret (₺)],MATCH($A745,tblCalisan[Çalışan Adı],0)),""))</f>
        <v/>
      </c>
      <c r="C745" s="22" t="str">
        <f aca="false">IF($A745="","",$B745*IsverenPayiOrani)</f>
        <v/>
      </c>
      <c r="D745" s="22" t="str">
        <f aca="false">IF($A745="","",$B745*IssizlikOrani)</f>
        <v/>
      </c>
      <c r="E745" s="22" t="str">
        <f aca="false">IF($A745="","",$B745*KidemKarsilikOrani)</f>
        <v/>
      </c>
      <c r="F745" s="20"/>
      <c r="G745" s="22" t="str">
        <f aca="false">IF($A745="","",$B745+$C745+$D745+$E745+$F745)</f>
        <v/>
      </c>
      <c r="H745" s="22" t="str">
        <f aca="false">IF($A745="","",$G745*AySayisi)</f>
        <v/>
      </c>
    </row>
    <row r="746" customFormat="false" ht="15" hidden="false" customHeight="false" outlineLevel="0" collapsed="false">
      <c r="A746" s="19"/>
      <c r="B746" s="22" t="str">
        <f aca="false">IF($A746="","",IFERROR(INDEX(tblCalisan[Brüt Ücret (₺)],MATCH($A746,tblCalisan[Çalışan Adı],0)),""))</f>
        <v/>
      </c>
      <c r="C746" s="22" t="str">
        <f aca="false">IF($A746="","",$B746*IsverenPayiOrani)</f>
        <v/>
      </c>
      <c r="D746" s="22" t="str">
        <f aca="false">IF($A746="","",$B746*IssizlikOrani)</f>
        <v/>
      </c>
      <c r="E746" s="22" t="str">
        <f aca="false">IF($A746="","",$B746*KidemKarsilikOrani)</f>
        <v/>
      </c>
      <c r="F746" s="20"/>
      <c r="G746" s="22" t="str">
        <f aca="false">IF($A746="","",$B746+$C746+$D746+$E746+$F746)</f>
        <v/>
      </c>
      <c r="H746" s="22" t="str">
        <f aca="false">IF($A746="","",$G746*AySayisi)</f>
        <v/>
      </c>
    </row>
    <row r="747" customFormat="false" ht="15" hidden="false" customHeight="false" outlineLevel="0" collapsed="false">
      <c r="A747" s="19"/>
      <c r="B747" s="22" t="str">
        <f aca="false">IF($A747="","",IFERROR(INDEX(tblCalisan[Brüt Ücret (₺)],MATCH($A747,tblCalisan[Çalışan Adı],0)),""))</f>
        <v/>
      </c>
      <c r="C747" s="22" t="str">
        <f aca="false">IF($A747="","",$B747*IsverenPayiOrani)</f>
        <v/>
      </c>
      <c r="D747" s="22" t="str">
        <f aca="false">IF($A747="","",$B747*IssizlikOrani)</f>
        <v/>
      </c>
      <c r="E747" s="22" t="str">
        <f aca="false">IF($A747="","",$B747*KidemKarsilikOrani)</f>
        <v/>
      </c>
      <c r="F747" s="20"/>
      <c r="G747" s="22" t="str">
        <f aca="false">IF($A747="","",$B747+$C747+$D747+$E747+$F747)</f>
        <v/>
      </c>
      <c r="H747" s="22" t="str">
        <f aca="false">IF($A747="","",$G747*AySayisi)</f>
        <v/>
      </c>
    </row>
    <row r="748" customFormat="false" ht="15" hidden="false" customHeight="false" outlineLevel="0" collapsed="false">
      <c r="A748" s="19"/>
      <c r="B748" s="22" t="str">
        <f aca="false">IF($A748="","",IFERROR(INDEX(tblCalisan[Brüt Ücret (₺)],MATCH($A748,tblCalisan[Çalışan Adı],0)),""))</f>
        <v/>
      </c>
      <c r="C748" s="22" t="str">
        <f aca="false">IF($A748="","",$B748*IsverenPayiOrani)</f>
        <v/>
      </c>
      <c r="D748" s="22" t="str">
        <f aca="false">IF($A748="","",$B748*IssizlikOrani)</f>
        <v/>
      </c>
      <c r="E748" s="22" t="str">
        <f aca="false">IF($A748="","",$B748*KidemKarsilikOrani)</f>
        <v/>
      </c>
      <c r="F748" s="20"/>
      <c r="G748" s="22" t="str">
        <f aca="false">IF($A748="","",$B748+$C748+$D748+$E748+$F748)</f>
        <v/>
      </c>
      <c r="H748" s="22" t="str">
        <f aca="false">IF($A748="","",$G748*AySayisi)</f>
        <v/>
      </c>
    </row>
    <row r="749" customFormat="false" ht="15" hidden="false" customHeight="false" outlineLevel="0" collapsed="false">
      <c r="A749" s="19"/>
      <c r="B749" s="22" t="str">
        <f aca="false">IF($A749="","",IFERROR(INDEX(tblCalisan[Brüt Ücret (₺)],MATCH($A749,tblCalisan[Çalışan Adı],0)),""))</f>
        <v/>
      </c>
      <c r="C749" s="22" t="str">
        <f aca="false">IF($A749="","",$B749*IsverenPayiOrani)</f>
        <v/>
      </c>
      <c r="D749" s="22" t="str">
        <f aca="false">IF($A749="","",$B749*IssizlikOrani)</f>
        <v/>
      </c>
      <c r="E749" s="22" t="str">
        <f aca="false">IF($A749="","",$B749*KidemKarsilikOrani)</f>
        <v/>
      </c>
      <c r="F749" s="20"/>
      <c r="G749" s="22" t="str">
        <f aca="false">IF($A749="","",$B749+$C749+$D749+$E749+$F749)</f>
        <v/>
      </c>
      <c r="H749" s="22" t="str">
        <f aca="false">IF($A749="","",$G749*AySayisi)</f>
        <v/>
      </c>
    </row>
    <row r="750" customFormat="false" ht="15" hidden="false" customHeight="false" outlineLevel="0" collapsed="false">
      <c r="A750" s="19"/>
      <c r="B750" s="22" t="str">
        <f aca="false">IF($A750="","",IFERROR(INDEX(tblCalisan[Brüt Ücret (₺)],MATCH($A750,tblCalisan[Çalışan Adı],0)),""))</f>
        <v/>
      </c>
      <c r="C750" s="22" t="str">
        <f aca="false">IF($A750="","",$B750*IsverenPayiOrani)</f>
        <v/>
      </c>
      <c r="D750" s="22" t="str">
        <f aca="false">IF($A750="","",$B750*IssizlikOrani)</f>
        <v/>
      </c>
      <c r="E750" s="22" t="str">
        <f aca="false">IF($A750="","",$B750*KidemKarsilikOrani)</f>
        <v/>
      </c>
      <c r="F750" s="20"/>
      <c r="G750" s="22" t="str">
        <f aca="false">IF($A750="","",$B750+$C750+$D750+$E750+$F750)</f>
        <v/>
      </c>
      <c r="H750" s="22" t="str">
        <f aca="false">IF($A750="","",$G750*AySayisi)</f>
        <v/>
      </c>
    </row>
    <row r="751" customFormat="false" ht="15" hidden="false" customHeight="false" outlineLevel="0" collapsed="false">
      <c r="A751" s="19"/>
      <c r="B751" s="22" t="str">
        <f aca="false">IF($A751="","",IFERROR(INDEX(tblCalisan[Brüt Ücret (₺)],MATCH($A751,tblCalisan[Çalışan Adı],0)),""))</f>
        <v/>
      </c>
      <c r="C751" s="22" t="str">
        <f aca="false">IF($A751="","",$B751*IsverenPayiOrani)</f>
        <v/>
      </c>
      <c r="D751" s="22" t="str">
        <f aca="false">IF($A751="","",$B751*IssizlikOrani)</f>
        <v/>
      </c>
      <c r="E751" s="22" t="str">
        <f aca="false">IF($A751="","",$B751*KidemKarsilikOrani)</f>
        <v/>
      </c>
      <c r="F751" s="20"/>
      <c r="G751" s="22" t="str">
        <f aca="false">IF($A751="","",$B751+$C751+$D751+$E751+$F751)</f>
        <v/>
      </c>
      <c r="H751" s="22" t="str">
        <f aca="false">IF($A751="","",$G751*AySayisi)</f>
        <v/>
      </c>
    </row>
    <row r="752" customFormat="false" ht="15" hidden="false" customHeight="false" outlineLevel="0" collapsed="false">
      <c r="A752" s="19"/>
      <c r="B752" s="22" t="str">
        <f aca="false">IF($A752="","",IFERROR(INDEX(tblCalisan[Brüt Ücret (₺)],MATCH($A752,tblCalisan[Çalışan Adı],0)),""))</f>
        <v/>
      </c>
      <c r="C752" s="22" t="str">
        <f aca="false">IF($A752="","",$B752*IsverenPayiOrani)</f>
        <v/>
      </c>
      <c r="D752" s="22" t="str">
        <f aca="false">IF($A752="","",$B752*IssizlikOrani)</f>
        <v/>
      </c>
      <c r="E752" s="22" t="str">
        <f aca="false">IF($A752="","",$B752*KidemKarsilikOrani)</f>
        <v/>
      </c>
      <c r="F752" s="20"/>
      <c r="G752" s="22" t="str">
        <f aca="false">IF($A752="","",$B752+$C752+$D752+$E752+$F752)</f>
        <v/>
      </c>
      <c r="H752" s="22" t="str">
        <f aca="false">IF($A752="","",$G752*AySayisi)</f>
        <v/>
      </c>
    </row>
    <row r="753" customFormat="false" ht="15" hidden="false" customHeight="false" outlineLevel="0" collapsed="false">
      <c r="A753" s="19"/>
      <c r="B753" s="22" t="str">
        <f aca="false">IF($A753="","",IFERROR(INDEX(tblCalisan[Brüt Ücret (₺)],MATCH($A753,tblCalisan[Çalışan Adı],0)),""))</f>
        <v/>
      </c>
      <c r="C753" s="22" t="str">
        <f aca="false">IF($A753="","",$B753*IsverenPayiOrani)</f>
        <v/>
      </c>
      <c r="D753" s="22" t="str">
        <f aca="false">IF($A753="","",$B753*IssizlikOrani)</f>
        <v/>
      </c>
      <c r="E753" s="22" t="str">
        <f aca="false">IF($A753="","",$B753*KidemKarsilikOrani)</f>
        <v/>
      </c>
      <c r="F753" s="20"/>
      <c r="G753" s="22" t="str">
        <f aca="false">IF($A753="","",$B753+$C753+$D753+$E753+$F753)</f>
        <v/>
      </c>
      <c r="H753" s="22" t="str">
        <f aca="false">IF($A753="","",$G753*AySayisi)</f>
        <v/>
      </c>
    </row>
    <row r="754" customFormat="false" ht="15" hidden="false" customHeight="false" outlineLevel="0" collapsed="false">
      <c r="A754" s="19"/>
      <c r="B754" s="22" t="str">
        <f aca="false">IF($A754="","",IFERROR(INDEX(tblCalisan[Brüt Ücret (₺)],MATCH($A754,tblCalisan[Çalışan Adı],0)),""))</f>
        <v/>
      </c>
      <c r="C754" s="22" t="str">
        <f aca="false">IF($A754="","",$B754*IsverenPayiOrani)</f>
        <v/>
      </c>
      <c r="D754" s="22" t="str">
        <f aca="false">IF($A754="","",$B754*IssizlikOrani)</f>
        <v/>
      </c>
      <c r="E754" s="22" t="str">
        <f aca="false">IF($A754="","",$B754*KidemKarsilikOrani)</f>
        <v/>
      </c>
      <c r="F754" s="20"/>
      <c r="G754" s="22" t="str">
        <f aca="false">IF($A754="","",$B754+$C754+$D754+$E754+$F754)</f>
        <v/>
      </c>
      <c r="H754" s="22" t="str">
        <f aca="false">IF($A754="","",$G754*AySayisi)</f>
        <v/>
      </c>
    </row>
    <row r="755" customFormat="false" ht="15" hidden="false" customHeight="false" outlineLevel="0" collapsed="false">
      <c r="A755" s="19"/>
      <c r="B755" s="22" t="str">
        <f aca="false">IF($A755="","",IFERROR(INDEX(tblCalisan[Brüt Ücret (₺)],MATCH($A755,tblCalisan[Çalışan Adı],0)),""))</f>
        <v/>
      </c>
      <c r="C755" s="22" t="str">
        <f aca="false">IF($A755="","",$B755*IsverenPayiOrani)</f>
        <v/>
      </c>
      <c r="D755" s="22" t="str">
        <f aca="false">IF($A755="","",$B755*IssizlikOrani)</f>
        <v/>
      </c>
      <c r="E755" s="22" t="str">
        <f aca="false">IF($A755="","",$B755*KidemKarsilikOrani)</f>
        <v/>
      </c>
      <c r="F755" s="20"/>
      <c r="G755" s="22" t="str">
        <f aca="false">IF($A755="","",$B755+$C755+$D755+$E755+$F755)</f>
        <v/>
      </c>
      <c r="H755" s="22" t="str">
        <f aca="false">IF($A755="","",$G755*AySayisi)</f>
        <v/>
      </c>
    </row>
    <row r="756" customFormat="false" ht="15" hidden="false" customHeight="false" outlineLevel="0" collapsed="false">
      <c r="A756" s="19"/>
      <c r="B756" s="22" t="str">
        <f aca="false">IF($A756="","",IFERROR(INDEX(tblCalisan[Brüt Ücret (₺)],MATCH($A756,tblCalisan[Çalışan Adı],0)),""))</f>
        <v/>
      </c>
      <c r="C756" s="22" t="str">
        <f aca="false">IF($A756="","",$B756*IsverenPayiOrani)</f>
        <v/>
      </c>
      <c r="D756" s="22" t="str">
        <f aca="false">IF($A756="","",$B756*IssizlikOrani)</f>
        <v/>
      </c>
      <c r="E756" s="22" t="str">
        <f aca="false">IF($A756="","",$B756*KidemKarsilikOrani)</f>
        <v/>
      </c>
      <c r="F756" s="20"/>
      <c r="G756" s="22" t="str">
        <f aca="false">IF($A756="","",$B756+$C756+$D756+$E756+$F756)</f>
        <v/>
      </c>
      <c r="H756" s="22" t="str">
        <f aca="false">IF($A756="","",$G756*AySayisi)</f>
        <v/>
      </c>
    </row>
    <row r="757" customFormat="false" ht="15" hidden="false" customHeight="false" outlineLevel="0" collapsed="false">
      <c r="A757" s="19"/>
      <c r="B757" s="22" t="str">
        <f aca="false">IF($A757="","",IFERROR(INDEX(tblCalisan[Brüt Ücret (₺)],MATCH($A757,tblCalisan[Çalışan Adı],0)),""))</f>
        <v/>
      </c>
      <c r="C757" s="22" t="str">
        <f aca="false">IF($A757="","",$B757*IsverenPayiOrani)</f>
        <v/>
      </c>
      <c r="D757" s="22" t="str">
        <f aca="false">IF($A757="","",$B757*IssizlikOrani)</f>
        <v/>
      </c>
      <c r="E757" s="22" t="str">
        <f aca="false">IF($A757="","",$B757*KidemKarsilikOrani)</f>
        <v/>
      </c>
      <c r="F757" s="20"/>
      <c r="G757" s="22" t="str">
        <f aca="false">IF($A757="","",$B757+$C757+$D757+$E757+$F757)</f>
        <v/>
      </c>
      <c r="H757" s="22" t="str">
        <f aca="false">IF($A757="","",$G757*AySayisi)</f>
        <v/>
      </c>
    </row>
    <row r="758" customFormat="false" ht="15" hidden="false" customHeight="false" outlineLevel="0" collapsed="false">
      <c r="A758" s="19"/>
      <c r="B758" s="22" t="str">
        <f aca="false">IF($A758="","",IFERROR(INDEX(tblCalisan[Brüt Ücret (₺)],MATCH($A758,tblCalisan[Çalışan Adı],0)),""))</f>
        <v/>
      </c>
      <c r="C758" s="22" t="str">
        <f aca="false">IF($A758="","",$B758*IsverenPayiOrani)</f>
        <v/>
      </c>
      <c r="D758" s="22" t="str">
        <f aca="false">IF($A758="","",$B758*IssizlikOrani)</f>
        <v/>
      </c>
      <c r="E758" s="22" t="str">
        <f aca="false">IF($A758="","",$B758*KidemKarsilikOrani)</f>
        <v/>
      </c>
      <c r="F758" s="20"/>
      <c r="G758" s="22" t="str">
        <f aca="false">IF($A758="","",$B758+$C758+$D758+$E758+$F758)</f>
        <v/>
      </c>
      <c r="H758" s="22" t="str">
        <f aca="false">IF($A758="","",$G758*AySayisi)</f>
        <v/>
      </c>
    </row>
    <row r="759" customFormat="false" ht="15" hidden="false" customHeight="false" outlineLevel="0" collapsed="false">
      <c r="A759" s="19"/>
      <c r="B759" s="22" t="str">
        <f aca="false">IF($A759="","",IFERROR(INDEX(tblCalisan[Brüt Ücret (₺)],MATCH($A759,tblCalisan[Çalışan Adı],0)),""))</f>
        <v/>
      </c>
      <c r="C759" s="22" t="str">
        <f aca="false">IF($A759="","",$B759*IsverenPayiOrani)</f>
        <v/>
      </c>
      <c r="D759" s="22" t="str">
        <f aca="false">IF($A759="","",$B759*IssizlikOrani)</f>
        <v/>
      </c>
      <c r="E759" s="22" t="str">
        <f aca="false">IF($A759="","",$B759*KidemKarsilikOrani)</f>
        <v/>
      </c>
      <c r="F759" s="20"/>
      <c r="G759" s="22" t="str">
        <f aca="false">IF($A759="","",$B759+$C759+$D759+$E759+$F759)</f>
        <v/>
      </c>
      <c r="H759" s="22" t="str">
        <f aca="false">IF($A759="","",$G759*AySayisi)</f>
        <v/>
      </c>
    </row>
    <row r="760" customFormat="false" ht="15" hidden="false" customHeight="false" outlineLevel="0" collapsed="false">
      <c r="A760" s="19"/>
      <c r="B760" s="22" t="str">
        <f aca="false">IF($A760="","",IFERROR(INDEX(tblCalisan[Brüt Ücret (₺)],MATCH($A760,tblCalisan[Çalışan Adı],0)),""))</f>
        <v/>
      </c>
      <c r="C760" s="22" t="str">
        <f aca="false">IF($A760="","",$B760*IsverenPayiOrani)</f>
        <v/>
      </c>
      <c r="D760" s="22" t="str">
        <f aca="false">IF($A760="","",$B760*IssizlikOrani)</f>
        <v/>
      </c>
      <c r="E760" s="22" t="str">
        <f aca="false">IF($A760="","",$B760*KidemKarsilikOrani)</f>
        <v/>
      </c>
      <c r="F760" s="20"/>
      <c r="G760" s="22" t="str">
        <f aca="false">IF($A760="","",$B760+$C760+$D760+$E760+$F760)</f>
        <v/>
      </c>
      <c r="H760" s="22" t="str">
        <f aca="false">IF($A760="","",$G760*AySayisi)</f>
        <v/>
      </c>
    </row>
    <row r="761" customFormat="false" ht="15" hidden="false" customHeight="false" outlineLevel="0" collapsed="false">
      <c r="A761" s="19"/>
      <c r="B761" s="22" t="str">
        <f aca="false">IF($A761="","",IFERROR(INDEX(tblCalisan[Brüt Ücret (₺)],MATCH($A761,tblCalisan[Çalışan Adı],0)),""))</f>
        <v/>
      </c>
      <c r="C761" s="22" t="str">
        <f aca="false">IF($A761="","",$B761*IsverenPayiOrani)</f>
        <v/>
      </c>
      <c r="D761" s="22" t="str">
        <f aca="false">IF($A761="","",$B761*IssizlikOrani)</f>
        <v/>
      </c>
      <c r="E761" s="22" t="str">
        <f aca="false">IF($A761="","",$B761*KidemKarsilikOrani)</f>
        <v/>
      </c>
      <c r="F761" s="20"/>
      <c r="G761" s="22" t="str">
        <f aca="false">IF($A761="","",$B761+$C761+$D761+$E761+$F761)</f>
        <v/>
      </c>
      <c r="H761" s="22" t="str">
        <f aca="false">IF($A761="","",$G761*AySayisi)</f>
        <v/>
      </c>
    </row>
    <row r="762" customFormat="false" ht="15" hidden="false" customHeight="false" outlineLevel="0" collapsed="false">
      <c r="A762" s="19"/>
      <c r="B762" s="22" t="str">
        <f aca="false">IF($A762="","",IFERROR(INDEX(tblCalisan[Brüt Ücret (₺)],MATCH($A762,tblCalisan[Çalışan Adı],0)),""))</f>
        <v/>
      </c>
      <c r="C762" s="22" t="str">
        <f aca="false">IF($A762="","",$B762*IsverenPayiOrani)</f>
        <v/>
      </c>
      <c r="D762" s="22" t="str">
        <f aca="false">IF($A762="","",$B762*IssizlikOrani)</f>
        <v/>
      </c>
      <c r="E762" s="22" t="str">
        <f aca="false">IF($A762="","",$B762*KidemKarsilikOrani)</f>
        <v/>
      </c>
      <c r="F762" s="20"/>
      <c r="G762" s="22" t="str">
        <f aca="false">IF($A762="","",$B762+$C762+$D762+$E762+$F762)</f>
        <v/>
      </c>
      <c r="H762" s="22" t="str">
        <f aca="false">IF($A762="","",$G762*AySayisi)</f>
        <v/>
      </c>
    </row>
    <row r="763" customFormat="false" ht="15" hidden="false" customHeight="false" outlineLevel="0" collapsed="false">
      <c r="A763" s="19"/>
      <c r="B763" s="22" t="str">
        <f aca="false">IF($A763="","",IFERROR(INDEX(tblCalisan[Brüt Ücret (₺)],MATCH($A763,tblCalisan[Çalışan Adı],0)),""))</f>
        <v/>
      </c>
      <c r="C763" s="22" t="str">
        <f aca="false">IF($A763="","",$B763*IsverenPayiOrani)</f>
        <v/>
      </c>
      <c r="D763" s="22" t="str">
        <f aca="false">IF($A763="","",$B763*IssizlikOrani)</f>
        <v/>
      </c>
      <c r="E763" s="22" t="str">
        <f aca="false">IF($A763="","",$B763*KidemKarsilikOrani)</f>
        <v/>
      </c>
      <c r="F763" s="20"/>
      <c r="G763" s="22" t="str">
        <f aca="false">IF($A763="","",$B763+$C763+$D763+$E763+$F763)</f>
        <v/>
      </c>
      <c r="H763" s="22" t="str">
        <f aca="false">IF($A763="","",$G763*AySayisi)</f>
        <v/>
      </c>
    </row>
    <row r="764" customFormat="false" ht="15" hidden="false" customHeight="false" outlineLevel="0" collapsed="false">
      <c r="A764" s="19"/>
      <c r="B764" s="22" t="str">
        <f aca="false">IF($A764="","",IFERROR(INDEX(tblCalisan[Brüt Ücret (₺)],MATCH($A764,tblCalisan[Çalışan Adı],0)),""))</f>
        <v/>
      </c>
      <c r="C764" s="22" t="str">
        <f aca="false">IF($A764="","",$B764*IsverenPayiOrani)</f>
        <v/>
      </c>
      <c r="D764" s="22" t="str">
        <f aca="false">IF($A764="","",$B764*IssizlikOrani)</f>
        <v/>
      </c>
      <c r="E764" s="22" t="str">
        <f aca="false">IF($A764="","",$B764*KidemKarsilikOrani)</f>
        <v/>
      </c>
      <c r="F764" s="20"/>
      <c r="G764" s="22" t="str">
        <f aca="false">IF($A764="","",$B764+$C764+$D764+$E764+$F764)</f>
        <v/>
      </c>
      <c r="H764" s="22" t="str">
        <f aca="false">IF($A764="","",$G764*AySayisi)</f>
        <v/>
      </c>
    </row>
    <row r="765" customFormat="false" ht="15" hidden="false" customHeight="false" outlineLevel="0" collapsed="false">
      <c r="A765" s="19"/>
      <c r="B765" s="22" t="str">
        <f aca="false">IF($A765="","",IFERROR(INDEX(tblCalisan[Brüt Ücret (₺)],MATCH($A765,tblCalisan[Çalışan Adı],0)),""))</f>
        <v/>
      </c>
      <c r="C765" s="22" t="str">
        <f aca="false">IF($A765="","",$B765*IsverenPayiOrani)</f>
        <v/>
      </c>
      <c r="D765" s="22" t="str">
        <f aca="false">IF($A765="","",$B765*IssizlikOrani)</f>
        <v/>
      </c>
      <c r="E765" s="22" t="str">
        <f aca="false">IF($A765="","",$B765*KidemKarsilikOrani)</f>
        <v/>
      </c>
      <c r="F765" s="20"/>
      <c r="G765" s="22" t="str">
        <f aca="false">IF($A765="","",$B765+$C765+$D765+$E765+$F765)</f>
        <v/>
      </c>
      <c r="H765" s="22" t="str">
        <f aca="false">IF($A765="","",$G765*AySayisi)</f>
        <v/>
      </c>
    </row>
    <row r="766" customFormat="false" ht="15" hidden="false" customHeight="false" outlineLevel="0" collapsed="false">
      <c r="A766" s="19"/>
      <c r="B766" s="22" t="str">
        <f aca="false">IF($A766="","",IFERROR(INDEX(tblCalisan[Brüt Ücret (₺)],MATCH($A766,tblCalisan[Çalışan Adı],0)),""))</f>
        <v/>
      </c>
      <c r="C766" s="22" t="str">
        <f aca="false">IF($A766="","",$B766*IsverenPayiOrani)</f>
        <v/>
      </c>
      <c r="D766" s="22" t="str">
        <f aca="false">IF($A766="","",$B766*IssizlikOrani)</f>
        <v/>
      </c>
      <c r="E766" s="22" t="str">
        <f aca="false">IF($A766="","",$B766*KidemKarsilikOrani)</f>
        <v/>
      </c>
      <c r="F766" s="20"/>
      <c r="G766" s="22" t="str">
        <f aca="false">IF($A766="","",$B766+$C766+$D766+$E766+$F766)</f>
        <v/>
      </c>
      <c r="H766" s="22" t="str">
        <f aca="false">IF($A766="","",$G766*AySayisi)</f>
        <v/>
      </c>
    </row>
    <row r="767" customFormat="false" ht="15" hidden="false" customHeight="false" outlineLevel="0" collapsed="false">
      <c r="A767" s="19"/>
      <c r="B767" s="22" t="str">
        <f aca="false">IF($A767="","",IFERROR(INDEX(tblCalisan[Brüt Ücret (₺)],MATCH($A767,tblCalisan[Çalışan Adı],0)),""))</f>
        <v/>
      </c>
      <c r="C767" s="22" t="str">
        <f aca="false">IF($A767="","",$B767*IsverenPayiOrani)</f>
        <v/>
      </c>
      <c r="D767" s="22" t="str">
        <f aca="false">IF($A767="","",$B767*IssizlikOrani)</f>
        <v/>
      </c>
      <c r="E767" s="22" t="str">
        <f aca="false">IF($A767="","",$B767*KidemKarsilikOrani)</f>
        <v/>
      </c>
      <c r="F767" s="20"/>
      <c r="G767" s="22" t="str">
        <f aca="false">IF($A767="","",$B767+$C767+$D767+$E767+$F767)</f>
        <v/>
      </c>
      <c r="H767" s="22" t="str">
        <f aca="false">IF($A767="","",$G767*AySayisi)</f>
        <v/>
      </c>
    </row>
    <row r="768" customFormat="false" ht="15" hidden="false" customHeight="false" outlineLevel="0" collapsed="false">
      <c r="A768" s="19"/>
      <c r="B768" s="22" t="str">
        <f aca="false">IF($A768="","",IFERROR(INDEX(tblCalisan[Brüt Ücret (₺)],MATCH($A768,tblCalisan[Çalışan Adı],0)),""))</f>
        <v/>
      </c>
      <c r="C768" s="22" t="str">
        <f aca="false">IF($A768="","",$B768*IsverenPayiOrani)</f>
        <v/>
      </c>
      <c r="D768" s="22" t="str">
        <f aca="false">IF($A768="","",$B768*IssizlikOrani)</f>
        <v/>
      </c>
      <c r="E768" s="22" t="str">
        <f aca="false">IF($A768="","",$B768*KidemKarsilikOrani)</f>
        <v/>
      </c>
      <c r="F768" s="20"/>
      <c r="G768" s="22" t="str">
        <f aca="false">IF($A768="","",$B768+$C768+$D768+$E768+$F768)</f>
        <v/>
      </c>
      <c r="H768" s="22" t="str">
        <f aca="false">IF($A768="","",$G768*AySayisi)</f>
        <v/>
      </c>
    </row>
    <row r="769" customFormat="false" ht="15" hidden="false" customHeight="false" outlineLevel="0" collapsed="false">
      <c r="A769" s="19"/>
      <c r="B769" s="22" t="str">
        <f aca="false">IF($A769="","",IFERROR(INDEX(tblCalisan[Brüt Ücret (₺)],MATCH($A769,tblCalisan[Çalışan Adı],0)),""))</f>
        <v/>
      </c>
      <c r="C769" s="22" t="str">
        <f aca="false">IF($A769="","",$B769*IsverenPayiOrani)</f>
        <v/>
      </c>
      <c r="D769" s="22" t="str">
        <f aca="false">IF($A769="","",$B769*IssizlikOrani)</f>
        <v/>
      </c>
      <c r="E769" s="22" t="str">
        <f aca="false">IF($A769="","",$B769*KidemKarsilikOrani)</f>
        <v/>
      </c>
      <c r="F769" s="20"/>
      <c r="G769" s="22" t="str">
        <f aca="false">IF($A769="","",$B769+$C769+$D769+$E769+$F769)</f>
        <v/>
      </c>
      <c r="H769" s="22" t="str">
        <f aca="false">IF($A769="","",$G769*AySayisi)</f>
        <v/>
      </c>
    </row>
    <row r="770" customFormat="false" ht="15" hidden="false" customHeight="false" outlineLevel="0" collapsed="false">
      <c r="A770" s="19"/>
      <c r="B770" s="22" t="str">
        <f aca="false">IF($A770="","",IFERROR(INDEX(tblCalisan[Brüt Ücret (₺)],MATCH($A770,tblCalisan[Çalışan Adı],0)),""))</f>
        <v/>
      </c>
      <c r="C770" s="22" t="str">
        <f aca="false">IF($A770="","",$B770*IsverenPayiOrani)</f>
        <v/>
      </c>
      <c r="D770" s="22" t="str">
        <f aca="false">IF($A770="","",$B770*IssizlikOrani)</f>
        <v/>
      </c>
      <c r="E770" s="22" t="str">
        <f aca="false">IF($A770="","",$B770*KidemKarsilikOrani)</f>
        <v/>
      </c>
      <c r="F770" s="20"/>
      <c r="G770" s="22" t="str">
        <f aca="false">IF($A770="","",$B770+$C770+$D770+$E770+$F770)</f>
        <v/>
      </c>
      <c r="H770" s="22" t="str">
        <f aca="false">IF($A770="","",$G770*AySayisi)</f>
        <v/>
      </c>
    </row>
    <row r="771" customFormat="false" ht="15" hidden="false" customHeight="false" outlineLevel="0" collapsed="false">
      <c r="A771" s="19"/>
      <c r="B771" s="22" t="str">
        <f aca="false">IF($A771="","",IFERROR(INDEX(tblCalisan[Brüt Ücret (₺)],MATCH($A771,tblCalisan[Çalışan Adı],0)),""))</f>
        <v/>
      </c>
      <c r="C771" s="22" t="str">
        <f aca="false">IF($A771="","",$B771*IsverenPayiOrani)</f>
        <v/>
      </c>
      <c r="D771" s="22" t="str">
        <f aca="false">IF($A771="","",$B771*IssizlikOrani)</f>
        <v/>
      </c>
      <c r="E771" s="22" t="str">
        <f aca="false">IF($A771="","",$B771*KidemKarsilikOrani)</f>
        <v/>
      </c>
      <c r="F771" s="20"/>
      <c r="G771" s="22" t="str">
        <f aca="false">IF($A771="","",$B771+$C771+$D771+$E771+$F771)</f>
        <v/>
      </c>
      <c r="H771" s="22" t="str">
        <f aca="false">IF($A771="","",$G771*AySayisi)</f>
        <v/>
      </c>
    </row>
    <row r="772" customFormat="false" ht="15" hidden="false" customHeight="false" outlineLevel="0" collapsed="false">
      <c r="A772" s="19"/>
      <c r="B772" s="22" t="str">
        <f aca="false">IF($A772="","",IFERROR(INDEX(tblCalisan[Brüt Ücret (₺)],MATCH($A772,tblCalisan[Çalışan Adı],0)),""))</f>
        <v/>
      </c>
      <c r="C772" s="22" t="str">
        <f aca="false">IF($A772="","",$B772*IsverenPayiOrani)</f>
        <v/>
      </c>
      <c r="D772" s="22" t="str">
        <f aca="false">IF($A772="","",$B772*IssizlikOrani)</f>
        <v/>
      </c>
      <c r="E772" s="22" t="str">
        <f aca="false">IF($A772="","",$B772*KidemKarsilikOrani)</f>
        <v/>
      </c>
      <c r="F772" s="20"/>
      <c r="G772" s="22" t="str">
        <f aca="false">IF($A772="","",$B772+$C772+$D772+$E772+$F772)</f>
        <v/>
      </c>
      <c r="H772" s="22" t="str">
        <f aca="false">IF($A772="","",$G772*AySayisi)</f>
        <v/>
      </c>
    </row>
    <row r="773" customFormat="false" ht="15" hidden="false" customHeight="false" outlineLevel="0" collapsed="false">
      <c r="A773" s="19"/>
      <c r="B773" s="22" t="str">
        <f aca="false">IF($A773="","",IFERROR(INDEX(tblCalisan[Brüt Ücret (₺)],MATCH($A773,tblCalisan[Çalışan Adı],0)),""))</f>
        <v/>
      </c>
      <c r="C773" s="22" t="str">
        <f aca="false">IF($A773="","",$B773*IsverenPayiOrani)</f>
        <v/>
      </c>
      <c r="D773" s="22" t="str">
        <f aca="false">IF($A773="","",$B773*IssizlikOrani)</f>
        <v/>
      </c>
      <c r="E773" s="22" t="str">
        <f aca="false">IF($A773="","",$B773*KidemKarsilikOrani)</f>
        <v/>
      </c>
      <c r="F773" s="20"/>
      <c r="G773" s="22" t="str">
        <f aca="false">IF($A773="","",$B773+$C773+$D773+$E773+$F773)</f>
        <v/>
      </c>
      <c r="H773" s="22" t="str">
        <f aca="false">IF($A773="","",$G773*AySayisi)</f>
        <v/>
      </c>
    </row>
    <row r="774" customFormat="false" ht="15" hidden="false" customHeight="false" outlineLevel="0" collapsed="false">
      <c r="A774" s="19"/>
      <c r="B774" s="22" t="str">
        <f aca="false">IF($A774="","",IFERROR(INDEX(tblCalisan[Brüt Ücret (₺)],MATCH($A774,tblCalisan[Çalışan Adı],0)),""))</f>
        <v/>
      </c>
      <c r="C774" s="22" t="str">
        <f aca="false">IF($A774="","",$B774*IsverenPayiOrani)</f>
        <v/>
      </c>
      <c r="D774" s="22" t="str">
        <f aca="false">IF($A774="","",$B774*IssizlikOrani)</f>
        <v/>
      </c>
      <c r="E774" s="22" t="str">
        <f aca="false">IF($A774="","",$B774*KidemKarsilikOrani)</f>
        <v/>
      </c>
      <c r="F774" s="20"/>
      <c r="G774" s="22" t="str">
        <f aca="false">IF($A774="","",$B774+$C774+$D774+$E774+$F774)</f>
        <v/>
      </c>
      <c r="H774" s="22" t="str">
        <f aca="false">IF($A774="","",$G774*AySayisi)</f>
        <v/>
      </c>
    </row>
    <row r="775" customFormat="false" ht="15" hidden="false" customHeight="false" outlineLevel="0" collapsed="false">
      <c r="A775" s="19"/>
      <c r="B775" s="22" t="str">
        <f aca="false">IF($A775="","",IFERROR(INDEX(tblCalisan[Brüt Ücret (₺)],MATCH($A775,tblCalisan[Çalışan Adı],0)),""))</f>
        <v/>
      </c>
      <c r="C775" s="22" t="str">
        <f aca="false">IF($A775="","",$B775*IsverenPayiOrani)</f>
        <v/>
      </c>
      <c r="D775" s="22" t="str">
        <f aca="false">IF($A775="","",$B775*IssizlikOrani)</f>
        <v/>
      </c>
      <c r="E775" s="22" t="str">
        <f aca="false">IF($A775="","",$B775*KidemKarsilikOrani)</f>
        <v/>
      </c>
      <c r="F775" s="20"/>
      <c r="G775" s="22" t="str">
        <f aca="false">IF($A775="","",$B775+$C775+$D775+$E775+$F775)</f>
        <v/>
      </c>
      <c r="H775" s="22" t="str">
        <f aca="false">IF($A775="","",$G775*AySayisi)</f>
        <v/>
      </c>
    </row>
    <row r="776" customFormat="false" ht="15" hidden="false" customHeight="false" outlineLevel="0" collapsed="false">
      <c r="A776" s="19"/>
      <c r="B776" s="22" t="str">
        <f aca="false">IF($A776="","",IFERROR(INDEX(tblCalisan[Brüt Ücret (₺)],MATCH($A776,tblCalisan[Çalışan Adı],0)),""))</f>
        <v/>
      </c>
      <c r="C776" s="22" t="str">
        <f aca="false">IF($A776="","",$B776*IsverenPayiOrani)</f>
        <v/>
      </c>
      <c r="D776" s="22" t="str">
        <f aca="false">IF($A776="","",$B776*IssizlikOrani)</f>
        <v/>
      </c>
      <c r="E776" s="22" t="str">
        <f aca="false">IF($A776="","",$B776*KidemKarsilikOrani)</f>
        <v/>
      </c>
      <c r="F776" s="20"/>
      <c r="G776" s="22" t="str">
        <f aca="false">IF($A776="","",$B776+$C776+$D776+$E776+$F776)</f>
        <v/>
      </c>
      <c r="H776" s="22" t="str">
        <f aca="false">IF($A776="","",$G776*AySayisi)</f>
        <v/>
      </c>
    </row>
    <row r="777" customFormat="false" ht="15" hidden="false" customHeight="false" outlineLevel="0" collapsed="false">
      <c r="A777" s="19"/>
      <c r="B777" s="22" t="str">
        <f aca="false">IF($A777="","",IFERROR(INDEX(tblCalisan[Brüt Ücret (₺)],MATCH($A777,tblCalisan[Çalışan Adı],0)),""))</f>
        <v/>
      </c>
      <c r="C777" s="22" t="str">
        <f aca="false">IF($A777="","",$B777*IsverenPayiOrani)</f>
        <v/>
      </c>
      <c r="D777" s="22" t="str">
        <f aca="false">IF($A777="","",$B777*IssizlikOrani)</f>
        <v/>
      </c>
      <c r="E777" s="22" t="str">
        <f aca="false">IF($A777="","",$B777*KidemKarsilikOrani)</f>
        <v/>
      </c>
      <c r="F777" s="20"/>
      <c r="G777" s="22" t="str">
        <f aca="false">IF($A777="","",$B777+$C777+$D777+$E777+$F777)</f>
        <v/>
      </c>
      <c r="H777" s="22" t="str">
        <f aca="false">IF($A777="","",$G777*AySayisi)</f>
        <v/>
      </c>
    </row>
    <row r="778" customFormat="false" ht="15" hidden="false" customHeight="false" outlineLevel="0" collapsed="false">
      <c r="A778" s="19"/>
      <c r="B778" s="22" t="str">
        <f aca="false">IF($A778="","",IFERROR(INDEX(tblCalisan[Brüt Ücret (₺)],MATCH($A778,tblCalisan[Çalışan Adı],0)),""))</f>
        <v/>
      </c>
      <c r="C778" s="22" t="str">
        <f aca="false">IF($A778="","",$B778*IsverenPayiOrani)</f>
        <v/>
      </c>
      <c r="D778" s="22" t="str">
        <f aca="false">IF($A778="","",$B778*IssizlikOrani)</f>
        <v/>
      </c>
      <c r="E778" s="22" t="str">
        <f aca="false">IF($A778="","",$B778*KidemKarsilikOrani)</f>
        <v/>
      </c>
      <c r="F778" s="20"/>
      <c r="G778" s="22" t="str">
        <f aca="false">IF($A778="","",$B778+$C778+$D778+$E778+$F778)</f>
        <v/>
      </c>
      <c r="H778" s="22" t="str">
        <f aca="false">IF($A778="","",$G778*AySayisi)</f>
        <v/>
      </c>
    </row>
    <row r="779" customFormat="false" ht="15" hidden="false" customHeight="false" outlineLevel="0" collapsed="false">
      <c r="A779" s="19"/>
      <c r="B779" s="22" t="str">
        <f aca="false">IF($A779="","",IFERROR(INDEX(tblCalisan[Brüt Ücret (₺)],MATCH($A779,tblCalisan[Çalışan Adı],0)),""))</f>
        <v/>
      </c>
      <c r="C779" s="22" t="str">
        <f aca="false">IF($A779="","",$B779*IsverenPayiOrani)</f>
        <v/>
      </c>
      <c r="D779" s="22" t="str">
        <f aca="false">IF($A779="","",$B779*IssizlikOrani)</f>
        <v/>
      </c>
      <c r="E779" s="22" t="str">
        <f aca="false">IF($A779="","",$B779*KidemKarsilikOrani)</f>
        <v/>
      </c>
      <c r="F779" s="20"/>
      <c r="G779" s="22" t="str">
        <f aca="false">IF($A779="","",$B779+$C779+$D779+$E779+$F779)</f>
        <v/>
      </c>
      <c r="H779" s="22" t="str">
        <f aca="false">IF($A779="","",$G779*AySayisi)</f>
        <v/>
      </c>
    </row>
    <row r="780" customFormat="false" ht="15" hidden="false" customHeight="false" outlineLevel="0" collapsed="false">
      <c r="A780" s="19"/>
      <c r="B780" s="22" t="str">
        <f aca="false">IF($A780="","",IFERROR(INDEX(tblCalisan[Brüt Ücret (₺)],MATCH($A780,tblCalisan[Çalışan Adı],0)),""))</f>
        <v/>
      </c>
      <c r="C780" s="22" t="str">
        <f aca="false">IF($A780="","",$B780*IsverenPayiOrani)</f>
        <v/>
      </c>
      <c r="D780" s="22" t="str">
        <f aca="false">IF($A780="","",$B780*IssizlikOrani)</f>
        <v/>
      </c>
      <c r="E780" s="22" t="str">
        <f aca="false">IF($A780="","",$B780*KidemKarsilikOrani)</f>
        <v/>
      </c>
      <c r="F780" s="20"/>
      <c r="G780" s="22" t="str">
        <f aca="false">IF($A780="","",$B780+$C780+$D780+$E780+$F780)</f>
        <v/>
      </c>
      <c r="H780" s="22" t="str">
        <f aca="false">IF($A780="","",$G780*AySayisi)</f>
        <v/>
      </c>
    </row>
    <row r="781" customFormat="false" ht="15" hidden="false" customHeight="false" outlineLevel="0" collapsed="false">
      <c r="A781" s="19"/>
      <c r="B781" s="22" t="str">
        <f aca="false">IF($A781="","",IFERROR(INDEX(tblCalisan[Brüt Ücret (₺)],MATCH($A781,tblCalisan[Çalışan Adı],0)),""))</f>
        <v/>
      </c>
      <c r="C781" s="22" t="str">
        <f aca="false">IF($A781="","",$B781*IsverenPayiOrani)</f>
        <v/>
      </c>
      <c r="D781" s="22" t="str">
        <f aca="false">IF($A781="","",$B781*IssizlikOrani)</f>
        <v/>
      </c>
      <c r="E781" s="22" t="str">
        <f aca="false">IF($A781="","",$B781*KidemKarsilikOrani)</f>
        <v/>
      </c>
      <c r="F781" s="20"/>
      <c r="G781" s="22" t="str">
        <f aca="false">IF($A781="","",$B781+$C781+$D781+$E781+$F781)</f>
        <v/>
      </c>
      <c r="H781" s="22" t="str">
        <f aca="false">IF($A781="","",$G781*AySayisi)</f>
        <v/>
      </c>
    </row>
    <row r="782" customFormat="false" ht="15" hidden="false" customHeight="false" outlineLevel="0" collapsed="false">
      <c r="A782" s="19"/>
      <c r="B782" s="22" t="str">
        <f aca="false">IF($A782="","",IFERROR(INDEX(tblCalisan[Brüt Ücret (₺)],MATCH($A782,tblCalisan[Çalışan Adı],0)),""))</f>
        <v/>
      </c>
      <c r="C782" s="22" t="str">
        <f aca="false">IF($A782="","",$B782*IsverenPayiOrani)</f>
        <v/>
      </c>
      <c r="D782" s="22" t="str">
        <f aca="false">IF($A782="","",$B782*IssizlikOrani)</f>
        <v/>
      </c>
      <c r="E782" s="22" t="str">
        <f aca="false">IF($A782="","",$B782*KidemKarsilikOrani)</f>
        <v/>
      </c>
      <c r="F782" s="20"/>
      <c r="G782" s="22" t="str">
        <f aca="false">IF($A782="","",$B782+$C782+$D782+$E782+$F782)</f>
        <v/>
      </c>
      <c r="H782" s="22" t="str">
        <f aca="false">IF($A782="","",$G782*AySayisi)</f>
        <v/>
      </c>
    </row>
    <row r="783" customFormat="false" ht="15" hidden="false" customHeight="false" outlineLevel="0" collapsed="false">
      <c r="A783" s="19"/>
      <c r="B783" s="22" t="str">
        <f aca="false">IF($A783="","",IFERROR(INDEX(tblCalisan[Brüt Ücret (₺)],MATCH($A783,tblCalisan[Çalışan Adı],0)),""))</f>
        <v/>
      </c>
      <c r="C783" s="22" t="str">
        <f aca="false">IF($A783="","",$B783*IsverenPayiOrani)</f>
        <v/>
      </c>
      <c r="D783" s="22" t="str">
        <f aca="false">IF($A783="","",$B783*IssizlikOrani)</f>
        <v/>
      </c>
      <c r="E783" s="22" t="str">
        <f aca="false">IF($A783="","",$B783*KidemKarsilikOrani)</f>
        <v/>
      </c>
      <c r="F783" s="20"/>
      <c r="G783" s="22" t="str">
        <f aca="false">IF($A783="","",$B783+$C783+$D783+$E783+$F783)</f>
        <v/>
      </c>
      <c r="H783" s="22" t="str">
        <f aca="false">IF($A783="","",$G783*AySayisi)</f>
        <v/>
      </c>
    </row>
    <row r="784" customFormat="false" ht="15" hidden="false" customHeight="false" outlineLevel="0" collapsed="false">
      <c r="A784" s="19"/>
      <c r="B784" s="22" t="str">
        <f aca="false">IF($A784="","",IFERROR(INDEX(tblCalisan[Brüt Ücret (₺)],MATCH($A784,tblCalisan[Çalışan Adı],0)),""))</f>
        <v/>
      </c>
      <c r="C784" s="22" t="str">
        <f aca="false">IF($A784="","",$B784*IsverenPayiOrani)</f>
        <v/>
      </c>
      <c r="D784" s="22" t="str">
        <f aca="false">IF($A784="","",$B784*IssizlikOrani)</f>
        <v/>
      </c>
      <c r="E784" s="22" t="str">
        <f aca="false">IF($A784="","",$B784*KidemKarsilikOrani)</f>
        <v/>
      </c>
      <c r="F784" s="20"/>
      <c r="G784" s="22" t="str">
        <f aca="false">IF($A784="","",$B784+$C784+$D784+$E784+$F784)</f>
        <v/>
      </c>
      <c r="H784" s="22" t="str">
        <f aca="false">IF($A784="","",$G784*AySayisi)</f>
        <v/>
      </c>
    </row>
    <row r="785" customFormat="false" ht="15" hidden="false" customHeight="false" outlineLevel="0" collapsed="false">
      <c r="A785" s="19"/>
      <c r="B785" s="22" t="str">
        <f aca="false">IF($A785="","",IFERROR(INDEX(tblCalisan[Brüt Ücret (₺)],MATCH($A785,tblCalisan[Çalışan Adı],0)),""))</f>
        <v/>
      </c>
      <c r="C785" s="22" t="str">
        <f aca="false">IF($A785="","",$B785*IsverenPayiOrani)</f>
        <v/>
      </c>
      <c r="D785" s="22" t="str">
        <f aca="false">IF($A785="","",$B785*IssizlikOrani)</f>
        <v/>
      </c>
      <c r="E785" s="22" t="str">
        <f aca="false">IF($A785="","",$B785*KidemKarsilikOrani)</f>
        <v/>
      </c>
      <c r="F785" s="20"/>
      <c r="G785" s="22" t="str">
        <f aca="false">IF($A785="","",$B785+$C785+$D785+$E785+$F785)</f>
        <v/>
      </c>
      <c r="H785" s="22" t="str">
        <f aca="false">IF($A785="","",$G785*AySayisi)</f>
        <v/>
      </c>
    </row>
    <row r="786" customFormat="false" ht="15" hidden="false" customHeight="false" outlineLevel="0" collapsed="false">
      <c r="A786" s="19"/>
      <c r="B786" s="22" t="str">
        <f aca="false">IF($A786="","",IFERROR(INDEX(tblCalisan[Brüt Ücret (₺)],MATCH($A786,tblCalisan[Çalışan Adı],0)),""))</f>
        <v/>
      </c>
      <c r="C786" s="22" t="str">
        <f aca="false">IF($A786="","",$B786*IsverenPayiOrani)</f>
        <v/>
      </c>
      <c r="D786" s="22" t="str">
        <f aca="false">IF($A786="","",$B786*IssizlikOrani)</f>
        <v/>
      </c>
      <c r="E786" s="22" t="str">
        <f aca="false">IF($A786="","",$B786*KidemKarsilikOrani)</f>
        <v/>
      </c>
      <c r="F786" s="20"/>
      <c r="G786" s="22" t="str">
        <f aca="false">IF($A786="","",$B786+$C786+$D786+$E786+$F786)</f>
        <v/>
      </c>
      <c r="H786" s="22" t="str">
        <f aca="false">IF($A786="","",$G786*AySayisi)</f>
        <v/>
      </c>
    </row>
    <row r="787" customFormat="false" ht="15" hidden="false" customHeight="false" outlineLevel="0" collapsed="false">
      <c r="A787" s="19"/>
      <c r="B787" s="22" t="str">
        <f aca="false">IF($A787="","",IFERROR(INDEX(tblCalisan[Brüt Ücret (₺)],MATCH($A787,tblCalisan[Çalışan Adı],0)),""))</f>
        <v/>
      </c>
      <c r="C787" s="22" t="str">
        <f aca="false">IF($A787="","",$B787*IsverenPayiOrani)</f>
        <v/>
      </c>
      <c r="D787" s="22" t="str">
        <f aca="false">IF($A787="","",$B787*IssizlikOrani)</f>
        <v/>
      </c>
      <c r="E787" s="22" t="str">
        <f aca="false">IF($A787="","",$B787*KidemKarsilikOrani)</f>
        <v/>
      </c>
      <c r="F787" s="20"/>
      <c r="G787" s="22" t="str">
        <f aca="false">IF($A787="","",$B787+$C787+$D787+$E787+$F787)</f>
        <v/>
      </c>
      <c r="H787" s="22" t="str">
        <f aca="false">IF($A787="","",$G787*AySayisi)</f>
        <v/>
      </c>
    </row>
    <row r="788" customFormat="false" ht="15" hidden="false" customHeight="false" outlineLevel="0" collapsed="false">
      <c r="A788" s="19"/>
      <c r="B788" s="22" t="str">
        <f aca="false">IF($A788="","",IFERROR(INDEX(tblCalisan[Brüt Ücret (₺)],MATCH($A788,tblCalisan[Çalışan Adı],0)),""))</f>
        <v/>
      </c>
      <c r="C788" s="22" t="str">
        <f aca="false">IF($A788="","",$B788*IsverenPayiOrani)</f>
        <v/>
      </c>
      <c r="D788" s="22" t="str">
        <f aca="false">IF($A788="","",$B788*IssizlikOrani)</f>
        <v/>
      </c>
      <c r="E788" s="22" t="str">
        <f aca="false">IF($A788="","",$B788*KidemKarsilikOrani)</f>
        <v/>
      </c>
      <c r="F788" s="20"/>
      <c r="G788" s="22" t="str">
        <f aca="false">IF($A788="","",$B788+$C788+$D788+$E788+$F788)</f>
        <v/>
      </c>
      <c r="H788" s="22" t="str">
        <f aca="false">IF($A788="","",$G788*AySayisi)</f>
        <v/>
      </c>
    </row>
    <row r="789" customFormat="false" ht="15" hidden="false" customHeight="false" outlineLevel="0" collapsed="false">
      <c r="A789" s="19"/>
      <c r="B789" s="22" t="str">
        <f aca="false">IF($A789="","",IFERROR(INDEX(tblCalisan[Brüt Ücret (₺)],MATCH($A789,tblCalisan[Çalışan Adı],0)),""))</f>
        <v/>
      </c>
      <c r="C789" s="22" t="str">
        <f aca="false">IF($A789="","",$B789*IsverenPayiOrani)</f>
        <v/>
      </c>
      <c r="D789" s="22" t="str">
        <f aca="false">IF($A789="","",$B789*IssizlikOrani)</f>
        <v/>
      </c>
      <c r="E789" s="22" t="str">
        <f aca="false">IF($A789="","",$B789*KidemKarsilikOrani)</f>
        <v/>
      </c>
      <c r="F789" s="20"/>
      <c r="G789" s="22" t="str">
        <f aca="false">IF($A789="","",$B789+$C789+$D789+$E789+$F789)</f>
        <v/>
      </c>
      <c r="H789" s="22" t="str">
        <f aca="false">IF($A789="","",$G789*AySayisi)</f>
        <v/>
      </c>
    </row>
    <row r="790" customFormat="false" ht="15" hidden="false" customHeight="false" outlineLevel="0" collapsed="false">
      <c r="A790" s="19"/>
      <c r="B790" s="22" t="str">
        <f aca="false">IF($A790="","",IFERROR(INDEX(tblCalisan[Brüt Ücret (₺)],MATCH($A790,tblCalisan[Çalışan Adı],0)),""))</f>
        <v/>
      </c>
      <c r="C790" s="22" t="str">
        <f aca="false">IF($A790="","",$B790*IsverenPayiOrani)</f>
        <v/>
      </c>
      <c r="D790" s="22" t="str">
        <f aca="false">IF($A790="","",$B790*IssizlikOrani)</f>
        <v/>
      </c>
      <c r="E790" s="22" t="str">
        <f aca="false">IF($A790="","",$B790*KidemKarsilikOrani)</f>
        <v/>
      </c>
      <c r="F790" s="20"/>
      <c r="G790" s="22" t="str">
        <f aca="false">IF($A790="","",$B790+$C790+$D790+$E790+$F790)</f>
        <v/>
      </c>
      <c r="H790" s="22" t="str">
        <f aca="false">IF($A790="","",$G790*AySayisi)</f>
        <v/>
      </c>
    </row>
    <row r="791" customFormat="false" ht="15" hidden="false" customHeight="false" outlineLevel="0" collapsed="false">
      <c r="A791" s="19"/>
      <c r="B791" s="22" t="str">
        <f aca="false">IF($A791="","",IFERROR(INDEX(tblCalisan[Brüt Ücret (₺)],MATCH($A791,tblCalisan[Çalışan Adı],0)),""))</f>
        <v/>
      </c>
      <c r="C791" s="22" t="str">
        <f aca="false">IF($A791="","",$B791*IsverenPayiOrani)</f>
        <v/>
      </c>
      <c r="D791" s="22" t="str">
        <f aca="false">IF($A791="","",$B791*IssizlikOrani)</f>
        <v/>
      </c>
      <c r="E791" s="22" t="str">
        <f aca="false">IF($A791="","",$B791*KidemKarsilikOrani)</f>
        <v/>
      </c>
      <c r="F791" s="20"/>
      <c r="G791" s="22" t="str">
        <f aca="false">IF($A791="","",$B791+$C791+$D791+$E791+$F791)</f>
        <v/>
      </c>
      <c r="H791" s="22" t="str">
        <f aca="false">IF($A791="","",$G791*AySayisi)</f>
        <v/>
      </c>
    </row>
    <row r="792" customFormat="false" ht="15" hidden="false" customHeight="false" outlineLevel="0" collapsed="false">
      <c r="A792" s="19"/>
      <c r="B792" s="22" t="str">
        <f aca="false">IF($A792="","",IFERROR(INDEX(tblCalisan[Brüt Ücret (₺)],MATCH($A792,tblCalisan[Çalışan Adı],0)),""))</f>
        <v/>
      </c>
      <c r="C792" s="22" t="str">
        <f aca="false">IF($A792="","",$B792*IsverenPayiOrani)</f>
        <v/>
      </c>
      <c r="D792" s="22" t="str">
        <f aca="false">IF($A792="","",$B792*IssizlikOrani)</f>
        <v/>
      </c>
      <c r="E792" s="22" t="str">
        <f aca="false">IF($A792="","",$B792*KidemKarsilikOrani)</f>
        <v/>
      </c>
      <c r="F792" s="20"/>
      <c r="G792" s="22" t="str">
        <f aca="false">IF($A792="","",$B792+$C792+$D792+$E792+$F792)</f>
        <v/>
      </c>
      <c r="H792" s="22" t="str">
        <f aca="false">IF($A792="","",$G792*AySayisi)</f>
        <v/>
      </c>
    </row>
    <row r="793" customFormat="false" ht="15" hidden="false" customHeight="false" outlineLevel="0" collapsed="false">
      <c r="A793" s="19"/>
      <c r="B793" s="22" t="str">
        <f aca="false">IF($A793="","",IFERROR(INDEX(tblCalisan[Brüt Ücret (₺)],MATCH($A793,tblCalisan[Çalışan Adı],0)),""))</f>
        <v/>
      </c>
      <c r="C793" s="22" t="str">
        <f aca="false">IF($A793="","",$B793*IsverenPayiOrani)</f>
        <v/>
      </c>
      <c r="D793" s="22" t="str">
        <f aca="false">IF($A793="","",$B793*IssizlikOrani)</f>
        <v/>
      </c>
      <c r="E793" s="22" t="str">
        <f aca="false">IF($A793="","",$B793*KidemKarsilikOrani)</f>
        <v/>
      </c>
      <c r="F793" s="20"/>
      <c r="G793" s="22" t="str">
        <f aca="false">IF($A793="","",$B793+$C793+$D793+$E793+$F793)</f>
        <v/>
      </c>
      <c r="H793" s="22" t="str">
        <f aca="false">IF($A793="","",$G793*AySayisi)</f>
        <v/>
      </c>
    </row>
    <row r="794" customFormat="false" ht="15" hidden="false" customHeight="false" outlineLevel="0" collapsed="false">
      <c r="A794" s="19"/>
      <c r="B794" s="22" t="str">
        <f aca="false">IF($A794="","",IFERROR(INDEX(tblCalisan[Brüt Ücret (₺)],MATCH($A794,tblCalisan[Çalışan Adı],0)),""))</f>
        <v/>
      </c>
      <c r="C794" s="22" t="str">
        <f aca="false">IF($A794="","",$B794*IsverenPayiOrani)</f>
        <v/>
      </c>
      <c r="D794" s="22" t="str">
        <f aca="false">IF($A794="","",$B794*IssizlikOrani)</f>
        <v/>
      </c>
      <c r="E794" s="22" t="str">
        <f aca="false">IF($A794="","",$B794*KidemKarsilikOrani)</f>
        <v/>
      </c>
      <c r="F794" s="20"/>
      <c r="G794" s="22" t="str">
        <f aca="false">IF($A794="","",$B794+$C794+$D794+$E794+$F794)</f>
        <v/>
      </c>
      <c r="H794" s="22" t="str">
        <f aca="false">IF($A794="","",$G794*AySayisi)</f>
        <v/>
      </c>
    </row>
    <row r="795" customFormat="false" ht="15" hidden="false" customHeight="false" outlineLevel="0" collapsed="false">
      <c r="A795" s="19"/>
      <c r="B795" s="22" t="str">
        <f aca="false">IF($A795="","",IFERROR(INDEX(tblCalisan[Brüt Ücret (₺)],MATCH($A795,tblCalisan[Çalışan Adı],0)),""))</f>
        <v/>
      </c>
      <c r="C795" s="22" t="str">
        <f aca="false">IF($A795="","",$B795*IsverenPayiOrani)</f>
        <v/>
      </c>
      <c r="D795" s="22" t="str">
        <f aca="false">IF($A795="","",$B795*IssizlikOrani)</f>
        <v/>
      </c>
      <c r="E795" s="22" t="str">
        <f aca="false">IF($A795="","",$B795*KidemKarsilikOrani)</f>
        <v/>
      </c>
      <c r="F795" s="20"/>
      <c r="G795" s="22" t="str">
        <f aca="false">IF($A795="","",$B795+$C795+$D795+$E795+$F795)</f>
        <v/>
      </c>
      <c r="H795" s="22" t="str">
        <f aca="false">IF($A795="","",$G795*AySayisi)</f>
        <v/>
      </c>
    </row>
    <row r="796" customFormat="false" ht="15" hidden="false" customHeight="false" outlineLevel="0" collapsed="false">
      <c r="A796" s="19"/>
      <c r="B796" s="22" t="str">
        <f aca="false">IF($A796="","",IFERROR(INDEX(tblCalisan[Brüt Ücret (₺)],MATCH($A796,tblCalisan[Çalışan Adı],0)),""))</f>
        <v/>
      </c>
      <c r="C796" s="22" t="str">
        <f aca="false">IF($A796="","",$B796*IsverenPayiOrani)</f>
        <v/>
      </c>
      <c r="D796" s="22" t="str">
        <f aca="false">IF($A796="","",$B796*IssizlikOrani)</f>
        <v/>
      </c>
      <c r="E796" s="22" t="str">
        <f aca="false">IF($A796="","",$B796*KidemKarsilikOrani)</f>
        <v/>
      </c>
      <c r="F796" s="20"/>
      <c r="G796" s="22" t="str">
        <f aca="false">IF($A796="","",$B796+$C796+$D796+$E796+$F796)</f>
        <v/>
      </c>
      <c r="H796" s="22" t="str">
        <f aca="false">IF($A796="","",$G796*AySayisi)</f>
        <v/>
      </c>
    </row>
    <row r="797" customFormat="false" ht="15" hidden="false" customHeight="false" outlineLevel="0" collapsed="false">
      <c r="A797" s="19"/>
      <c r="B797" s="22" t="str">
        <f aca="false">IF($A797="","",IFERROR(INDEX(tblCalisan[Brüt Ücret (₺)],MATCH($A797,tblCalisan[Çalışan Adı],0)),""))</f>
        <v/>
      </c>
      <c r="C797" s="22" t="str">
        <f aca="false">IF($A797="","",$B797*IsverenPayiOrani)</f>
        <v/>
      </c>
      <c r="D797" s="22" t="str">
        <f aca="false">IF($A797="","",$B797*IssizlikOrani)</f>
        <v/>
      </c>
      <c r="E797" s="22" t="str">
        <f aca="false">IF($A797="","",$B797*KidemKarsilikOrani)</f>
        <v/>
      </c>
      <c r="F797" s="20"/>
      <c r="G797" s="22" t="str">
        <f aca="false">IF($A797="","",$B797+$C797+$D797+$E797+$F797)</f>
        <v/>
      </c>
      <c r="H797" s="22" t="str">
        <f aca="false">IF($A797="","",$G797*AySayisi)</f>
        <v/>
      </c>
    </row>
    <row r="798" customFormat="false" ht="15" hidden="false" customHeight="false" outlineLevel="0" collapsed="false">
      <c r="A798" s="19"/>
      <c r="B798" s="22" t="str">
        <f aca="false">IF($A798="","",IFERROR(INDEX(tblCalisan[Brüt Ücret (₺)],MATCH($A798,tblCalisan[Çalışan Adı],0)),""))</f>
        <v/>
      </c>
      <c r="C798" s="22" t="str">
        <f aca="false">IF($A798="","",$B798*IsverenPayiOrani)</f>
        <v/>
      </c>
      <c r="D798" s="22" t="str">
        <f aca="false">IF($A798="","",$B798*IssizlikOrani)</f>
        <v/>
      </c>
      <c r="E798" s="22" t="str">
        <f aca="false">IF($A798="","",$B798*KidemKarsilikOrani)</f>
        <v/>
      </c>
      <c r="F798" s="20"/>
      <c r="G798" s="22" t="str">
        <f aca="false">IF($A798="","",$B798+$C798+$D798+$E798+$F798)</f>
        <v/>
      </c>
      <c r="H798" s="22" t="str">
        <f aca="false">IF($A798="","",$G798*AySayisi)</f>
        <v/>
      </c>
    </row>
    <row r="799" customFormat="false" ht="15" hidden="false" customHeight="false" outlineLevel="0" collapsed="false">
      <c r="A799" s="19"/>
      <c r="B799" s="22" t="str">
        <f aca="false">IF($A799="","",IFERROR(INDEX(tblCalisan[Brüt Ücret (₺)],MATCH($A799,tblCalisan[Çalışan Adı],0)),""))</f>
        <v/>
      </c>
      <c r="C799" s="22" t="str">
        <f aca="false">IF($A799="","",$B799*IsverenPayiOrani)</f>
        <v/>
      </c>
      <c r="D799" s="22" t="str">
        <f aca="false">IF($A799="","",$B799*IssizlikOrani)</f>
        <v/>
      </c>
      <c r="E799" s="22" t="str">
        <f aca="false">IF($A799="","",$B799*KidemKarsilikOrani)</f>
        <v/>
      </c>
      <c r="F799" s="20"/>
      <c r="G799" s="22" t="str">
        <f aca="false">IF($A799="","",$B799+$C799+$D799+$E799+$F799)</f>
        <v/>
      </c>
      <c r="H799" s="22" t="str">
        <f aca="false">IF($A799="","",$G799*AySayisi)</f>
        <v/>
      </c>
    </row>
    <row r="800" customFormat="false" ht="15" hidden="false" customHeight="false" outlineLevel="0" collapsed="false">
      <c r="A800" s="19"/>
      <c r="B800" s="22" t="str">
        <f aca="false">IF($A800="","",IFERROR(INDEX(tblCalisan[Brüt Ücret (₺)],MATCH($A800,tblCalisan[Çalışan Adı],0)),""))</f>
        <v/>
      </c>
      <c r="C800" s="22" t="str">
        <f aca="false">IF($A800="","",$B800*IsverenPayiOrani)</f>
        <v/>
      </c>
      <c r="D800" s="22" t="str">
        <f aca="false">IF($A800="","",$B800*IssizlikOrani)</f>
        <v/>
      </c>
      <c r="E800" s="22" t="str">
        <f aca="false">IF($A800="","",$B800*KidemKarsilikOrani)</f>
        <v/>
      </c>
      <c r="F800" s="20"/>
      <c r="G800" s="22" t="str">
        <f aca="false">IF($A800="","",$B800+$C800+$D800+$E800+$F800)</f>
        <v/>
      </c>
      <c r="H800" s="22" t="str">
        <f aca="false">IF($A800="","",$G800*AySayisi)</f>
        <v/>
      </c>
    </row>
    <row r="801" customFormat="false" ht="15" hidden="false" customHeight="false" outlineLevel="0" collapsed="false">
      <c r="A801" s="19"/>
      <c r="B801" s="22" t="str">
        <f aca="false">IF($A801="","",IFERROR(INDEX(tblCalisan[Brüt Ücret (₺)],MATCH($A801,tblCalisan[Çalışan Adı],0)),""))</f>
        <v/>
      </c>
      <c r="C801" s="22" t="str">
        <f aca="false">IF($A801="","",$B801*IsverenPayiOrani)</f>
        <v/>
      </c>
      <c r="D801" s="22" t="str">
        <f aca="false">IF($A801="","",$B801*IssizlikOrani)</f>
        <v/>
      </c>
      <c r="E801" s="22" t="str">
        <f aca="false">IF($A801="","",$B801*KidemKarsilikOrani)</f>
        <v/>
      </c>
      <c r="F801" s="20"/>
      <c r="G801" s="22" t="str">
        <f aca="false">IF($A801="","",$B801+$C801+$D801+$E801+$F801)</f>
        <v/>
      </c>
      <c r="H801" s="22" t="str">
        <f aca="false">IF($A801="","",$G801*AySayisi)</f>
        <v/>
      </c>
    </row>
    <row r="802" customFormat="false" ht="15" hidden="false" customHeight="false" outlineLevel="0" collapsed="false">
      <c r="A802" s="19"/>
      <c r="B802" s="22" t="str">
        <f aca="false">IF($A802="","",IFERROR(INDEX(tblCalisan[Brüt Ücret (₺)],MATCH($A802,tblCalisan[Çalışan Adı],0)),""))</f>
        <v/>
      </c>
      <c r="C802" s="22" t="str">
        <f aca="false">IF($A802="","",$B802*IsverenPayiOrani)</f>
        <v/>
      </c>
      <c r="D802" s="22" t="str">
        <f aca="false">IF($A802="","",$B802*IssizlikOrani)</f>
        <v/>
      </c>
      <c r="E802" s="22" t="str">
        <f aca="false">IF($A802="","",$B802*KidemKarsilikOrani)</f>
        <v/>
      </c>
      <c r="F802" s="20"/>
      <c r="G802" s="22" t="str">
        <f aca="false">IF($A802="","",$B802+$C802+$D802+$E802+$F802)</f>
        <v/>
      </c>
      <c r="H802" s="22" t="str">
        <f aca="false">IF($A802="","",$G802*AySayisi)</f>
        <v/>
      </c>
    </row>
    <row r="803" customFormat="false" ht="15" hidden="false" customHeight="false" outlineLevel="0" collapsed="false">
      <c r="A803" s="19"/>
      <c r="B803" s="22" t="str">
        <f aca="false">IF($A803="","",IFERROR(INDEX(tblCalisan[Brüt Ücret (₺)],MATCH($A803,tblCalisan[Çalışan Adı],0)),""))</f>
        <v/>
      </c>
      <c r="C803" s="22" t="str">
        <f aca="false">IF($A803="","",$B803*IsverenPayiOrani)</f>
        <v/>
      </c>
      <c r="D803" s="22" t="str">
        <f aca="false">IF($A803="","",$B803*IssizlikOrani)</f>
        <v/>
      </c>
      <c r="E803" s="22" t="str">
        <f aca="false">IF($A803="","",$B803*KidemKarsilikOrani)</f>
        <v/>
      </c>
      <c r="F803" s="20"/>
      <c r="G803" s="22" t="str">
        <f aca="false">IF($A803="","",$B803+$C803+$D803+$E803+$F803)</f>
        <v/>
      </c>
      <c r="H803" s="22" t="str">
        <f aca="false">IF($A803="","",$G803*AySayisi)</f>
        <v/>
      </c>
    </row>
    <row r="804" customFormat="false" ht="15" hidden="false" customHeight="false" outlineLevel="0" collapsed="false">
      <c r="A804" s="19"/>
      <c r="B804" s="22" t="str">
        <f aca="false">IF($A804="","",IFERROR(INDEX(tblCalisan[Brüt Ücret (₺)],MATCH($A804,tblCalisan[Çalışan Adı],0)),""))</f>
        <v/>
      </c>
      <c r="C804" s="22" t="str">
        <f aca="false">IF($A804="","",$B804*IsverenPayiOrani)</f>
        <v/>
      </c>
      <c r="D804" s="22" t="str">
        <f aca="false">IF($A804="","",$B804*IssizlikOrani)</f>
        <v/>
      </c>
      <c r="E804" s="22" t="str">
        <f aca="false">IF($A804="","",$B804*KidemKarsilikOrani)</f>
        <v/>
      </c>
      <c r="F804" s="20"/>
      <c r="G804" s="22" t="str">
        <f aca="false">IF($A804="","",$B804+$C804+$D804+$E804+$F804)</f>
        <v/>
      </c>
      <c r="H804" s="22" t="str">
        <f aca="false">IF($A804="","",$G804*AySayisi)</f>
        <v/>
      </c>
    </row>
    <row r="805" customFormat="false" ht="15" hidden="false" customHeight="false" outlineLevel="0" collapsed="false">
      <c r="A805" s="19"/>
      <c r="B805" s="22" t="str">
        <f aca="false">IF($A805="","",IFERROR(INDEX(tblCalisan[Brüt Ücret (₺)],MATCH($A805,tblCalisan[Çalışan Adı],0)),""))</f>
        <v/>
      </c>
      <c r="C805" s="22" t="str">
        <f aca="false">IF($A805="","",$B805*IsverenPayiOrani)</f>
        <v/>
      </c>
      <c r="D805" s="22" t="str">
        <f aca="false">IF($A805="","",$B805*IssizlikOrani)</f>
        <v/>
      </c>
      <c r="E805" s="22" t="str">
        <f aca="false">IF($A805="","",$B805*KidemKarsilikOrani)</f>
        <v/>
      </c>
      <c r="F805" s="20"/>
      <c r="G805" s="22" t="str">
        <f aca="false">IF($A805="","",$B805+$C805+$D805+$E805+$F805)</f>
        <v/>
      </c>
      <c r="H805" s="22" t="str">
        <f aca="false">IF($A805="","",$G805*AySayisi)</f>
        <v/>
      </c>
    </row>
    <row r="806" customFormat="false" ht="15" hidden="false" customHeight="false" outlineLevel="0" collapsed="false">
      <c r="A806" s="19"/>
      <c r="B806" s="22" t="str">
        <f aca="false">IF($A806="","",IFERROR(INDEX(tblCalisan[Brüt Ücret (₺)],MATCH($A806,tblCalisan[Çalışan Adı],0)),""))</f>
        <v/>
      </c>
      <c r="C806" s="22" t="str">
        <f aca="false">IF($A806="","",$B806*IsverenPayiOrani)</f>
        <v/>
      </c>
      <c r="D806" s="22" t="str">
        <f aca="false">IF($A806="","",$B806*IssizlikOrani)</f>
        <v/>
      </c>
      <c r="E806" s="22" t="str">
        <f aca="false">IF($A806="","",$B806*KidemKarsilikOrani)</f>
        <v/>
      </c>
      <c r="F806" s="20"/>
      <c r="G806" s="22" t="str">
        <f aca="false">IF($A806="","",$B806+$C806+$D806+$E806+$F806)</f>
        <v/>
      </c>
      <c r="H806" s="22" t="str">
        <f aca="false">IF($A806="","",$G806*AySayisi)</f>
        <v/>
      </c>
    </row>
    <row r="807" customFormat="false" ht="15" hidden="false" customHeight="false" outlineLevel="0" collapsed="false">
      <c r="A807" s="19"/>
      <c r="B807" s="22" t="str">
        <f aca="false">IF($A807="","",IFERROR(INDEX(tblCalisan[Brüt Ücret (₺)],MATCH($A807,tblCalisan[Çalışan Adı],0)),""))</f>
        <v/>
      </c>
      <c r="C807" s="22" t="str">
        <f aca="false">IF($A807="","",$B807*IsverenPayiOrani)</f>
        <v/>
      </c>
      <c r="D807" s="22" t="str">
        <f aca="false">IF($A807="","",$B807*IssizlikOrani)</f>
        <v/>
      </c>
      <c r="E807" s="22" t="str">
        <f aca="false">IF($A807="","",$B807*KidemKarsilikOrani)</f>
        <v/>
      </c>
      <c r="F807" s="20"/>
      <c r="G807" s="22" t="str">
        <f aca="false">IF($A807="","",$B807+$C807+$D807+$E807+$F807)</f>
        <v/>
      </c>
      <c r="H807" s="22" t="str">
        <f aca="false">IF($A807="","",$G807*AySayisi)</f>
        <v/>
      </c>
    </row>
    <row r="808" customFormat="false" ht="15" hidden="false" customHeight="false" outlineLevel="0" collapsed="false">
      <c r="A808" s="19"/>
      <c r="B808" s="22" t="str">
        <f aca="false">IF($A808="","",IFERROR(INDEX(tblCalisan[Brüt Ücret (₺)],MATCH($A808,tblCalisan[Çalışan Adı],0)),""))</f>
        <v/>
      </c>
      <c r="C808" s="22" t="str">
        <f aca="false">IF($A808="","",$B808*IsverenPayiOrani)</f>
        <v/>
      </c>
      <c r="D808" s="22" t="str">
        <f aca="false">IF($A808="","",$B808*IssizlikOrani)</f>
        <v/>
      </c>
      <c r="E808" s="22" t="str">
        <f aca="false">IF($A808="","",$B808*KidemKarsilikOrani)</f>
        <v/>
      </c>
      <c r="F808" s="20"/>
      <c r="G808" s="22" t="str">
        <f aca="false">IF($A808="","",$B808+$C808+$D808+$E808+$F808)</f>
        <v/>
      </c>
      <c r="H808" s="22" t="str">
        <f aca="false">IF($A808="","",$G808*AySayisi)</f>
        <v/>
      </c>
    </row>
    <row r="809" customFormat="false" ht="15" hidden="false" customHeight="false" outlineLevel="0" collapsed="false">
      <c r="A809" s="19"/>
      <c r="B809" s="22" t="str">
        <f aca="false">IF($A809="","",IFERROR(INDEX(tblCalisan[Brüt Ücret (₺)],MATCH($A809,tblCalisan[Çalışan Adı],0)),""))</f>
        <v/>
      </c>
      <c r="C809" s="22" t="str">
        <f aca="false">IF($A809="","",$B809*IsverenPayiOrani)</f>
        <v/>
      </c>
      <c r="D809" s="22" t="str">
        <f aca="false">IF($A809="","",$B809*IssizlikOrani)</f>
        <v/>
      </c>
      <c r="E809" s="22" t="str">
        <f aca="false">IF($A809="","",$B809*KidemKarsilikOrani)</f>
        <v/>
      </c>
      <c r="F809" s="20"/>
      <c r="G809" s="22" t="str">
        <f aca="false">IF($A809="","",$B809+$C809+$D809+$E809+$F809)</f>
        <v/>
      </c>
      <c r="H809" s="22" t="str">
        <f aca="false">IF($A809="","",$G809*AySayisi)</f>
        <v/>
      </c>
    </row>
    <row r="810" customFormat="false" ht="15" hidden="false" customHeight="false" outlineLevel="0" collapsed="false">
      <c r="A810" s="19"/>
      <c r="B810" s="22" t="str">
        <f aca="false">IF($A810="","",IFERROR(INDEX(tblCalisan[Brüt Ücret (₺)],MATCH($A810,tblCalisan[Çalışan Adı],0)),""))</f>
        <v/>
      </c>
      <c r="C810" s="22" t="str">
        <f aca="false">IF($A810="","",$B810*IsverenPayiOrani)</f>
        <v/>
      </c>
      <c r="D810" s="22" t="str">
        <f aca="false">IF($A810="","",$B810*IssizlikOrani)</f>
        <v/>
      </c>
      <c r="E810" s="22" t="str">
        <f aca="false">IF($A810="","",$B810*KidemKarsilikOrani)</f>
        <v/>
      </c>
      <c r="F810" s="20"/>
      <c r="G810" s="22" t="str">
        <f aca="false">IF($A810="","",$B810+$C810+$D810+$E810+$F810)</f>
        <v/>
      </c>
      <c r="H810" s="22" t="str">
        <f aca="false">IF($A810="","",$G810*AySayisi)</f>
        <v/>
      </c>
    </row>
    <row r="811" customFormat="false" ht="15" hidden="false" customHeight="false" outlineLevel="0" collapsed="false">
      <c r="A811" s="19"/>
      <c r="B811" s="22" t="str">
        <f aca="false">IF($A811="","",IFERROR(INDEX(tblCalisan[Brüt Ücret (₺)],MATCH($A811,tblCalisan[Çalışan Adı],0)),""))</f>
        <v/>
      </c>
      <c r="C811" s="22" t="str">
        <f aca="false">IF($A811="","",$B811*IsverenPayiOrani)</f>
        <v/>
      </c>
      <c r="D811" s="22" t="str">
        <f aca="false">IF($A811="","",$B811*IssizlikOrani)</f>
        <v/>
      </c>
      <c r="E811" s="22" t="str">
        <f aca="false">IF($A811="","",$B811*KidemKarsilikOrani)</f>
        <v/>
      </c>
      <c r="F811" s="20"/>
      <c r="G811" s="22" t="str">
        <f aca="false">IF($A811="","",$B811+$C811+$D811+$E811+$F811)</f>
        <v/>
      </c>
      <c r="H811" s="22" t="str">
        <f aca="false">IF($A811="","",$G811*AySayisi)</f>
        <v/>
      </c>
    </row>
    <row r="812" customFormat="false" ht="15" hidden="false" customHeight="false" outlineLevel="0" collapsed="false">
      <c r="A812" s="19"/>
      <c r="B812" s="22" t="str">
        <f aca="false">IF($A812="","",IFERROR(INDEX(tblCalisan[Brüt Ücret (₺)],MATCH($A812,tblCalisan[Çalışan Adı],0)),""))</f>
        <v/>
      </c>
      <c r="C812" s="22" t="str">
        <f aca="false">IF($A812="","",$B812*IsverenPayiOrani)</f>
        <v/>
      </c>
      <c r="D812" s="22" t="str">
        <f aca="false">IF($A812="","",$B812*IssizlikOrani)</f>
        <v/>
      </c>
      <c r="E812" s="22" t="str">
        <f aca="false">IF($A812="","",$B812*KidemKarsilikOrani)</f>
        <v/>
      </c>
      <c r="F812" s="20"/>
      <c r="G812" s="22" t="str">
        <f aca="false">IF($A812="","",$B812+$C812+$D812+$E812+$F812)</f>
        <v/>
      </c>
      <c r="H812" s="22" t="str">
        <f aca="false">IF($A812="","",$G812*AySayisi)</f>
        <v/>
      </c>
    </row>
    <row r="813" customFormat="false" ht="15" hidden="false" customHeight="false" outlineLevel="0" collapsed="false">
      <c r="A813" s="19"/>
      <c r="B813" s="22" t="str">
        <f aca="false">IF($A813="","",IFERROR(INDEX(tblCalisan[Brüt Ücret (₺)],MATCH($A813,tblCalisan[Çalışan Adı],0)),""))</f>
        <v/>
      </c>
      <c r="C813" s="22" t="str">
        <f aca="false">IF($A813="","",$B813*IsverenPayiOrani)</f>
        <v/>
      </c>
      <c r="D813" s="22" t="str">
        <f aca="false">IF($A813="","",$B813*IssizlikOrani)</f>
        <v/>
      </c>
      <c r="E813" s="22" t="str">
        <f aca="false">IF($A813="","",$B813*KidemKarsilikOrani)</f>
        <v/>
      </c>
      <c r="F813" s="20"/>
      <c r="G813" s="22" t="str">
        <f aca="false">IF($A813="","",$B813+$C813+$D813+$E813+$F813)</f>
        <v/>
      </c>
      <c r="H813" s="22" t="str">
        <f aca="false">IF($A813="","",$G813*AySayisi)</f>
        <v/>
      </c>
    </row>
    <row r="814" customFormat="false" ht="15" hidden="false" customHeight="false" outlineLevel="0" collapsed="false">
      <c r="A814" s="19"/>
      <c r="B814" s="22" t="str">
        <f aca="false">IF($A814="","",IFERROR(INDEX(tblCalisan[Brüt Ücret (₺)],MATCH($A814,tblCalisan[Çalışan Adı],0)),""))</f>
        <v/>
      </c>
      <c r="C814" s="22" t="str">
        <f aca="false">IF($A814="","",$B814*IsverenPayiOrani)</f>
        <v/>
      </c>
      <c r="D814" s="22" t="str">
        <f aca="false">IF($A814="","",$B814*IssizlikOrani)</f>
        <v/>
      </c>
      <c r="E814" s="22" t="str">
        <f aca="false">IF($A814="","",$B814*KidemKarsilikOrani)</f>
        <v/>
      </c>
      <c r="F814" s="20"/>
      <c r="G814" s="22" t="str">
        <f aca="false">IF($A814="","",$B814+$C814+$D814+$E814+$F814)</f>
        <v/>
      </c>
      <c r="H814" s="22" t="str">
        <f aca="false">IF($A814="","",$G814*AySayisi)</f>
        <v/>
      </c>
    </row>
    <row r="815" customFormat="false" ht="15" hidden="false" customHeight="false" outlineLevel="0" collapsed="false">
      <c r="A815" s="19"/>
      <c r="B815" s="22" t="str">
        <f aca="false">IF($A815="","",IFERROR(INDEX(tblCalisan[Brüt Ücret (₺)],MATCH($A815,tblCalisan[Çalışan Adı],0)),""))</f>
        <v/>
      </c>
      <c r="C815" s="22" t="str">
        <f aca="false">IF($A815="","",$B815*IsverenPayiOrani)</f>
        <v/>
      </c>
      <c r="D815" s="22" t="str">
        <f aca="false">IF($A815="","",$B815*IssizlikOrani)</f>
        <v/>
      </c>
      <c r="E815" s="22" t="str">
        <f aca="false">IF($A815="","",$B815*KidemKarsilikOrani)</f>
        <v/>
      </c>
      <c r="F815" s="20"/>
      <c r="G815" s="22" t="str">
        <f aca="false">IF($A815="","",$B815+$C815+$D815+$E815+$F815)</f>
        <v/>
      </c>
      <c r="H815" s="22" t="str">
        <f aca="false">IF($A815="","",$G815*AySayisi)</f>
        <v/>
      </c>
    </row>
    <row r="816" customFormat="false" ht="15" hidden="false" customHeight="false" outlineLevel="0" collapsed="false">
      <c r="A816" s="19"/>
      <c r="B816" s="22" t="str">
        <f aca="false">IF($A816="","",IFERROR(INDEX(tblCalisan[Brüt Ücret (₺)],MATCH($A816,tblCalisan[Çalışan Adı],0)),""))</f>
        <v/>
      </c>
      <c r="C816" s="22" t="str">
        <f aca="false">IF($A816="","",$B816*IsverenPayiOrani)</f>
        <v/>
      </c>
      <c r="D816" s="22" t="str">
        <f aca="false">IF($A816="","",$B816*IssizlikOrani)</f>
        <v/>
      </c>
      <c r="E816" s="22" t="str">
        <f aca="false">IF($A816="","",$B816*KidemKarsilikOrani)</f>
        <v/>
      </c>
      <c r="F816" s="20"/>
      <c r="G816" s="22" t="str">
        <f aca="false">IF($A816="","",$B816+$C816+$D816+$E816+$F816)</f>
        <v/>
      </c>
      <c r="H816" s="22" t="str">
        <f aca="false">IF($A816="","",$G816*AySayisi)</f>
        <v/>
      </c>
    </row>
    <row r="817" customFormat="false" ht="15" hidden="false" customHeight="false" outlineLevel="0" collapsed="false">
      <c r="A817" s="19"/>
      <c r="B817" s="22" t="str">
        <f aca="false">IF($A817="","",IFERROR(INDEX(tblCalisan[Brüt Ücret (₺)],MATCH($A817,tblCalisan[Çalışan Adı],0)),""))</f>
        <v/>
      </c>
      <c r="C817" s="22" t="str">
        <f aca="false">IF($A817="","",$B817*IsverenPayiOrani)</f>
        <v/>
      </c>
      <c r="D817" s="22" t="str">
        <f aca="false">IF($A817="","",$B817*IssizlikOrani)</f>
        <v/>
      </c>
      <c r="E817" s="22" t="str">
        <f aca="false">IF($A817="","",$B817*KidemKarsilikOrani)</f>
        <v/>
      </c>
      <c r="F817" s="20"/>
      <c r="G817" s="22" t="str">
        <f aca="false">IF($A817="","",$B817+$C817+$D817+$E817+$F817)</f>
        <v/>
      </c>
      <c r="H817" s="22" t="str">
        <f aca="false">IF($A817="","",$G817*AySayisi)</f>
        <v/>
      </c>
    </row>
    <row r="818" customFormat="false" ht="15" hidden="false" customHeight="false" outlineLevel="0" collapsed="false">
      <c r="A818" s="19"/>
      <c r="B818" s="22" t="str">
        <f aca="false">IF($A818="","",IFERROR(INDEX(tblCalisan[Brüt Ücret (₺)],MATCH($A818,tblCalisan[Çalışan Adı],0)),""))</f>
        <v/>
      </c>
      <c r="C818" s="22" t="str">
        <f aca="false">IF($A818="","",$B818*IsverenPayiOrani)</f>
        <v/>
      </c>
      <c r="D818" s="22" t="str">
        <f aca="false">IF($A818="","",$B818*IssizlikOrani)</f>
        <v/>
      </c>
      <c r="E818" s="22" t="str">
        <f aca="false">IF($A818="","",$B818*KidemKarsilikOrani)</f>
        <v/>
      </c>
      <c r="F818" s="20"/>
      <c r="G818" s="22" t="str">
        <f aca="false">IF($A818="","",$B818+$C818+$D818+$E818+$F818)</f>
        <v/>
      </c>
      <c r="H818" s="22" t="str">
        <f aca="false">IF($A818="","",$G818*AySayisi)</f>
        <v/>
      </c>
    </row>
    <row r="819" customFormat="false" ht="15" hidden="false" customHeight="false" outlineLevel="0" collapsed="false">
      <c r="A819" s="19"/>
      <c r="B819" s="22" t="str">
        <f aca="false">IF($A819="","",IFERROR(INDEX(tblCalisan[Brüt Ücret (₺)],MATCH($A819,tblCalisan[Çalışan Adı],0)),""))</f>
        <v/>
      </c>
      <c r="C819" s="22" t="str">
        <f aca="false">IF($A819="","",$B819*IsverenPayiOrani)</f>
        <v/>
      </c>
      <c r="D819" s="22" t="str">
        <f aca="false">IF($A819="","",$B819*IssizlikOrani)</f>
        <v/>
      </c>
      <c r="E819" s="22" t="str">
        <f aca="false">IF($A819="","",$B819*KidemKarsilikOrani)</f>
        <v/>
      </c>
      <c r="F819" s="20"/>
      <c r="G819" s="22" t="str">
        <f aca="false">IF($A819="","",$B819+$C819+$D819+$E819+$F819)</f>
        <v/>
      </c>
      <c r="H819" s="22" t="str">
        <f aca="false">IF($A819="","",$G819*AySayisi)</f>
        <v/>
      </c>
    </row>
    <row r="820" customFormat="false" ht="15" hidden="false" customHeight="false" outlineLevel="0" collapsed="false">
      <c r="A820" s="19"/>
      <c r="B820" s="22" t="str">
        <f aca="false">IF($A820="","",IFERROR(INDEX(tblCalisan[Brüt Ücret (₺)],MATCH($A820,tblCalisan[Çalışan Adı],0)),""))</f>
        <v/>
      </c>
      <c r="C820" s="22" t="str">
        <f aca="false">IF($A820="","",$B820*IsverenPayiOrani)</f>
        <v/>
      </c>
      <c r="D820" s="22" t="str">
        <f aca="false">IF($A820="","",$B820*IssizlikOrani)</f>
        <v/>
      </c>
      <c r="E820" s="22" t="str">
        <f aca="false">IF($A820="","",$B820*KidemKarsilikOrani)</f>
        <v/>
      </c>
      <c r="F820" s="20"/>
      <c r="G820" s="22" t="str">
        <f aca="false">IF($A820="","",$B820+$C820+$D820+$E820+$F820)</f>
        <v/>
      </c>
      <c r="H820" s="22" t="str">
        <f aca="false">IF($A820="","",$G820*AySayisi)</f>
        <v/>
      </c>
    </row>
    <row r="821" customFormat="false" ht="15" hidden="false" customHeight="false" outlineLevel="0" collapsed="false">
      <c r="A821" s="19"/>
      <c r="B821" s="22" t="str">
        <f aca="false">IF($A821="","",IFERROR(INDEX(tblCalisan[Brüt Ücret (₺)],MATCH($A821,tblCalisan[Çalışan Adı],0)),""))</f>
        <v/>
      </c>
      <c r="C821" s="22" t="str">
        <f aca="false">IF($A821="","",$B821*IsverenPayiOrani)</f>
        <v/>
      </c>
      <c r="D821" s="22" t="str">
        <f aca="false">IF($A821="","",$B821*IssizlikOrani)</f>
        <v/>
      </c>
      <c r="E821" s="22" t="str">
        <f aca="false">IF($A821="","",$B821*KidemKarsilikOrani)</f>
        <v/>
      </c>
      <c r="F821" s="20"/>
      <c r="G821" s="22" t="str">
        <f aca="false">IF($A821="","",$B821+$C821+$D821+$E821+$F821)</f>
        <v/>
      </c>
      <c r="H821" s="22" t="str">
        <f aca="false">IF($A821="","",$G821*AySayisi)</f>
        <v/>
      </c>
    </row>
    <row r="822" customFormat="false" ht="15" hidden="false" customHeight="false" outlineLevel="0" collapsed="false">
      <c r="A822" s="19"/>
      <c r="B822" s="22" t="str">
        <f aca="false">IF($A822="","",IFERROR(INDEX(tblCalisan[Brüt Ücret (₺)],MATCH($A822,tblCalisan[Çalışan Adı],0)),""))</f>
        <v/>
      </c>
      <c r="C822" s="22" t="str">
        <f aca="false">IF($A822="","",$B822*IsverenPayiOrani)</f>
        <v/>
      </c>
      <c r="D822" s="22" t="str">
        <f aca="false">IF($A822="","",$B822*IssizlikOrani)</f>
        <v/>
      </c>
      <c r="E822" s="22" t="str">
        <f aca="false">IF($A822="","",$B822*KidemKarsilikOrani)</f>
        <v/>
      </c>
      <c r="F822" s="20"/>
      <c r="G822" s="22" t="str">
        <f aca="false">IF($A822="","",$B822+$C822+$D822+$E822+$F822)</f>
        <v/>
      </c>
      <c r="H822" s="22" t="str">
        <f aca="false">IF($A822="","",$G822*AySayisi)</f>
        <v/>
      </c>
    </row>
    <row r="823" customFormat="false" ht="15" hidden="false" customHeight="false" outlineLevel="0" collapsed="false">
      <c r="A823" s="19"/>
      <c r="B823" s="22" t="str">
        <f aca="false">IF($A823="","",IFERROR(INDEX(tblCalisan[Brüt Ücret (₺)],MATCH($A823,tblCalisan[Çalışan Adı],0)),""))</f>
        <v/>
      </c>
      <c r="C823" s="22" t="str">
        <f aca="false">IF($A823="","",$B823*IsverenPayiOrani)</f>
        <v/>
      </c>
      <c r="D823" s="22" t="str">
        <f aca="false">IF($A823="","",$B823*IssizlikOrani)</f>
        <v/>
      </c>
      <c r="E823" s="22" t="str">
        <f aca="false">IF($A823="","",$B823*KidemKarsilikOrani)</f>
        <v/>
      </c>
      <c r="F823" s="20"/>
      <c r="G823" s="22" t="str">
        <f aca="false">IF($A823="","",$B823+$C823+$D823+$E823+$F823)</f>
        <v/>
      </c>
      <c r="H823" s="22" t="str">
        <f aca="false">IF($A823="","",$G823*AySayisi)</f>
        <v/>
      </c>
    </row>
    <row r="824" customFormat="false" ht="15" hidden="false" customHeight="false" outlineLevel="0" collapsed="false">
      <c r="A824" s="19"/>
      <c r="B824" s="22" t="str">
        <f aca="false">IF($A824="","",IFERROR(INDEX(tblCalisan[Brüt Ücret (₺)],MATCH($A824,tblCalisan[Çalışan Adı],0)),""))</f>
        <v/>
      </c>
      <c r="C824" s="22" t="str">
        <f aca="false">IF($A824="","",$B824*IsverenPayiOrani)</f>
        <v/>
      </c>
      <c r="D824" s="22" t="str">
        <f aca="false">IF($A824="","",$B824*IssizlikOrani)</f>
        <v/>
      </c>
      <c r="E824" s="22" t="str">
        <f aca="false">IF($A824="","",$B824*KidemKarsilikOrani)</f>
        <v/>
      </c>
      <c r="F824" s="20"/>
      <c r="G824" s="22" t="str">
        <f aca="false">IF($A824="","",$B824+$C824+$D824+$E824+$F824)</f>
        <v/>
      </c>
      <c r="H824" s="22" t="str">
        <f aca="false">IF($A824="","",$G824*AySayisi)</f>
        <v/>
      </c>
    </row>
    <row r="825" customFormat="false" ht="15" hidden="false" customHeight="false" outlineLevel="0" collapsed="false">
      <c r="A825" s="19"/>
      <c r="B825" s="22" t="str">
        <f aca="false">IF($A825="","",IFERROR(INDEX(tblCalisan[Brüt Ücret (₺)],MATCH($A825,tblCalisan[Çalışan Adı],0)),""))</f>
        <v/>
      </c>
      <c r="C825" s="22" t="str">
        <f aca="false">IF($A825="","",$B825*IsverenPayiOrani)</f>
        <v/>
      </c>
      <c r="D825" s="22" t="str">
        <f aca="false">IF($A825="","",$B825*IssizlikOrani)</f>
        <v/>
      </c>
      <c r="E825" s="22" t="str">
        <f aca="false">IF($A825="","",$B825*KidemKarsilikOrani)</f>
        <v/>
      </c>
      <c r="F825" s="20"/>
      <c r="G825" s="22" t="str">
        <f aca="false">IF($A825="","",$B825+$C825+$D825+$E825+$F825)</f>
        <v/>
      </c>
      <c r="H825" s="22" t="str">
        <f aca="false">IF($A825="","",$G825*AySayisi)</f>
        <v/>
      </c>
    </row>
    <row r="826" customFormat="false" ht="15" hidden="false" customHeight="false" outlineLevel="0" collapsed="false">
      <c r="A826" s="19"/>
      <c r="B826" s="22" t="str">
        <f aca="false">IF($A826="","",IFERROR(INDEX(tblCalisan[Brüt Ücret (₺)],MATCH($A826,tblCalisan[Çalışan Adı],0)),""))</f>
        <v/>
      </c>
      <c r="C826" s="22" t="str">
        <f aca="false">IF($A826="","",$B826*IsverenPayiOrani)</f>
        <v/>
      </c>
      <c r="D826" s="22" t="str">
        <f aca="false">IF($A826="","",$B826*IssizlikOrani)</f>
        <v/>
      </c>
      <c r="E826" s="22" t="str">
        <f aca="false">IF($A826="","",$B826*KidemKarsilikOrani)</f>
        <v/>
      </c>
      <c r="F826" s="20"/>
      <c r="G826" s="22" t="str">
        <f aca="false">IF($A826="","",$B826+$C826+$D826+$E826+$F826)</f>
        <v/>
      </c>
      <c r="H826" s="22" t="str">
        <f aca="false">IF($A826="","",$G826*AySayisi)</f>
        <v/>
      </c>
    </row>
    <row r="827" customFormat="false" ht="15" hidden="false" customHeight="false" outlineLevel="0" collapsed="false">
      <c r="A827" s="19"/>
      <c r="B827" s="22" t="str">
        <f aca="false">IF($A827="","",IFERROR(INDEX(tblCalisan[Brüt Ücret (₺)],MATCH($A827,tblCalisan[Çalışan Adı],0)),""))</f>
        <v/>
      </c>
      <c r="C827" s="22" t="str">
        <f aca="false">IF($A827="","",$B827*IsverenPayiOrani)</f>
        <v/>
      </c>
      <c r="D827" s="22" t="str">
        <f aca="false">IF($A827="","",$B827*IssizlikOrani)</f>
        <v/>
      </c>
      <c r="E827" s="22" t="str">
        <f aca="false">IF($A827="","",$B827*KidemKarsilikOrani)</f>
        <v/>
      </c>
      <c r="F827" s="20"/>
      <c r="G827" s="22" t="str">
        <f aca="false">IF($A827="","",$B827+$C827+$D827+$E827+$F827)</f>
        <v/>
      </c>
      <c r="H827" s="22" t="str">
        <f aca="false">IF($A827="","",$G827*AySayisi)</f>
        <v/>
      </c>
    </row>
    <row r="828" customFormat="false" ht="15" hidden="false" customHeight="false" outlineLevel="0" collapsed="false">
      <c r="A828" s="19"/>
      <c r="B828" s="22" t="str">
        <f aca="false">IF($A828="","",IFERROR(INDEX(tblCalisan[Brüt Ücret (₺)],MATCH($A828,tblCalisan[Çalışan Adı],0)),""))</f>
        <v/>
      </c>
      <c r="C828" s="22" t="str">
        <f aca="false">IF($A828="","",$B828*IsverenPayiOrani)</f>
        <v/>
      </c>
      <c r="D828" s="22" t="str">
        <f aca="false">IF($A828="","",$B828*IssizlikOrani)</f>
        <v/>
      </c>
      <c r="E828" s="22" t="str">
        <f aca="false">IF($A828="","",$B828*KidemKarsilikOrani)</f>
        <v/>
      </c>
      <c r="F828" s="20"/>
      <c r="G828" s="22" t="str">
        <f aca="false">IF($A828="","",$B828+$C828+$D828+$E828+$F828)</f>
        <v/>
      </c>
      <c r="H828" s="22" t="str">
        <f aca="false">IF($A828="","",$G828*AySayisi)</f>
        <v/>
      </c>
    </row>
    <row r="829" customFormat="false" ht="15" hidden="false" customHeight="false" outlineLevel="0" collapsed="false">
      <c r="A829" s="19"/>
      <c r="B829" s="22" t="str">
        <f aca="false">IF($A829="","",IFERROR(INDEX(tblCalisan[Brüt Ücret (₺)],MATCH($A829,tblCalisan[Çalışan Adı],0)),""))</f>
        <v/>
      </c>
      <c r="C829" s="22" t="str">
        <f aca="false">IF($A829="","",$B829*IsverenPayiOrani)</f>
        <v/>
      </c>
      <c r="D829" s="22" t="str">
        <f aca="false">IF($A829="","",$B829*IssizlikOrani)</f>
        <v/>
      </c>
      <c r="E829" s="22" t="str">
        <f aca="false">IF($A829="","",$B829*KidemKarsilikOrani)</f>
        <v/>
      </c>
      <c r="F829" s="20"/>
      <c r="G829" s="22" t="str">
        <f aca="false">IF($A829="","",$B829+$C829+$D829+$E829+$F829)</f>
        <v/>
      </c>
      <c r="H829" s="22" t="str">
        <f aca="false">IF($A829="","",$G829*AySayisi)</f>
        <v/>
      </c>
    </row>
    <row r="830" customFormat="false" ht="15" hidden="false" customHeight="false" outlineLevel="0" collapsed="false">
      <c r="A830" s="19"/>
      <c r="B830" s="22" t="str">
        <f aca="false">IF($A830="","",IFERROR(INDEX(tblCalisan[Brüt Ücret (₺)],MATCH($A830,tblCalisan[Çalışan Adı],0)),""))</f>
        <v/>
      </c>
      <c r="C830" s="22" t="str">
        <f aca="false">IF($A830="","",$B830*IsverenPayiOrani)</f>
        <v/>
      </c>
      <c r="D830" s="22" t="str">
        <f aca="false">IF($A830="","",$B830*IssizlikOrani)</f>
        <v/>
      </c>
      <c r="E830" s="22" t="str">
        <f aca="false">IF($A830="","",$B830*KidemKarsilikOrani)</f>
        <v/>
      </c>
      <c r="F830" s="20"/>
      <c r="G830" s="22" t="str">
        <f aca="false">IF($A830="","",$B830+$C830+$D830+$E830+$F830)</f>
        <v/>
      </c>
      <c r="H830" s="22" t="str">
        <f aca="false">IF($A830="","",$G830*AySayisi)</f>
        <v/>
      </c>
    </row>
    <row r="831" customFormat="false" ht="15" hidden="false" customHeight="false" outlineLevel="0" collapsed="false">
      <c r="A831" s="19"/>
      <c r="B831" s="22" t="str">
        <f aca="false">IF($A831="","",IFERROR(INDEX(tblCalisan[Brüt Ücret (₺)],MATCH($A831,tblCalisan[Çalışan Adı],0)),""))</f>
        <v/>
      </c>
      <c r="C831" s="22" t="str">
        <f aca="false">IF($A831="","",$B831*IsverenPayiOrani)</f>
        <v/>
      </c>
      <c r="D831" s="22" t="str">
        <f aca="false">IF($A831="","",$B831*IssizlikOrani)</f>
        <v/>
      </c>
      <c r="E831" s="22" t="str">
        <f aca="false">IF($A831="","",$B831*KidemKarsilikOrani)</f>
        <v/>
      </c>
      <c r="F831" s="20"/>
      <c r="G831" s="22" t="str">
        <f aca="false">IF($A831="","",$B831+$C831+$D831+$E831+$F831)</f>
        <v/>
      </c>
      <c r="H831" s="22" t="str">
        <f aca="false">IF($A831="","",$G831*AySayisi)</f>
        <v/>
      </c>
    </row>
    <row r="832" customFormat="false" ht="15" hidden="false" customHeight="false" outlineLevel="0" collapsed="false">
      <c r="A832" s="19"/>
      <c r="B832" s="22" t="str">
        <f aca="false">IF($A832="","",IFERROR(INDEX(tblCalisan[Brüt Ücret (₺)],MATCH($A832,tblCalisan[Çalışan Adı],0)),""))</f>
        <v/>
      </c>
      <c r="C832" s="22" t="str">
        <f aca="false">IF($A832="","",$B832*IsverenPayiOrani)</f>
        <v/>
      </c>
      <c r="D832" s="22" t="str">
        <f aca="false">IF($A832="","",$B832*IssizlikOrani)</f>
        <v/>
      </c>
      <c r="E832" s="22" t="str">
        <f aca="false">IF($A832="","",$B832*KidemKarsilikOrani)</f>
        <v/>
      </c>
      <c r="F832" s="20"/>
      <c r="G832" s="22" t="str">
        <f aca="false">IF($A832="","",$B832+$C832+$D832+$E832+$F832)</f>
        <v/>
      </c>
      <c r="H832" s="22" t="str">
        <f aca="false">IF($A832="","",$G832*AySayisi)</f>
        <v/>
      </c>
    </row>
    <row r="833" customFormat="false" ht="15" hidden="false" customHeight="false" outlineLevel="0" collapsed="false">
      <c r="A833" s="19"/>
      <c r="B833" s="22" t="str">
        <f aca="false">IF($A833="","",IFERROR(INDEX(tblCalisan[Brüt Ücret (₺)],MATCH($A833,tblCalisan[Çalışan Adı],0)),""))</f>
        <v/>
      </c>
      <c r="C833" s="22" t="str">
        <f aca="false">IF($A833="","",$B833*IsverenPayiOrani)</f>
        <v/>
      </c>
      <c r="D833" s="22" t="str">
        <f aca="false">IF($A833="","",$B833*IssizlikOrani)</f>
        <v/>
      </c>
      <c r="E833" s="22" t="str">
        <f aca="false">IF($A833="","",$B833*KidemKarsilikOrani)</f>
        <v/>
      </c>
      <c r="F833" s="20"/>
      <c r="G833" s="22" t="str">
        <f aca="false">IF($A833="","",$B833+$C833+$D833+$E833+$F833)</f>
        <v/>
      </c>
      <c r="H833" s="22" t="str">
        <f aca="false">IF($A833="","",$G833*AySayisi)</f>
        <v/>
      </c>
    </row>
    <row r="834" customFormat="false" ht="15" hidden="false" customHeight="false" outlineLevel="0" collapsed="false">
      <c r="A834" s="19"/>
      <c r="B834" s="22" t="str">
        <f aca="false">IF($A834="","",IFERROR(INDEX(tblCalisan[Brüt Ücret (₺)],MATCH($A834,tblCalisan[Çalışan Adı],0)),""))</f>
        <v/>
      </c>
      <c r="C834" s="22" t="str">
        <f aca="false">IF($A834="","",$B834*IsverenPayiOrani)</f>
        <v/>
      </c>
      <c r="D834" s="22" t="str">
        <f aca="false">IF($A834="","",$B834*IssizlikOrani)</f>
        <v/>
      </c>
      <c r="E834" s="22" t="str">
        <f aca="false">IF($A834="","",$B834*KidemKarsilikOrani)</f>
        <v/>
      </c>
      <c r="F834" s="20"/>
      <c r="G834" s="22" t="str">
        <f aca="false">IF($A834="","",$B834+$C834+$D834+$E834+$F834)</f>
        <v/>
      </c>
      <c r="H834" s="22" t="str">
        <f aca="false">IF($A834="","",$G834*AySayisi)</f>
        <v/>
      </c>
    </row>
    <row r="835" customFormat="false" ht="15" hidden="false" customHeight="false" outlineLevel="0" collapsed="false">
      <c r="A835" s="19"/>
      <c r="B835" s="22" t="str">
        <f aca="false">IF($A835="","",IFERROR(INDEX(tblCalisan[Brüt Ücret (₺)],MATCH($A835,tblCalisan[Çalışan Adı],0)),""))</f>
        <v/>
      </c>
      <c r="C835" s="22" t="str">
        <f aca="false">IF($A835="","",$B835*IsverenPayiOrani)</f>
        <v/>
      </c>
      <c r="D835" s="22" t="str">
        <f aca="false">IF($A835="","",$B835*IssizlikOrani)</f>
        <v/>
      </c>
      <c r="E835" s="22" t="str">
        <f aca="false">IF($A835="","",$B835*KidemKarsilikOrani)</f>
        <v/>
      </c>
      <c r="F835" s="20"/>
      <c r="G835" s="22" t="str">
        <f aca="false">IF($A835="","",$B835+$C835+$D835+$E835+$F835)</f>
        <v/>
      </c>
      <c r="H835" s="22" t="str">
        <f aca="false">IF($A835="","",$G835*AySayisi)</f>
        <v/>
      </c>
    </row>
    <row r="836" customFormat="false" ht="15" hidden="false" customHeight="false" outlineLevel="0" collapsed="false">
      <c r="A836" s="19"/>
      <c r="B836" s="22" t="str">
        <f aca="false">IF($A836="","",IFERROR(INDEX(tblCalisan[Brüt Ücret (₺)],MATCH($A836,tblCalisan[Çalışan Adı],0)),""))</f>
        <v/>
      </c>
      <c r="C836" s="22" t="str">
        <f aca="false">IF($A836="","",$B836*IsverenPayiOrani)</f>
        <v/>
      </c>
      <c r="D836" s="22" t="str">
        <f aca="false">IF($A836="","",$B836*IssizlikOrani)</f>
        <v/>
      </c>
      <c r="E836" s="22" t="str">
        <f aca="false">IF($A836="","",$B836*KidemKarsilikOrani)</f>
        <v/>
      </c>
      <c r="F836" s="20"/>
      <c r="G836" s="22" t="str">
        <f aca="false">IF($A836="","",$B836+$C836+$D836+$E836+$F836)</f>
        <v/>
      </c>
      <c r="H836" s="22" t="str">
        <f aca="false">IF($A836="","",$G836*AySayisi)</f>
        <v/>
      </c>
    </row>
    <row r="837" customFormat="false" ht="15" hidden="false" customHeight="false" outlineLevel="0" collapsed="false">
      <c r="A837" s="19"/>
      <c r="B837" s="22" t="str">
        <f aca="false">IF($A837="","",IFERROR(INDEX(tblCalisan[Brüt Ücret (₺)],MATCH($A837,tblCalisan[Çalışan Adı],0)),""))</f>
        <v/>
      </c>
      <c r="C837" s="22" t="str">
        <f aca="false">IF($A837="","",$B837*IsverenPayiOrani)</f>
        <v/>
      </c>
      <c r="D837" s="22" t="str">
        <f aca="false">IF($A837="","",$B837*IssizlikOrani)</f>
        <v/>
      </c>
      <c r="E837" s="22" t="str">
        <f aca="false">IF($A837="","",$B837*KidemKarsilikOrani)</f>
        <v/>
      </c>
      <c r="F837" s="20"/>
      <c r="G837" s="22" t="str">
        <f aca="false">IF($A837="","",$B837+$C837+$D837+$E837+$F837)</f>
        <v/>
      </c>
      <c r="H837" s="22" t="str">
        <f aca="false">IF($A837="","",$G837*AySayisi)</f>
        <v/>
      </c>
    </row>
    <row r="838" customFormat="false" ht="15" hidden="false" customHeight="false" outlineLevel="0" collapsed="false">
      <c r="A838" s="19"/>
      <c r="B838" s="22" t="str">
        <f aca="false">IF($A838="","",IFERROR(INDEX(tblCalisan[Brüt Ücret (₺)],MATCH($A838,tblCalisan[Çalışan Adı],0)),""))</f>
        <v/>
      </c>
      <c r="C838" s="22" t="str">
        <f aca="false">IF($A838="","",$B838*IsverenPayiOrani)</f>
        <v/>
      </c>
      <c r="D838" s="22" t="str">
        <f aca="false">IF($A838="","",$B838*IssizlikOrani)</f>
        <v/>
      </c>
      <c r="E838" s="22" t="str">
        <f aca="false">IF($A838="","",$B838*KidemKarsilikOrani)</f>
        <v/>
      </c>
      <c r="F838" s="20"/>
      <c r="G838" s="22" t="str">
        <f aca="false">IF($A838="","",$B838+$C838+$D838+$E838+$F838)</f>
        <v/>
      </c>
      <c r="H838" s="22" t="str">
        <f aca="false">IF($A838="","",$G838*AySayisi)</f>
        <v/>
      </c>
    </row>
    <row r="839" customFormat="false" ht="15" hidden="false" customHeight="false" outlineLevel="0" collapsed="false">
      <c r="A839" s="19"/>
      <c r="B839" s="22" t="str">
        <f aca="false">IF($A839="","",IFERROR(INDEX(tblCalisan[Brüt Ücret (₺)],MATCH($A839,tblCalisan[Çalışan Adı],0)),""))</f>
        <v/>
      </c>
      <c r="C839" s="22" t="str">
        <f aca="false">IF($A839="","",$B839*IsverenPayiOrani)</f>
        <v/>
      </c>
      <c r="D839" s="22" t="str">
        <f aca="false">IF($A839="","",$B839*IssizlikOrani)</f>
        <v/>
      </c>
      <c r="E839" s="22" t="str">
        <f aca="false">IF($A839="","",$B839*KidemKarsilikOrani)</f>
        <v/>
      </c>
      <c r="F839" s="20"/>
      <c r="G839" s="22" t="str">
        <f aca="false">IF($A839="","",$B839+$C839+$D839+$E839+$F839)</f>
        <v/>
      </c>
      <c r="H839" s="22" t="str">
        <f aca="false">IF($A839="","",$G839*AySayisi)</f>
        <v/>
      </c>
    </row>
    <row r="840" customFormat="false" ht="15" hidden="false" customHeight="false" outlineLevel="0" collapsed="false">
      <c r="A840" s="19"/>
      <c r="B840" s="22" t="str">
        <f aca="false">IF($A840="","",IFERROR(INDEX(tblCalisan[Brüt Ücret (₺)],MATCH($A840,tblCalisan[Çalışan Adı],0)),""))</f>
        <v/>
      </c>
      <c r="C840" s="22" t="str">
        <f aca="false">IF($A840="","",$B840*IsverenPayiOrani)</f>
        <v/>
      </c>
      <c r="D840" s="22" t="str">
        <f aca="false">IF($A840="","",$B840*IssizlikOrani)</f>
        <v/>
      </c>
      <c r="E840" s="22" t="str">
        <f aca="false">IF($A840="","",$B840*KidemKarsilikOrani)</f>
        <v/>
      </c>
      <c r="F840" s="20"/>
      <c r="G840" s="22" t="str">
        <f aca="false">IF($A840="","",$B840+$C840+$D840+$E840+$F840)</f>
        <v/>
      </c>
      <c r="H840" s="22" t="str">
        <f aca="false">IF($A840="","",$G840*AySayisi)</f>
        <v/>
      </c>
    </row>
    <row r="841" customFormat="false" ht="15" hidden="false" customHeight="false" outlineLevel="0" collapsed="false">
      <c r="A841" s="19"/>
      <c r="B841" s="22" t="str">
        <f aca="false">IF($A841="","",IFERROR(INDEX(tblCalisan[Brüt Ücret (₺)],MATCH($A841,tblCalisan[Çalışan Adı],0)),""))</f>
        <v/>
      </c>
      <c r="C841" s="22" t="str">
        <f aca="false">IF($A841="","",$B841*IsverenPayiOrani)</f>
        <v/>
      </c>
      <c r="D841" s="22" t="str">
        <f aca="false">IF($A841="","",$B841*IssizlikOrani)</f>
        <v/>
      </c>
      <c r="E841" s="22" t="str">
        <f aca="false">IF($A841="","",$B841*KidemKarsilikOrani)</f>
        <v/>
      </c>
      <c r="F841" s="20"/>
      <c r="G841" s="22" t="str">
        <f aca="false">IF($A841="","",$B841+$C841+$D841+$E841+$F841)</f>
        <v/>
      </c>
      <c r="H841" s="22" t="str">
        <f aca="false">IF($A841="","",$G841*AySayisi)</f>
        <v/>
      </c>
    </row>
    <row r="842" customFormat="false" ht="15" hidden="false" customHeight="false" outlineLevel="0" collapsed="false">
      <c r="A842" s="19"/>
      <c r="B842" s="22" t="str">
        <f aca="false">IF($A842="","",IFERROR(INDEX(tblCalisan[Brüt Ücret (₺)],MATCH($A842,tblCalisan[Çalışan Adı],0)),""))</f>
        <v/>
      </c>
      <c r="C842" s="22" t="str">
        <f aca="false">IF($A842="","",$B842*IsverenPayiOrani)</f>
        <v/>
      </c>
      <c r="D842" s="22" t="str">
        <f aca="false">IF($A842="","",$B842*IssizlikOrani)</f>
        <v/>
      </c>
      <c r="E842" s="22" t="str">
        <f aca="false">IF($A842="","",$B842*KidemKarsilikOrani)</f>
        <v/>
      </c>
      <c r="F842" s="20"/>
      <c r="G842" s="22" t="str">
        <f aca="false">IF($A842="","",$B842+$C842+$D842+$E842+$F842)</f>
        <v/>
      </c>
      <c r="H842" s="22" t="str">
        <f aca="false">IF($A842="","",$G842*AySayisi)</f>
        <v/>
      </c>
    </row>
    <row r="843" customFormat="false" ht="15" hidden="false" customHeight="false" outlineLevel="0" collapsed="false">
      <c r="A843" s="19"/>
      <c r="B843" s="22" t="str">
        <f aca="false">IF($A843="","",IFERROR(INDEX(tblCalisan[Brüt Ücret (₺)],MATCH($A843,tblCalisan[Çalışan Adı],0)),""))</f>
        <v/>
      </c>
      <c r="C843" s="22" t="str">
        <f aca="false">IF($A843="","",$B843*IsverenPayiOrani)</f>
        <v/>
      </c>
      <c r="D843" s="22" t="str">
        <f aca="false">IF($A843="","",$B843*IssizlikOrani)</f>
        <v/>
      </c>
      <c r="E843" s="22" t="str">
        <f aca="false">IF($A843="","",$B843*KidemKarsilikOrani)</f>
        <v/>
      </c>
      <c r="F843" s="20"/>
      <c r="G843" s="22" t="str">
        <f aca="false">IF($A843="","",$B843+$C843+$D843+$E843+$F843)</f>
        <v/>
      </c>
      <c r="H843" s="22" t="str">
        <f aca="false">IF($A843="","",$G843*AySayisi)</f>
        <v/>
      </c>
    </row>
    <row r="844" customFormat="false" ht="15" hidden="false" customHeight="false" outlineLevel="0" collapsed="false">
      <c r="A844" s="19"/>
      <c r="B844" s="22" t="str">
        <f aca="false">IF($A844="","",IFERROR(INDEX(tblCalisan[Brüt Ücret (₺)],MATCH($A844,tblCalisan[Çalışan Adı],0)),""))</f>
        <v/>
      </c>
      <c r="C844" s="22" t="str">
        <f aca="false">IF($A844="","",$B844*IsverenPayiOrani)</f>
        <v/>
      </c>
      <c r="D844" s="22" t="str">
        <f aca="false">IF($A844="","",$B844*IssizlikOrani)</f>
        <v/>
      </c>
      <c r="E844" s="22" t="str">
        <f aca="false">IF($A844="","",$B844*KidemKarsilikOrani)</f>
        <v/>
      </c>
      <c r="F844" s="20"/>
      <c r="G844" s="22" t="str">
        <f aca="false">IF($A844="","",$B844+$C844+$D844+$E844+$F844)</f>
        <v/>
      </c>
      <c r="H844" s="22" t="str">
        <f aca="false">IF($A844="","",$G844*AySayisi)</f>
        <v/>
      </c>
    </row>
    <row r="845" customFormat="false" ht="15" hidden="false" customHeight="false" outlineLevel="0" collapsed="false">
      <c r="A845" s="19"/>
      <c r="B845" s="22" t="str">
        <f aca="false">IF($A845="","",IFERROR(INDEX(tblCalisan[Brüt Ücret (₺)],MATCH($A845,tblCalisan[Çalışan Adı],0)),""))</f>
        <v/>
      </c>
      <c r="C845" s="22" t="str">
        <f aca="false">IF($A845="","",$B845*IsverenPayiOrani)</f>
        <v/>
      </c>
      <c r="D845" s="22" t="str">
        <f aca="false">IF($A845="","",$B845*IssizlikOrani)</f>
        <v/>
      </c>
      <c r="E845" s="22" t="str">
        <f aca="false">IF($A845="","",$B845*KidemKarsilikOrani)</f>
        <v/>
      </c>
      <c r="F845" s="20"/>
      <c r="G845" s="22" t="str">
        <f aca="false">IF($A845="","",$B845+$C845+$D845+$E845+$F845)</f>
        <v/>
      </c>
      <c r="H845" s="22" t="str">
        <f aca="false">IF($A845="","",$G845*AySayisi)</f>
        <v/>
      </c>
    </row>
    <row r="846" customFormat="false" ht="15" hidden="false" customHeight="false" outlineLevel="0" collapsed="false">
      <c r="A846" s="19"/>
      <c r="B846" s="22" t="str">
        <f aca="false">IF($A846="","",IFERROR(INDEX(tblCalisan[Brüt Ücret (₺)],MATCH($A846,tblCalisan[Çalışan Adı],0)),""))</f>
        <v/>
      </c>
      <c r="C846" s="22" t="str">
        <f aca="false">IF($A846="","",$B846*IsverenPayiOrani)</f>
        <v/>
      </c>
      <c r="D846" s="22" t="str">
        <f aca="false">IF($A846="","",$B846*IssizlikOrani)</f>
        <v/>
      </c>
      <c r="E846" s="22" t="str">
        <f aca="false">IF($A846="","",$B846*KidemKarsilikOrani)</f>
        <v/>
      </c>
      <c r="F846" s="20"/>
      <c r="G846" s="22" t="str">
        <f aca="false">IF($A846="","",$B846+$C846+$D846+$E846+$F846)</f>
        <v/>
      </c>
      <c r="H846" s="22" t="str">
        <f aca="false">IF($A846="","",$G846*AySayisi)</f>
        <v/>
      </c>
    </row>
    <row r="847" customFormat="false" ht="15" hidden="false" customHeight="false" outlineLevel="0" collapsed="false">
      <c r="A847" s="19"/>
      <c r="B847" s="22" t="str">
        <f aca="false">IF($A847="","",IFERROR(INDEX(tblCalisan[Brüt Ücret (₺)],MATCH($A847,tblCalisan[Çalışan Adı],0)),""))</f>
        <v/>
      </c>
      <c r="C847" s="22" t="str">
        <f aca="false">IF($A847="","",$B847*IsverenPayiOrani)</f>
        <v/>
      </c>
      <c r="D847" s="22" t="str">
        <f aca="false">IF($A847="","",$B847*IssizlikOrani)</f>
        <v/>
      </c>
      <c r="E847" s="22" t="str">
        <f aca="false">IF($A847="","",$B847*KidemKarsilikOrani)</f>
        <v/>
      </c>
      <c r="F847" s="20"/>
      <c r="G847" s="22" t="str">
        <f aca="false">IF($A847="","",$B847+$C847+$D847+$E847+$F847)</f>
        <v/>
      </c>
      <c r="H847" s="22" t="str">
        <f aca="false">IF($A847="","",$G847*AySayisi)</f>
        <v/>
      </c>
    </row>
    <row r="848" customFormat="false" ht="15" hidden="false" customHeight="false" outlineLevel="0" collapsed="false">
      <c r="A848" s="19"/>
      <c r="B848" s="22" t="str">
        <f aca="false">IF($A848="","",IFERROR(INDEX(tblCalisan[Brüt Ücret (₺)],MATCH($A848,tblCalisan[Çalışan Adı],0)),""))</f>
        <v/>
      </c>
      <c r="C848" s="22" t="str">
        <f aca="false">IF($A848="","",$B848*IsverenPayiOrani)</f>
        <v/>
      </c>
      <c r="D848" s="22" t="str">
        <f aca="false">IF($A848="","",$B848*IssizlikOrani)</f>
        <v/>
      </c>
      <c r="E848" s="22" t="str">
        <f aca="false">IF($A848="","",$B848*KidemKarsilikOrani)</f>
        <v/>
      </c>
      <c r="F848" s="20"/>
      <c r="G848" s="22" t="str">
        <f aca="false">IF($A848="","",$B848+$C848+$D848+$E848+$F848)</f>
        <v/>
      </c>
      <c r="H848" s="22" t="str">
        <f aca="false">IF($A848="","",$G848*AySayisi)</f>
        <v/>
      </c>
    </row>
    <row r="849" customFormat="false" ht="15" hidden="false" customHeight="false" outlineLevel="0" collapsed="false">
      <c r="A849" s="19"/>
      <c r="B849" s="22" t="str">
        <f aca="false">IF($A849="","",IFERROR(INDEX(tblCalisan[Brüt Ücret (₺)],MATCH($A849,tblCalisan[Çalışan Adı],0)),""))</f>
        <v/>
      </c>
      <c r="C849" s="22" t="str">
        <f aca="false">IF($A849="","",$B849*IsverenPayiOrani)</f>
        <v/>
      </c>
      <c r="D849" s="22" t="str">
        <f aca="false">IF($A849="","",$B849*IssizlikOrani)</f>
        <v/>
      </c>
      <c r="E849" s="22" t="str">
        <f aca="false">IF($A849="","",$B849*KidemKarsilikOrani)</f>
        <v/>
      </c>
      <c r="F849" s="20"/>
      <c r="G849" s="22" t="str">
        <f aca="false">IF($A849="","",$B849+$C849+$D849+$E849+$F849)</f>
        <v/>
      </c>
      <c r="H849" s="22" t="str">
        <f aca="false">IF($A849="","",$G849*AySayisi)</f>
        <v/>
      </c>
    </row>
    <row r="850" customFormat="false" ht="15" hidden="false" customHeight="false" outlineLevel="0" collapsed="false">
      <c r="A850" s="19"/>
      <c r="B850" s="22" t="str">
        <f aca="false">IF($A850="","",IFERROR(INDEX(tblCalisan[Brüt Ücret (₺)],MATCH($A850,tblCalisan[Çalışan Adı],0)),""))</f>
        <v/>
      </c>
      <c r="C850" s="22" t="str">
        <f aca="false">IF($A850="","",$B850*IsverenPayiOrani)</f>
        <v/>
      </c>
      <c r="D850" s="22" t="str">
        <f aca="false">IF($A850="","",$B850*IssizlikOrani)</f>
        <v/>
      </c>
      <c r="E850" s="22" t="str">
        <f aca="false">IF($A850="","",$B850*KidemKarsilikOrani)</f>
        <v/>
      </c>
      <c r="F850" s="20"/>
      <c r="G850" s="22" t="str">
        <f aca="false">IF($A850="","",$B850+$C850+$D850+$E850+$F850)</f>
        <v/>
      </c>
      <c r="H850" s="22" t="str">
        <f aca="false">IF($A850="","",$G850*AySayisi)</f>
        <v/>
      </c>
    </row>
    <row r="851" customFormat="false" ht="15" hidden="false" customHeight="false" outlineLevel="0" collapsed="false">
      <c r="A851" s="19"/>
      <c r="B851" s="22" t="str">
        <f aca="false">IF($A851="","",IFERROR(INDEX(tblCalisan[Brüt Ücret (₺)],MATCH($A851,tblCalisan[Çalışan Adı],0)),""))</f>
        <v/>
      </c>
      <c r="C851" s="22" t="str">
        <f aca="false">IF($A851="","",$B851*IsverenPayiOrani)</f>
        <v/>
      </c>
      <c r="D851" s="22" t="str">
        <f aca="false">IF($A851="","",$B851*IssizlikOrani)</f>
        <v/>
      </c>
      <c r="E851" s="22" t="str">
        <f aca="false">IF($A851="","",$B851*KidemKarsilikOrani)</f>
        <v/>
      </c>
      <c r="F851" s="20"/>
      <c r="G851" s="22" t="str">
        <f aca="false">IF($A851="","",$B851+$C851+$D851+$E851+$F851)</f>
        <v/>
      </c>
      <c r="H851" s="22" t="str">
        <f aca="false">IF($A851="","",$G851*AySayisi)</f>
        <v/>
      </c>
    </row>
    <row r="852" customFormat="false" ht="15" hidden="false" customHeight="false" outlineLevel="0" collapsed="false">
      <c r="A852" s="19"/>
      <c r="B852" s="22" t="str">
        <f aca="false">IF($A852="","",IFERROR(INDEX(tblCalisan[Brüt Ücret (₺)],MATCH($A852,tblCalisan[Çalışan Adı],0)),""))</f>
        <v/>
      </c>
      <c r="C852" s="22" t="str">
        <f aca="false">IF($A852="","",$B852*IsverenPayiOrani)</f>
        <v/>
      </c>
      <c r="D852" s="22" t="str">
        <f aca="false">IF($A852="","",$B852*IssizlikOrani)</f>
        <v/>
      </c>
      <c r="E852" s="22" t="str">
        <f aca="false">IF($A852="","",$B852*KidemKarsilikOrani)</f>
        <v/>
      </c>
      <c r="F852" s="20"/>
      <c r="G852" s="22" t="str">
        <f aca="false">IF($A852="","",$B852+$C852+$D852+$E852+$F852)</f>
        <v/>
      </c>
      <c r="H852" s="22" t="str">
        <f aca="false">IF($A852="","",$G852*AySayisi)</f>
        <v/>
      </c>
    </row>
    <row r="853" customFormat="false" ht="15" hidden="false" customHeight="false" outlineLevel="0" collapsed="false">
      <c r="A853" s="19"/>
      <c r="B853" s="22" t="str">
        <f aca="false">IF($A853="","",IFERROR(INDEX(tblCalisan[Brüt Ücret (₺)],MATCH($A853,tblCalisan[Çalışan Adı],0)),""))</f>
        <v/>
      </c>
      <c r="C853" s="22" t="str">
        <f aca="false">IF($A853="","",$B853*IsverenPayiOrani)</f>
        <v/>
      </c>
      <c r="D853" s="22" t="str">
        <f aca="false">IF($A853="","",$B853*IssizlikOrani)</f>
        <v/>
      </c>
      <c r="E853" s="22" t="str">
        <f aca="false">IF($A853="","",$B853*KidemKarsilikOrani)</f>
        <v/>
      </c>
      <c r="F853" s="20"/>
      <c r="G853" s="22" t="str">
        <f aca="false">IF($A853="","",$B853+$C853+$D853+$E853+$F853)</f>
        <v/>
      </c>
      <c r="H853" s="22" t="str">
        <f aca="false">IF($A853="","",$G853*AySayisi)</f>
        <v/>
      </c>
    </row>
    <row r="854" customFormat="false" ht="15" hidden="false" customHeight="false" outlineLevel="0" collapsed="false">
      <c r="A854" s="19"/>
      <c r="B854" s="22" t="str">
        <f aca="false">IF($A854="","",IFERROR(INDEX(tblCalisan[Brüt Ücret (₺)],MATCH($A854,tblCalisan[Çalışan Adı],0)),""))</f>
        <v/>
      </c>
      <c r="C854" s="22" t="str">
        <f aca="false">IF($A854="","",$B854*IsverenPayiOrani)</f>
        <v/>
      </c>
      <c r="D854" s="22" t="str">
        <f aca="false">IF($A854="","",$B854*IssizlikOrani)</f>
        <v/>
      </c>
      <c r="E854" s="22" t="str">
        <f aca="false">IF($A854="","",$B854*KidemKarsilikOrani)</f>
        <v/>
      </c>
      <c r="F854" s="20"/>
      <c r="G854" s="22" t="str">
        <f aca="false">IF($A854="","",$B854+$C854+$D854+$E854+$F854)</f>
        <v/>
      </c>
      <c r="H854" s="22" t="str">
        <f aca="false">IF($A854="","",$G854*AySayisi)</f>
        <v/>
      </c>
    </row>
    <row r="855" customFormat="false" ht="15" hidden="false" customHeight="false" outlineLevel="0" collapsed="false">
      <c r="A855" s="19"/>
      <c r="B855" s="22" t="str">
        <f aca="false">IF($A855="","",IFERROR(INDEX(tblCalisan[Brüt Ücret (₺)],MATCH($A855,tblCalisan[Çalışan Adı],0)),""))</f>
        <v/>
      </c>
      <c r="C855" s="22" t="str">
        <f aca="false">IF($A855="","",$B855*IsverenPayiOrani)</f>
        <v/>
      </c>
      <c r="D855" s="22" t="str">
        <f aca="false">IF($A855="","",$B855*IssizlikOrani)</f>
        <v/>
      </c>
      <c r="E855" s="22" t="str">
        <f aca="false">IF($A855="","",$B855*KidemKarsilikOrani)</f>
        <v/>
      </c>
      <c r="F855" s="20"/>
      <c r="G855" s="22" t="str">
        <f aca="false">IF($A855="","",$B855+$C855+$D855+$E855+$F855)</f>
        <v/>
      </c>
      <c r="H855" s="22" t="str">
        <f aca="false">IF($A855="","",$G855*AySayisi)</f>
        <v/>
      </c>
    </row>
    <row r="856" customFormat="false" ht="15" hidden="false" customHeight="false" outlineLevel="0" collapsed="false">
      <c r="A856" s="19"/>
      <c r="B856" s="22" t="str">
        <f aca="false">IF($A856="","",IFERROR(INDEX(tblCalisan[Brüt Ücret (₺)],MATCH($A856,tblCalisan[Çalışan Adı],0)),""))</f>
        <v/>
      </c>
      <c r="C856" s="22" t="str">
        <f aca="false">IF($A856="","",$B856*IsverenPayiOrani)</f>
        <v/>
      </c>
      <c r="D856" s="22" t="str">
        <f aca="false">IF($A856="","",$B856*IssizlikOrani)</f>
        <v/>
      </c>
      <c r="E856" s="22" t="str">
        <f aca="false">IF($A856="","",$B856*KidemKarsilikOrani)</f>
        <v/>
      </c>
      <c r="F856" s="20"/>
      <c r="G856" s="22" t="str">
        <f aca="false">IF($A856="","",$B856+$C856+$D856+$E856+$F856)</f>
        <v/>
      </c>
      <c r="H856" s="22" t="str">
        <f aca="false">IF($A856="","",$G856*AySayisi)</f>
        <v/>
      </c>
    </row>
    <row r="857" customFormat="false" ht="15" hidden="false" customHeight="false" outlineLevel="0" collapsed="false">
      <c r="A857" s="19"/>
      <c r="B857" s="22" t="str">
        <f aca="false">IF($A857="","",IFERROR(INDEX(tblCalisan[Brüt Ücret (₺)],MATCH($A857,tblCalisan[Çalışan Adı],0)),""))</f>
        <v/>
      </c>
      <c r="C857" s="22" t="str">
        <f aca="false">IF($A857="","",$B857*IsverenPayiOrani)</f>
        <v/>
      </c>
      <c r="D857" s="22" t="str">
        <f aca="false">IF($A857="","",$B857*IssizlikOrani)</f>
        <v/>
      </c>
      <c r="E857" s="22" t="str">
        <f aca="false">IF($A857="","",$B857*KidemKarsilikOrani)</f>
        <v/>
      </c>
      <c r="F857" s="20"/>
      <c r="G857" s="22" t="str">
        <f aca="false">IF($A857="","",$B857+$C857+$D857+$E857+$F857)</f>
        <v/>
      </c>
      <c r="H857" s="22" t="str">
        <f aca="false">IF($A857="","",$G857*AySayisi)</f>
        <v/>
      </c>
    </row>
    <row r="858" customFormat="false" ht="15" hidden="false" customHeight="false" outlineLevel="0" collapsed="false">
      <c r="A858" s="19"/>
      <c r="B858" s="22" t="str">
        <f aca="false">IF($A858="","",IFERROR(INDEX(tblCalisan[Brüt Ücret (₺)],MATCH($A858,tblCalisan[Çalışan Adı],0)),""))</f>
        <v/>
      </c>
      <c r="C858" s="22" t="str">
        <f aca="false">IF($A858="","",$B858*IsverenPayiOrani)</f>
        <v/>
      </c>
      <c r="D858" s="22" t="str">
        <f aca="false">IF($A858="","",$B858*IssizlikOrani)</f>
        <v/>
      </c>
      <c r="E858" s="22" t="str">
        <f aca="false">IF($A858="","",$B858*KidemKarsilikOrani)</f>
        <v/>
      </c>
      <c r="F858" s="20"/>
      <c r="G858" s="22" t="str">
        <f aca="false">IF($A858="","",$B858+$C858+$D858+$E858+$F858)</f>
        <v/>
      </c>
      <c r="H858" s="22" t="str">
        <f aca="false">IF($A858="","",$G858*AySayisi)</f>
        <v/>
      </c>
    </row>
    <row r="859" customFormat="false" ht="15" hidden="false" customHeight="false" outlineLevel="0" collapsed="false">
      <c r="A859" s="19"/>
      <c r="B859" s="22" t="str">
        <f aca="false">IF($A859="","",IFERROR(INDEX(tblCalisan[Brüt Ücret (₺)],MATCH($A859,tblCalisan[Çalışan Adı],0)),""))</f>
        <v/>
      </c>
      <c r="C859" s="22" t="str">
        <f aca="false">IF($A859="","",$B859*IsverenPayiOrani)</f>
        <v/>
      </c>
      <c r="D859" s="22" t="str">
        <f aca="false">IF($A859="","",$B859*IssizlikOrani)</f>
        <v/>
      </c>
      <c r="E859" s="22" t="str">
        <f aca="false">IF($A859="","",$B859*KidemKarsilikOrani)</f>
        <v/>
      </c>
      <c r="F859" s="20"/>
      <c r="G859" s="22" t="str">
        <f aca="false">IF($A859="","",$B859+$C859+$D859+$E859+$F859)</f>
        <v/>
      </c>
      <c r="H859" s="22" t="str">
        <f aca="false">IF($A859="","",$G859*AySayisi)</f>
        <v/>
      </c>
    </row>
    <row r="860" customFormat="false" ht="15" hidden="false" customHeight="false" outlineLevel="0" collapsed="false">
      <c r="A860" s="19"/>
      <c r="B860" s="22" t="str">
        <f aca="false">IF($A860="","",IFERROR(INDEX(tblCalisan[Brüt Ücret (₺)],MATCH($A860,tblCalisan[Çalışan Adı],0)),""))</f>
        <v/>
      </c>
      <c r="C860" s="22" t="str">
        <f aca="false">IF($A860="","",$B860*IsverenPayiOrani)</f>
        <v/>
      </c>
      <c r="D860" s="22" t="str">
        <f aca="false">IF($A860="","",$B860*IssizlikOrani)</f>
        <v/>
      </c>
      <c r="E860" s="22" t="str">
        <f aca="false">IF($A860="","",$B860*KidemKarsilikOrani)</f>
        <v/>
      </c>
      <c r="F860" s="20"/>
      <c r="G860" s="22" t="str">
        <f aca="false">IF($A860="","",$B860+$C860+$D860+$E860+$F860)</f>
        <v/>
      </c>
      <c r="H860" s="22" t="str">
        <f aca="false">IF($A860="","",$G860*AySayisi)</f>
        <v/>
      </c>
    </row>
    <row r="861" customFormat="false" ht="15" hidden="false" customHeight="false" outlineLevel="0" collapsed="false">
      <c r="A861" s="19"/>
      <c r="B861" s="22" t="str">
        <f aca="false">IF($A861="","",IFERROR(INDEX(tblCalisan[Brüt Ücret (₺)],MATCH($A861,tblCalisan[Çalışan Adı],0)),""))</f>
        <v/>
      </c>
      <c r="C861" s="22" t="str">
        <f aca="false">IF($A861="","",$B861*IsverenPayiOrani)</f>
        <v/>
      </c>
      <c r="D861" s="22" t="str">
        <f aca="false">IF($A861="","",$B861*IssizlikOrani)</f>
        <v/>
      </c>
      <c r="E861" s="22" t="str">
        <f aca="false">IF($A861="","",$B861*KidemKarsilikOrani)</f>
        <v/>
      </c>
      <c r="F861" s="20"/>
      <c r="G861" s="22" t="str">
        <f aca="false">IF($A861="","",$B861+$C861+$D861+$E861+$F861)</f>
        <v/>
      </c>
      <c r="H861" s="22" t="str">
        <f aca="false">IF($A861="","",$G861*AySayisi)</f>
        <v/>
      </c>
    </row>
    <row r="862" customFormat="false" ht="15" hidden="false" customHeight="false" outlineLevel="0" collapsed="false">
      <c r="A862" s="19"/>
      <c r="B862" s="22" t="str">
        <f aca="false">IF($A862="","",IFERROR(INDEX(tblCalisan[Brüt Ücret (₺)],MATCH($A862,tblCalisan[Çalışan Adı],0)),""))</f>
        <v/>
      </c>
      <c r="C862" s="22" t="str">
        <f aca="false">IF($A862="","",$B862*IsverenPayiOrani)</f>
        <v/>
      </c>
      <c r="D862" s="22" t="str">
        <f aca="false">IF($A862="","",$B862*IssizlikOrani)</f>
        <v/>
      </c>
      <c r="E862" s="22" t="str">
        <f aca="false">IF($A862="","",$B862*KidemKarsilikOrani)</f>
        <v/>
      </c>
      <c r="F862" s="20"/>
      <c r="G862" s="22" t="str">
        <f aca="false">IF($A862="","",$B862+$C862+$D862+$E862+$F862)</f>
        <v/>
      </c>
      <c r="H862" s="22" t="str">
        <f aca="false">IF($A862="","",$G862*AySayisi)</f>
        <v/>
      </c>
    </row>
    <row r="863" customFormat="false" ht="15" hidden="false" customHeight="false" outlineLevel="0" collapsed="false">
      <c r="A863" s="19"/>
      <c r="B863" s="22" t="str">
        <f aca="false">IF($A863="","",IFERROR(INDEX(tblCalisan[Brüt Ücret (₺)],MATCH($A863,tblCalisan[Çalışan Adı],0)),""))</f>
        <v/>
      </c>
      <c r="C863" s="22" t="str">
        <f aca="false">IF($A863="","",$B863*IsverenPayiOrani)</f>
        <v/>
      </c>
      <c r="D863" s="22" t="str">
        <f aca="false">IF($A863="","",$B863*IssizlikOrani)</f>
        <v/>
      </c>
      <c r="E863" s="22" t="str">
        <f aca="false">IF($A863="","",$B863*KidemKarsilikOrani)</f>
        <v/>
      </c>
      <c r="F863" s="20"/>
      <c r="G863" s="22" t="str">
        <f aca="false">IF($A863="","",$B863+$C863+$D863+$E863+$F863)</f>
        <v/>
      </c>
      <c r="H863" s="22" t="str">
        <f aca="false">IF($A863="","",$G863*AySayisi)</f>
        <v/>
      </c>
    </row>
    <row r="864" customFormat="false" ht="15" hidden="false" customHeight="false" outlineLevel="0" collapsed="false">
      <c r="A864" s="19"/>
      <c r="B864" s="22" t="str">
        <f aca="false">IF($A864="","",IFERROR(INDEX(tblCalisan[Brüt Ücret (₺)],MATCH($A864,tblCalisan[Çalışan Adı],0)),""))</f>
        <v/>
      </c>
      <c r="C864" s="22" t="str">
        <f aca="false">IF($A864="","",$B864*IsverenPayiOrani)</f>
        <v/>
      </c>
      <c r="D864" s="22" t="str">
        <f aca="false">IF($A864="","",$B864*IssizlikOrani)</f>
        <v/>
      </c>
      <c r="E864" s="22" t="str">
        <f aca="false">IF($A864="","",$B864*KidemKarsilikOrani)</f>
        <v/>
      </c>
      <c r="F864" s="20"/>
      <c r="G864" s="22" t="str">
        <f aca="false">IF($A864="","",$B864+$C864+$D864+$E864+$F864)</f>
        <v/>
      </c>
      <c r="H864" s="22" t="str">
        <f aca="false">IF($A864="","",$G864*AySayisi)</f>
        <v/>
      </c>
    </row>
    <row r="865" customFormat="false" ht="15" hidden="false" customHeight="false" outlineLevel="0" collapsed="false">
      <c r="A865" s="19"/>
      <c r="B865" s="22" t="str">
        <f aca="false">IF($A865="","",IFERROR(INDEX(tblCalisan[Brüt Ücret (₺)],MATCH($A865,tblCalisan[Çalışan Adı],0)),""))</f>
        <v/>
      </c>
      <c r="C865" s="22" t="str">
        <f aca="false">IF($A865="","",$B865*IsverenPayiOrani)</f>
        <v/>
      </c>
      <c r="D865" s="22" t="str">
        <f aca="false">IF($A865="","",$B865*IssizlikOrani)</f>
        <v/>
      </c>
      <c r="E865" s="22" t="str">
        <f aca="false">IF($A865="","",$B865*KidemKarsilikOrani)</f>
        <v/>
      </c>
      <c r="F865" s="20"/>
      <c r="G865" s="22" t="str">
        <f aca="false">IF($A865="","",$B865+$C865+$D865+$E865+$F865)</f>
        <v/>
      </c>
      <c r="H865" s="22" t="str">
        <f aca="false">IF($A865="","",$G865*AySayisi)</f>
        <v/>
      </c>
    </row>
    <row r="866" customFormat="false" ht="15" hidden="false" customHeight="false" outlineLevel="0" collapsed="false">
      <c r="A866" s="19"/>
      <c r="B866" s="22" t="str">
        <f aca="false">IF($A866="","",IFERROR(INDEX(tblCalisan[Brüt Ücret (₺)],MATCH($A866,tblCalisan[Çalışan Adı],0)),""))</f>
        <v/>
      </c>
      <c r="C866" s="22" t="str">
        <f aca="false">IF($A866="","",$B866*IsverenPayiOrani)</f>
        <v/>
      </c>
      <c r="D866" s="22" t="str">
        <f aca="false">IF($A866="","",$B866*IssizlikOrani)</f>
        <v/>
      </c>
      <c r="E866" s="22" t="str">
        <f aca="false">IF($A866="","",$B866*KidemKarsilikOrani)</f>
        <v/>
      </c>
      <c r="F866" s="20"/>
      <c r="G866" s="22" t="str">
        <f aca="false">IF($A866="","",$B866+$C866+$D866+$E866+$F866)</f>
        <v/>
      </c>
      <c r="H866" s="22" t="str">
        <f aca="false">IF($A866="","",$G866*AySayisi)</f>
        <v/>
      </c>
    </row>
    <row r="867" customFormat="false" ht="15" hidden="false" customHeight="false" outlineLevel="0" collapsed="false">
      <c r="A867" s="19"/>
      <c r="B867" s="22" t="str">
        <f aca="false">IF($A867="","",IFERROR(INDEX(tblCalisan[Brüt Ücret (₺)],MATCH($A867,tblCalisan[Çalışan Adı],0)),""))</f>
        <v/>
      </c>
      <c r="C867" s="22" t="str">
        <f aca="false">IF($A867="","",$B867*IsverenPayiOrani)</f>
        <v/>
      </c>
      <c r="D867" s="22" t="str">
        <f aca="false">IF($A867="","",$B867*IssizlikOrani)</f>
        <v/>
      </c>
      <c r="E867" s="22" t="str">
        <f aca="false">IF($A867="","",$B867*KidemKarsilikOrani)</f>
        <v/>
      </c>
      <c r="F867" s="20"/>
      <c r="G867" s="22" t="str">
        <f aca="false">IF($A867="","",$B867+$C867+$D867+$E867+$F867)</f>
        <v/>
      </c>
      <c r="H867" s="22" t="str">
        <f aca="false">IF($A867="","",$G867*AySayisi)</f>
        <v/>
      </c>
    </row>
    <row r="868" customFormat="false" ht="15" hidden="false" customHeight="false" outlineLevel="0" collapsed="false">
      <c r="A868" s="19"/>
      <c r="B868" s="22" t="str">
        <f aca="false">IF($A868="","",IFERROR(INDEX(tblCalisan[Brüt Ücret (₺)],MATCH($A868,tblCalisan[Çalışan Adı],0)),""))</f>
        <v/>
      </c>
      <c r="C868" s="22" t="str">
        <f aca="false">IF($A868="","",$B868*IsverenPayiOrani)</f>
        <v/>
      </c>
      <c r="D868" s="22" t="str">
        <f aca="false">IF($A868="","",$B868*IssizlikOrani)</f>
        <v/>
      </c>
      <c r="E868" s="22" t="str">
        <f aca="false">IF($A868="","",$B868*KidemKarsilikOrani)</f>
        <v/>
      </c>
      <c r="F868" s="20"/>
      <c r="G868" s="22" t="str">
        <f aca="false">IF($A868="","",$B868+$C868+$D868+$E868+$F868)</f>
        <v/>
      </c>
      <c r="H868" s="22" t="str">
        <f aca="false">IF($A868="","",$G868*AySayisi)</f>
        <v/>
      </c>
    </row>
    <row r="869" customFormat="false" ht="15" hidden="false" customHeight="false" outlineLevel="0" collapsed="false">
      <c r="A869" s="19"/>
      <c r="B869" s="22" t="str">
        <f aca="false">IF($A869="","",IFERROR(INDEX(tblCalisan[Brüt Ücret (₺)],MATCH($A869,tblCalisan[Çalışan Adı],0)),""))</f>
        <v/>
      </c>
      <c r="C869" s="22" t="str">
        <f aca="false">IF($A869="","",$B869*IsverenPayiOrani)</f>
        <v/>
      </c>
      <c r="D869" s="22" t="str">
        <f aca="false">IF($A869="","",$B869*IssizlikOrani)</f>
        <v/>
      </c>
      <c r="E869" s="22" t="str">
        <f aca="false">IF($A869="","",$B869*KidemKarsilikOrani)</f>
        <v/>
      </c>
      <c r="F869" s="20"/>
      <c r="G869" s="22" t="str">
        <f aca="false">IF($A869="","",$B869+$C869+$D869+$E869+$F869)</f>
        <v/>
      </c>
      <c r="H869" s="22" t="str">
        <f aca="false">IF($A869="","",$G869*AySayisi)</f>
        <v/>
      </c>
    </row>
    <row r="870" customFormat="false" ht="15" hidden="false" customHeight="false" outlineLevel="0" collapsed="false">
      <c r="A870" s="19"/>
      <c r="B870" s="22" t="str">
        <f aca="false">IF($A870="","",IFERROR(INDEX(tblCalisan[Brüt Ücret (₺)],MATCH($A870,tblCalisan[Çalışan Adı],0)),""))</f>
        <v/>
      </c>
      <c r="C870" s="22" t="str">
        <f aca="false">IF($A870="","",$B870*IsverenPayiOrani)</f>
        <v/>
      </c>
      <c r="D870" s="22" t="str">
        <f aca="false">IF($A870="","",$B870*IssizlikOrani)</f>
        <v/>
      </c>
      <c r="E870" s="22" t="str">
        <f aca="false">IF($A870="","",$B870*KidemKarsilikOrani)</f>
        <v/>
      </c>
      <c r="F870" s="20"/>
      <c r="G870" s="22" t="str">
        <f aca="false">IF($A870="","",$B870+$C870+$D870+$E870+$F870)</f>
        <v/>
      </c>
      <c r="H870" s="22" t="str">
        <f aca="false">IF($A870="","",$G870*AySayisi)</f>
        <v/>
      </c>
    </row>
    <row r="871" customFormat="false" ht="15" hidden="false" customHeight="false" outlineLevel="0" collapsed="false">
      <c r="A871" s="19"/>
      <c r="B871" s="22" t="str">
        <f aca="false">IF($A871="","",IFERROR(INDEX(tblCalisan[Brüt Ücret (₺)],MATCH($A871,tblCalisan[Çalışan Adı],0)),""))</f>
        <v/>
      </c>
      <c r="C871" s="22" t="str">
        <f aca="false">IF($A871="","",$B871*IsverenPayiOrani)</f>
        <v/>
      </c>
      <c r="D871" s="22" t="str">
        <f aca="false">IF($A871="","",$B871*IssizlikOrani)</f>
        <v/>
      </c>
      <c r="E871" s="22" t="str">
        <f aca="false">IF($A871="","",$B871*KidemKarsilikOrani)</f>
        <v/>
      </c>
      <c r="F871" s="20"/>
      <c r="G871" s="22" t="str">
        <f aca="false">IF($A871="","",$B871+$C871+$D871+$E871+$F871)</f>
        <v/>
      </c>
      <c r="H871" s="22" t="str">
        <f aca="false">IF($A871="","",$G871*AySayisi)</f>
        <v/>
      </c>
    </row>
    <row r="872" customFormat="false" ht="15" hidden="false" customHeight="false" outlineLevel="0" collapsed="false">
      <c r="A872" s="19"/>
      <c r="B872" s="22" t="str">
        <f aca="false">IF($A872="","",IFERROR(INDEX(tblCalisan[Brüt Ücret (₺)],MATCH($A872,tblCalisan[Çalışan Adı],0)),""))</f>
        <v/>
      </c>
      <c r="C872" s="22" t="str">
        <f aca="false">IF($A872="","",$B872*IsverenPayiOrani)</f>
        <v/>
      </c>
      <c r="D872" s="22" t="str">
        <f aca="false">IF($A872="","",$B872*IssizlikOrani)</f>
        <v/>
      </c>
      <c r="E872" s="22" t="str">
        <f aca="false">IF($A872="","",$B872*KidemKarsilikOrani)</f>
        <v/>
      </c>
      <c r="F872" s="20"/>
      <c r="G872" s="22" t="str">
        <f aca="false">IF($A872="","",$B872+$C872+$D872+$E872+$F872)</f>
        <v/>
      </c>
      <c r="H872" s="22" t="str">
        <f aca="false">IF($A872="","",$G872*AySayisi)</f>
        <v/>
      </c>
    </row>
    <row r="873" customFormat="false" ht="15" hidden="false" customHeight="false" outlineLevel="0" collapsed="false">
      <c r="A873" s="19"/>
      <c r="B873" s="22" t="str">
        <f aca="false">IF($A873="","",IFERROR(INDEX(tblCalisan[Brüt Ücret (₺)],MATCH($A873,tblCalisan[Çalışan Adı],0)),""))</f>
        <v/>
      </c>
      <c r="C873" s="22" t="str">
        <f aca="false">IF($A873="","",$B873*IsverenPayiOrani)</f>
        <v/>
      </c>
      <c r="D873" s="22" t="str">
        <f aca="false">IF($A873="","",$B873*IssizlikOrani)</f>
        <v/>
      </c>
      <c r="E873" s="22" t="str">
        <f aca="false">IF($A873="","",$B873*KidemKarsilikOrani)</f>
        <v/>
      </c>
      <c r="F873" s="20"/>
      <c r="G873" s="22" t="str">
        <f aca="false">IF($A873="","",$B873+$C873+$D873+$E873+$F873)</f>
        <v/>
      </c>
      <c r="H873" s="22" t="str">
        <f aca="false">IF($A873="","",$G873*AySayisi)</f>
        <v/>
      </c>
    </row>
    <row r="874" customFormat="false" ht="15" hidden="false" customHeight="false" outlineLevel="0" collapsed="false">
      <c r="A874" s="19"/>
      <c r="B874" s="22" t="str">
        <f aca="false">IF($A874="","",IFERROR(INDEX(tblCalisan[Brüt Ücret (₺)],MATCH($A874,tblCalisan[Çalışan Adı],0)),""))</f>
        <v/>
      </c>
      <c r="C874" s="22" t="str">
        <f aca="false">IF($A874="","",$B874*IsverenPayiOrani)</f>
        <v/>
      </c>
      <c r="D874" s="22" t="str">
        <f aca="false">IF($A874="","",$B874*IssizlikOrani)</f>
        <v/>
      </c>
      <c r="E874" s="22" t="str">
        <f aca="false">IF($A874="","",$B874*KidemKarsilikOrani)</f>
        <v/>
      </c>
      <c r="F874" s="20"/>
      <c r="G874" s="22" t="str">
        <f aca="false">IF($A874="","",$B874+$C874+$D874+$E874+$F874)</f>
        <v/>
      </c>
      <c r="H874" s="22" t="str">
        <f aca="false">IF($A874="","",$G874*AySayisi)</f>
        <v/>
      </c>
    </row>
    <row r="875" customFormat="false" ht="15" hidden="false" customHeight="false" outlineLevel="0" collapsed="false">
      <c r="A875" s="19"/>
      <c r="B875" s="22" t="str">
        <f aca="false">IF($A875="","",IFERROR(INDEX(tblCalisan[Brüt Ücret (₺)],MATCH($A875,tblCalisan[Çalışan Adı],0)),""))</f>
        <v/>
      </c>
      <c r="C875" s="22" t="str">
        <f aca="false">IF($A875="","",$B875*IsverenPayiOrani)</f>
        <v/>
      </c>
      <c r="D875" s="22" t="str">
        <f aca="false">IF($A875="","",$B875*IssizlikOrani)</f>
        <v/>
      </c>
      <c r="E875" s="22" t="str">
        <f aca="false">IF($A875="","",$B875*KidemKarsilikOrani)</f>
        <v/>
      </c>
      <c r="F875" s="20"/>
      <c r="G875" s="22" t="str">
        <f aca="false">IF($A875="","",$B875+$C875+$D875+$E875+$F875)</f>
        <v/>
      </c>
      <c r="H875" s="22" t="str">
        <f aca="false">IF($A875="","",$G875*AySayisi)</f>
        <v/>
      </c>
    </row>
    <row r="876" customFormat="false" ht="15" hidden="false" customHeight="false" outlineLevel="0" collapsed="false">
      <c r="A876" s="19"/>
      <c r="B876" s="22" t="str">
        <f aca="false">IF($A876="","",IFERROR(INDEX(tblCalisan[Brüt Ücret (₺)],MATCH($A876,tblCalisan[Çalışan Adı],0)),""))</f>
        <v/>
      </c>
      <c r="C876" s="22" t="str">
        <f aca="false">IF($A876="","",$B876*IsverenPayiOrani)</f>
        <v/>
      </c>
      <c r="D876" s="22" t="str">
        <f aca="false">IF($A876="","",$B876*IssizlikOrani)</f>
        <v/>
      </c>
      <c r="E876" s="22" t="str">
        <f aca="false">IF($A876="","",$B876*KidemKarsilikOrani)</f>
        <v/>
      </c>
      <c r="F876" s="20"/>
      <c r="G876" s="22" t="str">
        <f aca="false">IF($A876="","",$B876+$C876+$D876+$E876+$F876)</f>
        <v/>
      </c>
      <c r="H876" s="22" t="str">
        <f aca="false">IF($A876="","",$G876*AySayisi)</f>
        <v/>
      </c>
    </row>
    <row r="877" customFormat="false" ht="15" hidden="false" customHeight="false" outlineLevel="0" collapsed="false">
      <c r="A877" s="19"/>
      <c r="B877" s="22" t="str">
        <f aca="false">IF($A877="","",IFERROR(INDEX(tblCalisan[Brüt Ücret (₺)],MATCH($A877,tblCalisan[Çalışan Adı],0)),""))</f>
        <v/>
      </c>
      <c r="C877" s="22" t="str">
        <f aca="false">IF($A877="","",$B877*IsverenPayiOrani)</f>
        <v/>
      </c>
      <c r="D877" s="22" t="str">
        <f aca="false">IF($A877="","",$B877*IssizlikOrani)</f>
        <v/>
      </c>
      <c r="E877" s="22" t="str">
        <f aca="false">IF($A877="","",$B877*KidemKarsilikOrani)</f>
        <v/>
      </c>
      <c r="F877" s="20"/>
      <c r="G877" s="22" t="str">
        <f aca="false">IF($A877="","",$B877+$C877+$D877+$E877+$F877)</f>
        <v/>
      </c>
      <c r="H877" s="22" t="str">
        <f aca="false">IF($A877="","",$G877*AySayisi)</f>
        <v/>
      </c>
    </row>
    <row r="878" customFormat="false" ht="15" hidden="false" customHeight="false" outlineLevel="0" collapsed="false">
      <c r="A878" s="19"/>
      <c r="B878" s="22" t="str">
        <f aca="false">IF($A878="","",IFERROR(INDEX(tblCalisan[Brüt Ücret (₺)],MATCH($A878,tblCalisan[Çalışan Adı],0)),""))</f>
        <v/>
      </c>
      <c r="C878" s="22" t="str">
        <f aca="false">IF($A878="","",$B878*IsverenPayiOrani)</f>
        <v/>
      </c>
      <c r="D878" s="22" t="str">
        <f aca="false">IF($A878="","",$B878*IssizlikOrani)</f>
        <v/>
      </c>
      <c r="E878" s="22" t="str">
        <f aca="false">IF($A878="","",$B878*KidemKarsilikOrani)</f>
        <v/>
      </c>
      <c r="F878" s="20"/>
      <c r="G878" s="22" t="str">
        <f aca="false">IF($A878="","",$B878+$C878+$D878+$E878+$F878)</f>
        <v/>
      </c>
      <c r="H878" s="22" t="str">
        <f aca="false">IF($A878="","",$G878*AySayisi)</f>
        <v/>
      </c>
    </row>
    <row r="879" customFormat="false" ht="15" hidden="false" customHeight="false" outlineLevel="0" collapsed="false">
      <c r="A879" s="19"/>
      <c r="B879" s="22" t="str">
        <f aca="false">IF($A879="","",IFERROR(INDEX(tblCalisan[Brüt Ücret (₺)],MATCH($A879,tblCalisan[Çalışan Adı],0)),""))</f>
        <v/>
      </c>
      <c r="C879" s="22" t="str">
        <f aca="false">IF($A879="","",$B879*IsverenPayiOrani)</f>
        <v/>
      </c>
      <c r="D879" s="22" t="str">
        <f aca="false">IF($A879="","",$B879*IssizlikOrani)</f>
        <v/>
      </c>
      <c r="E879" s="22" t="str">
        <f aca="false">IF($A879="","",$B879*KidemKarsilikOrani)</f>
        <v/>
      </c>
      <c r="F879" s="20"/>
      <c r="G879" s="22" t="str">
        <f aca="false">IF($A879="","",$B879+$C879+$D879+$E879+$F879)</f>
        <v/>
      </c>
      <c r="H879" s="22" t="str">
        <f aca="false">IF($A879="","",$G879*AySayisi)</f>
        <v/>
      </c>
    </row>
    <row r="880" customFormat="false" ht="15" hidden="false" customHeight="false" outlineLevel="0" collapsed="false">
      <c r="A880" s="19"/>
      <c r="B880" s="22" t="str">
        <f aca="false">IF($A880="","",IFERROR(INDEX(tblCalisan[Brüt Ücret (₺)],MATCH($A880,tblCalisan[Çalışan Adı],0)),""))</f>
        <v/>
      </c>
      <c r="C880" s="22" t="str">
        <f aca="false">IF($A880="","",$B880*IsverenPayiOrani)</f>
        <v/>
      </c>
      <c r="D880" s="22" t="str">
        <f aca="false">IF($A880="","",$B880*IssizlikOrani)</f>
        <v/>
      </c>
      <c r="E880" s="22" t="str">
        <f aca="false">IF($A880="","",$B880*KidemKarsilikOrani)</f>
        <v/>
      </c>
      <c r="F880" s="20"/>
      <c r="G880" s="22" t="str">
        <f aca="false">IF($A880="","",$B880+$C880+$D880+$E880+$F880)</f>
        <v/>
      </c>
      <c r="H880" s="22" t="str">
        <f aca="false">IF($A880="","",$G880*AySayisi)</f>
        <v/>
      </c>
    </row>
    <row r="881" customFormat="false" ht="15" hidden="false" customHeight="false" outlineLevel="0" collapsed="false">
      <c r="A881" s="19"/>
      <c r="B881" s="22" t="str">
        <f aca="false">IF($A881="","",IFERROR(INDEX(tblCalisan[Brüt Ücret (₺)],MATCH($A881,tblCalisan[Çalışan Adı],0)),""))</f>
        <v/>
      </c>
      <c r="C881" s="22" t="str">
        <f aca="false">IF($A881="","",$B881*IsverenPayiOrani)</f>
        <v/>
      </c>
      <c r="D881" s="22" t="str">
        <f aca="false">IF($A881="","",$B881*IssizlikOrani)</f>
        <v/>
      </c>
      <c r="E881" s="22" t="str">
        <f aca="false">IF($A881="","",$B881*KidemKarsilikOrani)</f>
        <v/>
      </c>
      <c r="F881" s="20"/>
      <c r="G881" s="22" t="str">
        <f aca="false">IF($A881="","",$B881+$C881+$D881+$E881+$F881)</f>
        <v/>
      </c>
      <c r="H881" s="22" t="str">
        <f aca="false">IF($A881="","",$G881*AySayisi)</f>
        <v/>
      </c>
    </row>
    <row r="882" customFormat="false" ht="15" hidden="false" customHeight="false" outlineLevel="0" collapsed="false">
      <c r="A882" s="19"/>
      <c r="B882" s="22" t="str">
        <f aca="false">IF($A882="","",IFERROR(INDEX(tblCalisan[Brüt Ücret (₺)],MATCH($A882,tblCalisan[Çalışan Adı],0)),""))</f>
        <v/>
      </c>
      <c r="C882" s="22" t="str">
        <f aca="false">IF($A882="","",$B882*IsverenPayiOrani)</f>
        <v/>
      </c>
      <c r="D882" s="22" t="str">
        <f aca="false">IF($A882="","",$B882*IssizlikOrani)</f>
        <v/>
      </c>
      <c r="E882" s="22" t="str">
        <f aca="false">IF($A882="","",$B882*KidemKarsilikOrani)</f>
        <v/>
      </c>
      <c r="F882" s="20"/>
      <c r="G882" s="22" t="str">
        <f aca="false">IF($A882="","",$B882+$C882+$D882+$E882+$F882)</f>
        <v/>
      </c>
      <c r="H882" s="22" t="str">
        <f aca="false">IF($A882="","",$G882*AySayisi)</f>
        <v/>
      </c>
    </row>
    <row r="883" customFormat="false" ht="15" hidden="false" customHeight="false" outlineLevel="0" collapsed="false">
      <c r="A883" s="19"/>
      <c r="B883" s="22" t="str">
        <f aca="false">IF($A883="","",IFERROR(INDEX(tblCalisan[Brüt Ücret (₺)],MATCH($A883,tblCalisan[Çalışan Adı],0)),""))</f>
        <v/>
      </c>
      <c r="C883" s="22" t="str">
        <f aca="false">IF($A883="","",$B883*IsverenPayiOrani)</f>
        <v/>
      </c>
      <c r="D883" s="22" t="str">
        <f aca="false">IF($A883="","",$B883*IssizlikOrani)</f>
        <v/>
      </c>
      <c r="E883" s="22" t="str">
        <f aca="false">IF($A883="","",$B883*KidemKarsilikOrani)</f>
        <v/>
      </c>
      <c r="F883" s="20"/>
      <c r="G883" s="22" t="str">
        <f aca="false">IF($A883="","",$B883+$C883+$D883+$E883+$F883)</f>
        <v/>
      </c>
      <c r="H883" s="22" t="str">
        <f aca="false">IF($A883="","",$G883*AySayisi)</f>
        <v/>
      </c>
    </row>
    <row r="884" customFormat="false" ht="15" hidden="false" customHeight="false" outlineLevel="0" collapsed="false">
      <c r="A884" s="19"/>
      <c r="B884" s="22" t="str">
        <f aca="false">IF($A884="","",IFERROR(INDEX(tblCalisan[Brüt Ücret (₺)],MATCH($A884,tblCalisan[Çalışan Adı],0)),""))</f>
        <v/>
      </c>
      <c r="C884" s="22" t="str">
        <f aca="false">IF($A884="","",$B884*IsverenPayiOrani)</f>
        <v/>
      </c>
      <c r="D884" s="22" t="str">
        <f aca="false">IF($A884="","",$B884*IssizlikOrani)</f>
        <v/>
      </c>
      <c r="E884" s="22" t="str">
        <f aca="false">IF($A884="","",$B884*KidemKarsilikOrani)</f>
        <v/>
      </c>
      <c r="F884" s="20"/>
      <c r="G884" s="22" t="str">
        <f aca="false">IF($A884="","",$B884+$C884+$D884+$E884+$F884)</f>
        <v/>
      </c>
      <c r="H884" s="22" t="str">
        <f aca="false">IF($A884="","",$G884*AySayisi)</f>
        <v/>
      </c>
    </row>
    <row r="885" customFormat="false" ht="15" hidden="false" customHeight="false" outlineLevel="0" collapsed="false">
      <c r="A885" s="19"/>
      <c r="B885" s="22" t="str">
        <f aca="false">IF($A885="","",IFERROR(INDEX(tblCalisan[Brüt Ücret (₺)],MATCH($A885,tblCalisan[Çalışan Adı],0)),""))</f>
        <v/>
      </c>
      <c r="C885" s="22" t="str">
        <f aca="false">IF($A885="","",$B885*IsverenPayiOrani)</f>
        <v/>
      </c>
      <c r="D885" s="22" t="str">
        <f aca="false">IF($A885="","",$B885*IssizlikOrani)</f>
        <v/>
      </c>
      <c r="E885" s="22" t="str">
        <f aca="false">IF($A885="","",$B885*KidemKarsilikOrani)</f>
        <v/>
      </c>
      <c r="F885" s="20"/>
      <c r="G885" s="22" t="str">
        <f aca="false">IF($A885="","",$B885+$C885+$D885+$E885+$F885)</f>
        <v/>
      </c>
      <c r="H885" s="22" t="str">
        <f aca="false">IF($A885="","",$G885*AySayisi)</f>
        <v/>
      </c>
    </row>
    <row r="886" customFormat="false" ht="15" hidden="false" customHeight="false" outlineLevel="0" collapsed="false">
      <c r="A886" s="19"/>
      <c r="B886" s="22" t="str">
        <f aca="false">IF($A886="","",IFERROR(INDEX(tblCalisan[Brüt Ücret (₺)],MATCH($A886,tblCalisan[Çalışan Adı],0)),""))</f>
        <v/>
      </c>
      <c r="C886" s="22" t="str">
        <f aca="false">IF($A886="","",$B886*IsverenPayiOrani)</f>
        <v/>
      </c>
      <c r="D886" s="22" t="str">
        <f aca="false">IF($A886="","",$B886*IssizlikOrani)</f>
        <v/>
      </c>
      <c r="E886" s="22" t="str">
        <f aca="false">IF($A886="","",$B886*KidemKarsilikOrani)</f>
        <v/>
      </c>
      <c r="F886" s="20"/>
      <c r="G886" s="22" t="str">
        <f aca="false">IF($A886="","",$B886+$C886+$D886+$E886+$F886)</f>
        <v/>
      </c>
      <c r="H886" s="22" t="str">
        <f aca="false">IF($A886="","",$G886*AySayisi)</f>
        <v/>
      </c>
    </row>
    <row r="887" customFormat="false" ht="15" hidden="false" customHeight="false" outlineLevel="0" collapsed="false">
      <c r="A887" s="19"/>
      <c r="B887" s="22" t="str">
        <f aca="false">IF($A887="","",IFERROR(INDEX(tblCalisan[Brüt Ücret (₺)],MATCH($A887,tblCalisan[Çalışan Adı],0)),""))</f>
        <v/>
      </c>
      <c r="C887" s="22" t="str">
        <f aca="false">IF($A887="","",$B887*IsverenPayiOrani)</f>
        <v/>
      </c>
      <c r="D887" s="22" t="str">
        <f aca="false">IF($A887="","",$B887*IssizlikOrani)</f>
        <v/>
      </c>
      <c r="E887" s="22" t="str">
        <f aca="false">IF($A887="","",$B887*KidemKarsilikOrani)</f>
        <v/>
      </c>
      <c r="F887" s="20"/>
      <c r="G887" s="22" t="str">
        <f aca="false">IF($A887="","",$B887+$C887+$D887+$E887+$F887)</f>
        <v/>
      </c>
      <c r="H887" s="22" t="str">
        <f aca="false">IF($A887="","",$G887*AySayisi)</f>
        <v/>
      </c>
    </row>
    <row r="888" customFormat="false" ht="15" hidden="false" customHeight="false" outlineLevel="0" collapsed="false">
      <c r="A888" s="19"/>
      <c r="B888" s="22" t="str">
        <f aca="false">IF($A888="","",IFERROR(INDEX(tblCalisan[Brüt Ücret (₺)],MATCH($A888,tblCalisan[Çalışan Adı],0)),""))</f>
        <v/>
      </c>
      <c r="C888" s="22" t="str">
        <f aca="false">IF($A888="","",$B888*IsverenPayiOrani)</f>
        <v/>
      </c>
      <c r="D888" s="22" t="str">
        <f aca="false">IF($A888="","",$B888*IssizlikOrani)</f>
        <v/>
      </c>
      <c r="E888" s="22" t="str">
        <f aca="false">IF($A888="","",$B888*KidemKarsilikOrani)</f>
        <v/>
      </c>
      <c r="F888" s="20"/>
      <c r="G888" s="22" t="str">
        <f aca="false">IF($A888="","",$B888+$C888+$D888+$E888+$F888)</f>
        <v/>
      </c>
      <c r="H888" s="22" t="str">
        <f aca="false">IF($A888="","",$G888*AySayisi)</f>
        <v/>
      </c>
    </row>
    <row r="889" customFormat="false" ht="15" hidden="false" customHeight="false" outlineLevel="0" collapsed="false">
      <c r="A889" s="19"/>
      <c r="B889" s="22" t="str">
        <f aca="false">IF($A889="","",IFERROR(INDEX(tblCalisan[Brüt Ücret (₺)],MATCH($A889,tblCalisan[Çalışan Adı],0)),""))</f>
        <v/>
      </c>
      <c r="C889" s="22" t="str">
        <f aca="false">IF($A889="","",$B889*IsverenPayiOrani)</f>
        <v/>
      </c>
      <c r="D889" s="22" t="str">
        <f aca="false">IF($A889="","",$B889*IssizlikOrani)</f>
        <v/>
      </c>
      <c r="E889" s="22" t="str">
        <f aca="false">IF($A889="","",$B889*KidemKarsilikOrani)</f>
        <v/>
      </c>
      <c r="F889" s="20"/>
      <c r="G889" s="22" t="str">
        <f aca="false">IF($A889="","",$B889+$C889+$D889+$E889+$F889)</f>
        <v/>
      </c>
      <c r="H889" s="22" t="str">
        <f aca="false">IF($A889="","",$G889*AySayisi)</f>
        <v/>
      </c>
    </row>
    <row r="890" customFormat="false" ht="15" hidden="false" customHeight="false" outlineLevel="0" collapsed="false">
      <c r="A890" s="19"/>
      <c r="B890" s="22" t="str">
        <f aca="false">IF($A890="","",IFERROR(INDEX(tblCalisan[Brüt Ücret (₺)],MATCH($A890,tblCalisan[Çalışan Adı],0)),""))</f>
        <v/>
      </c>
      <c r="C890" s="22" t="str">
        <f aca="false">IF($A890="","",$B890*IsverenPayiOrani)</f>
        <v/>
      </c>
      <c r="D890" s="22" t="str">
        <f aca="false">IF($A890="","",$B890*IssizlikOrani)</f>
        <v/>
      </c>
      <c r="E890" s="22" t="str">
        <f aca="false">IF($A890="","",$B890*KidemKarsilikOrani)</f>
        <v/>
      </c>
      <c r="F890" s="20"/>
      <c r="G890" s="22" t="str">
        <f aca="false">IF($A890="","",$B890+$C890+$D890+$E890+$F890)</f>
        <v/>
      </c>
      <c r="H890" s="22" t="str">
        <f aca="false">IF($A890="","",$G890*AySayisi)</f>
        <v/>
      </c>
    </row>
    <row r="891" customFormat="false" ht="15" hidden="false" customHeight="false" outlineLevel="0" collapsed="false">
      <c r="A891" s="19"/>
      <c r="B891" s="22" t="str">
        <f aca="false">IF($A891="","",IFERROR(INDEX(tblCalisan[Brüt Ücret (₺)],MATCH($A891,tblCalisan[Çalışan Adı],0)),""))</f>
        <v/>
      </c>
      <c r="C891" s="22" t="str">
        <f aca="false">IF($A891="","",$B891*IsverenPayiOrani)</f>
        <v/>
      </c>
      <c r="D891" s="22" t="str">
        <f aca="false">IF($A891="","",$B891*IssizlikOrani)</f>
        <v/>
      </c>
      <c r="E891" s="22" t="str">
        <f aca="false">IF($A891="","",$B891*KidemKarsilikOrani)</f>
        <v/>
      </c>
      <c r="F891" s="20"/>
      <c r="G891" s="22" t="str">
        <f aca="false">IF($A891="","",$B891+$C891+$D891+$E891+$F891)</f>
        <v/>
      </c>
      <c r="H891" s="22" t="str">
        <f aca="false">IF($A891="","",$G891*AySayisi)</f>
        <v/>
      </c>
    </row>
    <row r="892" customFormat="false" ht="15" hidden="false" customHeight="false" outlineLevel="0" collapsed="false">
      <c r="A892" s="19"/>
      <c r="B892" s="22" t="str">
        <f aca="false">IF($A892="","",IFERROR(INDEX(tblCalisan[Brüt Ücret (₺)],MATCH($A892,tblCalisan[Çalışan Adı],0)),""))</f>
        <v/>
      </c>
      <c r="C892" s="22" t="str">
        <f aca="false">IF($A892="","",$B892*IsverenPayiOrani)</f>
        <v/>
      </c>
      <c r="D892" s="22" t="str">
        <f aca="false">IF($A892="","",$B892*IssizlikOrani)</f>
        <v/>
      </c>
      <c r="E892" s="22" t="str">
        <f aca="false">IF($A892="","",$B892*KidemKarsilikOrani)</f>
        <v/>
      </c>
      <c r="F892" s="20"/>
      <c r="G892" s="22" t="str">
        <f aca="false">IF($A892="","",$B892+$C892+$D892+$E892+$F892)</f>
        <v/>
      </c>
      <c r="H892" s="22" t="str">
        <f aca="false">IF($A892="","",$G892*AySayisi)</f>
        <v/>
      </c>
    </row>
    <row r="893" customFormat="false" ht="15" hidden="false" customHeight="false" outlineLevel="0" collapsed="false">
      <c r="A893" s="19"/>
      <c r="B893" s="22" t="str">
        <f aca="false">IF($A893="","",IFERROR(INDEX(tblCalisan[Brüt Ücret (₺)],MATCH($A893,tblCalisan[Çalışan Adı],0)),""))</f>
        <v/>
      </c>
      <c r="C893" s="22" t="str">
        <f aca="false">IF($A893="","",$B893*IsverenPayiOrani)</f>
        <v/>
      </c>
      <c r="D893" s="22" t="str">
        <f aca="false">IF($A893="","",$B893*IssizlikOrani)</f>
        <v/>
      </c>
      <c r="E893" s="22" t="str">
        <f aca="false">IF($A893="","",$B893*KidemKarsilikOrani)</f>
        <v/>
      </c>
      <c r="F893" s="20"/>
      <c r="G893" s="22" t="str">
        <f aca="false">IF($A893="","",$B893+$C893+$D893+$E893+$F893)</f>
        <v/>
      </c>
      <c r="H893" s="22" t="str">
        <f aca="false">IF($A893="","",$G893*AySayisi)</f>
        <v/>
      </c>
    </row>
    <row r="894" customFormat="false" ht="15" hidden="false" customHeight="false" outlineLevel="0" collapsed="false">
      <c r="A894" s="19"/>
      <c r="B894" s="22" t="str">
        <f aca="false">IF($A894="","",IFERROR(INDEX(tblCalisan[Brüt Ücret (₺)],MATCH($A894,tblCalisan[Çalışan Adı],0)),""))</f>
        <v/>
      </c>
      <c r="C894" s="22" t="str">
        <f aca="false">IF($A894="","",$B894*IsverenPayiOrani)</f>
        <v/>
      </c>
      <c r="D894" s="22" t="str">
        <f aca="false">IF($A894="","",$B894*IssizlikOrani)</f>
        <v/>
      </c>
      <c r="E894" s="22" t="str">
        <f aca="false">IF($A894="","",$B894*KidemKarsilikOrani)</f>
        <v/>
      </c>
      <c r="F894" s="20"/>
      <c r="G894" s="22" t="str">
        <f aca="false">IF($A894="","",$B894+$C894+$D894+$E894+$F894)</f>
        <v/>
      </c>
      <c r="H894" s="22" t="str">
        <f aca="false">IF($A894="","",$G894*AySayisi)</f>
        <v/>
      </c>
    </row>
    <row r="895" customFormat="false" ht="15" hidden="false" customHeight="false" outlineLevel="0" collapsed="false">
      <c r="A895" s="19"/>
      <c r="B895" s="22" t="str">
        <f aca="false">IF($A895="","",IFERROR(INDEX(tblCalisan[Brüt Ücret (₺)],MATCH($A895,tblCalisan[Çalışan Adı],0)),""))</f>
        <v/>
      </c>
      <c r="C895" s="22" t="str">
        <f aca="false">IF($A895="","",$B895*IsverenPayiOrani)</f>
        <v/>
      </c>
      <c r="D895" s="22" t="str">
        <f aca="false">IF($A895="","",$B895*IssizlikOrani)</f>
        <v/>
      </c>
      <c r="E895" s="22" t="str">
        <f aca="false">IF($A895="","",$B895*KidemKarsilikOrani)</f>
        <v/>
      </c>
      <c r="F895" s="20"/>
      <c r="G895" s="22" t="str">
        <f aca="false">IF($A895="","",$B895+$C895+$D895+$E895+$F895)</f>
        <v/>
      </c>
      <c r="H895" s="22" t="str">
        <f aca="false">IF($A895="","",$G895*AySayisi)</f>
        <v/>
      </c>
    </row>
    <row r="896" customFormat="false" ht="15" hidden="false" customHeight="false" outlineLevel="0" collapsed="false">
      <c r="A896" s="19"/>
      <c r="B896" s="22" t="str">
        <f aca="false">IF($A896="","",IFERROR(INDEX(tblCalisan[Brüt Ücret (₺)],MATCH($A896,tblCalisan[Çalışan Adı],0)),""))</f>
        <v/>
      </c>
      <c r="C896" s="22" t="str">
        <f aca="false">IF($A896="","",$B896*IsverenPayiOrani)</f>
        <v/>
      </c>
      <c r="D896" s="22" t="str">
        <f aca="false">IF($A896="","",$B896*IssizlikOrani)</f>
        <v/>
      </c>
      <c r="E896" s="22" t="str">
        <f aca="false">IF($A896="","",$B896*KidemKarsilikOrani)</f>
        <v/>
      </c>
      <c r="F896" s="20"/>
      <c r="G896" s="22" t="str">
        <f aca="false">IF($A896="","",$B896+$C896+$D896+$E896+$F896)</f>
        <v/>
      </c>
      <c r="H896" s="22" t="str">
        <f aca="false">IF($A896="","",$G896*AySayisi)</f>
        <v/>
      </c>
    </row>
    <row r="897" customFormat="false" ht="15" hidden="false" customHeight="false" outlineLevel="0" collapsed="false">
      <c r="A897" s="19"/>
      <c r="B897" s="22" t="str">
        <f aca="false">IF($A897="","",IFERROR(INDEX(tblCalisan[Brüt Ücret (₺)],MATCH($A897,tblCalisan[Çalışan Adı],0)),""))</f>
        <v/>
      </c>
      <c r="C897" s="22" t="str">
        <f aca="false">IF($A897="","",$B897*IsverenPayiOrani)</f>
        <v/>
      </c>
      <c r="D897" s="22" t="str">
        <f aca="false">IF($A897="","",$B897*IssizlikOrani)</f>
        <v/>
      </c>
      <c r="E897" s="22" t="str">
        <f aca="false">IF($A897="","",$B897*KidemKarsilikOrani)</f>
        <v/>
      </c>
      <c r="F897" s="20"/>
      <c r="G897" s="22" t="str">
        <f aca="false">IF($A897="","",$B897+$C897+$D897+$E897+$F897)</f>
        <v/>
      </c>
      <c r="H897" s="22" t="str">
        <f aca="false">IF($A897="","",$G897*AySayisi)</f>
        <v/>
      </c>
    </row>
    <row r="898" customFormat="false" ht="15" hidden="false" customHeight="false" outlineLevel="0" collapsed="false">
      <c r="A898" s="19"/>
      <c r="B898" s="22" t="str">
        <f aca="false">IF($A898="","",IFERROR(INDEX(tblCalisan[Brüt Ücret (₺)],MATCH($A898,tblCalisan[Çalışan Adı],0)),""))</f>
        <v/>
      </c>
      <c r="C898" s="22" t="str">
        <f aca="false">IF($A898="","",$B898*IsverenPayiOrani)</f>
        <v/>
      </c>
      <c r="D898" s="22" t="str">
        <f aca="false">IF($A898="","",$B898*IssizlikOrani)</f>
        <v/>
      </c>
      <c r="E898" s="22" t="str">
        <f aca="false">IF($A898="","",$B898*KidemKarsilikOrani)</f>
        <v/>
      </c>
      <c r="F898" s="20"/>
      <c r="G898" s="22" t="str">
        <f aca="false">IF($A898="","",$B898+$C898+$D898+$E898+$F898)</f>
        <v/>
      </c>
      <c r="H898" s="22" t="str">
        <f aca="false">IF($A898="","",$G898*AySayisi)</f>
        <v/>
      </c>
    </row>
    <row r="899" customFormat="false" ht="15" hidden="false" customHeight="false" outlineLevel="0" collapsed="false">
      <c r="A899" s="19"/>
      <c r="B899" s="22" t="str">
        <f aca="false">IF($A899="","",IFERROR(INDEX(tblCalisan[Brüt Ücret (₺)],MATCH($A899,tblCalisan[Çalışan Adı],0)),""))</f>
        <v/>
      </c>
      <c r="C899" s="22" t="str">
        <f aca="false">IF($A899="","",$B899*IsverenPayiOrani)</f>
        <v/>
      </c>
      <c r="D899" s="22" t="str">
        <f aca="false">IF($A899="","",$B899*IssizlikOrani)</f>
        <v/>
      </c>
      <c r="E899" s="22" t="str">
        <f aca="false">IF($A899="","",$B899*KidemKarsilikOrani)</f>
        <v/>
      </c>
      <c r="F899" s="20"/>
      <c r="G899" s="22" t="str">
        <f aca="false">IF($A899="","",$B899+$C899+$D899+$E899+$F899)</f>
        <v/>
      </c>
      <c r="H899" s="22" t="str">
        <f aca="false">IF($A899="","",$G899*AySayisi)</f>
        <v/>
      </c>
    </row>
    <row r="900" customFormat="false" ht="15" hidden="false" customHeight="false" outlineLevel="0" collapsed="false">
      <c r="A900" s="19"/>
      <c r="B900" s="22" t="str">
        <f aca="false">IF($A900="","",IFERROR(INDEX(tblCalisan[Brüt Ücret (₺)],MATCH($A900,tblCalisan[Çalışan Adı],0)),""))</f>
        <v/>
      </c>
      <c r="C900" s="22" t="str">
        <f aca="false">IF($A900="","",$B900*IsverenPayiOrani)</f>
        <v/>
      </c>
      <c r="D900" s="22" t="str">
        <f aca="false">IF($A900="","",$B900*IssizlikOrani)</f>
        <v/>
      </c>
      <c r="E900" s="22" t="str">
        <f aca="false">IF($A900="","",$B900*KidemKarsilikOrani)</f>
        <v/>
      </c>
      <c r="F900" s="20"/>
      <c r="G900" s="22" t="str">
        <f aca="false">IF($A900="","",$B900+$C900+$D900+$E900+$F900)</f>
        <v/>
      </c>
      <c r="H900" s="22" t="str">
        <f aca="false">IF($A900="","",$G900*AySayisi)</f>
        <v/>
      </c>
    </row>
    <row r="901" customFormat="false" ht="15" hidden="false" customHeight="false" outlineLevel="0" collapsed="false">
      <c r="A901" s="19"/>
      <c r="B901" s="22" t="str">
        <f aca="false">IF($A901="","",IFERROR(INDEX(tblCalisan[Brüt Ücret (₺)],MATCH($A901,tblCalisan[Çalışan Adı],0)),""))</f>
        <v/>
      </c>
      <c r="C901" s="22" t="str">
        <f aca="false">IF($A901="","",$B901*IsverenPayiOrani)</f>
        <v/>
      </c>
      <c r="D901" s="22" t="str">
        <f aca="false">IF($A901="","",$B901*IssizlikOrani)</f>
        <v/>
      </c>
      <c r="E901" s="22" t="str">
        <f aca="false">IF($A901="","",$B901*KidemKarsilikOrani)</f>
        <v/>
      </c>
      <c r="F901" s="20"/>
      <c r="G901" s="22" t="str">
        <f aca="false">IF($A901="","",$B901+$C901+$D901+$E901+$F901)</f>
        <v/>
      </c>
      <c r="H901" s="22" t="str">
        <f aca="false">IF($A901="","",$G901*AySayisi)</f>
        <v/>
      </c>
    </row>
    <row r="902" customFormat="false" ht="15" hidden="false" customHeight="false" outlineLevel="0" collapsed="false">
      <c r="A902" s="19"/>
      <c r="B902" s="22" t="str">
        <f aca="false">IF($A902="","",IFERROR(INDEX(tblCalisan[Brüt Ücret (₺)],MATCH($A902,tblCalisan[Çalışan Adı],0)),""))</f>
        <v/>
      </c>
      <c r="C902" s="22" t="str">
        <f aca="false">IF($A902="","",$B902*IsverenPayiOrani)</f>
        <v/>
      </c>
      <c r="D902" s="22" t="str">
        <f aca="false">IF($A902="","",$B902*IssizlikOrani)</f>
        <v/>
      </c>
      <c r="E902" s="22" t="str">
        <f aca="false">IF($A902="","",$B902*KidemKarsilikOrani)</f>
        <v/>
      </c>
      <c r="F902" s="20"/>
      <c r="G902" s="22" t="str">
        <f aca="false">IF($A902="","",$B902+$C902+$D902+$E902+$F902)</f>
        <v/>
      </c>
      <c r="H902" s="22" t="str">
        <f aca="false">IF($A902="","",$G902*AySayisi)</f>
        <v/>
      </c>
    </row>
    <row r="903" customFormat="false" ht="15" hidden="false" customHeight="false" outlineLevel="0" collapsed="false">
      <c r="A903" s="19"/>
      <c r="B903" s="22" t="str">
        <f aca="false">IF($A903="","",IFERROR(INDEX(tblCalisan[Brüt Ücret (₺)],MATCH($A903,tblCalisan[Çalışan Adı],0)),""))</f>
        <v/>
      </c>
      <c r="C903" s="22" t="str">
        <f aca="false">IF($A903="","",$B903*IsverenPayiOrani)</f>
        <v/>
      </c>
      <c r="D903" s="22" t="str">
        <f aca="false">IF($A903="","",$B903*IssizlikOrani)</f>
        <v/>
      </c>
      <c r="E903" s="22" t="str">
        <f aca="false">IF($A903="","",$B903*KidemKarsilikOrani)</f>
        <v/>
      </c>
      <c r="F903" s="20"/>
      <c r="G903" s="22" t="str">
        <f aca="false">IF($A903="","",$B903+$C903+$D903+$E903+$F903)</f>
        <v/>
      </c>
      <c r="H903" s="22" t="str">
        <f aca="false">IF($A903="","",$G903*AySayisi)</f>
        <v/>
      </c>
    </row>
    <row r="904" customFormat="false" ht="15" hidden="false" customHeight="false" outlineLevel="0" collapsed="false">
      <c r="A904" s="19"/>
      <c r="B904" s="22" t="str">
        <f aca="false">IF($A904="","",IFERROR(INDEX(tblCalisan[Brüt Ücret (₺)],MATCH($A904,tblCalisan[Çalışan Adı],0)),""))</f>
        <v/>
      </c>
      <c r="C904" s="22" t="str">
        <f aca="false">IF($A904="","",$B904*IsverenPayiOrani)</f>
        <v/>
      </c>
      <c r="D904" s="22" t="str">
        <f aca="false">IF($A904="","",$B904*IssizlikOrani)</f>
        <v/>
      </c>
      <c r="E904" s="22" t="str">
        <f aca="false">IF($A904="","",$B904*KidemKarsilikOrani)</f>
        <v/>
      </c>
      <c r="F904" s="20"/>
      <c r="G904" s="22" t="str">
        <f aca="false">IF($A904="","",$B904+$C904+$D904+$E904+$F904)</f>
        <v/>
      </c>
      <c r="H904" s="22" t="str">
        <f aca="false">IF($A904="","",$G904*AySayisi)</f>
        <v/>
      </c>
    </row>
    <row r="905" customFormat="false" ht="15" hidden="false" customHeight="false" outlineLevel="0" collapsed="false">
      <c r="A905" s="19"/>
      <c r="B905" s="22" t="str">
        <f aca="false">IF($A905="","",IFERROR(INDEX(tblCalisan[Brüt Ücret (₺)],MATCH($A905,tblCalisan[Çalışan Adı],0)),""))</f>
        <v/>
      </c>
      <c r="C905" s="22" t="str">
        <f aca="false">IF($A905="","",$B905*IsverenPayiOrani)</f>
        <v/>
      </c>
      <c r="D905" s="22" t="str">
        <f aca="false">IF($A905="","",$B905*IssizlikOrani)</f>
        <v/>
      </c>
      <c r="E905" s="22" t="str">
        <f aca="false">IF($A905="","",$B905*KidemKarsilikOrani)</f>
        <v/>
      </c>
      <c r="F905" s="20"/>
      <c r="G905" s="22" t="str">
        <f aca="false">IF($A905="","",$B905+$C905+$D905+$E905+$F905)</f>
        <v/>
      </c>
      <c r="H905" s="22" t="str">
        <f aca="false">IF($A905="","",$G905*AySayisi)</f>
        <v/>
      </c>
    </row>
    <row r="906" customFormat="false" ht="15" hidden="false" customHeight="false" outlineLevel="0" collapsed="false">
      <c r="A906" s="19"/>
      <c r="B906" s="22" t="str">
        <f aca="false">IF($A906="","",IFERROR(INDEX(tblCalisan[Brüt Ücret (₺)],MATCH($A906,tblCalisan[Çalışan Adı],0)),""))</f>
        <v/>
      </c>
      <c r="C906" s="22" t="str">
        <f aca="false">IF($A906="","",$B906*IsverenPayiOrani)</f>
        <v/>
      </c>
      <c r="D906" s="22" t="str">
        <f aca="false">IF($A906="","",$B906*IssizlikOrani)</f>
        <v/>
      </c>
      <c r="E906" s="22" t="str">
        <f aca="false">IF($A906="","",$B906*KidemKarsilikOrani)</f>
        <v/>
      </c>
      <c r="F906" s="20"/>
      <c r="G906" s="22" t="str">
        <f aca="false">IF($A906="","",$B906+$C906+$D906+$E906+$F906)</f>
        <v/>
      </c>
      <c r="H906" s="22" t="str">
        <f aca="false">IF($A906="","",$G906*AySayisi)</f>
        <v/>
      </c>
    </row>
    <row r="907" customFormat="false" ht="15" hidden="false" customHeight="false" outlineLevel="0" collapsed="false">
      <c r="A907" s="19"/>
      <c r="B907" s="22" t="str">
        <f aca="false">IF($A907="","",IFERROR(INDEX(tblCalisan[Brüt Ücret (₺)],MATCH($A907,tblCalisan[Çalışan Adı],0)),""))</f>
        <v/>
      </c>
      <c r="C907" s="22" t="str">
        <f aca="false">IF($A907="","",$B907*IsverenPayiOrani)</f>
        <v/>
      </c>
      <c r="D907" s="22" t="str">
        <f aca="false">IF($A907="","",$B907*IssizlikOrani)</f>
        <v/>
      </c>
      <c r="E907" s="22" t="str">
        <f aca="false">IF($A907="","",$B907*KidemKarsilikOrani)</f>
        <v/>
      </c>
      <c r="F907" s="20"/>
      <c r="G907" s="22" t="str">
        <f aca="false">IF($A907="","",$B907+$C907+$D907+$E907+$F907)</f>
        <v/>
      </c>
      <c r="H907" s="22" t="str">
        <f aca="false">IF($A907="","",$G907*AySayisi)</f>
        <v/>
      </c>
    </row>
    <row r="908" customFormat="false" ht="15" hidden="false" customHeight="false" outlineLevel="0" collapsed="false">
      <c r="A908" s="19"/>
      <c r="B908" s="22" t="str">
        <f aca="false">IF($A908="","",IFERROR(INDEX(tblCalisan[Brüt Ücret (₺)],MATCH($A908,tblCalisan[Çalışan Adı],0)),""))</f>
        <v/>
      </c>
      <c r="C908" s="22" t="str">
        <f aca="false">IF($A908="","",$B908*IsverenPayiOrani)</f>
        <v/>
      </c>
      <c r="D908" s="22" t="str">
        <f aca="false">IF($A908="","",$B908*IssizlikOrani)</f>
        <v/>
      </c>
      <c r="E908" s="22" t="str">
        <f aca="false">IF($A908="","",$B908*KidemKarsilikOrani)</f>
        <v/>
      </c>
      <c r="F908" s="20"/>
      <c r="G908" s="22" t="str">
        <f aca="false">IF($A908="","",$B908+$C908+$D908+$E908+$F908)</f>
        <v/>
      </c>
      <c r="H908" s="22" t="str">
        <f aca="false">IF($A908="","",$G908*AySayisi)</f>
        <v/>
      </c>
    </row>
    <row r="909" customFormat="false" ht="15" hidden="false" customHeight="false" outlineLevel="0" collapsed="false">
      <c r="A909" s="19"/>
      <c r="B909" s="22" t="str">
        <f aca="false">IF($A909="","",IFERROR(INDEX(tblCalisan[Brüt Ücret (₺)],MATCH($A909,tblCalisan[Çalışan Adı],0)),""))</f>
        <v/>
      </c>
      <c r="C909" s="22" t="str">
        <f aca="false">IF($A909="","",$B909*IsverenPayiOrani)</f>
        <v/>
      </c>
      <c r="D909" s="22" t="str">
        <f aca="false">IF($A909="","",$B909*IssizlikOrani)</f>
        <v/>
      </c>
      <c r="E909" s="22" t="str">
        <f aca="false">IF($A909="","",$B909*KidemKarsilikOrani)</f>
        <v/>
      </c>
      <c r="F909" s="20"/>
      <c r="G909" s="22" t="str">
        <f aca="false">IF($A909="","",$B909+$C909+$D909+$E909+$F909)</f>
        <v/>
      </c>
      <c r="H909" s="22" t="str">
        <f aca="false">IF($A909="","",$G909*AySayisi)</f>
        <v/>
      </c>
    </row>
    <row r="910" customFormat="false" ht="15" hidden="false" customHeight="false" outlineLevel="0" collapsed="false">
      <c r="A910" s="19"/>
      <c r="B910" s="22" t="str">
        <f aca="false">IF($A910="","",IFERROR(INDEX(tblCalisan[Brüt Ücret (₺)],MATCH($A910,tblCalisan[Çalışan Adı],0)),""))</f>
        <v/>
      </c>
      <c r="C910" s="22" t="str">
        <f aca="false">IF($A910="","",$B910*IsverenPayiOrani)</f>
        <v/>
      </c>
      <c r="D910" s="22" t="str">
        <f aca="false">IF($A910="","",$B910*IssizlikOrani)</f>
        <v/>
      </c>
      <c r="E910" s="22" t="str">
        <f aca="false">IF($A910="","",$B910*KidemKarsilikOrani)</f>
        <v/>
      </c>
      <c r="F910" s="20"/>
      <c r="G910" s="22" t="str">
        <f aca="false">IF($A910="","",$B910+$C910+$D910+$E910+$F910)</f>
        <v/>
      </c>
      <c r="H910" s="22" t="str">
        <f aca="false">IF($A910="","",$G910*AySayisi)</f>
        <v/>
      </c>
    </row>
    <row r="911" customFormat="false" ht="15" hidden="false" customHeight="false" outlineLevel="0" collapsed="false">
      <c r="A911" s="19"/>
      <c r="B911" s="22" t="str">
        <f aca="false">IF($A911="","",IFERROR(INDEX(tblCalisan[Brüt Ücret (₺)],MATCH($A911,tblCalisan[Çalışan Adı],0)),""))</f>
        <v/>
      </c>
      <c r="C911" s="22" t="str">
        <f aca="false">IF($A911="","",$B911*IsverenPayiOrani)</f>
        <v/>
      </c>
      <c r="D911" s="22" t="str">
        <f aca="false">IF($A911="","",$B911*IssizlikOrani)</f>
        <v/>
      </c>
      <c r="E911" s="22" t="str">
        <f aca="false">IF($A911="","",$B911*KidemKarsilikOrani)</f>
        <v/>
      </c>
      <c r="F911" s="20"/>
      <c r="G911" s="22" t="str">
        <f aca="false">IF($A911="","",$B911+$C911+$D911+$E911+$F911)</f>
        <v/>
      </c>
      <c r="H911" s="22" t="str">
        <f aca="false">IF($A911="","",$G911*AySayisi)</f>
        <v/>
      </c>
    </row>
    <row r="912" customFormat="false" ht="15" hidden="false" customHeight="false" outlineLevel="0" collapsed="false">
      <c r="A912" s="19"/>
      <c r="B912" s="22" t="str">
        <f aca="false">IF($A912="","",IFERROR(INDEX(tblCalisan[Brüt Ücret (₺)],MATCH($A912,tblCalisan[Çalışan Adı],0)),""))</f>
        <v/>
      </c>
      <c r="C912" s="22" t="str">
        <f aca="false">IF($A912="","",$B912*IsverenPayiOrani)</f>
        <v/>
      </c>
      <c r="D912" s="22" t="str">
        <f aca="false">IF($A912="","",$B912*IssizlikOrani)</f>
        <v/>
      </c>
      <c r="E912" s="22" t="str">
        <f aca="false">IF($A912="","",$B912*KidemKarsilikOrani)</f>
        <v/>
      </c>
      <c r="F912" s="20"/>
      <c r="G912" s="22" t="str">
        <f aca="false">IF($A912="","",$B912+$C912+$D912+$E912+$F912)</f>
        <v/>
      </c>
      <c r="H912" s="22" t="str">
        <f aca="false">IF($A912="","",$G912*AySayisi)</f>
        <v/>
      </c>
    </row>
    <row r="913" customFormat="false" ht="15" hidden="false" customHeight="false" outlineLevel="0" collapsed="false">
      <c r="A913" s="19"/>
      <c r="B913" s="22" t="str">
        <f aca="false">IF($A913="","",IFERROR(INDEX(tblCalisan[Brüt Ücret (₺)],MATCH($A913,tblCalisan[Çalışan Adı],0)),""))</f>
        <v/>
      </c>
      <c r="C913" s="22" t="str">
        <f aca="false">IF($A913="","",$B913*IsverenPayiOrani)</f>
        <v/>
      </c>
      <c r="D913" s="22" t="str">
        <f aca="false">IF($A913="","",$B913*IssizlikOrani)</f>
        <v/>
      </c>
      <c r="E913" s="22" t="str">
        <f aca="false">IF($A913="","",$B913*KidemKarsilikOrani)</f>
        <v/>
      </c>
      <c r="F913" s="20"/>
      <c r="G913" s="22" t="str">
        <f aca="false">IF($A913="","",$B913+$C913+$D913+$E913+$F913)</f>
        <v/>
      </c>
      <c r="H913" s="22" t="str">
        <f aca="false">IF($A913="","",$G913*AySayisi)</f>
        <v/>
      </c>
    </row>
    <row r="914" customFormat="false" ht="15" hidden="false" customHeight="false" outlineLevel="0" collapsed="false">
      <c r="A914" s="19"/>
      <c r="B914" s="22" t="str">
        <f aca="false">IF($A914="","",IFERROR(INDEX(tblCalisan[Brüt Ücret (₺)],MATCH($A914,tblCalisan[Çalışan Adı],0)),""))</f>
        <v/>
      </c>
      <c r="C914" s="22" t="str">
        <f aca="false">IF($A914="","",$B914*IsverenPayiOrani)</f>
        <v/>
      </c>
      <c r="D914" s="22" t="str">
        <f aca="false">IF($A914="","",$B914*IssizlikOrani)</f>
        <v/>
      </c>
      <c r="E914" s="22" t="str">
        <f aca="false">IF($A914="","",$B914*KidemKarsilikOrani)</f>
        <v/>
      </c>
      <c r="F914" s="20"/>
      <c r="G914" s="22" t="str">
        <f aca="false">IF($A914="","",$B914+$C914+$D914+$E914+$F914)</f>
        <v/>
      </c>
      <c r="H914" s="22" t="str">
        <f aca="false">IF($A914="","",$G914*AySayisi)</f>
        <v/>
      </c>
    </row>
    <row r="915" customFormat="false" ht="15" hidden="false" customHeight="false" outlineLevel="0" collapsed="false">
      <c r="A915" s="19"/>
      <c r="B915" s="22" t="str">
        <f aca="false">IF($A915="","",IFERROR(INDEX(tblCalisan[Brüt Ücret (₺)],MATCH($A915,tblCalisan[Çalışan Adı],0)),""))</f>
        <v/>
      </c>
      <c r="C915" s="22" t="str">
        <f aca="false">IF($A915="","",$B915*IsverenPayiOrani)</f>
        <v/>
      </c>
      <c r="D915" s="22" t="str">
        <f aca="false">IF($A915="","",$B915*IssizlikOrani)</f>
        <v/>
      </c>
      <c r="E915" s="22" t="str">
        <f aca="false">IF($A915="","",$B915*KidemKarsilikOrani)</f>
        <v/>
      </c>
      <c r="F915" s="20"/>
      <c r="G915" s="22" t="str">
        <f aca="false">IF($A915="","",$B915+$C915+$D915+$E915+$F915)</f>
        <v/>
      </c>
      <c r="H915" s="22" t="str">
        <f aca="false">IF($A915="","",$G915*AySayisi)</f>
        <v/>
      </c>
    </row>
    <row r="916" customFormat="false" ht="15" hidden="false" customHeight="false" outlineLevel="0" collapsed="false">
      <c r="A916" s="19"/>
      <c r="B916" s="22" t="str">
        <f aca="false">IF($A916="","",IFERROR(INDEX(tblCalisan[Brüt Ücret (₺)],MATCH($A916,tblCalisan[Çalışan Adı],0)),""))</f>
        <v/>
      </c>
      <c r="C916" s="22" t="str">
        <f aca="false">IF($A916="","",$B916*IsverenPayiOrani)</f>
        <v/>
      </c>
      <c r="D916" s="22" t="str">
        <f aca="false">IF($A916="","",$B916*IssizlikOrani)</f>
        <v/>
      </c>
      <c r="E916" s="22" t="str">
        <f aca="false">IF($A916="","",$B916*KidemKarsilikOrani)</f>
        <v/>
      </c>
      <c r="F916" s="20"/>
      <c r="G916" s="22" t="str">
        <f aca="false">IF($A916="","",$B916+$C916+$D916+$E916+$F916)</f>
        <v/>
      </c>
      <c r="H916" s="22" t="str">
        <f aca="false">IF($A916="","",$G916*AySayisi)</f>
        <v/>
      </c>
    </row>
    <row r="917" customFormat="false" ht="15" hidden="false" customHeight="false" outlineLevel="0" collapsed="false">
      <c r="A917" s="19"/>
      <c r="B917" s="22" t="str">
        <f aca="false">IF($A917="","",IFERROR(INDEX(tblCalisan[Brüt Ücret (₺)],MATCH($A917,tblCalisan[Çalışan Adı],0)),""))</f>
        <v/>
      </c>
      <c r="C917" s="22" t="str">
        <f aca="false">IF($A917="","",$B917*IsverenPayiOrani)</f>
        <v/>
      </c>
      <c r="D917" s="22" t="str">
        <f aca="false">IF($A917="","",$B917*IssizlikOrani)</f>
        <v/>
      </c>
      <c r="E917" s="22" t="str">
        <f aca="false">IF($A917="","",$B917*KidemKarsilikOrani)</f>
        <v/>
      </c>
      <c r="F917" s="20"/>
      <c r="G917" s="22" t="str">
        <f aca="false">IF($A917="","",$B917+$C917+$D917+$E917+$F917)</f>
        <v/>
      </c>
      <c r="H917" s="22" t="str">
        <f aca="false">IF($A917="","",$G917*AySayisi)</f>
        <v/>
      </c>
    </row>
    <row r="918" customFormat="false" ht="15" hidden="false" customHeight="false" outlineLevel="0" collapsed="false">
      <c r="A918" s="19"/>
      <c r="B918" s="22" t="str">
        <f aca="false">IF($A918="","",IFERROR(INDEX(tblCalisan[Brüt Ücret (₺)],MATCH($A918,tblCalisan[Çalışan Adı],0)),""))</f>
        <v/>
      </c>
      <c r="C918" s="22" t="str">
        <f aca="false">IF($A918="","",$B918*IsverenPayiOrani)</f>
        <v/>
      </c>
      <c r="D918" s="22" t="str">
        <f aca="false">IF($A918="","",$B918*IssizlikOrani)</f>
        <v/>
      </c>
      <c r="E918" s="22" t="str">
        <f aca="false">IF($A918="","",$B918*KidemKarsilikOrani)</f>
        <v/>
      </c>
      <c r="F918" s="20"/>
      <c r="G918" s="22" t="str">
        <f aca="false">IF($A918="","",$B918+$C918+$D918+$E918+$F918)</f>
        <v/>
      </c>
      <c r="H918" s="22" t="str">
        <f aca="false">IF($A918="","",$G918*AySayisi)</f>
        <v/>
      </c>
    </row>
    <row r="919" customFormat="false" ht="15" hidden="false" customHeight="false" outlineLevel="0" collapsed="false">
      <c r="A919" s="19"/>
      <c r="B919" s="22" t="str">
        <f aca="false">IF($A919="","",IFERROR(INDEX(tblCalisan[Brüt Ücret (₺)],MATCH($A919,tblCalisan[Çalışan Adı],0)),""))</f>
        <v/>
      </c>
      <c r="C919" s="22" t="str">
        <f aca="false">IF($A919="","",$B919*IsverenPayiOrani)</f>
        <v/>
      </c>
      <c r="D919" s="22" t="str">
        <f aca="false">IF($A919="","",$B919*IssizlikOrani)</f>
        <v/>
      </c>
      <c r="E919" s="22" t="str">
        <f aca="false">IF($A919="","",$B919*KidemKarsilikOrani)</f>
        <v/>
      </c>
      <c r="F919" s="20"/>
      <c r="G919" s="22" t="str">
        <f aca="false">IF($A919="","",$B919+$C919+$D919+$E919+$F919)</f>
        <v/>
      </c>
      <c r="H919" s="22" t="str">
        <f aca="false">IF($A919="","",$G919*AySayisi)</f>
        <v/>
      </c>
    </row>
    <row r="920" customFormat="false" ht="15" hidden="false" customHeight="false" outlineLevel="0" collapsed="false">
      <c r="A920" s="19"/>
      <c r="B920" s="22" t="str">
        <f aca="false">IF($A920="","",IFERROR(INDEX(tblCalisan[Brüt Ücret (₺)],MATCH($A920,tblCalisan[Çalışan Adı],0)),""))</f>
        <v/>
      </c>
      <c r="C920" s="22" t="str">
        <f aca="false">IF($A920="","",$B920*IsverenPayiOrani)</f>
        <v/>
      </c>
      <c r="D920" s="22" t="str">
        <f aca="false">IF($A920="","",$B920*IssizlikOrani)</f>
        <v/>
      </c>
      <c r="E920" s="22" t="str">
        <f aca="false">IF($A920="","",$B920*KidemKarsilikOrani)</f>
        <v/>
      </c>
      <c r="F920" s="20"/>
      <c r="G920" s="22" t="str">
        <f aca="false">IF($A920="","",$B920+$C920+$D920+$E920+$F920)</f>
        <v/>
      </c>
      <c r="H920" s="22" t="str">
        <f aca="false">IF($A920="","",$G920*AySayisi)</f>
        <v/>
      </c>
    </row>
    <row r="921" customFormat="false" ht="15" hidden="false" customHeight="false" outlineLevel="0" collapsed="false">
      <c r="A921" s="19"/>
      <c r="B921" s="22" t="str">
        <f aca="false">IF($A921="","",IFERROR(INDEX(tblCalisan[Brüt Ücret (₺)],MATCH($A921,tblCalisan[Çalışan Adı],0)),""))</f>
        <v/>
      </c>
      <c r="C921" s="22" t="str">
        <f aca="false">IF($A921="","",$B921*IsverenPayiOrani)</f>
        <v/>
      </c>
      <c r="D921" s="22" t="str">
        <f aca="false">IF($A921="","",$B921*IssizlikOrani)</f>
        <v/>
      </c>
      <c r="E921" s="22" t="str">
        <f aca="false">IF($A921="","",$B921*KidemKarsilikOrani)</f>
        <v/>
      </c>
      <c r="F921" s="20"/>
      <c r="G921" s="22" t="str">
        <f aca="false">IF($A921="","",$B921+$C921+$D921+$E921+$F921)</f>
        <v/>
      </c>
      <c r="H921" s="22" t="str">
        <f aca="false">IF($A921="","",$G921*AySayisi)</f>
        <v/>
      </c>
    </row>
    <row r="922" customFormat="false" ht="15" hidden="false" customHeight="false" outlineLevel="0" collapsed="false">
      <c r="A922" s="19"/>
      <c r="B922" s="22" t="str">
        <f aca="false">IF($A922="","",IFERROR(INDEX(tblCalisan[Brüt Ücret (₺)],MATCH($A922,tblCalisan[Çalışan Adı],0)),""))</f>
        <v/>
      </c>
      <c r="C922" s="22" t="str">
        <f aca="false">IF($A922="","",$B922*IsverenPayiOrani)</f>
        <v/>
      </c>
      <c r="D922" s="22" t="str">
        <f aca="false">IF($A922="","",$B922*IssizlikOrani)</f>
        <v/>
      </c>
      <c r="E922" s="22" t="str">
        <f aca="false">IF($A922="","",$B922*KidemKarsilikOrani)</f>
        <v/>
      </c>
      <c r="F922" s="20"/>
      <c r="G922" s="22" t="str">
        <f aca="false">IF($A922="","",$B922+$C922+$D922+$E922+$F922)</f>
        <v/>
      </c>
      <c r="H922" s="22" t="str">
        <f aca="false">IF($A922="","",$G922*AySayisi)</f>
        <v/>
      </c>
    </row>
    <row r="923" customFormat="false" ht="15" hidden="false" customHeight="false" outlineLevel="0" collapsed="false">
      <c r="A923" s="19"/>
      <c r="B923" s="22" t="str">
        <f aca="false">IF($A923="","",IFERROR(INDEX(tblCalisan[Brüt Ücret (₺)],MATCH($A923,tblCalisan[Çalışan Adı],0)),""))</f>
        <v/>
      </c>
      <c r="C923" s="22" t="str">
        <f aca="false">IF($A923="","",$B923*IsverenPayiOrani)</f>
        <v/>
      </c>
      <c r="D923" s="22" t="str">
        <f aca="false">IF($A923="","",$B923*IssizlikOrani)</f>
        <v/>
      </c>
      <c r="E923" s="22" t="str">
        <f aca="false">IF($A923="","",$B923*KidemKarsilikOrani)</f>
        <v/>
      </c>
      <c r="F923" s="20"/>
      <c r="G923" s="22" t="str">
        <f aca="false">IF($A923="","",$B923+$C923+$D923+$E923+$F923)</f>
        <v/>
      </c>
      <c r="H923" s="22" t="str">
        <f aca="false">IF($A923="","",$G923*AySayisi)</f>
        <v/>
      </c>
    </row>
    <row r="924" customFormat="false" ht="15" hidden="false" customHeight="false" outlineLevel="0" collapsed="false">
      <c r="A924" s="19"/>
      <c r="B924" s="22" t="str">
        <f aca="false">IF($A924="","",IFERROR(INDEX(tblCalisan[Brüt Ücret (₺)],MATCH($A924,tblCalisan[Çalışan Adı],0)),""))</f>
        <v/>
      </c>
      <c r="C924" s="22" t="str">
        <f aca="false">IF($A924="","",$B924*IsverenPayiOrani)</f>
        <v/>
      </c>
      <c r="D924" s="22" t="str">
        <f aca="false">IF($A924="","",$B924*IssizlikOrani)</f>
        <v/>
      </c>
      <c r="E924" s="22" t="str">
        <f aca="false">IF($A924="","",$B924*KidemKarsilikOrani)</f>
        <v/>
      </c>
      <c r="F924" s="20"/>
      <c r="G924" s="22" t="str">
        <f aca="false">IF($A924="","",$B924+$C924+$D924+$E924+$F924)</f>
        <v/>
      </c>
      <c r="H924" s="22" t="str">
        <f aca="false">IF($A924="","",$G924*AySayisi)</f>
        <v/>
      </c>
    </row>
    <row r="925" customFormat="false" ht="15" hidden="false" customHeight="false" outlineLevel="0" collapsed="false">
      <c r="A925" s="19"/>
      <c r="B925" s="22" t="str">
        <f aca="false">IF($A925="","",IFERROR(INDEX(tblCalisan[Brüt Ücret (₺)],MATCH($A925,tblCalisan[Çalışan Adı],0)),""))</f>
        <v/>
      </c>
      <c r="C925" s="22" t="str">
        <f aca="false">IF($A925="","",$B925*IsverenPayiOrani)</f>
        <v/>
      </c>
      <c r="D925" s="22" t="str">
        <f aca="false">IF($A925="","",$B925*IssizlikOrani)</f>
        <v/>
      </c>
      <c r="E925" s="22" t="str">
        <f aca="false">IF($A925="","",$B925*KidemKarsilikOrani)</f>
        <v/>
      </c>
      <c r="F925" s="20"/>
      <c r="G925" s="22" t="str">
        <f aca="false">IF($A925="","",$B925+$C925+$D925+$E925+$F925)</f>
        <v/>
      </c>
      <c r="H925" s="22" t="str">
        <f aca="false">IF($A925="","",$G925*AySayisi)</f>
        <v/>
      </c>
    </row>
    <row r="926" customFormat="false" ht="15" hidden="false" customHeight="false" outlineLevel="0" collapsed="false">
      <c r="A926" s="19"/>
      <c r="B926" s="22" t="str">
        <f aca="false">IF($A926="","",IFERROR(INDEX(tblCalisan[Brüt Ücret (₺)],MATCH($A926,tblCalisan[Çalışan Adı],0)),""))</f>
        <v/>
      </c>
      <c r="C926" s="22" t="str">
        <f aca="false">IF($A926="","",$B926*IsverenPayiOrani)</f>
        <v/>
      </c>
      <c r="D926" s="22" t="str">
        <f aca="false">IF($A926="","",$B926*IssizlikOrani)</f>
        <v/>
      </c>
      <c r="E926" s="22" t="str">
        <f aca="false">IF($A926="","",$B926*KidemKarsilikOrani)</f>
        <v/>
      </c>
      <c r="F926" s="20"/>
      <c r="G926" s="22" t="str">
        <f aca="false">IF($A926="","",$B926+$C926+$D926+$E926+$F926)</f>
        <v/>
      </c>
      <c r="H926" s="22" t="str">
        <f aca="false">IF($A926="","",$G926*AySayisi)</f>
        <v/>
      </c>
    </row>
    <row r="927" customFormat="false" ht="15" hidden="false" customHeight="false" outlineLevel="0" collapsed="false">
      <c r="A927" s="19"/>
      <c r="B927" s="22" t="str">
        <f aca="false">IF($A927="","",IFERROR(INDEX(tblCalisan[Brüt Ücret (₺)],MATCH($A927,tblCalisan[Çalışan Adı],0)),""))</f>
        <v/>
      </c>
      <c r="C927" s="22" t="str">
        <f aca="false">IF($A927="","",$B927*IsverenPayiOrani)</f>
        <v/>
      </c>
      <c r="D927" s="22" t="str">
        <f aca="false">IF($A927="","",$B927*IssizlikOrani)</f>
        <v/>
      </c>
      <c r="E927" s="22" t="str">
        <f aca="false">IF($A927="","",$B927*KidemKarsilikOrani)</f>
        <v/>
      </c>
      <c r="F927" s="20"/>
      <c r="G927" s="22" t="str">
        <f aca="false">IF($A927="","",$B927+$C927+$D927+$E927+$F927)</f>
        <v/>
      </c>
      <c r="H927" s="22" t="str">
        <f aca="false">IF($A927="","",$G927*AySayisi)</f>
        <v/>
      </c>
    </row>
    <row r="928" customFormat="false" ht="15" hidden="false" customHeight="false" outlineLevel="0" collapsed="false">
      <c r="A928" s="19"/>
      <c r="B928" s="22" t="str">
        <f aca="false">IF($A928="","",IFERROR(INDEX(tblCalisan[Brüt Ücret (₺)],MATCH($A928,tblCalisan[Çalışan Adı],0)),""))</f>
        <v/>
      </c>
      <c r="C928" s="22" t="str">
        <f aca="false">IF($A928="","",$B928*IsverenPayiOrani)</f>
        <v/>
      </c>
      <c r="D928" s="22" t="str">
        <f aca="false">IF($A928="","",$B928*IssizlikOrani)</f>
        <v/>
      </c>
      <c r="E928" s="22" t="str">
        <f aca="false">IF($A928="","",$B928*KidemKarsilikOrani)</f>
        <v/>
      </c>
      <c r="F928" s="20"/>
      <c r="G928" s="22" t="str">
        <f aca="false">IF($A928="","",$B928+$C928+$D928+$E928+$F928)</f>
        <v/>
      </c>
      <c r="H928" s="22" t="str">
        <f aca="false">IF($A928="","",$G928*AySayisi)</f>
        <v/>
      </c>
    </row>
    <row r="929" customFormat="false" ht="15" hidden="false" customHeight="false" outlineLevel="0" collapsed="false">
      <c r="A929" s="19"/>
      <c r="B929" s="22" t="str">
        <f aca="false">IF($A929="","",IFERROR(INDEX(tblCalisan[Brüt Ücret (₺)],MATCH($A929,tblCalisan[Çalışan Adı],0)),""))</f>
        <v/>
      </c>
      <c r="C929" s="22" t="str">
        <f aca="false">IF($A929="","",$B929*IsverenPayiOrani)</f>
        <v/>
      </c>
      <c r="D929" s="22" t="str">
        <f aca="false">IF($A929="","",$B929*IssizlikOrani)</f>
        <v/>
      </c>
      <c r="E929" s="22" t="str">
        <f aca="false">IF($A929="","",$B929*KidemKarsilikOrani)</f>
        <v/>
      </c>
      <c r="F929" s="20"/>
      <c r="G929" s="22" t="str">
        <f aca="false">IF($A929="","",$B929+$C929+$D929+$E929+$F929)</f>
        <v/>
      </c>
      <c r="H929" s="22" t="str">
        <f aca="false">IF($A929="","",$G929*AySayisi)</f>
        <v/>
      </c>
    </row>
    <row r="930" customFormat="false" ht="15" hidden="false" customHeight="false" outlineLevel="0" collapsed="false">
      <c r="A930" s="19"/>
      <c r="B930" s="22" t="str">
        <f aca="false">IF($A930="","",IFERROR(INDEX(tblCalisan[Brüt Ücret (₺)],MATCH($A930,tblCalisan[Çalışan Adı],0)),""))</f>
        <v/>
      </c>
      <c r="C930" s="22" t="str">
        <f aca="false">IF($A930="","",$B930*IsverenPayiOrani)</f>
        <v/>
      </c>
      <c r="D930" s="22" t="str">
        <f aca="false">IF($A930="","",$B930*IssizlikOrani)</f>
        <v/>
      </c>
      <c r="E930" s="22" t="str">
        <f aca="false">IF($A930="","",$B930*KidemKarsilikOrani)</f>
        <v/>
      </c>
      <c r="F930" s="20"/>
      <c r="G930" s="22" t="str">
        <f aca="false">IF($A930="","",$B930+$C930+$D930+$E930+$F930)</f>
        <v/>
      </c>
      <c r="H930" s="22" t="str">
        <f aca="false">IF($A930="","",$G930*AySayisi)</f>
        <v/>
      </c>
    </row>
    <row r="931" customFormat="false" ht="15" hidden="false" customHeight="false" outlineLevel="0" collapsed="false">
      <c r="A931" s="19"/>
      <c r="B931" s="22" t="str">
        <f aca="false">IF($A931="","",IFERROR(INDEX(tblCalisan[Brüt Ücret (₺)],MATCH($A931,tblCalisan[Çalışan Adı],0)),""))</f>
        <v/>
      </c>
      <c r="C931" s="22" t="str">
        <f aca="false">IF($A931="","",$B931*IsverenPayiOrani)</f>
        <v/>
      </c>
      <c r="D931" s="22" t="str">
        <f aca="false">IF($A931="","",$B931*IssizlikOrani)</f>
        <v/>
      </c>
      <c r="E931" s="22" t="str">
        <f aca="false">IF($A931="","",$B931*KidemKarsilikOrani)</f>
        <v/>
      </c>
      <c r="F931" s="20"/>
      <c r="G931" s="22" t="str">
        <f aca="false">IF($A931="","",$B931+$C931+$D931+$E931+$F931)</f>
        <v/>
      </c>
      <c r="H931" s="22" t="str">
        <f aca="false">IF($A931="","",$G931*AySayisi)</f>
        <v/>
      </c>
    </row>
    <row r="932" customFormat="false" ht="15" hidden="false" customHeight="false" outlineLevel="0" collapsed="false">
      <c r="A932" s="19"/>
      <c r="B932" s="22" t="str">
        <f aca="false">IF($A932="","",IFERROR(INDEX(tblCalisan[Brüt Ücret (₺)],MATCH($A932,tblCalisan[Çalışan Adı],0)),""))</f>
        <v/>
      </c>
      <c r="C932" s="22" t="str">
        <f aca="false">IF($A932="","",$B932*IsverenPayiOrani)</f>
        <v/>
      </c>
      <c r="D932" s="22" t="str">
        <f aca="false">IF($A932="","",$B932*IssizlikOrani)</f>
        <v/>
      </c>
      <c r="E932" s="22" t="str">
        <f aca="false">IF($A932="","",$B932*KidemKarsilikOrani)</f>
        <v/>
      </c>
      <c r="F932" s="20"/>
      <c r="G932" s="22" t="str">
        <f aca="false">IF($A932="","",$B932+$C932+$D932+$E932+$F932)</f>
        <v/>
      </c>
      <c r="H932" s="22" t="str">
        <f aca="false">IF($A932="","",$G932*AySayisi)</f>
        <v/>
      </c>
    </row>
    <row r="933" customFormat="false" ht="15" hidden="false" customHeight="false" outlineLevel="0" collapsed="false">
      <c r="A933" s="19"/>
      <c r="B933" s="22" t="str">
        <f aca="false">IF($A933="","",IFERROR(INDEX(tblCalisan[Brüt Ücret (₺)],MATCH($A933,tblCalisan[Çalışan Adı],0)),""))</f>
        <v/>
      </c>
      <c r="C933" s="22" t="str">
        <f aca="false">IF($A933="","",$B933*IsverenPayiOrani)</f>
        <v/>
      </c>
      <c r="D933" s="22" t="str">
        <f aca="false">IF($A933="","",$B933*IssizlikOrani)</f>
        <v/>
      </c>
      <c r="E933" s="22" t="str">
        <f aca="false">IF($A933="","",$B933*KidemKarsilikOrani)</f>
        <v/>
      </c>
      <c r="F933" s="20"/>
      <c r="G933" s="22" t="str">
        <f aca="false">IF($A933="","",$B933+$C933+$D933+$E933+$F933)</f>
        <v/>
      </c>
      <c r="H933" s="22" t="str">
        <f aca="false">IF($A933="","",$G933*AySayisi)</f>
        <v/>
      </c>
    </row>
    <row r="934" customFormat="false" ht="15" hidden="false" customHeight="false" outlineLevel="0" collapsed="false">
      <c r="A934" s="19"/>
      <c r="B934" s="22" t="str">
        <f aca="false">IF($A934="","",IFERROR(INDEX(tblCalisan[Brüt Ücret (₺)],MATCH($A934,tblCalisan[Çalışan Adı],0)),""))</f>
        <v/>
      </c>
      <c r="C934" s="22" t="str">
        <f aca="false">IF($A934="","",$B934*IsverenPayiOrani)</f>
        <v/>
      </c>
      <c r="D934" s="22" t="str">
        <f aca="false">IF($A934="","",$B934*IssizlikOrani)</f>
        <v/>
      </c>
      <c r="E934" s="22" t="str">
        <f aca="false">IF($A934="","",$B934*KidemKarsilikOrani)</f>
        <v/>
      </c>
      <c r="F934" s="20"/>
      <c r="G934" s="22" t="str">
        <f aca="false">IF($A934="","",$B934+$C934+$D934+$E934+$F934)</f>
        <v/>
      </c>
      <c r="H934" s="22" t="str">
        <f aca="false">IF($A934="","",$G934*AySayisi)</f>
        <v/>
      </c>
    </row>
    <row r="935" customFormat="false" ht="15" hidden="false" customHeight="false" outlineLevel="0" collapsed="false">
      <c r="A935" s="19"/>
      <c r="B935" s="22" t="str">
        <f aca="false">IF($A935="","",IFERROR(INDEX(tblCalisan[Brüt Ücret (₺)],MATCH($A935,tblCalisan[Çalışan Adı],0)),""))</f>
        <v/>
      </c>
      <c r="C935" s="22" t="str">
        <f aca="false">IF($A935="","",$B935*IsverenPayiOrani)</f>
        <v/>
      </c>
      <c r="D935" s="22" t="str">
        <f aca="false">IF($A935="","",$B935*IssizlikOrani)</f>
        <v/>
      </c>
      <c r="E935" s="22" t="str">
        <f aca="false">IF($A935="","",$B935*KidemKarsilikOrani)</f>
        <v/>
      </c>
      <c r="F935" s="20"/>
      <c r="G935" s="22" t="str">
        <f aca="false">IF($A935="","",$B935+$C935+$D935+$E935+$F935)</f>
        <v/>
      </c>
      <c r="H935" s="22" t="str">
        <f aca="false">IF($A935="","",$G935*AySayisi)</f>
        <v/>
      </c>
    </row>
    <row r="936" customFormat="false" ht="15" hidden="false" customHeight="false" outlineLevel="0" collapsed="false">
      <c r="A936" s="19"/>
      <c r="B936" s="22" t="str">
        <f aca="false">IF($A936="","",IFERROR(INDEX(tblCalisan[Brüt Ücret (₺)],MATCH($A936,tblCalisan[Çalışan Adı],0)),""))</f>
        <v/>
      </c>
      <c r="C936" s="22" t="str">
        <f aca="false">IF($A936="","",$B936*IsverenPayiOrani)</f>
        <v/>
      </c>
      <c r="D936" s="22" t="str">
        <f aca="false">IF($A936="","",$B936*IssizlikOrani)</f>
        <v/>
      </c>
      <c r="E936" s="22" t="str">
        <f aca="false">IF($A936="","",$B936*KidemKarsilikOrani)</f>
        <v/>
      </c>
      <c r="F936" s="20"/>
      <c r="G936" s="22" t="str">
        <f aca="false">IF($A936="","",$B936+$C936+$D936+$E936+$F936)</f>
        <v/>
      </c>
      <c r="H936" s="22" t="str">
        <f aca="false">IF($A936="","",$G936*AySayisi)</f>
        <v/>
      </c>
    </row>
    <row r="937" customFormat="false" ht="15" hidden="false" customHeight="false" outlineLevel="0" collapsed="false">
      <c r="A937" s="19"/>
      <c r="B937" s="22" t="str">
        <f aca="false">IF($A937="","",IFERROR(INDEX(tblCalisan[Brüt Ücret (₺)],MATCH($A937,tblCalisan[Çalışan Adı],0)),""))</f>
        <v/>
      </c>
      <c r="C937" s="22" t="str">
        <f aca="false">IF($A937="","",$B937*IsverenPayiOrani)</f>
        <v/>
      </c>
      <c r="D937" s="22" t="str">
        <f aca="false">IF($A937="","",$B937*IssizlikOrani)</f>
        <v/>
      </c>
      <c r="E937" s="22" t="str">
        <f aca="false">IF($A937="","",$B937*KidemKarsilikOrani)</f>
        <v/>
      </c>
      <c r="F937" s="20"/>
      <c r="G937" s="22" t="str">
        <f aca="false">IF($A937="","",$B937+$C937+$D937+$E937+$F937)</f>
        <v/>
      </c>
      <c r="H937" s="22" t="str">
        <f aca="false">IF($A937="","",$G937*AySayisi)</f>
        <v/>
      </c>
    </row>
    <row r="938" customFormat="false" ht="15" hidden="false" customHeight="false" outlineLevel="0" collapsed="false">
      <c r="A938" s="19"/>
      <c r="B938" s="22" t="str">
        <f aca="false">IF($A938="","",IFERROR(INDEX(tblCalisan[Brüt Ücret (₺)],MATCH($A938,tblCalisan[Çalışan Adı],0)),""))</f>
        <v/>
      </c>
      <c r="C938" s="22" t="str">
        <f aca="false">IF($A938="","",$B938*IsverenPayiOrani)</f>
        <v/>
      </c>
      <c r="D938" s="22" t="str">
        <f aca="false">IF($A938="","",$B938*IssizlikOrani)</f>
        <v/>
      </c>
      <c r="E938" s="22" t="str">
        <f aca="false">IF($A938="","",$B938*KidemKarsilikOrani)</f>
        <v/>
      </c>
      <c r="F938" s="20"/>
      <c r="G938" s="22" t="str">
        <f aca="false">IF($A938="","",$B938+$C938+$D938+$E938+$F938)</f>
        <v/>
      </c>
      <c r="H938" s="22" t="str">
        <f aca="false">IF($A938="","",$G938*AySayisi)</f>
        <v/>
      </c>
    </row>
    <row r="939" customFormat="false" ht="15" hidden="false" customHeight="false" outlineLevel="0" collapsed="false">
      <c r="A939" s="19"/>
      <c r="B939" s="22" t="str">
        <f aca="false">IF($A939="","",IFERROR(INDEX(tblCalisan[Brüt Ücret (₺)],MATCH($A939,tblCalisan[Çalışan Adı],0)),""))</f>
        <v/>
      </c>
      <c r="C939" s="22" t="str">
        <f aca="false">IF($A939="","",$B939*IsverenPayiOrani)</f>
        <v/>
      </c>
      <c r="D939" s="22" t="str">
        <f aca="false">IF($A939="","",$B939*IssizlikOrani)</f>
        <v/>
      </c>
      <c r="E939" s="22" t="str">
        <f aca="false">IF($A939="","",$B939*KidemKarsilikOrani)</f>
        <v/>
      </c>
      <c r="F939" s="20"/>
      <c r="G939" s="22" t="str">
        <f aca="false">IF($A939="","",$B939+$C939+$D939+$E939+$F939)</f>
        <v/>
      </c>
      <c r="H939" s="22" t="str">
        <f aca="false">IF($A939="","",$G939*AySayisi)</f>
        <v/>
      </c>
    </row>
    <row r="940" customFormat="false" ht="15" hidden="false" customHeight="false" outlineLevel="0" collapsed="false">
      <c r="A940" s="19"/>
      <c r="B940" s="22" t="str">
        <f aca="false">IF($A940="","",IFERROR(INDEX(tblCalisan[Brüt Ücret (₺)],MATCH($A940,tblCalisan[Çalışan Adı],0)),""))</f>
        <v/>
      </c>
      <c r="C940" s="22" t="str">
        <f aca="false">IF($A940="","",$B940*IsverenPayiOrani)</f>
        <v/>
      </c>
      <c r="D940" s="22" t="str">
        <f aca="false">IF($A940="","",$B940*IssizlikOrani)</f>
        <v/>
      </c>
      <c r="E940" s="22" t="str">
        <f aca="false">IF($A940="","",$B940*KidemKarsilikOrani)</f>
        <v/>
      </c>
      <c r="F940" s="20"/>
      <c r="G940" s="22" t="str">
        <f aca="false">IF($A940="","",$B940+$C940+$D940+$E940+$F940)</f>
        <v/>
      </c>
      <c r="H940" s="22" t="str">
        <f aca="false">IF($A940="","",$G940*AySayisi)</f>
        <v/>
      </c>
    </row>
    <row r="941" customFormat="false" ht="15" hidden="false" customHeight="false" outlineLevel="0" collapsed="false">
      <c r="A941" s="19"/>
      <c r="B941" s="22" t="str">
        <f aca="false">IF($A941="","",IFERROR(INDEX(tblCalisan[Brüt Ücret (₺)],MATCH($A941,tblCalisan[Çalışan Adı],0)),""))</f>
        <v/>
      </c>
      <c r="C941" s="22" t="str">
        <f aca="false">IF($A941="","",$B941*IsverenPayiOrani)</f>
        <v/>
      </c>
      <c r="D941" s="22" t="str">
        <f aca="false">IF($A941="","",$B941*IssizlikOrani)</f>
        <v/>
      </c>
      <c r="E941" s="22" t="str">
        <f aca="false">IF($A941="","",$B941*KidemKarsilikOrani)</f>
        <v/>
      </c>
      <c r="F941" s="20"/>
      <c r="G941" s="22" t="str">
        <f aca="false">IF($A941="","",$B941+$C941+$D941+$E941+$F941)</f>
        <v/>
      </c>
      <c r="H941" s="22" t="str">
        <f aca="false">IF($A941="","",$G941*AySayisi)</f>
        <v/>
      </c>
    </row>
    <row r="942" customFormat="false" ht="15" hidden="false" customHeight="false" outlineLevel="0" collapsed="false">
      <c r="A942" s="19"/>
      <c r="B942" s="22" t="str">
        <f aca="false">IF($A942="","",IFERROR(INDEX(tblCalisan[Brüt Ücret (₺)],MATCH($A942,tblCalisan[Çalışan Adı],0)),""))</f>
        <v/>
      </c>
      <c r="C942" s="22" t="str">
        <f aca="false">IF($A942="","",$B942*IsverenPayiOrani)</f>
        <v/>
      </c>
      <c r="D942" s="22" t="str">
        <f aca="false">IF($A942="","",$B942*IssizlikOrani)</f>
        <v/>
      </c>
      <c r="E942" s="22" t="str">
        <f aca="false">IF($A942="","",$B942*KidemKarsilikOrani)</f>
        <v/>
      </c>
      <c r="F942" s="20"/>
      <c r="G942" s="22" t="str">
        <f aca="false">IF($A942="","",$B942+$C942+$D942+$E942+$F942)</f>
        <v/>
      </c>
      <c r="H942" s="22" t="str">
        <f aca="false">IF($A942="","",$G942*AySayisi)</f>
        <v/>
      </c>
    </row>
    <row r="943" customFormat="false" ht="15" hidden="false" customHeight="false" outlineLevel="0" collapsed="false">
      <c r="A943" s="19"/>
      <c r="B943" s="22" t="str">
        <f aca="false">IF($A943="","",IFERROR(INDEX(tblCalisan[Brüt Ücret (₺)],MATCH($A943,tblCalisan[Çalışan Adı],0)),""))</f>
        <v/>
      </c>
      <c r="C943" s="22" t="str">
        <f aca="false">IF($A943="","",$B943*IsverenPayiOrani)</f>
        <v/>
      </c>
      <c r="D943" s="22" t="str">
        <f aca="false">IF($A943="","",$B943*IssizlikOrani)</f>
        <v/>
      </c>
      <c r="E943" s="22" t="str">
        <f aca="false">IF($A943="","",$B943*KidemKarsilikOrani)</f>
        <v/>
      </c>
      <c r="F943" s="20"/>
      <c r="G943" s="22" t="str">
        <f aca="false">IF($A943="","",$B943+$C943+$D943+$E943+$F943)</f>
        <v/>
      </c>
      <c r="H943" s="22" t="str">
        <f aca="false">IF($A943="","",$G943*AySayisi)</f>
        <v/>
      </c>
    </row>
    <row r="944" customFormat="false" ht="15" hidden="false" customHeight="false" outlineLevel="0" collapsed="false">
      <c r="A944" s="19"/>
      <c r="B944" s="22" t="str">
        <f aca="false">IF($A944="","",IFERROR(INDEX(tblCalisan[Brüt Ücret (₺)],MATCH($A944,tblCalisan[Çalışan Adı],0)),""))</f>
        <v/>
      </c>
      <c r="C944" s="22" t="str">
        <f aca="false">IF($A944="","",$B944*IsverenPayiOrani)</f>
        <v/>
      </c>
      <c r="D944" s="22" t="str">
        <f aca="false">IF($A944="","",$B944*IssizlikOrani)</f>
        <v/>
      </c>
      <c r="E944" s="22" t="str">
        <f aca="false">IF($A944="","",$B944*KidemKarsilikOrani)</f>
        <v/>
      </c>
      <c r="F944" s="20"/>
      <c r="G944" s="22" t="str">
        <f aca="false">IF($A944="","",$B944+$C944+$D944+$E944+$F944)</f>
        <v/>
      </c>
      <c r="H944" s="22" t="str">
        <f aca="false">IF($A944="","",$G944*AySayisi)</f>
        <v/>
      </c>
    </row>
    <row r="945" customFormat="false" ht="15" hidden="false" customHeight="false" outlineLevel="0" collapsed="false">
      <c r="A945" s="19"/>
      <c r="B945" s="22" t="str">
        <f aca="false">IF($A945="","",IFERROR(INDEX(tblCalisan[Brüt Ücret (₺)],MATCH($A945,tblCalisan[Çalışan Adı],0)),""))</f>
        <v/>
      </c>
      <c r="C945" s="22" t="str">
        <f aca="false">IF($A945="","",$B945*IsverenPayiOrani)</f>
        <v/>
      </c>
      <c r="D945" s="22" t="str">
        <f aca="false">IF($A945="","",$B945*IssizlikOrani)</f>
        <v/>
      </c>
      <c r="E945" s="22" t="str">
        <f aca="false">IF($A945="","",$B945*KidemKarsilikOrani)</f>
        <v/>
      </c>
      <c r="F945" s="20"/>
      <c r="G945" s="22" t="str">
        <f aca="false">IF($A945="","",$B945+$C945+$D945+$E945+$F945)</f>
        <v/>
      </c>
      <c r="H945" s="22" t="str">
        <f aca="false">IF($A945="","",$G945*AySayisi)</f>
        <v/>
      </c>
    </row>
    <row r="946" customFormat="false" ht="15" hidden="false" customHeight="false" outlineLevel="0" collapsed="false">
      <c r="A946" s="19"/>
      <c r="B946" s="22" t="str">
        <f aca="false">IF($A946="","",IFERROR(INDEX(tblCalisan[Brüt Ücret (₺)],MATCH($A946,tblCalisan[Çalışan Adı],0)),""))</f>
        <v/>
      </c>
      <c r="C946" s="22" t="str">
        <f aca="false">IF($A946="","",$B946*IsverenPayiOrani)</f>
        <v/>
      </c>
      <c r="D946" s="22" t="str">
        <f aca="false">IF($A946="","",$B946*IssizlikOrani)</f>
        <v/>
      </c>
      <c r="E946" s="22" t="str">
        <f aca="false">IF($A946="","",$B946*KidemKarsilikOrani)</f>
        <v/>
      </c>
      <c r="F946" s="20"/>
      <c r="G946" s="22" t="str">
        <f aca="false">IF($A946="","",$B946+$C946+$D946+$E946+$F946)</f>
        <v/>
      </c>
      <c r="H946" s="22" t="str">
        <f aca="false">IF($A946="","",$G946*AySayisi)</f>
        <v/>
      </c>
    </row>
    <row r="947" customFormat="false" ht="15" hidden="false" customHeight="false" outlineLevel="0" collapsed="false">
      <c r="A947" s="19"/>
      <c r="B947" s="22" t="str">
        <f aca="false">IF($A947="","",IFERROR(INDEX(tblCalisan[Brüt Ücret (₺)],MATCH($A947,tblCalisan[Çalışan Adı],0)),""))</f>
        <v/>
      </c>
      <c r="C947" s="22" t="str">
        <f aca="false">IF($A947="","",$B947*IsverenPayiOrani)</f>
        <v/>
      </c>
      <c r="D947" s="22" t="str">
        <f aca="false">IF($A947="","",$B947*IssizlikOrani)</f>
        <v/>
      </c>
      <c r="E947" s="22" t="str">
        <f aca="false">IF($A947="","",$B947*KidemKarsilikOrani)</f>
        <v/>
      </c>
      <c r="F947" s="20"/>
      <c r="G947" s="22" t="str">
        <f aca="false">IF($A947="","",$B947+$C947+$D947+$E947+$F947)</f>
        <v/>
      </c>
      <c r="H947" s="22" t="str">
        <f aca="false">IF($A947="","",$G947*AySayisi)</f>
        <v/>
      </c>
    </row>
    <row r="948" customFormat="false" ht="15" hidden="false" customHeight="false" outlineLevel="0" collapsed="false">
      <c r="A948" s="19"/>
      <c r="B948" s="22" t="str">
        <f aca="false">IF($A948="","",IFERROR(INDEX(tblCalisan[Brüt Ücret (₺)],MATCH($A948,tblCalisan[Çalışan Adı],0)),""))</f>
        <v/>
      </c>
      <c r="C948" s="22" t="str">
        <f aca="false">IF($A948="","",$B948*IsverenPayiOrani)</f>
        <v/>
      </c>
      <c r="D948" s="22" t="str">
        <f aca="false">IF($A948="","",$B948*IssizlikOrani)</f>
        <v/>
      </c>
      <c r="E948" s="22" t="str">
        <f aca="false">IF($A948="","",$B948*KidemKarsilikOrani)</f>
        <v/>
      </c>
      <c r="F948" s="20"/>
      <c r="G948" s="22" t="str">
        <f aca="false">IF($A948="","",$B948+$C948+$D948+$E948+$F948)</f>
        <v/>
      </c>
      <c r="H948" s="22" t="str">
        <f aca="false">IF($A948="","",$G948*AySayisi)</f>
        <v/>
      </c>
    </row>
    <row r="949" customFormat="false" ht="15" hidden="false" customHeight="false" outlineLevel="0" collapsed="false">
      <c r="A949" s="19"/>
      <c r="B949" s="22" t="str">
        <f aca="false">IF($A949="","",IFERROR(INDEX(tblCalisan[Brüt Ücret (₺)],MATCH($A949,tblCalisan[Çalışan Adı],0)),""))</f>
        <v/>
      </c>
      <c r="C949" s="22" t="str">
        <f aca="false">IF($A949="","",$B949*IsverenPayiOrani)</f>
        <v/>
      </c>
      <c r="D949" s="22" t="str">
        <f aca="false">IF($A949="","",$B949*IssizlikOrani)</f>
        <v/>
      </c>
      <c r="E949" s="22" t="str">
        <f aca="false">IF($A949="","",$B949*KidemKarsilikOrani)</f>
        <v/>
      </c>
      <c r="F949" s="20"/>
      <c r="G949" s="22" t="str">
        <f aca="false">IF($A949="","",$B949+$C949+$D949+$E949+$F949)</f>
        <v/>
      </c>
      <c r="H949" s="22" t="str">
        <f aca="false">IF($A949="","",$G949*AySayisi)</f>
        <v/>
      </c>
    </row>
    <row r="950" customFormat="false" ht="15" hidden="false" customHeight="false" outlineLevel="0" collapsed="false">
      <c r="A950" s="19"/>
      <c r="B950" s="22" t="str">
        <f aca="false">IF($A950="","",IFERROR(INDEX(tblCalisan[Brüt Ücret (₺)],MATCH($A950,tblCalisan[Çalışan Adı],0)),""))</f>
        <v/>
      </c>
      <c r="C950" s="22" t="str">
        <f aca="false">IF($A950="","",$B950*IsverenPayiOrani)</f>
        <v/>
      </c>
      <c r="D950" s="22" t="str">
        <f aca="false">IF($A950="","",$B950*IssizlikOrani)</f>
        <v/>
      </c>
      <c r="E950" s="22" t="str">
        <f aca="false">IF($A950="","",$B950*KidemKarsilikOrani)</f>
        <v/>
      </c>
      <c r="F950" s="20"/>
      <c r="G950" s="22" t="str">
        <f aca="false">IF($A950="","",$B950+$C950+$D950+$E950+$F950)</f>
        <v/>
      </c>
      <c r="H950" s="22" t="str">
        <f aca="false">IF($A950="","",$G950*AySayisi)</f>
        <v/>
      </c>
    </row>
    <row r="951" customFormat="false" ht="15" hidden="false" customHeight="false" outlineLevel="0" collapsed="false">
      <c r="A951" s="19"/>
      <c r="B951" s="22" t="str">
        <f aca="false">IF($A951="","",IFERROR(INDEX(tblCalisan[Brüt Ücret (₺)],MATCH($A951,tblCalisan[Çalışan Adı],0)),""))</f>
        <v/>
      </c>
      <c r="C951" s="22" t="str">
        <f aca="false">IF($A951="","",$B951*IsverenPayiOrani)</f>
        <v/>
      </c>
      <c r="D951" s="22" t="str">
        <f aca="false">IF($A951="","",$B951*IssizlikOrani)</f>
        <v/>
      </c>
      <c r="E951" s="22" t="str">
        <f aca="false">IF($A951="","",$B951*KidemKarsilikOrani)</f>
        <v/>
      </c>
      <c r="F951" s="20"/>
      <c r="G951" s="22" t="str">
        <f aca="false">IF($A951="","",$B951+$C951+$D951+$E951+$F951)</f>
        <v/>
      </c>
      <c r="H951" s="22" t="str">
        <f aca="false">IF($A951="","",$G951*AySayisi)</f>
        <v/>
      </c>
    </row>
    <row r="952" customFormat="false" ht="15" hidden="false" customHeight="false" outlineLevel="0" collapsed="false">
      <c r="A952" s="19"/>
      <c r="B952" s="22" t="str">
        <f aca="false">IF($A952="","",IFERROR(INDEX(tblCalisan[Brüt Ücret (₺)],MATCH($A952,tblCalisan[Çalışan Adı],0)),""))</f>
        <v/>
      </c>
      <c r="C952" s="22" t="str">
        <f aca="false">IF($A952="","",$B952*IsverenPayiOrani)</f>
        <v/>
      </c>
      <c r="D952" s="22" t="str">
        <f aca="false">IF($A952="","",$B952*IssizlikOrani)</f>
        <v/>
      </c>
      <c r="E952" s="22" t="str">
        <f aca="false">IF($A952="","",$B952*KidemKarsilikOrani)</f>
        <v/>
      </c>
      <c r="F952" s="20"/>
      <c r="G952" s="22" t="str">
        <f aca="false">IF($A952="","",$B952+$C952+$D952+$E952+$F952)</f>
        <v/>
      </c>
      <c r="H952" s="22" t="str">
        <f aca="false">IF($A952="","",$G952*AySayisi)</f>
        <v/>
      </c>
    </row>
    <row r="953" customFormat="false" ht="15" hidden="false" customHeight="false" outlineLevel="0" collapsed="false">
      <c r="A953" s="19"/>
      <c r="B953" s="22" t="str">
        <f aca="false">IF($A953="","",IFERROR(INDEX(tblCalisan[Brüt Ücret (₺)],MATCH($A953,tblCalisan[Çalışan Adı],0)),""))</f>
        <v/>
      </c>
      <c r="C953" s="22" t="str">
        <f aca="false">IF($A953="","",$B953*IsverenPayiOrani)</f>
        <v/>
      </c>
      <c r="D953" s="22" t="str">
        <f aca="false">IF($A953="","",$B953*IssizlikOrani)</f>
        <v/>
      </c>
      <c r="E953" s="22" t="str">
        <f aca="false">IF($A953="","",$B953*KidemKarsilikOrani)</f>
        <v/>
      </c>
      <c r="F953" s="20"/>
      <c r="G953" s="22" t="str">
        <f aca="false">IF($A953="","",$B953+$C953+$D953+$E953+$F953)</f>
        <v/>
      </c>
      <c r="H953" s="22" t="str">
        <f aca="false">IF($A953="","",$G953*AySayisi)</f>
        <v/>
      </c>
    </row>
    <row r="954" customFormat="false" ht="15" hidden="false" customHeight="false" outlineLevel="0" collapsed="false">
      <c r="A954" s="19"/>
      <c r="B954" s="22" t="str">
        <f aca="false">IF($A954="","",IFERROR(INDEX(tblCalisan[Brüt Ücret (₺)],MATCH($A954,tblCalisan[Çalışan Adı],0)),""))</f>
        <v/>
      </c>
      <c r="C954" s="22" t="str">
        <f aca="false">IF($A954="","",$B954*IsverenPayiOrani)</f>
        <v/>
      </c>
      <c r="D954" s="22" t="str">
        <f aca="false">IF($A954="","",$B954*IssizlikOrani)</f>
        <v/>
      </c>
      <c r="E954" s="22" t="str">
        <f aca="false">IF($A954="","",$B954*KidemKarsilikOrani)</f>
        <v/>
      </c>
      <c r="F954" s="20"/>
      <c r="G954" s="22" t="str">
        <f aca="false">IF($A954="","",$B954+$C954+$D954+$E954+$F954)</f>
        <v/>
      </c>
      <c r="H954" s="22" t="str">
        <f aca="false">IF($A954="","",$G954*AySayisi)</f>
        <v/>
      </c>
    </row>
    <row r="955" customFormat="false" ht="15" hidden="false" customHeight="false" outlineLevel="0" collapsed="false">
      <c r="A955" s="19"/>
      <c r="B955" s="22" t="str">
        <f aca="false">IF($A955="","",IFERROR(INDEX(tblCalisan[Brüt Ücret (₺)],MATCH($A955,tblCalisan[Çalışan Adı],0)),""))</f>
        <v/>
      </c>
      <c r="C955" s="22" t="str">
        <f aca="false">IF($A955="","",$B955*IsverenPayiOrani)</f>
        <v/>
      </c>
      <c r="D955" s="22" t="str">
        <f aca="false">IF($A955="","",$B955*IssizlikOrani)</f>
        <v/>
      </c>
      <c r="E955" s="22" t="str">
        <f aca="false">IF($A955="","",$B955*KidemKarsilikOrani)</f>
        <v/>
      </c>
      <c r="F955" s="20"/>
      <c r="G955" s="22" t="str">
        <f aca="false">IF($A955="","",$B955+$C955+$D955+$E955+$F955)</f>
        <v/>
      </c>
      <c r="H955" s="22" t="str">
        <f aca="false">IF($A955="","",$G955*AySayisi)</f>
        <v/>
      </c>
    </row>
    <row r="956" customFormat="false" ht="15" hidden="false" customHeight="false" outlineLevel="0" collapsed="false">
      <c r="A956" s="19"/>
      <c r="B956" s="22" t="str">
        <f aca="false">IF($A956="","",IFERROR(INDEX(tblCalisan[Brüt Ücret (₺)],MATCH($A956,tblCalisan[Çalışan Adı],0)),""))</f>
        <v/>
      </c>
      <c r="C956" s="22" t="str">
        <f aca="false">IF($A956="","",$B956*IsverenPayiOrani)</f>
        <v/>
      </c>
      <c r="D956" s="22" t="str">
        <f aca="false">IF($A956="","",$B956*IssizlikOrani)</f>
        <v/>
      </c>
      <c r="E956" s="22" t="str">
        <f aca="false">IF($A956="","",$B956*KidemKarsilikOrani)</f>
        <v/>
      </c>
      <c r="F956" s="20"/>
      <c r="G956" s="22" t="str">
        <f aca="false">IF($A956="","",$B956+$C956+$D956+$E956+$F956)</f>
        <v/>
      </c>
      <c r="H956" s="22" t="str">
        <f aca="false">IF($A956="","",$G956*AySayisi)</f>
        <v/>
      </c>
    </row>
    <row r="957" customFormat="false" ht="15" hidden="false" customHeight="false" outlineLevel="0" collapsed="false">
      <c r="A957" s="19"/>
      <c r="B957" s="22" t="str">
        <f aca="false">IF($A957="","",IFERROR(INDEX(tblCalisan[Brüt Ücret (₺)],MATCH($A957,tblCalisan[Çalışan Adı],0)),""))</f>
        <v/>
      </c>
      <c r="C957" s="22" t="str">
        <f aca="false">IF($A957="","",$B957*IsverenPayiOrani)</f>
        <v/>
      </c>
      <c r="D957" s="22" t="str">
        <f aca="false">IF($A957="","",$B957*IssizlikOrani)</f>
        <v/>
      </c>
      <c r="E957" s="22" t="str">
        <f aca="false">IF($A957="","",$B957*KidemKarsilikOrani)</f>
        <v/>
      </c>
      <c r="F957" s="20"/>
      <c r="G957" s="22" t="str">
        <f aca="false">IF($A957="","",$B957+$C957+$D957+$E957+$F957)</f>
        <v/>
      </c>
      <c r="H957" s="22" t="str">
        <f aca="false">IF($A957="","",$G957*AySayisi)</f>
        <v/>
      </c>
    </row>
    <row r="958" customFormat="false" ht="15" hidden="false" customHeight="false" outlineLevel="0" collapsed="false">
      <c r="A958" s="19"/>
      <c r="B958" s="22" t="str">
        <f aca="false">IF($A958="","",IFERROR(INDEX(tblCalisan[Brüt Ücret (₺)],MATCH($A958,tblCalisan[Çalışan Adı],0)),""))</f>
        <v/>
      </c>
      <c r="C958" s="22" t="str">
        <f aca="false">IF($A958="","",$B958*IsverenPayiOrani)</f>
        <v/>
      </c>
      <c r="D958" s="22" t="str">
        <f aca="false">IF($A958="","",$B958*IssizlikOrani)</f>
        <v/>
      </c>
      <c r="E958" s="22" t="str">
        <f aca="false">IF($A958="","",$B958*KidemKarsilikOrani)</f>
        <v/>
      </c>
      <c r="F958" s="20"/>
      <c r="G958" s="22" t="str">
        <f aca="false">IF($A958="","",$B958+$C958+$D958+$E958+$F958)</f>
        <v/>
      </c>
      <c r="H958" s="22" t="str">
        <f aca="false">IF($A958="","",$G958*AySayisi)</f>
        <v/>
      </c>
    </row>
    <row r="959" customFormat="false" ht="15" hidden="false" customHeight="false" outlineLevel="0" collapsed="false">
      <c r="A959" s="19"/>
      <c r="B959" s="22" t="str">
        <f aca="false">IF($A959="","",IFERROR(INDEX(tblCalisan[Brüt Ücret (₺)],MATCH($A959,tblCalisan[Çalışan Adı],0)),""))</f>
        <v/>
      </c>
      <c r="C959" s="22" t="str">
        <f aca="false">IF($A959="","",$B959*IsverenPayiOrani)</f>
        <v/>
      </c>
      <c r="D959" s="22" t="str">
        <f aca="false">IF($A959="","",$B959*IssizlikOrani)</f>
        <v/>
      </c>
      <c r="E959" s="22" t="str">
        <f aca="false">IF($A959="","",$B959*KidemKarsilikOrani)</f>
        <v/>
      </c>
      <c r="F959" s="20"/>
      <c r="G959" s="22" t="str">
        <f aca="false">IF($A959="","",$B959+$C959+$D959+$E959+$F959)</f>
        <v/>
      </c>
      <c r="H959" s="22" t="str">
        <f aca="false">IF($A959="","",$G959*AySayisi)</f>
        <v/>
      </c>
    </row>
    <row r="960" customFormat="false" ht="15" hidden="false" customHeight="false" outlineLevel="0" collapsed="false">
      <c r="A960" s="19"/>
      <c r="B960" s="22" t="str">
        <f aca="false">IF($A960="","",IFERROR(INDEX(tblCalisan[Brüt Ücret (₺)],MATCH($A960,tblCalisan[Çalışan Adı],0)),""))</f>
        <v/>
      </c>
      <c r="C960" s="22" t="str">
        <f aca="false">IF($A960="","",$B960*IsverenPayiOrani)</f>
        <v/>
      </c>
      <c r="D960" s="22" t="str">
        <f aca="false">IF($A960="","",$B960*IssizlikOrani)</f>
        <v/>
      </c>
      <c r="E960" s="22" t="str">
        <f aca="false">IF($A960="","",$B960*KidemKarsilikOrani)</f>
        <v/>
      </c>
      <c r="F960" s="20"/>
      <c r="G960" s="22" t="str">
        <f aca="false">IF($A960="","",$B960+$C960+$D960+$E960+$F960)</f>
        <v/>
      </c>
      <c r="H960" s="22" t="str">
        <f aca="false">IF($A960="","",$G960*AySayisi)</f>
        <v/>
      </c>
    </row>
    <row r="961" customFormat="false" ht="15" hidden="false" customHeight="false" outlineLevel="0" collapsed="false">
      <c r="A961" s="19"/>
      <c r="B961" s="22" t="str">
        <f aca="false">IF($A961="","",IFERROR(INDEX(tblCalisan[Brüt Ücret (₺)],MATCH($A961,tblCalisan[Çalışan Adı],0)),""))</f>
        <v/>
      </c>
      <c r="C961" s="22" t="str">
        <f aca="false">IF($A961="","",$B961*IsverenPayiOrani)</f>
        <v/>
      </c>
      <c r="D961" s="22" t="str">
        <f aca="false">IF($A961="","",$B961*IssizlikOrani)</f>
        <v/>
      </c>
      <c r="E961" s="22" t="str">
        <f aca="false">IF($A961="","",$B961*KidemKarsilikOrani)</f>
        <v/>
      </c>
      <c r="F961" s="20"/>
      <c r="G961" s="22" t="str">
        <f aca="false">IF($A961="","",$B961+$C961+$D961+$E961+$F961)</f>
        <v/>
      </c>
      <c r="H961" s="22" t="str">
        <f aca="false">IF($A961="","",$G961*AySayisi)</f>
        <v/>
      </c>
    </row>
    <row r="962" customFormat="false" ht="15" hidden="false" customHeight="false" outlineLevel="0" collapsed="false">
      <c r="A962" s="19"/>
      <c r="B962" s="22" t="str">
        <f aca="false">IF($A962="","",IFERROR(INDEX(tblCalisan[Brüt Ücret (₺)],MATCH($A962,tblCalisan[Çalışan Adı],0)),""))</f>
        <v/>
      </c>
      <c r="C962" s="22" t="str">
        <f aca="false">IF($A962="","",$B962*IsverenPayiOrani)</f>
        <v/>
      </c>
      <c r="D962" s="22" t="str">
        <f aca="false">IF($A962="","",$B962*IssizlikOrani)</f>
        <v/>
      </c>
      <c r="E962" s="22" t="str">
        <f aca="false">IF($A962="","",$B962*KidemKarsilikOrani)</f>
        <v/>
      </c>
      <c r="F962" s="20"/>
      <c r="G962" s="22" t="str">
        <f aca="false">IF($A962="","",$B962+$C962+$D962+$E962+$F962)</f>
        <v/>
      </c>
      <c r="H962" s="22" t="str">
        <f aca="false">IF($A962="","",$G962*AySayisi)</f>
        <v/>
      </c>
    </row>
    <row r="963" customFormat="false" ht="15" hidden="false" customHeight="false" outlineLevel="0" collapsed="false">
      <c r="A963" s="19"/>
      <c r="B963" s="22" t="str">
        <f aca="false">IF($A963="","",IFERROR(INDEX(tblCalisan[Brüt Ücret (₺)],MATCH($A963,tblCalisan[Çalışan Adı],0)),""))</f>
        <v/>
      </c>
      <c r="C963" s="22" t="str">
        <f aca="false">IF($A963="","",$B963*IsverenPayiOrani)</f>
        <v/>
      </c>
      <c r="D963" s="22" t="str">
        <f aca="false">IF($A963="","",$B963*IssizlikOrani)</f>
        <v/>
      </c>
      <c r="E963" s="22" t="str">
        <f aca="false">IF($A963="","",$B963*KidemKarsilikOrani)</f>
        <v/>
      </c>
      <c r="F963" s="20"/>
      <c r="G963" s="22" t="str">
        <f aca="false">IF($A963="","",$B963+$C963+$D963+$E963+$F963)</f>
        <v/>
      </c>
      <c r="H963" s="22" t="str">
        <f aca="false">IF($A963="","",$G963*AySayisi)</f>
        <v/>
      </c>
    </row>
    <row r="964" customFormat="false" ht="15" hidden="false" customHeight="false" outlineLevel="0" collapsed="false">
      <c r="A964" s="19"/>
      <c r="B964" s="22" t="str">
        <f aca="false">IF($A964="","",IFERROR(INDEX(tblCalisan[Brüt Ücret (₺)],MATCH($A964,tblCalisan[Çalışan Adı],0)),""))</f>
        <v/>
      </c>
      <c r="C964" s="22" t="str">
        <f aca="false">IF($A964="","",$B964*IsverenPayiOrani)</f>
        <v/>
      </c>
      <c r="D964" s="22" t="str">
        <f aca="false">IF($A964="","",$B964*IssizlikOrani)</f>
        <v/>
      </c>
      <c r="E964" s="22" t="str">
        <f aca="false">IF($A964="","",$B964*KidemKarsilikOrani)</f>
        <v/>
      </c>
      <c r="F964" s="20"/>
      <c r="G964" s="22" t="str">
        <f aca="false">IF($A964="","",$B964+$C964+$D964+$E964+$F964)</f>
        <v/>
      </c>
      <c r="H964" s="22" t="str">
        <f aca="false">IF($A964="","",$G964*AySayisi)</f>
        <v/>
      </c>
    </row>
    <row r="965" customFormat="false" ht="15" hidden="false" customHeight="false" outlineLevel="0" collapsed="false">
      <c r="A965" s="19"/>
      <c r="B965" s="22" t="str">
        <f aca="false">IF($A965="","",IFERROR(INDEX(tblCalisan[Brüt Ücret (₺)],MATCH($A965,tblCalisan[Çalışan Adı],0)),""))</f>
        <v/>
      </c>
      <c r="C965" s="22" t="str">
        <f aca="false">IF($A965="","",$B965*IsverenPayiOrani)</f>
        <v/>
      </c>
      <c r="D965" s="22" t="str">
        <f aca="false">IF($A965="","",$B965*IssizlikOrani)</f>
        <v/>
      </c>
      <c r="E965" s="22" t="str">
        <f aca="false">IF($A965="","",$B965*KidemKarsilikOrani)</f>
        <v/>
      </c>
      <c r="F965" s="20"/>
      <c r="G965" s="22" t="str">
        <f aca="false">IF($A965="","",$B965+$C965+$D965+$E965+$F965)</f>
        <v/>
      </c>
      <c r="H965" s="22" t="str">
        <f aca="false">IF($A965="","",$G965*AySayisi)</f>
        <v/>
      </c>
    </row>
    <row r="966" customFormat="false" ht="15" hidden="false" customHeight="false" outlineLevel="0" collapsed="false">
      <c r="A966" s="19"/>
      <c r="B966" s="22" t="str">
        <f aca="false">IF($A966="","",IFERROR(INDEX(tblCalisan[Brüt Ücret (₺)],MATCH($A966,tblCalisan[Çalışan Adı],0)),""))</f>
        <v/>
      </c>
      <c r="C966" s="22" t="str">
        <f aca="false">IF($A966="","",$B966*IsverenPayiOrani)</f>
        <v/>
      </c>
      <c r="D966" s="22" t="str">
        <f aca="false">IF($A966="","",$B966*IssizlikOrani)</f>
        <v/>
      </c>
      <c r="E966" s="22" t="str">
        <f aca="false">IF($A966="","",$B966*KidemKarsilikOrani)</f>
        <v/>
      </c>
      <c r="F966" s="20"/>
      <c r="G966" s="22" t="str">
        <f aca="false">IF($A966="","",$B966+$C966+$D966+$E966+$F966)</f>
        <v/>
      </c>
      <c r="H966" s="22" t="str">
        <f aca="false">IF($A966="","",$G966*AySayisi)</f>
        <v/>
      </c>
    </row>
    <row r="967" customFormat="false" ht="15" hidden="false" customHeight="false" outlineLevel="0" collapsed="false">
      <c r="A967" s="19"/>
      <c r="B967" s="22" t="str">
        <f aca="false">IF($A967="","",IFERROR(INDEX(tblCalisan[Brüt Ücret (₺)],MATCH($A967,tblCalisan[Çalışan Adı],0)),""))</f>
        <v/>
      </c>
      <c r="C967" s="22" t="str">
        <f aca="false">IF($A967="","",$B967*IsverenPayiOrani)</f>
        <v/>
      </c>
      <c r="D967" s="22" t="str">
        <f aca="false">IF($A967="","",$B967*IssizlikOrani)</f>
        <v/>
      </c>
      <c r="E967" s="22" t="str">
        <f aca="false">IF($A967="","",$B967*KidemKarsilikOrani)</f>
        <v/>
      </c>
      <c r="F967" s="20"/>
      <c r="G967" s="22" t="str">
        <f aca="false">IF($A967="","",$B967+$C967+$D967+$E967+$F967)</f>
        <v/>
      </c>
      <c r="H967" s="22" t="str">
        <f aca="false">IF($A967="","",$G967*AySayisi)</f>
        <v/>
      </c>
    </row>
    <row r="968" customFormat="false" ht="15" hidden="false" customHeight="false" outlineLevel="0" collapsed="false">
      <c r="A968" s="19"/>
      <c r="B968" s="22" t="str">
        <f aca="false">IF($A968="","",IFERROR(INDEX(tblCalisan[Brüt Ücret (₺)],MATCH($A968,tblCalisan[Çalışan Adı],0)),""))</f>
        <v/>
      </c>
      <c r="C968" s="22" t="str">
        <f aca="false">IF($A968="","",$B968*IsverenPayiOrani)</f>
        <v/>
      </c>
      <c r="D968" s="22" t="str">
        <f aca="false">IF($A968="","",$B968*IssizlikOrani)</f>
        <v/>
      </c>
      <c r="E968" s="22" t="str">
        <f aca="false">IF($A968="","",$B968*KidemKarsilikOrani)</f>
        <v/>
      </c>
      <c r="F968" s="20"/>
      <c r="G968" s="22" t="str">
        <f aca="false">IF($A968="","",$B968+$C968+$D968+$E968+$F968)</f>
        <v/>
      </c>
      <c r="H968" s="22" t="str">
        <f aca="false">IF($A968="","",$G968*AySayisi)</f>
        <v/>
      </c>
    </row>
    <row r="969" customFormat="false" ht="15" hidden="false" customHeight="false" outlineLevel="0" collapsed="false">
      <c r="A969" s="19"/>
      <c r="B969" s="22" t="str">
        <f aca="false">IF($A969="","",IFERROR(INDEX(tblCalisan[Brüt Ücret (₺)],MATCH($A969,tblCalisan[Çalışan Adı],0)),""))</f>
        <v/>
      </c>
      <c r="C969" s="22" t="str">
        <f aca="false">IF($A969="","",$B969*IsverenPayiOrani)</f>
        <v/>
      </c>
      <c r="D969" s="22" t="str">
        <f aca="false">IF($A969="","",$B969*IssizlikOrani)</f>
        <v/>
      </c>
      <c r="E969" s="22" t="str">
        <f aca="false">IF($A969="","",$B969*KidemKarsilikOrani)</f>
        <v/>
      </c>
      <c r="F969" s="20"/>
      <c r="G969" s="22" t="str">
        <f aca="false">IF($A969="","",$B969+$C969+$D969+$E969+$F969)</f>
        <v/>
      </c>
      <c r="H969" s="22" t="str">
        <f aca="false">IF($A969="","",$G969*AySayisi)</f>
        <v/>
      </c>
    </row>
    <row r="970" customFormat="false" ht="15" hidden="false" customHeight="false" outlineLevel="0" collapsed="false">
      <c r="A970" s="19"/>
      <c r="B970" s="22" t="str">
        <f aca="false">IF($A970="","",IFERROR(INDEX(tblCalisan[Brüt Ücret (₺)],MATCH($A970,tblCalisan[Çalışan Adı],0)),""))</f>
        <v/>
      </c>
      <c r="C970" s="22" t="str">
        <f aca="false">IF($A970="","",$B970*IsverenPayiOrani)</f>
        <v/>
      </c>
      <c r="D970" s="22" t="str">
        <f aca="false">IF($A970="","",$B970*IssizlikOrani)</f>
        <v/>
      </c>
      <c r="E970" s="22" t="str">
        <f aca="false">IF($A970="","",$B970*KidemKarsilikOrani)</f>
        <v/>
      </c>
      <c r="F970" s="20"/>
      <c r="G970" s="22" t="str">
        <f aca="false">IF($A970="","",$B970+$C970+$D970+$E970+$F970)</f>
        <v/>
      </c>
      <c r="H970" s="22" t="str">
        <f aca="false">IF($A970="","",$G970*AySayisi)</f>
        <v/>
      </c>
    </row>
    <row r="971" customFormat="false" ht="15" hidden="false" customHeight="false" outlineLevel="0" collapsed="false">
      <c r="A971" s="19"/>
      <c r="B971" s="22" t="str">
        <f aca="false">IF($A971="","",IFERROR(INDEX(tblCalisan[Brüt Ücret (₺)],MATCH($A971,tblCalisan[Çalışan Adı],0)),""))</f>
        <v/>
      </c>
      <c r="C971" s="22" t="str">
        <f aca="false">IF($A971="","",$B971*IsverenPayiOrani)</f>
        <v/>
      </c>
      <c r="D971" s="22" t="str">
        <f aca="false">IF($A971="","",$B971*IssizlikOrani)</f>
        <v/>
      </c>
      <c r="E971" s="22" t="str">
        <f aca="false">IF($A971="","",$B971*KidemKarsilikOrani)</f>
        <v/>
      </c>
      <c r="F971" s="20"/>
      <c r="G971" s="22" t="str">
        <f aca="false">IF($A971="","",$B971+$C971+$D971+$E971+$F971)</f>
        <v/>
      </c>
      <c r="H971" s="22" t="str">
        <f aca="false">IF($A971="","",$G971*AySayisi)</f>
        <v/>
      </c>
    </row>
    <row r="972" customFormat="false" ht="15" hidden="false" customHeight="false" outlineLevel="0" collapsed="false">
      <c r="A972" s="19"/>
      <c r="B972" s="22" t="str">
        <f aca="false">IF($A972="","",IFERROR(INDEX(tblCalisan[Brüt Ücret (₺)],MATCH($A972,tblCalisan[Çalışan Adı],0)),""))</f>
        <v/>
      </c>
      <c r="C972" s="22" t="str">
        <f aca="false">IF($A972="","",$B972*IsverenPayiOrani)</f>
        <v/>
      </c>
      <c r="D972" s="22" t="str">
        <f aca="false">IF($A972="","",$B972*IssizlikOrani)</f>
        <v/>
      </c>
      <c r="E972" s="22" t="str">
        <f aca="false">IF($A972="","",$B972*KidemKarsilikOrani)</f>
        <v/>
      </c>
      <c r="F972" s="20"/>
      <c r="G972" s="22" t="str">
        <f aca="false">IF($A972="","",$B972+$C972+$D972+$E972+$F972)</f>
        <v/>
      </c>
      <c r="H972" s="22" t="str">
        <f aca="false">IF($A972="","",$G972*AySayisi)</f>
        <v/>
      </c>
    </row>
    <row r="973" customFormat="false" ht="15" hidden="false" customHeight="false" outlineLevel="0" collapsed="false">
      <c r="A973" s="19"/>
      <c r="B973" s="22" t="str">
        <f aca="false">IF($A973="","",IFERROR(INDEX(tblCalisan[Brüt Ücret (₺)],MATCH($A973,tblCalisan[Çalışan Adı],0)),""))</f>
        <v/>
      </c>
      <c r="C973" s="22" t="str">
        <f aca="false">IF($A973="","",$B973*IsverenPayiOrani)</f>
        <v/>
      </c>
      <c r="D973" s="22" t="str">
        <f aca="false">IF($A973="","",$B973*IssizlikOrani)</f>
        <v/>
      </c>
      <c r="E973" s="22" t="str">
        <f aca="false">IF($A973="","",$B973*KidemKarsilikOrani)</f>
        <v/>
      </c>
      <c r="F973" s="20"/>
      <c r="G973" s="22" t="str">
        <f aca="false">IF($A973="","",$B973+$C973+$D973+$E973+$F973)</f>
        <v/>
      </c>
      <c r="H973" s="22" t="str">
        <f aca="false">IF($A973="","",$G973*AySayisi)</f>
        <v/>
      </c>
    </row>
    <row r="974" customFormat="false" ht="15" hidden="false" customHeight="false" outlineLevel="0" collapsed="false">
      <c r="A974" s="19"/>
      <c r="B974" s="22" t="str">
        <f aca="false">IF($A974="","",IFERROR(INDEX(tblCalisan[Brüt Ücret (₺)],MATCH($A974,tblCalisan[Çalışan Adı],0)),""))</f>
        <v/>
      </c>
      <c r="C974" s="22" t="str">
        <f aca="false">IF($A974="","",$B974*IsverenPayiOrani)</f>
        <v/>
      </c>
      <c r="D974" s="22" t="str">
        <f aca="false">IF($A974="","",$B974*IssizlikOrani)</f>
        <v/>
      </c>
      <c r="E974" s="22" t="str">
        <f aca="false">IF($A974="","",$B974*KidemKarsilikOrani)</f>
        <v/>
      </c>
      <c r="F974" s="20"/>
      <c r="G974" s="22" t="str">
        <f aca="false">IF($A974="","",$B974+$C974+$D974+$E974+$F974)</f>
        <v/>
      </c>
      <c r="H974" s="22" t="str">
        <f aca="false">IF($A974="","",$G974*AySayisi)</f>
        <v/>
      </c>
    </row>
    <row r="975" customFormat="false" ht="15" hidden="false" customHeight="false" outlineLevel="0" collapsed="false">
      <c r="A975" s="19"/>
      <c r="B975" s="22" t="str">
        <f aca="false">IF($A975="","",IFERROR(INDEX(tblCalisan[Brüt Ücret (₺)],MATCH($A975,tblCalisan[Çalışan Adı],0)),""))</f>
        <v/>
      </c>
      <c r="C975" s="22" t="str">
        <f aca="false">IF($A975="","",$B975*IsverenPayiOrani)</f>
        <v/>
      </c>
      <c r="D975" s="22" t="str">
        <f aca="false">IF($A975="","",$B975*IssizlikOrani)</f>
        <v/>
      </c>
      <c r="E975" s="22" t="str">
        <f aca="false">IF($A975="","",$B975*KidemKarsilikOrani)</f>
        <v/>
      </c>
      <c r="F975" s="20"/>
      <c r="G975" s="22" t="str">
        <f aca="false">IF($A975="","",$B975+$C975+$D975+$E975+$F975)</f>
        <v/>
      </c>
      <c r="H975" s="22" t="str">
        <f aca="false">IF($A975="","",$G975*AySayisi)</f>
        <v/>
      </c>
    </row>
    <row r="976" customFormat="false" ht="15" hidden="false" customHeight="false" outlineLevel="0" collapsed="false">
      <c r="A976" s="19"/>
      <c r="B976" s="22" t="str">
        <f aca="false">IF($A976="","",IFERROR(INDEX(tblCalisan[Brüt Ücret (₺)],MATCH($A976,tblCalisan[Çalışan Adı],0)),""))</f>
        <v/>
      </c>
      <c r="C976" s="22" t="str">
        <f aca="false">IF($A976="","",$B976*IsverenPayiOrani)</f>
        <v/>
      </c>
      <c r="D976" s="22" t="str">
        <f aca="false">IF($A976="","",$B976*IssizlikOrani)</f>
        <v/>
      </c>
      <c r="E976" s="22" t="str">
        <f aca="false">IF($A976="","",$B976*KidemKarsilikOrani)</f>
        <v/>
      </c>
      <c r="F976" s="20"/>
      <c r="G976" s="22" t="str">
        <f aca="false">IF($A976="","",$B976+$C976+$D976+$E976+$F976)</f>
        <v/>
      </c>
      <c r="H976" s="22" t="str">
        <f aca="false">IF($A976="","",$G976*AySayisi)</f>
        <v/>
      </c>
    </row>
    <row r="977" customFormat="false" ht="15" hidden="false" customHeight="false" outlineLevel="0" collapsed="false">
      <c r="A977" s="19"/>
      <c r="B977" s="22" t="str">
        <f aca="false">IF($A977="","",IFERROR(INDEX(tblCalisan[Brüt Ücret (₺)],MATCH($A977,tblCalisan[Çalışan Adı],0)),""))</f>
        <v/>
      </c>
      <c r="C977" s="22" t="str">
        <f aca="false">IF($A977="","",$B977*IsverenPayiOrani)</f>
        <v/>
      </c>
      <c r="D977" s="22" t="str">
        <f aca="false">IF($A977="","",$B977*IssizlikOrani)</f>
        <v/>
      </c>
      <c r="E977" s="22" t="str">
        <f aca="false">IF($A977="","",$B977*KidemKarsilikOrani)</f>
        <v/>
      </c>
      <c r="F977" s="20"/>
      <c r="G977" s="22" t="str">
        <f aca="false">IF($A977="","",$B977+$C977+$D977+$E977+$F977)</f>
        <v/>
      </c>
      <c r="H977" s="22" t="str">
        <f aca="false">IF($A977="","",$G977*AySayisi)</f>
        <v/>
      </c>
    </row>
    <row r="978" customFormat="false" ht="15" hidden="false" customHeight="false" outlineLevel="0" collapsed="false">
      <c r="A978" s="19"/>
      <c r="B978" s="22" t="str">
        <f aca="false">IF($A978="","",IFERROR(INDEX(tblCalisan[Brüt Ücret (₺)],MATCH($A978,tblCalisan[Çalışan Adı],0)),""))</f>
        <v/>
      </c>
      <c r="C978" s="22" t="str">
        <f aca="false">IF($A978="","",$B978*IsverenPayiOrani)</f>
        <v/>
      </c>
      <c r="D978" s="22" t="str">
        <f aca="false">IF($A978="","",$B978*IssizlikOrani)</f>
        <v/>
      </c>
      <c r="E978" s="22" t="str">
        <f aca="false">IF($A978="","",$B978*KidemKarsilikOrani)</f>
        <v/>
      </c>
      <c r="F978" s="20"/>
      <c r="G978" s="22" t="str">
        <f aca="false">IF($A978="","",$B978+$C978+$D978+$E978+$F978)</f>
        <v/>
      </c>
      <c r="H978" s="22" t="str">
        <f aca="false">IF($A978="","",$G978*AySayisi)</f>
        <v/>
      </c>
    </row>
    <row r="979" customFormat="false" ht="15" hidden="false" customHeight="false" outlineLevel="0" collapsed="false">
      <c r="A979" s="19"/>
      <c r="B979" s="22" t="str">
        <f aca="false">IF($A979="","",IFERROR(INDEX(tblCalisan[Brüt Ücret (₺)],MATCH($A979,tblCalisan[Çalışan Adı],0)),""))</f>
        <v/>
      </c>
      <c r="C979" s="22" t="str">
        <f aca="false">IF($A979="","",$B979*IsverenPayiOrani)</f>
        <v/>
      </c>
      <c r="D979" s="22" t="str">
        <f aca="false">IF($A979="","",$B979*IssizlikOrani)</f>
        <v/>
      </c>
      <c r="E979" s="22" t="str">
        <f aca="false">IF($A979="","",$B979*KidemKarsilikOrani)</f>
        <v/>
      </c>
      <c r="F979" s="20"/>
      <c r="G979" s="22" t="str">
        <f aca="false">IF($A979="","",$B979+$C979+$D979+$E979+$F979)</f>
        <v/>
      </c>
      <c r="H979" s="22" t="str">
        <f aca="false">IF($A979="","",$G979*AySayisi)</f>
        <v/>
      </c>
    </row>
    <row r="980" customFormat="false" ht="15" hidden="false" customHeight="false" outlineLevel="0" collapsed="false">
      <c r="A980" s="19"/>
      <c r="B980" s="22" t="str">
        <f aca="false">IF($A980="","",IFERROR(INDEX(tblCalisan[Brüt Ücret (₺)],MATCH($A980,tblCalisan[Çalışan Adı],0)),""))</f>
        <v/>
      </c>
      <c r="C980" s="22" t="str">
        <f aca="false">IF($A980="","",$B980*IsverenPayiOrani)</f>
        <v/>
      </c>
      <c r="D980" s="22" t="str">
        <f aca="false">IF($A980="","",$B980*IssizlikOrani)</f>
        <v/>
      </c>
      <c r="E980" s="22" t="str">
        <f aca="false">IF($A980="","",$B980*KidemKarsilikOrani)</f>
        <v/>
      </c>
      <c r="F980" s="20"/>
      <c r="G980" s="22" t="str">
        <f aca="false">IF($A980="","",$B980+$C980+$D980+$E980+$F980)</f>
        <v/>
      </c>
      <c r="H980" s="22" t="str">
        <f aca="false">IF($A980="","",$G980*AySayisi)</f>
        <v/>
      </c>
    </row>
    <row r="981" customFormat="false" ht="15" hidden="false" customHeight="false" outlineLevel="0" collapsed="false">
      <c r="A981" s="19"/>
      <c r="B981" s="22" t="str">
        <f aca="false">IF($A981="","",IFERROR(INDEX(tblCalisan[Brüt Ücret (₺)],MATCH($A981,tblCalisan[Çalışan Adı],0)),""))</f>
        <v/>
      </c>
      <c r="C981" s="22" t="str">
        <f aca="false">IF($A981="","",$B981*IsverenPayiOrani)</f>
        <v/>
      </c>
      <c r="D981" s="22" t="str">
        <f aca="false">IF($A981="","",$B981*IssizlikOrani)</f>
        <v/>
      </c>
      <c r="E981" s="22" t="str">
        <f aca="false">IF($A981="","",$B981*KidemKarsilikOrani)</f>
        <v/>
      </c>
      <c r="F981" s="20"/>
      <c r="G981" s="22" t="str">
        <f aca="false">IF($A981="","",$B981+$C981+$D981+$E981+$F981)</f>
        <v/>
      </c>
      <c r="H981" s="22" t="str">
        <f aca="false">IF($A981="","",$G981*AySayisi)</f>
        <v/>
      </c>
    </row>
    <row r="982" customFormat="false" ht="15" hidden="false" customHeight="false" outlineLevel="0" collapsed="false">
      <c r="A982" s="19"/>
      <c r="B982" s="22" t="str">
        <f aca="false">IF($A982="","",IFERROR(INDEX(tblCalisan[Brüt Ücret (₺)],MATCH($A982,tblCalisan[Çalışan Adı],0)),""))</f>
        <v/>
      </c>
      <c r="C982" s="22" t="str">
        <f aca="false">IF($A982="","",$B982*IsverenPayiOrani)</f>
        <v/>
      </c>
      <c r="D982" s="22" t="str">
        <f aca="false">IF($A982="","",$B982*IssizlikOrani)</f>
        <v/>
      </c>
      <c r="E982" s="22" t="str">
        <f aca="false">IF($A982="","",$B982*KidemKarsilikOrani)</f>
        <v/>
      </c>
      <c r="F982" s="20"/>
      <c r="G982" s="22" t="str">
        <f aca="false">IF($A982="","",$B982+$C982+$D982+$E982+$F982)</f>
        <v/>
      </c>
      <c r="H982" s="22" t="str">
        <f aca="false">IF($A982="","",$G982*AySayisi)</f>
        <v/>
      </c>
    </row>
    <row r="983" customFormat="false" ht="15" hidden="false" customHeight="false" outlineLevel="0" collapsed="false">
      <c r="A983" s="19"/>
      <c r="B983" s="22" t="str">
        <f aca="false">IF($A983="","",IFERROR(INDEX(tblCalisan[Brüt Ücret (₺)],MATCH($A983,tblCalisan[Çalışan Adı],0)),""))</f>
        <v/>
      </c>
      <c r="C983" s="22" t="str">
        <f aca="false">IF($A983="","",$B983*IsverenPayiOrani)</f>
        <v/>
      </c>
      <c r="D983" s="22" t="str">
        <f aca="false">IF($A983="","",$B983*IssizlikOrani)</f>
        <v/>
      </c>
      <c r="E983" s="22" t="str">
        <f aca="false">IF($A983="","",$B983*KidemKarsilikOrani)</f>
        <v/>
      </c>
      <c r="F983" s="20"/>
      <c r="G983" s="22" t="str">
        <f aca="false">IF($A983="","",$B983+$C983+$D983+$E983+$F983)</f>
        <v/>
      </c>
      <c r="H983" s="22" t="str">
        <f aca="false">IF($A983="","",$G983*AySayisi)</f>
        <v/>
      </c>
    </row>
    <row r="984" customFormat="false" ht="15" hidden="false" customHeight="false" outlineLevel="0" collapsed="false">
      <c r="A984" s="19"/>
      <c r="B984" s="22" t="str">
        <f aca="false">IF($A984="","",IFERROR(INDEX(tblCalisan[Brüt Ücret (₺)],MATCH($A984,tblCalisan[Çalışan Adı],0)),""))</f>
        <v/>
      </c>
      <c r="C984" s="22" t="str">
        <f aca="false">IF($A984="","",$B984*IsverenPayiOrani)</f>
        <v/>
      </c>
      <c r="D984" s="22" t="str">
        <f aca="false">IF($A984="","",$B984*IssizlikOrani)</f>
        <v/>
      </c>
      <c r="E984" s="22" t="str">
        <f aca="false">IF($A984="","",$B984*KidemKarsilikOrani)</f>
        <v/>
      </c>
      <c r="F984" s="20"/>
      <c r="G984" s="22" t="str">
        <f aca="false">IF($A984="","",$B984+$C984+$D984+$E984+$F984)</f>
        <v/>
      </c>
      <c r="H984" s="22" t="str">
        <f aca="false">IF($A984="","",$G984*AySayisi)</f>
        <v/>
      </c>
    </row>
    <row r="985" customFormat="false" ht="15" hidden="false" customHeight="false" outlineLevel="0" collapsed="false">
      <c r="A985" s="19"/>
      <c r="B985" s="22" t="str">
        <f aca="false">IF($A985="","",IFERROR(INDEX(tblCalisan[Brüt Ücret (₺)],MATCH($A985,tblCalisan[Çalışan Adı],0)),""))</f>
        <v/>
      </c>
      <c r="C985" s="22" t="str">
        <f aca="false">IF($A985="","",$B985*IsverenPayiOrani)</f>
        <v/>
      </c>
      <c r="D985" s="22" t="str">
        <f aca="false">IF($A985="","",$B985*IssizlikOrani)</f>
        <v/>
      </c>
      <c r="E985" s="22" t="str">
        <f aca="false">IF($A985="","",$B985*KidemKarsilikOrani)</f>
        <v/>
      </c>
      <c r="F985" s="20"/>
      <c r="G985" s="22" t="str">
        <f aca="false">IF($A985="","",$B985+$C985+$D985+$E985+$F985)</f>
        <v/>
      </c>
      <c r="H985" s="22" t="str">
        <f aca="false">IF($A985="","",$G985*AySayisi)</f>
        <v/>
      </c>
    </row>
    <row r="986" customFormat="false" ht="15" hidden="false" customHeight="false" outlineLevel="0" collapsed="false">
      <c r="A986" s="19"/>
      <c r="B986" s="22" t="str">
        <f aca="false">IF($A986="","",IFERROR(INDEX(tblCalisan[Brüt Ücret (₺)],MATCH($A986,tblCalisan[Çalışan Adı],0)),""))</f>
        <v/>
      </c>
      <c r="C986" s="22" t="str">
        <f aca="false">IF($A986="","",$B986*IsverenPayiOrani)</f>
        <v/>
      </c>
      <c r="D986" s="22" t="str">
        <f aca="false">IF($A986="","",$B986*IssizlikOrani)</f>
        <v/>
      </c>
      <c r="E986" s="22" t="str">
        <f aca="false">IF($A986="","",$B986*KidemKarsilikOrani)</f>
        <v/>
      </c>
      <c r="F986" s="20"/>
      <c r="G986" s="22" t="str">
        <f aca="false">IF($A986="","",$B986+$C986+$D986+$E986+$F986)</f>
        <v/>
      </c>
      <c r="H986" s="22" t="str">
        <f aca="false">IF($A986="","",$G986*AySayisi)</f>
        <v/>
      </c>
    </row>
    <row r="987" customFormat="false" ht="15" hidden="false" customHeight="false" outlineLevel="0" collapsed="false">
      <c r="A987" s="19"/>
      <c r="B987" s="22" t="str">
        <f aca="false">IF($A987="","",IFERROR(INDEX(tblCalisan[Brüt Ücret (₺)],MATCH($A987,tblCalisan[Çalışan Adı],0)),""))</f>
        <v/>
      </c>
      <c r="C987" s="22" t="str">
        <f aca="false">IF($A987="","",$B987*IsverenPayiOrani)</f>
        <v/>
      </c>
      <c r="D987" s="22" t="str">
        <f aca="false">IF($A987="","",$B987*IssizlikOrani)</f>
        <v/>
      </c>
      <c r="E987" s="22" t="str">
        <f aca="false">IF($A987="","",$B987*KidemKarsilikOrani)</f>
        <v/>
      </c>
      <c r="F987" s="20"/>
      <c r="G987" s="22" t="str">
        <f aca="false">IF($A987="","",$B987+$C987+$D987+$E987+$F987)</f>
        <v/>
      </c>
      <c r="H987" s="22" t="str">
        <f aca="false">IF($A987="","",$G987*AySayisi)</f>
        <v/>
      </c>
    </row>
    <row r="988" customFormat="false" ht="15" hidden="false" customHeight="false" outlineLevel="0" collapsed="false">
      <c r="A988" s="19"/>
      <c r="B988" s="22" t="str">
        <f aca="false">IF($A988="","",IFERROR(INDEX(tblCalisan[Brüt Ücret (₺)],MATCH($A988,tblCalisan[Çalışan Adı],0)),""))</f>
        <v/>
      </c>
      <c r="C988" s="22" t="str">
        <f aca="false">IF($A988="","",$B988*IsverenPayiOrani)</f>
        <v/>
      </c>
      <c r="D988" s="22" t="str">
        <f aca="false">IF($A988="","",$B988*IssizlikOrani)</f>
        <v/>
      </c>
      <c r="E988" s="22" t="str">
        <f aca="false">IF($A988="","",$B988*KidemKarsilikOrani)</f>
        <v/>
      </c>
      <c r="F988" s="20"/>
      <c r="G988" s="22" t="str">
        <f aca="false">IF($A988="","",$B988+$C988+$D988+$E988+$F988)</f>
        <v/>
      </c>
      <c r="H988" s="22" t="str">
        <f aca="false">IF($A988="","",$G988*AySayisi)</f>
        <v/>
      </c>
    </row>
    <row r="989" customFormat="false" ht="15" hidden="false" customHeight="false" outlineLevel="0" collapsed="false">
      <c r="A989" s="19"/>
      <c r="B989" s="22" t="str">
        <f aca="false">IF($A989="","",IFERROR(INDEX(tblCalisan[Brüt Ücret (₺)],MATCH($A989,tblCalisan[Çalışan Adı],0)),""))</f>
        <v/>
      </c>
      <c r="C989" s="22" t="str">
        <f aca="false">IF($A989="","",$B989*IsverenPayiOrani)</f>
        <v/>
      </c>
      <c r="D989" s="22" t="str">
        <f aca="false">IF($A989="","",$B989*IssizlikOrani)</f>
        <v/>
      </c>
      <c r="E989" s="22" t="str">
        <f aca="false">IF($A989="","",$B989*KidemKarsilikOrani)</f>
        <v/>
      </c>
      <c r="F989" s="20"/>
      <c r="G989" s="22" t="str">
        <f aca="false">IF($A989="","",$B989+$C989+$D989+$E989+$F989)</f>
        <v/>
      </c>
      <c r="H989" s="22" t="str">
        <f aca="false">IF($A989="","",$G989*AySayisi)</f>
        <v/>
      </c>
    </row>
    <row r="990" customFormat="false" ht="15" hidden="false" customHeight="false" outlineLevel="0" collapsed="false">
      <c r="A990" s="19"/>
      <c r="B990" s="22" t="str">
        <f aca="false">IF($A990="","",IFERROR(INDEX(tblCalisan[Brüt Ücret (₺)],MATCH($A990,tblCalisan[Çalışan Adı],0)),""))</f>
        <v/>
      </c>
      <c r="C990" s="22" t="str">
        <f aca="false">IF($A990="","",$B990*IsverenPayiOrani)</f>
        <v/>
      </c>
      <c r="D990" s="22" t="str">
        <f aca="false">IF($A990="","",$B990*IssizlikOrani)</f>
        <v/>
      </c>
      <c r="E990" s="22" t="str">
        <f aca="false">IF($A990="","",$B990*KidemKarsilikOrani)</f>
        <v/>
      </c>
      <c r="F990" s="20"/>
      <c r="G990" s="22" t="str">
        <f aca="false">IF($A990="","",$B990+$C990+$D990+$E990+$F990)</f>
        <v/>
      </c>
      <c r="H990" s="22" t="str">
        <f aca="false">IF($A990="","",$G990*AySayisi)</f>
        <v/>
      </c>
    </row>
    <row r="991" customFormat="false" ht="15" hidden="false" customHeight="false" outlineLevel="0" collapsed="false">
      <c r="A991" s="19"/>
      <c r="B991" s="22" t="str">
        <f aca="false">IF($A991="","",IFERROR(INDEX(tblCalisan[Brüt Ücret (₺)],MATCH($A991,tblCalisan[Çalışan Adı],0)),""))</f>
        <v/>
      </c>
      <c r="C991" s="22" t="str">
        <f aca="false">IF($A991="","",$B991*IsverenPayiOrani)</f>
        <v/>
      </c>
      <c r="D991" s="22" t="str">
        <f aca="false">IF($A991="","",$B991*IssizlikOrani)</f>
        <v/>
      </c>
      <c r="E991" s="22" t="str">
        <f aca="false">IF($A991="","",$B991*KidemKarsilikOrani)</f>
        <v/>
      </c>
      <c r="F991" s="20"/>
      <c r="G991" s="22" t="str">
        <f aca="false">IF($A991="","",$B991+$C991+$D991+$E991+$F991)</f>
        <v/>
      </c>
      <c r="H991" s="22" t="str">
        <f aca="false">IF($A991="","",$G991*AySayisi)</f>
        <v/>
      </c>
    </row>
    <row r="992" customFormat="false" ht="15" hidden="false" customHeight="false" outlineLevel="0" collapsed="false">
      <c r="A992" s="19"/>
      <c r="B992" s="22" t="str">
        <f aca="false">IF($A992="","",IFERROR(INDEX(tblCalisan[Brüt Ücret (₺)],MATCH($A992,tblCalisan[Çalışan Adı],0)),""))</f>
        <v/>
      </c>
      <c r="C992" s="22" t="str">
        <f aca="false">IF($A992="","",$B992*IsverenPayiOrani)</f>
        <v/>
      </c>
      <c r="D992" s="22" t="str">
        <f aca="false">IF($A992="","",$B992*IssizlikOrani)</f>
        <v/>
      </c>
      <c r="E992" s="22" t="str">
        <f aca="false">IF($A992="","",$B992*KidemKarsilikOrani)</f>
        <v/>
      </c>
      <c r="F992" s="20"/>
      <c r="G992" s="22" t="str">
        <f aca="false">IF($A992="","",$B992+$C992+$D992+$E992+$F992)</f>
        <v/>
      </c>
      <c r="H992" s="22" t="str">
        <f aca="false">IF($A992="","",$G992*AySayisi)</f>
        <v/>
      </c>
    </row>
    <row r="993" customFormat="false" ht="15" hidden="false" customHeight="false" outlineLevel="0" collapsed="false">
      <c r="A993" s="19"/>
      <c r="B993" s="22" t="str">
        <f aca="false">IF($A993="","",IFERROR(INDEX(tblCalisan[Brüt Ücret (₺)],MATCH($A993,tblCalisan[Çalışan Adı],0)),""))</f>
        <v/>
      </c>
      <c r="C993" s="22" t="str">
        <f aca="false">IF($A993="","",$B993*IsverenPayiOrani)</f>
        <v/>
      </c>
      <c r="D993" s="22" t="str">
        <f aca="false">IF($A993="","",$B993*IssizlikOrani)</f>
        <v/>
      </c>
      <c r="E993" s="22" t="str">
        <f aca="false">IF($A993="","",$B993*KidemKarsilikOrani)</f>
        <v/>
      </c>
      <c r="F993" s="20"/>
      <c r="G993" s="22" t="str">
        <f aca="false">IF($A993="","",$B993+$C993+$D993+$E993+$F993)</f>
        <v/>
      </c>
      <c r="H993" s="22" t="str">
        <f aca="false">IF($A993="","",$G993*AySayisi)</f>
        <v/>
      </c>
    </row>
    <row r="994" customFormat="false" ht="15" hidden="false" customHeight="false" outlineLevel="0" collapsed="false">
      <c r="A994" s="19"/>
      <c r="B994" s="22" t="str">
        <f aca="false">IF($A994="","",IFERROR(INDEX(tblCalisan[Brüt Ücret (₺)],MATCH($A994,tblCalisan[Çalışan Adı],0)),""))</f>
        <v/>
      </c>
      <c r="C994" s="22" t="str">
        <f aca="false">IF($A994="","",$B994*IsverenPayiOrani)</f>
        <v/>
      </c>
      <c r="D994" s="22" t="str">
        <f aca="false">IF($A994="","",$B994*IssizlikOrani)</f>
        <v/>
      </c>
      <c r="E994" s="22" t="str">
        <f aca="false">IF($A994="","",$B994*KidemKarsilikOrani)</f>
        <v/>
      </c>
      <c r="F994" s="20"/>
      <c r="G994" s="22" t="str">
        <f aca="false">IF($A994="","",$B994+$C994+$D994+$E994+$F994)</f>
        <v/>
      </c>
      <c r="H994" s="22" t="str">
        <f aca="false">IF($A994="","",$G994*AySayisi)</f>
        <v/>
      </c>
    </row>
    <row r="995" customFormat="false" ht="15" hidden="false" customHeight="false" outlineLevel="0" collapsed="false">
      <c r="A995" s="19"/>
      <c r="B995" s="22" t="str">
        <f aca="false">IF($A995="","",IFERROR(INDEX(tblCalisan[Brüt Ücret (₺)],MATCH($A995,tblCalisan[Çalışan Adı],0)),""))</f>
        <v/>
      </c>
      <c r="C995" s="22" t="str">
        <f aca="false">IF($A995="","",$B995*IsverenPayiOrani)</f>
        <v/>
      </c>
      <c r="D995" s="22" t="str">
        <f aca="false">IF($A995="","",$B995*IssizlikOrani)</f>
        <v/>
      </c>
      <c r="E995" s="22" t="str">
        <f aca="false">IF($A995="","",$B995*KidemKarsilikOrani)</f>
        <v/>
      </c>
      <c r="F995" s="20"/>
      <c r="G995" s="22" t="str">
        <f aca="false">IF($A995="","",$B995+$C995+$D995+$E995+$F995)</f>
        <v/>
      </c>
      <c r="H995" s="22" t="str">
        <f aca="false">IF($A995="","",$G995*AySayisi)</f>
        <v/>
      </c>
    </row>
    <row r="996" customFormat="false" ht="15" hidden="false" customHeight="false" outlineLevel="0" collapsed="false">
      <c r="A996" s="19"/>
      <c r="B996" s="22" t="str">
        <f aca="false">IF($A996="","",IFERROR(INDEX(tblCalisan[Brüt Ücret (₺)],MATCH($A996,tblCalisan[Çalışan Adı],0)),""))</f>
        <v/>
      </c>
      <c r="C996" s="22" t="str">
        <f aca="false">IF($A996="","",$B996*IsverenPayiOrani)</f>
        <v/>
      </c>
      <c r="D996" s="22" t="str">
        <f aca="false">IF($A996="","",$B996*IssizlikOrani)</f>
        <v/>
      </c>
      <c r="E996" s="22" t="str">
        <f aca="false">IF($A996="","",$B996*KidemKarsilikOrani)</f>
        <v/>
      </c>
      <c r="F996" s="20"/>
      <c r="G996" s="22" t="str">
        <f aca="false">IF($A996="","",$B996+$C996+$D996+$E996+$F996)</f>
        <v/>
      </c>
      <c r="H996" s="22" t="str">
        <f aca="false">IF($A996="","",$G996*AySayisi)</f>
        <v/>
      </c>
    </row>
    <row r="997" customFormat="false" ht="15" hidden="false" customHeight="false" outlineLevel="0" collapsed="false">
      <c r="A997" s="19"/>
      <c r="B997" s="22" t="str">
        <f aca="false">IF($A997="","",IFERROR(INDEX(tblCalisan[Brüt Ücret (₺)],MATCH($A997,tblCalisan[Çalışan Adı],0)),""))</f>
        <v/>
      </c>
      <c r="C997" s="22" t="str">
        <f aca="false">IF($A997="","",$B997*IsverenPayiOrani)</f>
        <v/>
      </c>
      <c r="D997" s="22" t="str">
        <f aca="false">IF($A997="","",$B997*IssizlikOrani)</f>
        <v/>
      </c>
      <c r="E997" s="22" t="str">
        <f aca="false">IF($A997="","",$B997*KidemKarsilikOrani)</f>
        <v/>
      </c>
      <c r="F997" s="20"/>
      <c r="G997" s="22" t="str">
        <f aca="false">IF($A997="","",$B997+$C997+$D997+$E997+$F997)</f>
        <v/>
      </c>
      <c r="H997" s="22" t="str">
        <f aca="false">IF($A997="","",$G997*AySayisi)</f>
        <v/>
      </c>
    </row>
    <row r="998" customFormat="false" ht="15" hidden="false" customHeight="false" outlineLevel="0" collapsed="false">
      <c r="A998" s="19"/>
      <c r="B998" s="22" t="str">
        <f aca="false">IF($A998="","",IFERROR(INDEX(tblCalisan[Brüt Ücret (₺)],MATCH($A998,tblCalisan[Çalışan Adı],0)),""))</f>
        <v/>
      </c>
      <c r="C998" s="22" t="str">
        <f aca="false">IF($A998="","",$B998*IsverenPayiOrani)</f>
        <v/>
      </c>
      <c r="D998" s="22" t="str">
        <f aca="false">IF($A998="","",$B998*IssizlikOrani)</f>
        <v/>
      </c>
      <c r="E998" s="22" t="str">
        <f aca="false">IF($A998="","",$B998*KidemKarsilikOrani)</f>
        <v/>
      </c>
      <c r="F998" s="20"/>
      <c r="G998" s="22" t="str">
        <f aca="false">IF($A998="","",$B998+$C998+$D998+$E998+$F998)</f>
        <v/>
      </c>
      <c r="H998" s="22" t="str">
        <f aca="false">IF($A998="","",$G998*AySayisi)</f>
        <v/>
      </c>
    </row>
    <row r="999" customFormat="false" ht="15" hidden="false" customHeight="false" outlineLevel="0" collapsed="false">
      <c r="A999" s="19"/>
      <c r="B999" s="22" t="str">
        <f aca="false">IF($A999="","",IFERROR(INDEX(tblCalisan[Brüt Ücret (₺)],MATCH($A999,tblCalisan[Çalışan Adı],0)),""))</f>
        <v/>
      </c>
      <c r="C999" s="22" t="str">
        <f aca="false">IF($A999="","",$B999*IsverenPayiOrani)</f>
        <v/>
      </c>
      <c r="D999" s="22" t="str">
        <f aca="false">IF($A999="","",$B999*IssizlikOrani)</f>
        <v/>
      </c>
      <c r="E999" s="22" t="str">
        <f aca="false">IF($A999="","",$B999*KidemKarsilikOrani)</f>
        <v/>
      </c>
      <c r="F999" s="20"/>
      <c r="G999" s="22" t="str">
        <f aca="false">IF($A999="","",$B999+$C999+$D999+$E999+$F999)</f>
        <v/>
      </c>
      <c r="H999" s="22" t="str">
        <f aca="false">IF($A999="","",$G999*AySayisi)</f>
        <v/>
      </c>
    </row>
    <row r="1000" customFormat="false" ht="15" hidden="false" customHeight="false" outlineLevel="0" collapsed="false">
      <c r="A1000" s="19"/>
      <c r="B1000" s="22" t="str">
        <f aca="false">IF($A1000="","",IFERROR(INDEX(tblCalisan[Brüt Ücret (₺)],MATCH($A1000,tblCalisan[Çalışan Adı],0)),""))</f>
        <v/>
      </c>
      <c r="C1000" s="22" t="str">
        <f aca="false">IF($A1000="","",$B1000*IsverenPayiOrani)</f>
        <v/>
      </c>
      <c r="D1000" s="22" t="str">
        <f aca="false">IF($A1000="","",$B1000*IssizlikOrani)</f>
        <v/>
      </c>
      <c r="E1000" s="22" t="str">
        <f aca="false">IF($A1000="","",$B1000*KidemKarsilikOrani)</f>
        <v/>
      </c>
      <c r="F1000" s="20"/>
      <c r="G1000" s="22" t="str">
        <f aca="false">IF($A1000="","",$B1000+$C1000+$D1000+$E1000+$F1000)</f>
        <v/>
      </c>
      <c r="H1000" s="22" t="str">
        <f aca="false">IF($A1000="","",$G1000*AySayisi)</f>
        <v/>
      </c>
    </row>
    <row r="1001" customFormat="false" ht="15" hidden="false" customHeight="false" outlineLevel="0" collapsed="false">
      <c r="A1001" s="19"/>
      <c r="B1001" s="22" t="str">
        <f aca="false">IF($A1001="","",IFERROR(INDEX(tblCalisan[Brüt Ücret (₺)],MATCH($A1001,tblCalisan[Çalışan Adı],0)),""))</f>
        <v/>
      </c>
      <c r="C1001" s="22" t="str">
        <f aca="false">IF($A1001="","",$B1001*IsverenPayiOrani)</f>
        <v/>
      </c>
      <c r="D1001" s="22" t="str">
        <f aca="false">IF($A1001="","",$B1001*IssizlikOrani)</f>
        <v/>
      </c>
      <c r="E1001" s="22" t="str">
        <f aca="false">IF($A1001="","",$B1001*KidemKarsilikOrani)</f>
        <v/>
      </c>
      <c r="F1001" s="20"/>
      <c r="G1001" s="22" t="str">
        <f aca="false">IF($A1001="","",$B1001+$C1001+$D1001+$E1001+$F1001)</f>
        <v/>
      </c>
      <c r="H1001" s="22" t="str">
        <f aca="false">IF($A1001="","",$G1001*AySayisi)</f>
        <v/>
      </c>
    </row>
    <row r="1002" customFormat="false" ht="15" hidden="false" customHeight="false" outlineLevel="0" collapsed="false">
      <c r="A1002" s="19"/>
      <c r="B1002" s="22" t="str">
        <f aca="false">IF($A1002="","",IFERROR(INDEX(tblCalisan[Brüt Ücret (₺)],MATCH($A1002,tblCalisan[Çalışan Adı],0)),""))</f>
        <v/>
      </c>
      <c r="C1002" s="22" t="str">
        <f aca="false">IF($A1002="","",$B1002*IsverenPayiOrani)</f>
        <v/>
      </c>
      <c r="D1002" s="22" t="str">
        <f aca="false">IF($A1002="","",$B1002*IssizlikOrani)</f>
        <v/>
      </c>
      <c r="E1002" s="22" t="str">
        <f aca="false">IF($A1002="","",$B1002*KidemKarsilikOrani)</f>
        <v/>
      </c>
      <c r="F1002" s="20"/>
      <c r="G1002" s="22" t="str">
        <f aca="false">IF($A1002="","",$B1002+$C1002+$D1002+$E1002+$F1002)</f>
        <v/>
      </c>
      <c r="H1002" s="22" t="str">
        <f aca="false">IF($A1002="","",$G1002*AySayisi)</f>
        <v/>
      </c>
    </row>
    <row r="1003" customFormat="false" ht="19.5" hidden="false" customHeight="true" outlineLevel="0" collapsed="false">
      <c r="A1003" s="24" t="s">
        <v>69</v>
      </c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</row>
    <row r="1004" customFormat="false" ht="15" hidden="false" customHeight="false" outlineLevel="0" collapsed="false">
      <c r="A1004" s="19"/>
      <c r="B1004" s="22" t="str">
        <f aca="false">IF($A1004="","",IFERROR(INDEX(tblCalisan[Brüt Ücret (₺)],MATCH($A1004,tblCalisan[Çalışan Adı],0)),""))</f>
        <v/>
      </c>
      <c r="C1004" s="22" t="str">
        <f aca="false">IF($A1004="","",$B1004*IsverenPayiOrani)</f>
        <v/>
      </c>
      <c r="D1004" s="22" t="str">
        <f aca="false">IF($A1004="","",$B1004*IssizlikOrani)</f>
        <v/>
      </c>
      <c r="E1004" s="22" t="str">
        <f aca="false">IF($A1004="","",$B1004*KidemKarsilikOrani)</f>
        <v/>
      </c>
      <c r="F1004" s="20"/>
      <c r="G1004" s="22" t="str">
        <f aca="false">IF($A1004="","",$B1004+$C1004+$D1004+$E1004+$F1004)</f>
        <v/>
      </c>
      <c r="H1004" s="22" t="str">
        <f aca="false">IF($A1004="","",$G1004*AySayisi)</f>
        <v/>
      </c>
    </row>
    <row r="1005" customFormat="false" ht="15" hidden="false" customHeight="false" outlineLevel="0" collapsed="false">
      <c r="A1005" s="19"/>
      <c r="B1005" s="22" t="str">
        <f aca="false">IF($A1005="","",IFERROR(INDEX(tblCalisan[Brüt Ücret (₺)],MATCH($A1005,tblCalisan[Çalışan Adı],0)),""))</f>
        <v/>
      </c>
      <c r="C1005" s="22" t="str">
        <f aca="false">IF($A1005="","",$B1005*IsverenPayiOrani)</f>
        <v/>
      </c>
      <c r="D1005" s="22" t="str">
        <f aca="false">IF($A1005="","",$B1005*IssizlikOrani)</f>
        <v/>
      </c>
      <c r="E1005" s="22" t="str">
        <f aca="false">IF($A1005="","",$B1005*KidemKarsilikOrani)</f>
        <v/>
      </c>
      <c r="F1005" s="20"/>
      <c r="G1005" s="22" t="str">
        <f aca="false">IF($A1005="","",$B1005+$C1005+$D1005+$E1005+$F1005)</f>
        <v/>
      </c>
      <c r="H1005" s="22" t="str">
        <f aca="false">IF($A1005="","",$G1005*AySayisi)</f>
        <v/>
      </c>
    </row>
    <row r="1006" customFormat="false" ht="15" hidden="false" customHeight="false" outlineLevel="0" collapsed="false">
      <c r="A1006" s="19"/>
      <c r="B1006" s="22" t="str">
        <f aca="false">IF($A1006="","",IFERROR(INDEX(tblCalisan[Brüt Ücret (₺)],MATCH($A1006,tblCalisan[Çalışan Adı],0)),""))</f>
        <v/>
      </c>
      <c r="C1006" s="22" t="str">
        <f aca="false">IF($A1006="","",$B1006*IsverenPayiOrani)</f>
        <v/>
      </c>
      <c r="D1006" s="22" t="str">
        <f aca="false">IF($A1006="","",$B1006*IssizlikOrani)</f>
        <v/>
      </c>
      <c r="E1006" s="22" t="str">
        <f aca="false">IF($A1006="","",$B1006*KidemKarsilikOrani)</f>
        <v/>
      </c>
      <c r="F1006" s="20"/>
      <c r="G1006" s="22" t="str">
        <f aca="false">IF($A1006="","",$B1006+$C1006+$D1006+$E1006+$F1006)</f>
        <v/>
      </c>
      <c r="H1006" s="22" t="str">
        <f aca="false">IF($A1006="","",$G1006*AySayisi)</f>
        <v/>
      </c>
    </row>
  </sheetData>
  <sheetProtection sheet="true" password="cc3d" objects="true" scenarios="true" deleteColumns="false" deleteRows="false"/>
  <mergeCells count="3">
    <mergeCell ref="A1:AD1"/>
    <mergeCell ref="A4:H4"/>
    <mergeCell ref="A1003:AN1003"/>
  </mergeCells>
  <conditionalFormatting sqref="C7">
    <cfRule type="cellIs" priority="2" operator="greaterThan" aboveAverage="0" equalAverage="0" bottom="0" percent="0" rank="0" text="" dxfId="8">
      <formula>0</formula>
    </cfRule>
  </conditionalFormatting>
  <conditionalFormatting sqref="G7">
    <cfRule type="cellIs" priority="3" operator="greaterThan" aboveAverage="0" equalAverage="0" bottom="0" percent="0" rank="0" text="" dxfId="8">
      <formula>0</formula>
    </cfRule>
  </conditionalFormatting>
  <conditionalFormatting sqref="H7">
    <cfRule type="cellIs" priority="4" operator="greaterThan" aboveAverage="0" equalAverage="0" bottom="0" percent="0" rank="0" text="" dxfId="8">
      <formula>0</formula>
    </cfRule>
  </conditionalFormatting>
  <conditionalFormatting sqref="C8">
    <cfRule type="cellIs" priority="5" operator="greaterThan" aboveAverage="0" equalAverage="0" bottom="0" percent="0" rank="0" text="" dxfId="8">
      <formula>0</formula>
    </cfRule>
  </conditionalFormatting>
  <conditionalFormatting sqref="G8">
    <cfRule type="cellIs" priority="6" operator="greaterThan" aboveAverage="0" equalAverage="0" bottom="0" percent="0" rank="0" text="" dxfId="8">
      <formula>0</formula>
    </cfRule>
  </conditionalFormatting>
  <conditionalFormatting sqref="H8">
    <cfRule type="cellIs" priority="7" operator="greaterThan" aboveAverage="0" equalAverage="0" bottom="0" percent="0" rank="0" text="" dxfId="8">
      <formula>0</formula>
    </cfRule>
  </conditionalFormatting>
  <conditionalFormatting sqref="C9">
    <cfRule type="cellIs" priority="8" operator="greaterThan" aboveAverage="0" equalAverage="0" bottom="0" percent="0" rank="0" text="" dxfId="8">
      <formula>0</formula>
    </cfRule>
  </conditionalFormatting>
  <conditionalFormatting sqref="G9">
    <cfRule type="cellIs" priority="9" operator="greaterThan" aboveAverage="0" equalAverage="0" bottom="0" percent="0" rank="0" text="" dxfId="8">
      <formula>0</formula>
    </cfRule>
  </conditionalFormatting>
  <conditionalFormatting sqref="H9">
    <cfRule type="cellIs" priority="10" operator="greaterThan" aboveAverage="0" equalAverage="0" bottom="0" percent="0" rank="0" text="" dxfId="8">
      <formula>0</formula>
    </cfRule>
  </conditionalFormatting>
  <conditionalFormatting sqref="C10">
    <cfRule type="cellIs" priority="11" operator="greaterThan" aboveAverage="0" equalAverage="0" bottom="0" percent="0" rank="0" text="" dxfId="8">
      <formula>0</formula>
    </cfRule>
  </conditionalFormatting>
  <conditionalFormatting sqref="G10">
    <cfRule type="cellIs" priority="12" operator="greaterThan" aboveAverage="0" equalAverage="0" bottom="0" percent="0" rank="0" text="" dxfId="8">
      <formula>0</formula>
    </cfRule>
  </conditionalFormatting>
  <conditionalFormatting sqref="H10">
    <cfRule type="cellIs" priority="13" operator="greaterThan" aboveAverage="0" equalAverage="0" bottom="0" percent="0" rank="0" text="" dxfId="8">
      <formula>0</formula>
    </cfRule>
  </conditionalFormatting>
  <conditionalFormatting sqref="C11">
    <cfRule type="cellIs" priority="14" operator="greaterThan" aboveAverage="0" equalAverage="0" bottom="0" percent="0" rank="0" text="" dxfId="8">
      <formula>0</formula>
    </cfRule>
  </conditionalFormatting>
  <conditionalFormatting sqref="G11">
    <cfRule type="cellIs" priority="15" operator="greaterThan" aboveAverage="0" equalAverage="0" bottom="0" percent="0" rank="0" text="" dxfId="8">
      <formula>0</formula>
    </cfRule>
  </conditionalFormatting>
  <conditionalFormatting sqref="H11">
    <cfRule type="cellIs" priority="16" operator="greaterThan" aboveAverage="0" equalAverage="0" bottom="0" percent="0" rank="0" text="" dxfId="8">
      <formula>0</formula>
    </cfRule>
  </conditionalFormatting>
  <conditionalFormatting sqref="C12">
    <cfRule type="cellIs" priority="17" operator="greaterThan" aboveAverage="0" equalAverage="0" bottom="0" percent="0" rank="0" text="" dxfId="8">
      <formula>0</formula>
    </cfRule>
  </conditionalFormatting>
  <conditionalFormatting sqref="G12">
    <cfRule type="cellIs" priority="18" operator="greaterThan" aboveAverage="0" equalAverage="0" bottom="0" percent="0" rank="0" text="" dxfId="8">
      <formula>0</formula>
    </cfRule>
  </conditionalFormatting>
  <conditionalFormatting sqref="H12">
    <cfRule type="cellIs" priority="19" operator="greaterThan" aboveAverage="0" equalAverage="0" bottom="0" percent="0" rank="0" text="" dxfId="8">
      <formula>0</formula>
    </cfRule>
  </conditionalFormatting>
  <conditionalFormatting sqref="C13">
    <cfRule type="cellIs" priority="20" operator="greaterThan" aboveAverage="0" equalAverage="0" bottom="0" percent="0" rank="0" text="" dxfId="8">
      <formula>0</formula>
    </cfRule>
  </conditionalFormatting>
  <conditionalFormatting sqref="G13">
    <cfRule type="cellIs" priority="21" operator="greaterThan" aboveAverage="0" equalAverage="0" bottom="0" percent="0" rank="0" text="" dxfId="8">
      <formula>0</formula>
    </cfRule>
  </conditionalFormatting>
  <conditionalFormatting sqref="H13">
    <cfRule type="cellIs" priority="22" operator="greaterThan" aboveAverage="0" equalAverage="0" bottom="0" percent="0" rank="0" text="" dxfId="8">
      <formula>0</formula>
    </cfRule>
  </conditionalFormatting>
  <conditionalFormatting sqref="C14">
    <cfRule type="cellIs" priority="23" operator="greaterThan" aboveAverage="0" equalAverage="0" bottom="0" percent="0" rank="0" text="" dxfId="8">
      <formula>0</formula>
    </cfRule>
  </conditionalFormatting>
  <conditionalFormatting sqref="G14">
    <cfRule type="cellIs" priority="24" operator="greaterThan" aboveAverage="0" equalAverage="0" bottom="0" percent="0" rank="0" text="" dxfId="8">
      <formula>0</formula>
    </cfRule>
  </conditionalFormatting>
  <conditionalFormatting sqref="H14">
    <cfRule type="cellIs" priority="25" operator="greaterThan" aboveAverage="0" equalAverage="0" bottom="0" percent="0" rank="0" text="" dxfId="8">
      <formula>0</formula>
    </cfRule>
  </conditionalFormatting>
  <conditionalFormatting sqref="C15">
    <cfRule type="cellIs" priority="26" operator="greaterThan" aboveAverage="0" equalAverage="0" bottom="0" percent="0" rank="0" text="" dxfId="8">
      <formula>0</formula>
    </cfRule>
  </conditionalFormatting>
  <conditionalFormatting sqref="G15">
    <cfRule type="cellIs" priority="27" operator="greaterThan" aboveAverage="0" equalAverage="0" bottom="0" percent="0" rank="0" text="" dxfId="8">
      <formula>0</formula>
    </cfRule>
  </conditionalFormatting>
  <conditionalFormatting sqref="H15">
    <cfRule type="cellIs" priority="28" operator="greaterThan" aboveAverage="0" equalAverage="0" bottom="0" percent="0" rank="0" text="" dxfId="8">
      <formula>0</formula>
    </cfRule>
  </conditionalFormatting>
  <conditionalFormatting sqref="C16">
    <cfRule type="cellIs" priority="29" operator="greaterThan" aboveAverage="0" equalAverage="0" bottom="0" percent="0" rank="0" text="" dxfId="8">
      <formula>0</formula>
    </cfRule>
  </conditionalFormatting>
  <conditionalFormatting sqref="G16">
    <cfRule type="cellIs" priority="30" operator="greaterThan" aboveAverage="0" equalAverage="0" bottom="0" percent="0" rank="0" text="" dxfId="8">
      <formula>0</formula>
    </cfRule>
  </conditionalFormatting>
  <conditionalFormatting sqref="H16">
    <cfRule type="cellIs" priority="31" operator="greaterThan" aboveAverage="0" equalAverage="0" bottom="0" percent="0" rank="0" text="" dxfId="8">
      <formula>0</formula>
    </cfRule>
  </conditionalFormatting>
  <conditionalFormatting sqref="C17">
    <cfRule type="cellIs" priority="32" operator="greaterThan" aboveAverage="0" equalAverage="0" bottom="0" percent="0" rank="0" text="" dxfId="8">
      <formula>0</formula>
    </cfRule>
  </conditionalFormatting>
  <conditionalFormatting sqref="G17">
    <cfRule type="cellIs" priority="33" operator="greaterThan" aboveAverage="0" equalAverage="0" bottom="0" percent="0" rank="0" text="" dxfId="8">
      <formula>0</formula>
    </cfRule>
  </conditionalFormatting>
  <conditionalFormatting sqref="H17">
    <cfRule type="cellIs" priority="34" operator="greaterThan" aboveAverage="0" equalAverage="0" bottom="0" percent="0" rank="0" text="" dxfId="8">
      <formula>0</formula>
    </cfRule>
  </conditionalFormatting>
  <conditionalFormatting sqref="C18">
    <cfRule type="cellIs" priority="35" operator="greaterThan" aboveAverage="0" equalAverage="0" bottom="0" percent="0" rank="0" text="" dxfId="8">
      <formula>0</formula>
    </cfRule>
  </conditionalFormatting>
  <conditionalFormatting sqref="G18">
    <cfRule type="cellIs" priority="36" operator="greaterThan" aboveAverage="0" equalAverage="0" bottom="0" percent="0" rank="0" text="" dxfId="8">
      <formula>0</formula>
    </cfRule>
  </conditionalFormatting>
  <conditionalFormatting sqref="H18">
    <cfRule type="cellIs" priority="37" operator="greaterThan" aboveAverage="0" equalAverage="0" bottom="0" percent="0" rank="0" text="" dxfId="8">
      <formula>0</formula>
    </cfRule>
  </conditionalFormatting>
  <conditionalFormatting sqref="C19">
    <cfRule type="cellIs" priority="38" operator="greaterThan" aboveAverage="0" equalAverage="0" bottom="0" percent="0" rank="0" text="" dxfId="8">
      <formula>0</formula>
    </cfRule>
  </conditionalFormatting>
  <conditionalFormatting sqref="G19">
    <cfRule type="cellIs" priority="39" operator="greaterThan" aboveAverage="0" equalAverage="0" bottom="0" percent="0" rank="0" text="" dxfId="8">
      <formula>0</formula>
    </cfRule>
  </conditionalFormatting>
  <conditionalFormatting sqref="H19">
    <cfRule type="cellIs" priority="40" operator="greaterThan" aboveAverage="0" equalAverage="0" bottom="0" percent="0" rank="0" text="" dxfId="8">
      <formula>0</formula>
    </cfRule>
  </conditionalFormatting>
  <conditionalFormatting sqref="C20">
    <cfRule type="cellIs" priority="41" operator="greaterThan" aboveAverage="0" equalAverage="0" bottom="0" percent="0" rank="0" text="" dxfId="8">
      <formula>0</formula>
    </cfRule>
  </conditionalFormatting>
  <conditionalFormatting sqref="G20">
    <cfRule type="cellIs" priority="42" operator="greaterThan" aboveAverage="0" equalAverage="0" bottom="0" percent="0" rank="0" text="" dxfId="8">
      <formula>0</formula>
    </cfRule>
  </conditionalFormatting>
  <conditionalFormatting sqref="H20">
    <cfRule type="cellIs" priority="43" operator="greaterThan" aboveAverage="0" equalAverage="0" bottom="0" percent="0" rank="0" text="" dxfId="8">
      <formula>0</formula>
    </cfRule>
  </conditionalFormatting>
  <conditionalFormatting sqref="C21">
    <cfRule type="cellIs" priority="44" operator="greaterThan" aboveAverage="0" equalAverage="0" bottom="0" percent="0" rank="0" text="" dxfId="8">
      <formula>0</formula>
    </cfRule>
  </conditionalFormatting>
  <conditionalFormatting sqref="G21">
    <cfRule type="cellIs" priority="45" operator="greaterThan" aboveAverage="0" equalAverage="0" bottom="0" percent="0" rank="0" text="" dxfId="8">
      <formula>0</formula>
    </cfRule>
  </conditionalFormatting>
  <conditionalFormatting sqref="H21">
    <cfRule type="cellIs" priority="46" operator="greaterThan" aboveAverage="0" equalAverage="0" bottom="0" percent="0" rank="0" text="" dxfId="8">
      <formula>0</formula>
    </cfRule>
  </conditionalFormatting>
  <conditionalFormatting sqref="C22">
    <cfRule type="cellIs" priority="47" operator="greaterThan" aboveAverage="0" equalAverage="0" bottom="0" percent="0" rank="0" text="" dxfId="8">
      <formula>0</formula>
    </cfRule>
  </conditionalFormatting>
  <conditionalFormatting sqref="G22">
    <cfRule type="cellIs" priority="48" operator="greaterThan" aboveAverage="0" equalAverage="0" bottom="0" percent="0" rank="0" text="" dxfId="8">
      <formula>0</formula>
    </cfRule>
  </conditionalFormatting>
  <conditionalFormatting sqref="H22">
    <cfRule type="cellIs" priority="49" operator="greaterThan" aboveAverage="0" equalAverage="0" bottom="0" percent="0" rank="0" text="" dxfId="8">
      <formula>0</formula>
    </cfRule>
  </conditionalFormatting>
  <conditionalFormatting sqref="C23">
    <cfRule type="cellIs" priority="50" operator="greaterThan" aboveAverage="0" equalAverage="0" bottom="0" percent="0" rank="0" text="" dxfId="8">
      <formula>0</formula>
    </cfRule>
  </conditionalFormatting>
  <conditionalFormatting sqref="G23">
    <cfRule type="cellIs" priority="51" operator="greaterThan" aboveAverage="0" equalAverage="0" bottom="0" percent="0" rank="0" text="" dxfId="8">
      <formula>0</formula>
    </cfRule>
  </conditionalFormatting>
  <conditionalFormatting sqref="H23">
    <cfRule type="cellIs" priority="52" operator="greaterThan" aboveAverage="0" equalAverage="0" bottom="0" percent="0" rank="0" text="" dxfId="8">
      <formula>0</formula>
    </cfRule>
  </conditionalFormatting>
  <conditionalFormatting sqref="C24">
    <cfRule type="cellIs" priority="53" operator="greaterThan" aboveAverage="0" equalAverage="0" bottom="0" percent="0" rank="0" text="" dxfId="8">
      <formula>0</formula>
    </cfRule>
  </conditionalFormatting>
  <conditionalFormatting sqref="G24">
    <cfRule type="cellIs" priority="54" operator="greaterThan" aboveAverage="0" equalAverage="0" bottom="0" percent="0" rank="0" text="" dxfId="8">
      <formula>0</formula>
    </cfRule>
  </conditionalFormatting>
  <conditionalFormatting sqref="H24">
    <cfRule type="cellIs" priority="55" operator="greaterThan" aboveAverage="0" equalAverage="0" bottom="0" percent="0" rank="0" text="" dxfId="8">
      <formula>0</formula>
    </cfRule>
  </conditionalFormatting>
  <conditionalFormatting sqref="C25">
    <cfRule type="cellIs" priority="56" operator="greaterThan" aboveAverage="0" equalAverage="0" bottom="0" percent="0" rank="0" text="" dxfId="8">
      <formula>0</formula>
    </cfRule>
  </conditionalFormatting>
  <conditionalFormatting sqref="G25">
    <cfRule type="cellIs" priority="57" operator="greaterThan" aboveAverage="0" equalAverage="0" bottom="0" percent="0" rank="0" text="" dxfId="8">
      <formula>0</formula>
    </cfRule>
  </conditionalFormatting>
  <conditionalFormatting sqref="H25">
    <cfRule type="cellIs" priority="58" operator="greaterThan" aboveAverage="0" equalAverage="0" bottom="0" percent="0" rank="0" text="" dxfId="8">
      <formula>0</formula>
    </cfRule>
  </conditionalFormatting>
  <conditionalFormatting sqref="C26">
    <cfRule type="cellIs" priority="59" operator="greaterThan" aboveAverage="0" equalAverage="0" bottom="0" percent="0" rank="0" text="" dxfId="8">
      <formula>0</formula>
    </cfRule>
  </conditionalFormatting>
  <conditionalFormatting sqref="G26">
    <cfRule type="cellIs" priority="60" operator="greaterThan" aboveAverage="0" equalAverage="0" bottom="0" percent="0" rank="0" text="" dxfId="8">
      <formula>0</formula>
    </cfRule>
  </conditionalFormatting>
  <conditionalFormatting sqref="H26">
    <cfRule type="cellIs" priority="61" operator="greaterThan" aboveAverage="0" equalAverage="0" bottom="0" percent="0" rank="0" text="" dxfId="8">
      <formula>0</formula>
    </cfRule>
  </conditionalFormatting>
  <conditionalFormatting sqref="C27">
    <cfRule type="cellIs" priority="62" operator="greaterThan" aboveAverage="0" equalAverage="0" bottom="0" percent="0" rank="0" text="" dxfId="8">
      <formula>0</formula>
    </cfRule>
  </conditionalFormatting>
  <conditionalFormatting sqref="G27">
    <cfRule type="cellIs" priority="63" operator="greaterThan" aboveAverage="0" equalAverage="0" bottom="0" percent="0" rank="0" text="" dxfId="8">
      <formula>0</formula>
    </cfRule>
  </conditionalFormatting>
  <conditionalFormatting sqref="H27">
    <cfRule type="cellIs" priority="64" operator="greaterThan" aboveAverage="0" equalAverage="0" bottom="0" percent="0" rank="0" text="" dxfId="8">
      <formula>0</formula>
    </cfRule>
  </conditionalFormatting>
  <conditionalFormatting sqref="C28">
    <cfRule type="cellIs" priority="65" operator="greaterThan" aboveAverage="0" equalAverage="0" bottom="0" percent="0" rank="0" text="" dxfId="8">
      <formula>0</formula>
    </cfRule>
  </conditionalFormatting>
  <conditionalFormatting sqref="G28">
    <cfRule type="cellIs" priority="66" operator="greaterThan" aboveAverage="0" equalAverage="0" bottom="0" percent="0" rank="0" text="" dxfId="8">
      <formula>0</formula>
    </cfRule>
  </conditionalFormatting>
  <conditionalFormatting sqref="H28">
    <cfRule type="cellIs" priority="67" operator="greaterThan" aboveAverage="0" equalAverage="0" bottom="0" percent="0" rank="0" text="" dxfId="8">
      <formula>0</formula>
    </cfRule>
  </conditionalFormatting>
  <conditionalFormatting sqref="C29">
    <cfRule type="cellIs" priority="68" operator="greaterThan" aboveAverage="0" equalAverage="0" bottom="0" percent="0" rank="0" text="" dxfId="8">
      <formula>0</formula>
    </cfRule>
  </conditionalFormatting>
  <conditionalFormatting sqref="G29">
    <cfRule type="cellIs" priority="69" operator="greaterThan" aboveAverage="0" equalAverage="0" bottom="0" percent="0" rank="0" text="" dxfId="8">
      <formula>0</formula>
    </cfRule>
  </conditionalFormatting>
  <conditionalFormatting sqref="H29">
    <cfRule type="cellIs" priority="70" operator="greaterThan" aboveAverage="0" equalAverage="0" bottom="0" percent="0" rank="0" text="" dxfId="8">
      <formula>0</formula>
    </cfRule>
  </conditionalFormatting>
  <conditionalFormatting sqref="C30">
    <cfRule type="cellIs" priority="71" operator="greaterThan" aboveAverage="0" equalAverage="0" bottom="0" percent="0" rank="0" text="" dxfId="8">
      <formula>0</formula>
    </cfRule>
  </conditionalFormatting>
  <conditionalFormatting sqref="G30">
    <cfRule type="cellIs" priority="72" operator="greaterThan" aboveAverage="0" equalAverage="0" bottom="0" percent="0" rank="0" text="" dxfId="8">
      <formula>0</formula>
    </cfRule>
  </conditionalFormatting>
  <conditionalFormatting sqref="H30">
    <cfRule type="cellIs" priority="73" operator="greaterThan" aboveAverage="0" equalAverage="0" bottom="0" percent="0" rank="0" text="" dxfId="8">
      <formula>0</formula>
    </cfRule>
  </conditionalFormatting>
  <conditionalFormatting sqref="C31">
    <cfRule type="cellIs" priority="74" operator="greaterThan" aboveAverage="0" equalAverage="0" bottom="0" percent="0" rank="0" text="" dxfId="8">
      <formula>0</formula>
    </cfRule>
  </conditionalFormatting>
  <conditionalFormatting sqref="G31">
    <cfRule type="cellIs" priority="75" operator="greaterThan" aboveAverage="0" equalAverage="0" bottom="0" percent="0" rank="0" text="" dxfId="8">
      <formula>0</formula>
    </cfRule>
  </conditionalFormatting>
  <conditionalFormatting sqref="H31">
    <cfRule type="cellIs" priority="76" operator="greaterThan" aboveAverage="0" equalAverage="0" bottom="0" percent="0" rank="0" text="" dxfId="8">
      <formula>0</formula>
    </cfRule>
  </conditionalFormatting>
  <conditionalFormatting sqref="C32">
    <cfRule type="cellIs" priority="77" operator="greaterThan" aboveAverage="0" equalAverage="0" bottom="0" percent="0" rank="0" text="" dxfId="8">
      <formula>0</formula>
    </cfRule>
  </conditionalFormatting>
  <conditionalFormatting sqref="G32">
    <cfRule type="cellIs" priority="78" operator="greaterThan" aboveAverage="0" equalAverage="0" bottom="0" percent="0" rank="0" text="" dxfId="8">
      <formula>0</formula>
    </cfRule>
  </conditionalFormatting>
  <conditionalFormatting sqref="H32">
    <cfRule type="cellIs" priority="79" operator="greaterThan" aboveAverage="0" equalAverage="0" bottom="0" percent="0" rank="0" text="" dxfId="8">
      <formula>0</formula>
    </cfRule>
  </conditionalFormatting>
  <conditionalFormatting sqref="C33">
    <cfRule type="cellIs" priority="80" operator="greaterThan" aboveAverage="0" equalAverage="0" bottom="0" percent="0" rank="0" text="" dxfId="8">
      <formula>0</formula>
    </cfRule>
  </conditionalFormatting>
  <conditionalFormatting sqref="G33">
    <cfRule type="cellIs" priority="81" operator="greaterThan" aboveAverage="0" equalAverage="0" bottom="0" percent="0" rank="0" text="" dxfId="8">
      <formula>0</formula>
    </cfRule>
  </conditionalFormatting>
  <conditionalFormatting sqref="H33">
    <cfRule type="cellIs" priority="82" operator="greaterThan" aboveAverage="0" equalAverage="0" bottom="0" percent="0" rank="0" text="" dxfId="8">
      <formula>0</formula>
    </cfRule>
  </conditionalFormatting>
  <conditionalFormatting sqref="C34">
    <cfRule type="cellIs" priority="83" operator="greaterThan" aboveAverage="0" equalAverage="0" bottom="0" percent="0" rank="0" text="" dxfId="8">
      <formula>0</formula>
    </cfRule>
  </conditionalFormatting>
  <conditionalFormatting sqref="G34">
    <cfRule type="cellIs" priority="84" operator="greaterThan" aboveAverage="0" equalAverage="0" bottom="0" percent="0" rank="0" text="" dxfId="8">
      <formula>0</formula>
    </cfRule>
  </conditionalFormatting>
  <conditionalFormatting sqref="H34">
    <cfRule type="cellIs" priority="85" operator="greaterThan" aboveAverage="0" equalAverage="0" bottom="0" percent="0" rank="0" text="" dxfId="8">
      <formula>0</formula>
    </cfRule>
  </conditionalFormatting>
  <conditionalFormatting sqref="C35">
    <cfRule type="cellIs" priority="86" operator="greaterThan" aboveAverage="0" equalAverage="0" bottom="0" percent="0" rank="0" text="" dxfId="8">
      <formula>0</formula>
    </cfRule>
  </conditionalFormatting>
  <conditionalFormatting sqref="G35">
    <cfRule type="cellIs" priority="87" operator="greaterThan" aboveAverage="0" equalAverage="0" bottom="0" percent="0" rank="0" text="" dxfId="8">
      <formula>0</formula>
    </cfRule>
  </conditionalFormatting>
  <conditionalFormatting sqref="H35">
    <cfRule type="cellIs" priority="88" operator="greaterThan" aboveAverage="0" equalAverage="0" bottom="0" percent="0" rank="0" text="" dxfId="8">
      <formula>0</formula>
    </cfRule>
  </conditionalFormatting>
  <conditionalFormatting sqref="C36">
    <cfRule type="cellIs" priority="89" operator="greaterThan" aboveAverage="0" equalAverage="0" bottom="0" percent="0" rank="0" text="" dxfId="8">
      <formula>0</formula>
    </cfRule>
  </conditionalFormatting>
  <conditionalFormatting sqref="G36">
    <cfRule type="cellIs" priority="90" operator="greaterThan" aboveAverage="0" equalAverage="0" bottom="0" percent="0" rank="0" text="" dxfId="8">
      <formula>0</formula>
    </cfRule>
  </conditionalFormatting>
  <conditionalFormatting sqref="H36">
    <cfRule type="cellIs" priority="91" operator="greaterThan" aboveAverage="0" equalAverage="0" bottom="0" percent="0" rank="0" text="" dxfId="8">
      <formula>0</formula>
    </cfRule>
  </conditionalFormatting>
  <conditionalFormatting sqref="C37">
    <cfRule type="cellIs" priority="92" operator="greaterThan" aboveAverage="0" equalAverage="0" bottom="0" percent="0" rank="0" text="" dxfId="8">
      <formula>0</formula>
    </cfRule>
  </conditionalFormatting>
  <conditionalFormatting sqref="G37">
    <cfRule type="cellIs" priority="93" operator="greaterThan" aboveAverage="0" equalAverage="0" bottom="0" percent="0" rank="0" text="" dxfId="8">
      <formula>0</formula>
    </cfRule>
  </conditionalFormatting>
  <conditionalFormatting sqref="H37">
    <cfRule type="cellIs" priority="94" operator="greaterThan" aboveAverage="0" equalAverage="0" bottom="0" percent="0" rank="0" text="" dxfId="8">
      <formula>0</formula>
    </cfRule>
  </conditionalFormatting>
  <conditionalFormatting sqref="C38">
    <cfRule type="cellIs" priority="95" operator="greaterThan" aboveAverage="0" equalAverage="0" bottom="0" percent="0" rank="0" text="" dxfId="8">
      <formula>0</formula>
    </cfRule>
  </conditionalFormatting>
  <conditionalFormatting sqref="G38">
    <cfRule type="cellIs" priority="96" operator="greaterThan" aboveAverage="0" equalAverage="0" bottom="0" percent="0" rank="0" text="" dxfId="8">
      <formula>0</formula>
    </cfRule>
  </conditionalFormatting>
  <conditionalFormatting sqref="H38">
    <cfRule type="cellIs" priority="97" operator="greaterThan" aboveAverage="0" equalAverage="0" bottom="0" percent="0" rank="0" text="" dxfId="8">
      <formula>0</formula>
    </cfRule>
  </conditionalFormatting>
  <conditionalFormatting sqref="C39">
    <cfRule type="cellIs" priority="98" operator="greaterThan" aboveAverage="0" equalAverage="0" bottom="0" percent="0" rank="0" text="" dxfId="8">
      <formula>0</formula>
    </cfRule>
  </conditionalFormatting>
  <conditionalFormatting sqref="G39">
    <cfRule type="cellIs" priority="99" operator="greaterThan" aboveAverage="0" equalAverage="0" bottom="0" percent="0" rank="0" text="" dxfId="8">
      <formula>0</formula>
    </cfRule>
  </conditionalFormatting>
  <conditionalFormatting sqref="H39">
    <cfRule type="cellIs" priority="100" operator="greaterThan" aboveAverage="0" equalAverage="0" bottom="0" percent="0" rank="0" text="" dxfId="8">
      <formula>0</formula>
    </cfRule>
  </conditionalFormatting>
  <conditionalFormatting sqref="C40">
    <cfRule type="cellIs" priority="101" operator="greaterThan" aboveAverage="0" equalAverage="0" bottom="0" percent="0" rank="0" text="" dxfId="8">
      <formula>0</formula>
    </cfRule>
  </conditionalFormatting>
  <conditionalFormatting sqref="G40">
    <cfRule type="cellIs" priority="102" operator="greaterThan" aboveAverage="0" equalAverage="0" bottom="0" percent="0" rank="0" text="" dxfId="8">
      <formula>0</formula>
    </cfRule>
  </conditionalFormatting>
  <conditionalFormatting sqref="H40">
    <cfRule type="cellIs" priority="103" operator="greaterThan" aboveAverage="0" equalAverage="0" bottom="0" percent="0" rank="0" text="" dxfId="8">
      <formula>0</formula>
    </cfRule>
  </conditionalFormatting>
  <conditionalFormatting sqref="C41">
    <cfRule type="cellIs" priority="104" operator="greaterThan" aboveAverage="0" equalAverage="0" bottom="0" percent="0" rank="0" text="" dxfId="8">
      <formula>0</formula>
    </cfRule>
  </conditionalFormatting>
  <conditionalFormatting sqref="G41">
    <cfRule type="cellIs" priority="105" operator="greaterThan" aboveAverage="0" equalAverage="0" bottom="0" percent="0" rank="0" text="" dxfId="8">
      <formula>0</formula>
    </cfRule>
  </conditionalFormatting>
  <conditionalFormatting sqref="H41">
    <cfRule type="cellIs" priority="106" operator="greaterThan" aboveAverage="0" equalAverage="0" bottom="0" percent="0" rank="0" text="" dxfId="8">
      <formula>0</formula>
    </cfRule>
  </conditionalFormatting>
  <conditionalFormatting sqref="C42">
    <cfRule type="cellIs" priority="107" operator="greaterThan" aboveAverage="0" equalAverage="0" bottom="0" percent="0" rank="0" text="" dxfId="8">
      <formula>0</formula>
    </cfRule>
  </conditionalFormatting>
  <conditionalFormatting sqref="G42">
    <cfRule type="cellIs" priority="108" operator="greaterThan" aboveAverage="0" equalAverage="0" bottom="0" percent="0" rank="0" text="" dxfId="8">
      <formula>0</formula>
    </cfRule>
  </conditionalFormatting>
  <conditionalFormatting sqref="H42">
    <cfRule type="cellIs" priority="109" operator="greaterThan" aboveAverage="0" equalAverage="0" bottom="0" percent="0" rank="0" text="" dxfId="8">
      <formula>0</formula>
    </cfRule>
  </conditionalFormatting>
  <conditionalFormatting sqref="C43">
    <cfRule type="cellIs" priority="110" operator="greaterThan" aboveAverage="0" equalAverage="0" bottom="0" percent="0" rank="0" text="" dxfId="8">
      <formula>0</formula>
    </cfRule>
  </conditionalFormatting>
  <conditionalFormatting sqref="G43">
    <cfRule type="cellIs" priority="111" operator="greaterThan" aboveAverage="0" equalAverage="0" bottom="0" percent="0" rank="0" text="" dxfId="8">
      <formula>0</formula>
    </cfRule>
  </conditionalFormatting>
  <conditionalFormatting sqref="H43">
    <cfRule type="cellIs" priority="112" operator="greaterThan" aboveAverage="0" equalAverage="0" bottom="0" percent="0" rank="0" text="" dxfId="8">
      <formula>0</formula>
    </cfRule>
  </conditionalFormatting>
  <conditionalFormatting sqref="C44">
    <cfRule type="cellIs" priority="113" operator="greaterThan" aboveAverage="0" equalAverage="0" bottom="0" percent="0" rank="0" text="" dxfId="8">
      <formula>0</formula>
    </cfRule>
  </conditionalFormatting>
  <conditionalFormatting sqref="G44">
    <cfRule type="cellIs" priority="114" operator="greaterThan" aboveAverage="0" equalAverage="0" bottom="0" percent="0" rank="0" text="" dxfId="8">
      <formula>0</formula>
    </cfRule>
  </conditionalFormatting>
  <conditionalFormatting sqref="H44">
    <cfRule type="cellIs" priority="115" operator="greaterThan" aboveAverage="0" equalAverage="0" bottom="0" percent="0" rank="0" text="" dxfId="8">
      <formula>0</formula>
    </cfRule>
  </conditionalFormatting>
  <conditionalFormatting sqref="C45">
    <cfRule type="cellIs" priority="116" operator="greaterThan" aboveAverage="0" equalAverage="0" bottom="0" percent="0" rank="0" text="" dxfId="8">
      <formula>0</formula>
    </cfRule>
  </conditionalFormatting>
  <conditionalFormatting sqref="G45">
    <cfRule type="cellIs" priority="117" operator="greaterThan" aboveAverage="0" equalAverage="0" bottom="0" percent="0" rank="0" text="" dxfId="8">
      <formula>0</formula>
    </cfRule>
  </conditionalFormatting>
  <conditionalFormatting sqref="H45">
    <cfRule type="cellIs" priority="118" operator="greaterThan" aboveAverage="0" equalAverage="0" bottom="0" percent="0" rank="0" text="" dxfId="8">
      <formula>0</formula>
    </cfRule>
  </conditionalFormatting>
  <conditionalFormatting sqref="C46">
    <cfRule type="cellIs" priority="119" operator="greaterThan" aboveAverage="0" equalAverage="0" bottom="0" percent="0" rank="0" text="" dxfId="8">
      <formula>0</formula>
    </cfRule>
  </conditionalFormatting>
  <conditionalFormatting sqref="G46">
    <cfRule type="cellIs" priority="120" operator="greaterThan" aboveAverage="0" equalAverage="0" bottom="0" percent="0" rank="0" text="" dxfId="8">
      <formula>0</formula>
    </cfRule>
  </conditionalFormatting>
  <conditionalFormatting sqref="H46">
    <cfRule type="cellIs" priority="121" operator="greaterThan" aboveAverage="0" equalAverage="0" bottom="0" percent="0" rank="0" text="" dxfId="8">
      <formula>0</formula>
    </cfRule>
  </conditionalFormatting>
  <conditionalFormatting sqref="C47">
    <cfRule type="cellIs" priority="122" operator="greaterThan" aboveAverage="0" equalAverage="0" bottom="0" percent="0" rank="0" text="" dxfId="8">
      <formula>0</formula>
    </cfRule>
  </conditionalFormatting>
  <conditionalFormatting sqref="G47">
    <cfRule type="cellIs" priority="123" operator="greaterThan" aboveAverage="0" equalAverage="0" bottom="0" percent="0" rank="0" text="" dxfId="8">
      <formula>0</formula>
    </cfRule>
  </conditionalFormatting>
  <conditionalFormatting sqref="H47">
    <cfRule type="cellIs" priority="124" operator="greaterThan" aboveAverage="0" equalAverage="0" bottom="0" percent="0" rank="0" text="" dxfId="8">
      <formula>0</formula>
    </cfRule>
  </conditionalFormatting>
  <conditionalFormatting sqref="C48">
    <cfRule type="cellIs" priority="125" operator="greaterThan" aboveAverage="0" equalAverage="0" bottom="0" percent="0" rank="0" text="" dxfId="8">
      <formula>0</formula>
    </cfRule>
  </conditionalFormatting>
  <conditionalFormatting sqref="G48">
    <cfRule type="cellIs" priority="126" operator="greaterThan" aboveAverage="0" equalAverage="0" bottom="0" percent="0" rank="0" text="" dxfId="8">
      <formula>0</formula>
    </cfRule>
  </conditionalFormatting>
  <conditionalFormatting sqref="H48">
    <cfRule type="cellIs" priority="127" operator="greaterThan" aboveAverage="0" equalAverage="0" bottom="0" percent="0" rank="0" text="" dxfId="8">
      <formula>0</formula>
    </cfRule>
  </conditionalFormatting>
  <conditionalFormatting sqref="C49">
    <cfRule type="cellIs" priority="128" operator="greaterThan" aboveAverage="0" equalAverage="0" bottom="0" percent="0" rank="0" text="" dxfId="8">
      <formula>0</formula>
    </cfRule>
  </conditionalFormatting>
  <conditionalFormatting sqref="G49">
    <cfRule type="cellIs" priority="129" operator="greaterThan" aboveAverage="0" equalAverage="0" bottom="0" percent="0" rank="0" text="" dxfId="8">
      <formula>0</formula>
    </cfRule>
  </conditionalFormatting>
  <conditionalFormatting sqref="H49">
    <cfRule type="cellIs" priority="130" operator="greaterThan" aboveAverage="0" equalAverage="0" bottom="0" percent="0" rank="0" text="" dxfId="8">
      <formula>0</formula>
    </cfRule>
  </conditionalFormatting>
  <conditionalFormatting sqref="C50">
    <cfRule type="cellIs" priority="131" operator="greaterThan" aboveAverage="0" equalAverage="0" bottom="0" percent="0" rank="0" text="" dxfId="8">
      <formula>0</formula>
    </cfRule>
  </conditionalFormatting>
  <conditionalFormatting sqref="G50">
    <cfRule type="cellIs" priority="132" operator="greaterThan" aboveAverage="0" equalAverage="0" bottom="0" percent="0" rank="0" text="" dxfId="8">
      <formula>0</formula>
    </cfRule>
  </conditionalFormatting>
  <conditionalFormatting sqref="H50">
    <cfRule type="cellIs" priority="133" operator="greaterThan" aboveAverage="0" equalAverage="0" bottom="0" percent="0" rank="0" text="" dxfId="8">
      <formula>0</formula>
    </cfRule>
  </conditionalFormatting>
  <conditionalFormatting sqref="C51">
    <cfRule type="cellIs" priority="134" operator="greaterThan" aboveAverage="0" equalAverage="0" bottom="0" percent="0" rank="0" text="" dxfId="8">
      <formula>0</formula>
    </cfRule>
  </conditionalFormatting>
  <conditionalFormatting sqref="G51">
    <cfRule type="cellIs" priority="135" operator="greaterThan" aboveAverage="0" equalAverage="0" bottom="0" percent="0" rank="0" text="" dxfId="8">
      <formula>0</formula>
    </cfRule>
  </conditionalFormatting>
  <conditionalFormatting sqref="H51">
    <cfRule type="cellIs" priority="136" operator="greaterThan" aboveAverage="0" equalAverage="0" bottom="0" percent="0" rank="0" text="" dxfId="8">
      <formula>0</formula>
    </cfRule>
  </conditionalFormatting>
  <conditionalFormatting sqref="C52">
    <cfRule type="cellIs" priority="137" operator="greaterThan" aboveAverage="0" equalAverage="0" bottom="0" percent="0" rank="0" text="" dxfId="8">
      <formula>0</formula>
    </cfRule>
  </conditionalFormatting>
  <conditionalFormatting sqref="G52">
    <cfRule type="cellIs" priority="138" operator="greaterThan" aboveAverage="0" equalAverage="0" bottom="0" percent="0" rank="0" text="" dxfId="8">
      <formula>0</formula>
    </cfRule>
  </conditionalFormatting>
  <conditionalFormatting sqref="H52">
    <cfRule type="cellIs" priority="139" operator="greaterThan" aboveAverage="0" equalAverage="0" bottom="0" percent="0" rank="0" text="" dxfId="8">
      <formula>0</formula>
    </cfRule>
  </conditionalFormatting>
  <conditionalFormatting sqref="C53">
    <cfRule type="cellIs" priority="140" operator="greaterThan" aboveAverage="0" equalAverage="0" bottom="0" percent="0" rank="0" text="" dxfId="8">
      <formula>0</formula>
    </cfRule>
  </conditionalFormatting>
  <conditionalFormatting sqref="G53">
    <cfRule type="cellIs" priority="141" operator="greaterThan" aboveAverage="0" equalAverage="0" bottom="0" percent="0" rank="0" text="" dxfId="8">
      <formula>0</formula>
    </cfRule>
  </conditionalFormatting>
  <conditionalFormatting sqref="H53">
    <cfRule type="cellIs" priority="142" operator="greaterThan" aboveAverage="0" equalAverage="0" bottom="0" percent="0" rank="0" text="" dxfId="8">
      <formula>0</formula>
    </cfRule>
  </conditionalFormatting>
  <conditionalFormatting sqref="C54">
    <cfRule type="cellIs" priority="143" operator="greaterThan" aboveAverage="0" equalAverage="0" bottom="0" percent="0" rank="0" text="" dxfId="8">
      <formula>0</formula>
    </cfRule>
  </conditionalFormatting>
  <conditionalFormatting sqref="G54">
    <cfRule type="cellIs" priority="144" operator="greaterThan" aboveAverage="0" equalAverage="0" bottom="0" percent="0" rank="0" text="" dxfId="8">
      <formula>0</formula>
    </cfRule>
  </conditionalFormatting>
  <conditionalFormatting sqref="H54">
    <cfRule type="cellIs" priority="145" operator="greaterThan" aboveAverage="0" equalAverage="0" bottom="0" percent="0" rank="0" text="" dxfId="8">
      <formula>0</formula>
    </cfRule>
  </conditionalFormatting>
  <conditionalFormatting sqref="C55">
    <cfRule type="cellIs" priority="146" operator="greaterThan" aboveAverage="0" equalAverage="0" bottom="0" percent="0" rank="0" text="" dxfId="8">
      <formula>0</formula>
    </cfRule>
  </conditionalFormatting>
  <conditionalFormatting sqref="G55">
    <cfRule type="cellIs" priority="147" operator="greaterThan" aboveAverage="0" equalAverage="0" bottom="0" percent="0" rank="0" text="" dxfId="8">
      <formula>0</formula>
    </cfRule>
  </conditionalFormatting>
  <conditionalFormatting sqref="H55">
    <cfRule type="cellIs" priority="148" operator="greaterThan" aboveAverage="0" equalAverage="0" bottom="0" percent="0" rank="0" text="" dxfId="8">
      <formula>0</formula>
    </cfRule>
  </conditionalFormatting>
  <conditionalFormatting sqref="C56">
    <cfRule type="cellIs" priority="149" operator="greaterThan" aboveAverage="0" equalAverage="0" bottom="0" percent="0" rank="0" text="" dxfId="8">
      <formula>0</formula>
    </cfRule>
  </conditionalFormatting>
  <conditionalFormatting sqref="G56">
    <cfRule type="cellIs" priority="150" operator="greaterThan" aboveAverage="0" equalAverage="0" bottom="0" percent="0" rank="0" text="" dxfId="8">
      <formula>0</formula>
    </cfRule>
  </conditionalFormatting>
  <conditionalFormatting sqref="H56">
    <cfRule type="cellIs" priority="151" operator="greaterThan" aboveAverage="0" equalAverage="0" bottom="0" percent="0" rank="0" text="" dxfId="8">
      <formula>0</formula>
    </cfRule>
  </conditionalFormatting>
  <conditionalFormatting sqref="C57">
    <cfRule type="cellIs" priority="152" operator="greaterThan" aboveAverage="0" equalAverage="0" bottom="0" percent="0" rank="0" text="" dxfId="8">
      <formula>0</formula>
    </cfRule>
  </conditionalFormatting>
  <conditionalFormatting sqref="G57">
    <cfRule type="cellIs" priority="153" operator="greaterThan" aboveAverage="0" equalAverage="0" bottom="0" percent="0" rank="0" text="" dxfId="8">
      <formula>0</formula>
    </cfRule>
  </conditionalFormatting>
  <conditionalFormatting sqref="H57">
    <cfRule type="cellIs" priority="154" operator="greaterThan" aboveAverage="0" equalAverage="0" bottom="0" percent="0" rank="0" text="" dxfId="8">
      <formula>0</formula>
    </cfRule>
  </conditionalFormatting>
  <conditionalFormatting sqref="C58">
    <cfRule type="cellIs" priority="155" operator="greaterThan" aboveAverage="0" equalAverage="0" bottom="0" percent="0" rank="0" text="" dxfId="8">
      <formula>0</formula>
    </cfRule>
  </conditionalFormatting>
  <conditionalFormatting sqref="G58">
    <cfRule type="cellIs" priority="156" operator="greaterThan" aboveAverage="0" equalAverage="0" bottom="0" percent="0" rank="0" text="" dxfId="8">
      <formula>0</formula>
    </cfRule>
  </conditionalFormatting>
  <conditionalFormatting sqref="H58">
    <cfRule type="cellIs" priority="157" operator="greaterThan" aboveAverage="0" equalAverage="0" bottom="0" percent="0" rank="0" text="" dxfId="8">
      <formula>0</formula>
    </cfRule>
  </conditionalFormatting>
  <conditionalFormatting sqref="C59">
    <cfRule type="cellIs" priority="158" operator="greaterThan" aboveAverage="0" equalAverage="0" bottom="0" percent="0" rank="0" text="" dxfId="8">
      <formula>0</formula>
    </cfRule>
  </conditionalFormatting>
  <conditionalFormatting sqref="G59">
    <cfRule type="cellIs" priority="159" operator="greaterThan" aboveAverage="0" equalAverage="0" bottom="0" percent="0" rank="0" text="" dxfId="8">
      <formula>0</formula>
    </cfRule>
  </conditionalFormatting>
  <conditionalFormatting sqref="H59">
    <cfRule type="cellIs" priority="160" operator="greaterThan" aboveAverage="0" equalAverage="0" bottom="0" percent="0" rank="0" text="" dxfId="8">
      <formula>0</formula>
    </cfRule>
  </conditionalFormatting>
  <conditionalFormatting sqref="C60">
    <cfRule type="cellIs" priority="161" operator="greaterThan" aboveAverage="0" equalAverage="0" bottom="0" percent="0" rank="0" text="" dxfId="8">
      <formula>0</formula>
    </cfRule>
  </conditionalFormatting>
  <conditionalFormatting sqref="G60">
    <cfRule type="cellIs" priority="162" operator="greaterThan" aboveAverage="0" equalAverage="0" bottom="0" percent="0" rank="0" text="" dxfId="8">
      <formula>0</formula>
    </cfRule>
  </conditionalFormatting>
  <conditionalFormatting sqref="H60">
    <cfRule type="cellIs" priority="163" operator="greaterThan" aboveAverage="0" equalAverage="0" bottom="0" percent="0" rank="0" text="" dxfId="8">
      <formula>0</formula>
    </cfRule>
  </conditionalFormatting>
  <conditionalFormatting sqref="C61">
    <cfRule type="cellIs" priority="164" operator="greaterThan" aboveAverage="0" equalAverage="0" bottom="0" percent="0" rank="0" text="" dxfId="8">
      <formula>0</formula>
    </cfRule>
  </conditionalFormatting>
  <conditionalFormatting sqref="G61">
    <cfRule type="cellIs" priority="165" operator="greaterThan" aboveAverage="0" equalAverage="0" bottom="0" percent="0" rank="0" text="" dxfId="8">
      <formula>0</formula>
    </cfRule>
  </conditionalFormatting>
  <conditionalFormatting sqref="H61">
    <cfRule type="cellIs" priority="166" operator="greaterThan" aboveAverage="0" equalAverage="0" bottom="0" percent="0" rank="0" text="" dxfId="8">
      <formula>0</formula>
    </cfRule>
  </conditionalFormatting>
  <conditionalFormatting sqref="C62">
    <cfRule type="cellIs" priority="167" operator="greaterThan" aboveAverage="0" equalAverage="0" bottom="0" percent="0" rank="0" text="" dxfId="8">
      <formula>0</formula>
    </cfRule>
  </conditionalFormatting>
  <conditionalFormatting sqref="G62">
    <cfRule type="cellIs" priority="168" operator="greaterThan" aboveAverage="0" equalAverage="0" bottom="0" percent="0" rank="0" text="" dxfId="8">
      <formula>0</formula>
    </cfRule>
  </conditionalFormatting>
  <conditionalFormatting sqref="H62">
    <cfRule type="cellIs" priority="169" operator="greaterThan" aboveAverage="0" equalAverage="0" bottom="0" percent="0" rank="0" text="" dxfId="8">
      <formula>0</formula>
    </cfRule>
  </conditionalFormatting>
  <conditionalFormatting sqref="C63">
    <cfRule type="cellIs" priority="170" operator="greaterThan" aboveAverage="0" equalAverage="0" bottom="0" percent="0" rank="0" text="" dxfId="8">
      <formula>0</formula>
    </cfRule>
  </conditionalFormatting>
  <conditionalFormatting sqref="G63">
    <cfRule type="cellIs" priority="171" operator="greaterThan" aboveAverage="0" equalAverage="0" bottom="0" percent="0" rank="0" text="" dxfId="8">
      <formula>0</formula>
    </cfRule>
  </conditionalFormatting>
  <conditionalFormatting sqref="H63">
    <cfRule type="cellIs" priority="172" operator="greaterThan" aboveAverage="0" equalAverage="0" bottom="0" percent="0" rank="0" text="" dxfId="8">
      <formula>0</formula>
    </cfRule>
  </conditionalFormatting>
  <conditionalFormatting sqref="C64">
    <cfRule type="cellIs" priority="173" operator="greaterThan" aboveAverage="0" equalAverage="0" bottom="0" percent="0" rank="0" text="" dxfId="8">
      <formula>0</formula>
    </cfRule>
  </conditionalFormatting>
  <conditionalFormatting sqref="G64">
    <cfRule type="cellIs" priority="174" operator="greaterThan" aboveAverage="0" equalAverage="0" bottom="0" percent="0" rank="0" text="" dxfId="8">
      <formula>0</formula>
    </cfRule>
  </conditionalFormatting>
  <conditionalFormatting sqref="H64">
    <cfRule type="cellIs" priority="175" operator="greaterThan" aboveAverage="0" equalAverage="0" bottom="0" percent="0" rank="0" text="" dxfId="8">
      <formula>0</formula>
    </cfRule>
  </conditionalFormatting>
  <conditionalFormatting sqref="C65">
    <cfRule type="cellIs" priority="176" operator="greaterThan" aboveAverage="0" equalAverage="0" bottom="0" percent="0" rank="0" text="" dxfId="8">
      <formula>0</formula>
    </cfRule>
  </conditionalFormatting>
  <conditionalFormatting sqref="G65">
    <cfRule type="cellIs" priority="177" operator="greaterThan" aboveAverage="0" equalAverage="0" bottom="0" percent="0" rank="0" text="" dxfId="8">
      <formula>0</formula>
    </cfRule>
  </conditionalFormatting>
  <conditionalFormatting sqref="H65">
    <cfRule type="cellIs" priority="178" operator="greaterThan" aboveAverage="0" equalAverage="0" bottom="0" percent="0" rank="0" text="" dxfId="8">
      <formula>0</formula>
    </cfRule>
  </conditionalFormatting>
  <conditionalFormatting sqref="C66">
    <cfRule type="cellIs" priority="179" operator="greaterThan" aboveAverage="0" equalAverage="0" bottom="0" percent="0" rank="0" text="" dxfId="8">
      <formula>0</formula>
    </cfRule>
  </conditionalFormatting>
  <conditionalFormatting sqref="G66">
    <cfRule type="cellIs" priority="180" operator="greaterThan" aboveAverage="0" equalAverage="0" bottom="0" percent="0" rank="0" text="" dxfId="8">
      <formula>0</formula>
    </cfRule>
  </conditionalFormatting>
  <conditionalFormatting sqref="H66">
    <cfRule type="cellIs" priority="181" operator="greaterThan" aboveAverage="0" equalAverage="0" bottom="0" percent="0" rank="0" text="" dxfId="8">
      <formula>0</formula>
    </cfRule>
  </conditionalFormatting>
  <conditionalFormatting sqref="C67">
    <cfRule type="cellIs" priority="182" operator="greaterThan" aboveAverage="0" equalAverage="0" bottom="0" percent="0" rank="0" text="" dxfId="8">
      <formula>0</formula>
    </cfRule>
  </conditionalFormatting>
  <conditionalFormatting sqref="G67">
    <cfRule type="cellIs" priority="183" operator="greaterThan" aboveAverage="0" equalAverage="0" bottom="0" percent="0" rank="0" text="" dxfId="8">
      <formula>0</formula>
    </cfRule>
  </conditionalFormatting>
  <conditionalFormatting sqref="H67">
    <cfRule type="cellIs" priority="184" operator="greaterThan" aboveAverage="0" equalAverage="0" bottom="0" percent="0" rank="0" text="" dxfId="8">
      <formula>0</formula>
    </cfRule>
  </conditionalFormatting>
  <conditionalFormatting sqref="C68">
    <cfRule type="cellIs" priority="185" operator="greaterThan" aboveAverage="0" equalAverage="0" bottom="0" percent="0" rank="0" text="" dxfId="8">
      <formula>0</formula>
    </cfRule>
  </conditionalFormatting>
  <conditionalFormatting sqref="G68">
    <cfRule type="cellIs" priority="186" operator="greaterThan" aboveAverage="0" equalAverage="0" bottom="0" percent="0" rank="0" text="" dxfId="8">
      <formula>0</formula>
    </cfRule>
  </conditionalFormatting>
  <conditionalFormatting sqref="H68">
    <cfRule type="cellIs" priority="187" operator="greaterThan" aboveAverage="0" equalAverage="0" bottom="0" percent="0" rank="0" text="" dxfId="8">
      <formula>0</formula>
    </cfRule>
  </conditionalFormatting>
  <conditionalFormatting sqref="C69">
    <cfRule type="cellIs" priority="188" operator="greaterThan" aboveAverage="0" equalAverage="0" bottom="0" percent="0" rank="0" text="" dxfId="8">
      <formula>0</formula>
    </cfRule>
  </conditionalFormatting>
  <conditionalFormatting sqref="G69">
    <cfRule type="cellIs" priority="189" operator="greaterThan" aboveAverage="0" equalAverage="0" bottom="0" percent="0" rank="0" text="" dxfId="8">
      <formula>0</formula>
    </cfRule>
  </conditionalFormatting>
  <conditionalFormatting sqref="H69">
    <cfRule type="cellIs" priority="190" operator="greaterThan" aboveAverage="0" equalAverage="0" bottom="0" percent="0" rank="0" text="" dxfId="8">
      <formula>0</formula>
    </cfRule>
  </conditionalFormatting>
  <conditionalFormatting sqref="C70">
    <cfRule type="cellIs" priority="191" operator="greaterThan" aboveAverage="0" equalAverage="0" bottom="0" percent="0" rank="0" text="" dxfId="8">
      <formula>0</formula>
    </cfRule>
  </conditionalFormatting>
  <conditionalFormatting sqref="G70">
    <cfRule type="cellIs" priority="192" operator="greaterThan" aboveAverage="0" equalAverage="0" bottom="0" percent="0" rank="0" text="" dxfId="8">
      <formula>0</formula>
    </cfRule>
  </conditionalFormatting>
  <conditionalFormatting sqref="H70">
    <cfRule type="cellIs" priority="193" operator="greaterThan" aboveAverage="0" equalAverage="0" bottom="0" percent="0" rank="0" text="" dxfId="8">
      <formula>0</formula>
    </cfRule>
  </conditionalFormatting>
  <conditionalFormatting sqref="C71">
    <cfRule type="cellIs" priority="194" operator="greaterThan" aboveAverage="0" equalAverage="0" bottom="0" percent="0" rank="0" text="" dxfId="8">
      <formula>0</formula>
    </cfRule>
  </conditionalFormatting>
  <conditionalFormatting sqref="G71">
    <cfRule type="cellIs" priority="195" operator="greaterThan" aboveAverage="0" equalAverage="0" bottom="0" percent="0" rank="0" text="" dxfId="8">
      <formula>0</formula>
    </cfRule>
  </conditionalFormatting>
  <conditionalFormatting sqref="H71">
    <cfRule type="cellIs" priority="196" operator="greaterThan" aboveAverage="0" equalAverage="0" bottom="0" percent="0" rank="0" text="" dxfId="8">
      <formula>0</formula>
    </cfRule>
  </conditionalFormatting>
  <conditionalFormatting sqref="C72">
    <cfRule type="cellIs" priority="197" operator="greaterThan" aboveAverage="0" equalAverage="0" bottom="0" percent="0" rank="0" text="" dxfId="8">
      <formula>0</formula>
    </cfRule>
  </conditionalFormatting>
  <conditionalFormatting sqref="G72">
    <cfRule type="cellIs" priority="198" operator="greaterThan" aboveAverage="0" equalAverage="0" bottom="0" percent="0" rank="0" text="" dxfId="8">
      <formula>0</formula>
    </cfRule>
  </conditionalFormatting>
  <conditionalFormatting sqref="H72">
    <cfRule type="cellIs" priority="199" operator="greaterThan" aboveAverage="0" equalAverage="0" bottom="0" percent="0" rank="0" text="" dxfId="8">
      <formula>0</formula>
    </cfRule>
  </conditionalFormatting>
  <conditionalFormatting sqref="C73">
    <cfRule type="cellIs" priority="200" operator="greaterThan" aboveAverage="0" equalAverage="0" bottom="0" percent="0" rank="0" text="" dxfId="8">
      <formula>0</formula>
    </cfRule>
  </conditionalFormatting>
  <conditionalFormatting sqref="G73">
    <cfRule type="cellIs" priority="201" operator="greaterThan" aboveAverage="0" equalAverage="0" bottom="0" percent="0" rank="0" text="" dxfId="8">
      <formula>0</formula>
    </cfRule>
  </conditionalFormatting>
  <conditionalFormatting sqref="H73">
    <cfRule type="cellIs" priority="202" operator="greaterThan" aboveAverage="0" equalAverage="0" bottom="0" percent="0" rank="0" text="" dxfId="8">
      <formula>0</formula>
    </cfRule>
  </conditionalFormatting>
  <conditionalFormatting sqref="C74">
    <cfRule type="cellIs" priority="203" operator="greaterThan" aboveAverage="0" equalAverage="0" bottom="0" percent="0" rank="0" text="" dxfId="8">
      <formula>0</formula>
    </cfRule>
  </conditionalFormatting>
  <conditionalFormatting sqref="G74">
    <cfRule type="cellIs" priority="204" operator="greaterThan" aboveAverage="0" equalAverage="0" bottom="0" percent="0" rank="0" text="" dxfId="8">
      <formula>0</formula>
    </cfRule>
  </conditionalFormatting>
  <conditionalFormatting sqref="H74">
    <cfRule type="cellIs" priority="205" operator="greaterThan" aboveAverage="0" equalAverage="0" bottom="0" percent="0" rank="0" text="" dxfId="8">
      <formula>0</formula>
    </cfRule>
  </conditionalFormatting>
  <conditionalFormatting sqref="C75">
    <cfRule type="cellIs" priority="206" operator="greaterThan" aboveAverage="0" equalAverage="0" bottom="0" percent="0" rank="0" text="" dxfId="8">
      <formula>0</formula>
    </cfRule>
  </conditionalFormatting>
  <conditionalFormatting sqref="G75">
    <cfRule type="cellIs" priority="207" operator="greaterThan" aboveAverage="0" equalAverage="0" bottom="0" percent="0" rank="0" text="" dxfId="8">
      <formula>0</formula>
    </cfRule>
  </conditionalFormatting>
  <conditionalFormatting sqref="H75">
    <cfRule type="cellIs" priority="208" operator="greaterThan" aboveAverage="0" equalAverage="0" bottom="0" percent="0" rank="0" text="" dxfId="8">
      <formula>0</formula>
    </cfRule>
  </conditionalFormatting>
  <conditionalFormatting sqref="C76">
    <cfRule type="cellIs" priority="209" operator="greaterThan" aboveAverage="0" equalAverage="0" bottom="0" percent="0" rank="0" text="" dxfId="8">
      <formula>0</formula>
    </cfRule>
  </conditionalFormatting>
  <conditionalFormatting sqref="G76">
    <cfRule type="cellIs" priority="210" operator="greaterThan" aboveAverage="0" equalAverage="0" bottom="0" percent="0" rank="0" text="" dxfId="8">
      <formula>0</formula>
    </cfRule>
  </conditionalFormatting>
  <conditionalFormatting sqref="H76">
    <cfRule type="cellIs" priority="211" operator="greaterThan" aboveAverage="0" equalAverage="0" bottom="0" percent="0" rank="0" text="" dxfId="8">
      <formula>0</formula>
    </cfRule>
  </conditionalFormatting>
  <conditionalFormatting sqref="C77">
    <cfRule type="cellIs" priority="212" operator="greaterThan" aboveAverage="0" equalAverage="0" bottom="0" percent="0" rank="0" text="" dxfId="8">
      <formula>0</formula>
    </cfRule>
  </conditionalFormatting>
  <conditionalFormatting sqref="G77">
    <cfRule type="cellIs" priority="213" operator="greaterThan" aboveAverage="0" equalAverage="0" bottom="0" percent="0" rank="0" text="" dxfId="8">
      <formula>0</formula>
    </cfRule>
  </conditionalFormatting>
  <conditionalFormatting sqref="H77">
    <cfRule type="cellIs" priority="214" operator="greaterThan" aboveAverage="0" equalAverage="0" bottom="0" percent="0" rank="0" text="" dxfId="8">
      <formula>0</formula>
    </cfRule>
  </conditionalFormatting>
  <conditionalFormatting sqref="C78">
    <cfRule type="cellIs" priority="215" operator="greaterThan" aboveAverage="0" equalAverage="0" bottom="0" percent="0" rank="0" text="" dxfId="8">
      <formula>0</formula>
    </cfRule>
  </conditionalFormatting>
  <conditionalFormatting sqref="G78">
    <cfRule type="cellIs" priority="216" operator="greaterThan" aboveAverage="0" equalAverage="0" bottom="0" percent="0" rank="0" text="" dxfId="8">
      <formula>0</formula>
    </cfRule>
  </conditionalFormatting>
  <conditionalFormatting sqref="H78">
    <cfRule type="cellIs" priority="217" operator="greaterThan" aboveAverage="0" equalAverage="0" bottom="0" percent="0" rank="0" text="" dxfId="8">
      <formula>0</formula>
    </cfRule>
  </conditionalFormatting>
  <conditionalFormatting sqref="C79">
    <cfRule type="cellIs" priority="218" operator="greaterThan" aboveAverage="0" equalAverage="0" bottom="0" percent="0" rank="0" text="" dxfId="8">
      <formula>0</formula>
    </cfRule>
  </conditionalFormatting>
  <conditionalFormatting sqref="G79">
    <cfRule type="cellIs" priority="219" operator="greaterThan" aboveAverage="0" equalAverage="0" bottom="0" percent="0" rank="0" text="" dxfId="8">
      <formula>0</formula>
    </cfRule>
  </conditionalFormatting>
  <conditionalFormatting sqref="H79">
    <cfRule type="cellIs" priority="220" operator="greaterThan" aboveAverage="0" equalAverage="0" bottom="0" percent="0" rank="0" text="" dxfId="8">
      <formula>0</formula>
    </cfRule>
  </conditionalFormatting>
  <conditionalFormatting sqref="C80">
    <cfRule type="cellIs" priority="221" operator="greaterThan" aboveAverage="0" equalAverage="0" bottom="0" percent="0" rank="0" text="" dxfId="8">
      <formula>0</formula>
    </cfRule>
  </conditionalFormatting>
  <conditionalFormatting sqref="G80">
    <cfRule type="cellIs" priority="222" operator="greaterThan" aboveAverage="0" equalAverage="0" bottom="0" percent="0" rank="0" text="" dxfId="8">
      <formula>0</formula>
    </cfRule>
  </conditionalFormatting>
  <conditionalFormatting sqref="H80">
    <cfRule type="cellIs" priority="223" operator="greaterThan" aboveAverage="0" equalAverage="0" bottom="0" percent="0" rank="0" text="" dxfId="8">
      <formula>0</formula>
    </cfRule>
  </conditionalFormatting>
  <conditionalFormatting sqref="C81">
    <cfRule type="cellIs" priority="224" operator="greaterThan" aboveAverage="0" equalAverage="0" bottom="0" percent="0" rank="0" text="" dxfId="8">
      <formula>0</formula>
    </cfRule>
  </conditionalFormatting>
  <conditionalFormatting sqref="G81">
    <cfRule type="cellIs" priority="225" operator="greaterThan" aboveAverage="0" equalAverage="0" bottom="0" percent="0" rank="0" text="" dxfId="8">
      <formula>0</formula>
    </cfRule>
  </conditionalFormatting>
  <conditionalFormatting sqref="H81">
    <cfRule type="cellIs" priority="226" operator="greaterThan" aboveAverage="0" equalAverage="0" bottom="0" percent="0" rank="0" text="" dxfId="8">
      <formula>0</formula>
    </cfRule>
  </conditionalFormatting>
  <conditionalFormatting sqref="C82">
    <cfRule type="cellIs" priority="227" operator="greaterThan" aboveAverage="0" equalAverage="0" bottom="0" percent="0" rank="0" text="" dxfId="8">
      <formula>0</formula>
    </cfRule>
  </conditionalFormatting>
  <conditionalFormatting sqref="G82">
    <cfRule type="cellIs" priority="228" operator="greaterThan" aboveAverage="0" equalAverage="0" bottom="0" percent="0" rank="0" text="" dxfId="8">
      <formula>0</formula>
    </cfRule>
  </conditionalFormatting>
  <conditionalFormatting sqref="H82">
    <cfRule type="cellIs" priority="229" operator="greaterThan" aboveAverage="0" equalAverage="0" bottom="0" percent="0" rank="0" text="" dxfId="8">
      <formula>0</formula>
    </cfRule>
  </conditionalFormatting>
  <conditionalFormatting sqref="C83">
    <cfRule type="cellIs" priority="230" operator="greaterThan" aboveAverage="0" equalAverage="0" bottom="0" percent="0" rank="0" text="" dxfId="8">
      <formula>0</formula>
    </cfRule>
  </conditionalFormatting>
  <conditionalFormatting sqref="G83">
    <cfRule type="cellIs" priority="231" operator="greaterThan" aboveAverage="0" equalAverage="0" bottom="0" percent="0" rank="0" text="" dxfId="8">
      <formula>0</formula>
    </cfRule>
  </conditionalFormatting>
  <conditionalFormatting sqref="H83">
    <cfRule type="cellIs" priority="232" operator="greaterThan" aboveAverage="0" equalAverage="0" bottom="0" percent="0" rank="0" text="" dxfId="8">
      <formula>0</formula>
    </cfRule>
  </conditionalFormatting>
  <conditionalFormatting sqref="C84">
    <cfRule type="cellIs" priority="233" operator="greaterThan" aboveAverage="0" equalAverage="0" bottom="0" percent="0" rank="0" text="" dxfId="8">
      <formula>0</formula>
    </cfRule>
  </conditionalFormatting>
  <conditionalFormatting sqref="G84">
    <cfRule type="cellIs" priority="234" operator="greaterThan" aboveAverage="0" equalAverage="0" bottom="0" percent="0" rank="0" text="" dxfId="8">
      <formula>0</formula>
    </cfRule>
  </conditionalFormatting>
  <conditionalFormatting sqref="H84">
    <cfRule type="cellIs" priority="235" operator="greaterThan" aboveAverage="0" equalAverage="0" bottom="0" percent="0" rank="0" text="" dxfId="8">
      <formula>0</formula>
    </cfRule>
  </conditionalFormatting>
  <conditionalFormatting sqref="C85">
    <cfRule type="cellIs" priority="236" operator="greaterThan" aboveAverage="0" equalAverage="0" bottom="0" percent="0" rank="0" text="" dxfId="8">
      <formula>0</formula>
    </cfRule>
  </conditionalFormatting>
  <conditionalFormatting sqref="G85">
    <cfRule type="cellIs" priority="237" operator="greaterThan" aboveAverage="0" equalAverage="0" bottom="0" percent="0" rank="0" text="" dxfId="8">
      <formula>0</formula>
    </cfRule>
  </conditionalFormatting>
  <conditionalFormatting sqref="H85">
    <cfRule type="cellIs" priority="238" operator="greaterThan" aboveAverage="0" equalAverage="0" bottom="0" percent="0" rank="0" text="" dxfId="8">
      <formula>0</formula>
    </cfRule>
  </conditionalFormatting>
  <conditionalFormatting sqref="C86">
    <cfRule type="cellIs" priority="239" operator="greaterThan" aboveAverage="0" equalAverage="0" bottom="0" percent="0" rank="0" text="" dxfId="8">
      <formula>0</formula>
    </cfRule>
  </conditionalFormatting>
  <conditionalFormatting sqref="G86">
    <cfRule type="cellIs" priority="240" operator="greaterThan" aboveAverage="0" equalAverage="0" bottom="0" percent="0" rank="0" text="" dxfId="8">
      <formula>0</formula>
    </cfRule>
  </conditionalFormatting>
  <conditionalFormatting sqref="H86">
    <cfRule type="cellIs" priority="241" operator="greaterThan" aboveAverage="0" equalAverage="0" bottom="0" percent="0" rank="0" text="" dxfId="8">
      <formula>0</formula>
    </cfRule>
  </conditionalFormatting>
  <conditionalFormatting sqref="C87">
    <cfRule type="cellIs" priority="242" operator="greaterThan" aboveAverage="0" equalAverage="0" bottom="0" percent="0" rank="0" text="" dxfId="8">
      <formula>0</formula>
    </cfRule>
  </conditionalFormatting>
  <conditionalFormatting sqref="G87">
    <cfRule type="cellIs" priority="243" operator="greaterThan" aboveAverage="0" equalAverage="0" bottom="0" percent="0" rank="0" text="" dxfId="8">
      <formula>0</formula>
    </cfRule>
  </conditionalFormatting>
  <conditionalFormatting sqref="H87">
    <cfRule type="cellIs" priority="244" operator="greaterThan" aboveAverage="0" equalAverage="0" bottom="0" percent="0" rank="0" text="" dxfId="8">
      <formula>0</formula>
    </cfRule>
  </conditionalFormatting>
  <conditionalFormatting sqref="C88">
    <cfRule type="cellIs" priority="245" operator="greaterThan" aboveAverage="0" equalAverage="0" bottom="0" percent="0" rank="0" text="" dxfId="8">
      <formula>0</formula>
    </cfRule>
  </conditionalFormatting>
  <conditionalFormatting sqref="G88">
    <cfRule type="cellIs" priority="246" operator="greaterThan" aboveAverage="0" equalAverage="0" bottom="0" percent="0" rank="0" text="" dxfId="8">
      <formula>0</formula>
    </cfRule>
  </conditionalFormatting>
  <conditionalFormatting sqref="H88">
    <cfRule type="cellIs" priority="247" operator="greaterThan" aboveAverage="0" equalAverage="0" bottom="0" percent="0" rank="0" text="" dxfId="8">
      <formula>0</formula>
    </cfRule>
  </conditionalFormatting>
  <conditionalFormatting sqref="C89">
    <cfRule type="cellIs" priority="248" operator="greaterThan" aboveAverage="0" equalAverage="0" bottom="0" percent="0" rank="0" text="" dxfId="8">
      <formula>0</formula>
    </cfRule>
  </conditionalFormatting>
  <conditionalFormatting sqref="G89">
    <cfRule type="cellIs" priority="249" operator="greaterThan" aboveAverage="0" equalAverage="0" bottom="0" percent="0" rank="0" text="" dxfId="8">
      <formula>0</formula>
    </cfRule>
  </conditionalFormatting>
  <conditionalFormatting sqref="H89">
    <cfRule type="cellIs" priority="250" operator="greaterThan" aboveAverage="0" equalAverage="0" bottom="0" percent="0" rank="0" text="" dxfId="8">
      <formula>0</formula>
    </cfRule>
  </conditionalFormatting>
  <conditionalFormatting sqref="C90">
    <cfRule type="cellIs" priority="251" operator="greaterThan" aboveAverage="0" equalAverage="0" bottom="0" percent="0" rank="0" text="" dxfId="8">
      <formula>0</formula>
    </cfRule>
  </conditionalFormatting>
  <conditionalFormatting sqref="G90">
    <cfRule type="cellIs" priority="252" operator="greaterThan" aboveAverage="0" equalAverage="0" bottom="0" percent="0" rank="0" text="" dxfId="8">
      <formula>0</formula>
    </cfRule>
  </conditionalFormatting>
  <conditionalFormatting sqref="H90">
    <cfRule type="cellIs" priority="253" operator="greaterThan" aboveAverage="0" equalAverage="0" bottom="0" percent="0" rank="0" text="" dxfId="8">
      <formula>0</formula>
    </cfRule>
  </conditionalFormatting>
  <conditionalFormatting sqref="C91">
    <cfRule type="cellIs" priority="254" operator="greaterThan" aboveAverage="0" equalAverage="0" bottom="0" percent="0" rank="0" text="" dxfId="8">
      <formula>0</formula>
    </cfRule>
  </conditionalFormatting>
  <conditionalFormatting sqref="G91">
    <cfRule type="cellIs" priority="255" operator="greaterThan" aboveAverage="0" equalAverage="0" bottom="0" percent="0" rank="0" text="" dxfId="8">
      <formula>0</formula>
    </cfRule>
  </conditionalFormatting>
  <conditionalFormatting sqref="H91">
    <cfRule type="cellIs" priority="256" operator="greaterThan" aboveAverage="0" equalAverage="0" bottom="0" percent="0" rank="0" text="" dxfId="8">
      <formula>0</formula>
    </cfRule>
  </conditionalFormatting>
  <conditionalFormatting sqref="C92">
    <cfRule type="cellIs" priority="257" operator="greaterThan" aboveAverage="0" equalAverage="0" bottom="0" percent="0" rank="0" text="" dxfId="8">
      <formula>0</formula>
    </cfRule>
  </conditionalFormatting>
  <conditionalFormatting sqref="G92">
    <cfRule type="cellIs" priority="258" operator="greaterThan" aboveAverage="0" equalAverage="0" bottom="0" percent="0" rank="0" text="" dxfId="8">
      <formula>0</formula>
    </cfRule>
  </conditionalFormatting>
  <conditionalFormatting sqref="H92">
    <cfRule type="cellIs" priority="259" operator="greaterThan" aboveAverage="0" equalAverage="0" bottom="0" percent="0" rank="0" text="" dxfId="8">
      <formula>0</formula>
    </cfRule>
  </conditionalFormatting>
  <conditionalFormatting sqref="C93">
    <cfRule type="cellIs" priority="260" operator="greaterThan" aboveAverage="0" equalAverage="0" bottom="0" percent="0" rank="0" text="" dxfId="8">
      <formula>0</formula>
    </cfRule>
  </conditionalFormatting>
  <conditionalFormatting sqref="G93">
    <cfRule type="cellIs" priority="261" operator="greaterThan" aboveAverage="0" equalAverage="0" bottom="0" percent="0" rank="0" text="" dxfId="8">
      <formula>0</formula>
    </cfRule>
  </conditionalFormatting>
  <conditionalFormatting sqref="H93">
    <cfRule type="cellIs" priority="262" operator="greaterThan" aboveAverage="0" equalAverage="0" bottom="0" percent="0" rank="0" text="" dxfId="8">
      <formula>0</formula>
    </cfRule>
  </conditionalFormatting>
  <conditionalFormatting sqref="C94">
    <cfRule type="cellIs" priority="263" operator="greaterThan" aboveAverage="0" equalAverage="0" bottom="0" percent="0" rank="0" text="" dxfId="8">
      <formula>0</formula>
    </cfRule>
  </conditionalFormatting>
  <conditionalFormatting sqref="G94">
    <cfRule type="cellIs" priority="264" operator="greaterThan" aboveAverage="0" equalAverage="0" bottom="0" percent="0" rank="0" text="" dxfId="8">
      <formula>0</formula>
    </cfRule>
  </conditionalFormatting>
  <conditionalFormatting sqref="H94">
    <cfRule type="cellIs" priority="265" operator="greaterThan" aboveAverage="0" equalAverage="0" bottom="0" percent="0" rank="0" text="" dxfId="8">
      <formula>0</formula>
    </cfRule>
  </conditionalFormatting>
  <conditionalFormatting sqref="C95">
    <cfRule type="cellIs" priority="266" operator="greaterThan" aboveAverage="0" equalAverage="0" bottom="0" percent="0" rank="0" text="" dxfId="8">
      <formula>0</formula>
    </cfRule>
  </conditionalFormatting>
  <conditionalFormatting sqref="G95">
    <cfRule type="cellIs" priority="267" operator="greaterThan" aboveAverage="0" equalAverage="0" bottom="0" percent="0" rank="0" text="" dxfId="8">
      <formula>0</formula>
    </cfRule>
  </conditionalFormatting>
  <conditionalFormatting sqref="H95">
    <cfRule type="cellIs" priority="268" operator="greaterThan" aboveAverage="0" equalAverage="0" bottom="0" percent="0" rank="0" text="" dxfId="8">
      <formula>0</formula>
    </cfRule>
  </conditionalFormatting>
  <conditionalFormatting sqref="C96">
    <cfRule type="cellIs" priority="269" operator="greaterThan" aboveAverage="0" equalAverage="0" bottom="0" percent="0" rank="0" text="" dxfId="8">
      <formula>0</formula>
    </cfRule>
  </conditionalFormatting>
  <conditionalFormatting sqref="G96">
    <cfRule type="cellIs" priority="270" operator="greaterThan" aboveAverage="0" equalAverage="0" bottom="0" percent="0" rank="0" text="" dxfId="8">
      <formula>0</formula>
    </cfRule>
  </conditionalFormatting>
  <conditionalFormatting sqref="H96">
    <cfRule type="cellIs" priority="271" operator="greaterThan" aboveAverage="0" equalAverage="0" bottom="0" percent="0" rank="0" text="" dxfId="8">
      <formula>0</formula>
    </cfRule>
  </conditionalFormatting>
  <conditionalFormatting sqref="C97">
    <cfRule type="cellIs" priority="272" operator="greaterThan" aboveAverage="0" equalAverage="0" bottom="0" percent="0" rank="0" text="" dxfId="8">
      <formula>0</formula>
    </cfRule>
  </conditionalFormatting>
  <conditionalFormatting sqref="G97">
    <cfRule type="cellIs" priority="273" operator="greaterThan" aboveAverage="0" equalAverage="0" bottom="0" percent="0" rank="0" text="" dxfId="8">
      <formula>0</formula>
    </cfRule>
  </conditionalFormatting>
  <conditionalFormatting sqref="H97">
    <cfRule type="cellIs" priority="274" operator="greaterThan" aboveAverage="0" equalAverage="0" bottom="0" percent="0" rank="0" text="" dxfId="8">
      <formula>0</formula>
    </cfRule>
  </conditionalFormatting>
  <conditionalFormatting sqref="C98">
    <cfRule type="cellIs" priority="275" operator="greaterThan" aboveAverage="0" equalAverage="0" bottom="0" percent="0" rank="0" text="" dxfId="8">
      <formula>0</formula>
    </cfRule>
  </conditionalFormatting>
  <conditionalFormatting sqref="G98">
    <cfRule type="cellIs" priority="276" operator="greaterThan" aboveAverage="0" equalAverage="0" bottom="0" percent="0" rank="0" text="" dxfId="8">
      <formula>0</formula>
    </cfRule>
  </conditionalFormatting>
  <conditionalFormatting sqref="H98">
    <cfRule type="cellIs" priority="277" operator="greaterThan" aboveAverage="0" equalAverage="0" bottom="0" percent="0" rank="0" text="" dxfId="8">
      <formula>0</formula>
    </cfRule>
  </conditionalFormatting>
  <conditionalFormatting sqref="C99">
    <cfRule type="cellIs" priority="278" operator="greaterThan" aboveAverage="0" equalAverage="0" bottom="0" percent="0" rank="0" text="" dxfId="8">
      <formula>0</formula>
    </cfRule>
  </conditionalFormatting>
  <conditionalFormatting sqref="G99">
    <cfRule type="cellIs" priority="279" operator="greaterThan" aboveAverage="0" equalAverage="0" bottom="0" percent="0" rank="0" text="" dxfId="8">
      <formula>0</formula>
    </cfRule>
  </conditionalFormatting>
  <conditionalFormatting sqref="H99">
    <cfRule type="cellIs" priority="280" operator="greaterThan" aboveAverage="0" equalAverage="0" bottom="0" percent="0" rank="0" text="" dxfId="8">
      <formula>0</formula>
    </cfRule>
  </conditionalFormatting>
  <conditionalFormatting sqref="C100">
    <cfRule type="cellIs" priority="281" operator="greaterThan" aboveAverage="0" equalAverage="0" bottom="0" percent="0" rank="0" text="" dxfId="8">
      <formula>0</formula>
    </cfRule>
  </conditionalFormatting>
  <conditionalFormatting sqref="G100">
    <cfRule type="cellIs" priority="282" operator="greaterThan" aboveAverage="0" equalAverage="0" bottom="0" percent="0" rank="0" text="" dxfId="8">
      <formula>0</formula>
    </cfRule>
  </conditionalFormatting>
  <conditionalFormatting sqref="H100">
    <cfRule type="cellIs" priority="283" operator="greaterThan" aboveAverage="0" equalAverage="0" bottom="0" percent="0" rank="0" text="" dxfId="8">
      <formula>0</formula>
    </cfRule>
  </conditionalFormatting>
  <conditionalFormatting sqref="C101">
    <cfRule type="cellIs" priority="284" operator="greaterThan" aboveAverage="0" equalAverage="0" bottom="0" percent="0" rank="0" text="" dxfId="8">
      <formula>0</formula>
    </cfRule>
  </conditionalFormatting>
  <conditionalFormatting sqref="G101">
    <cfRule type="cellIs" priority="285" operator="greaterThan" aboveAverage="0" equalAverage="0" bottom="0" percent="0" rank="0" text="" dxfId="8">
      <formula>0</formula>
    </cfRule>
  </conditionalFormatting>
  <conditionalFormatting sqref="H101">
    <cfRule type="cellIs" priority="286" operator="greaterThan" aboveAverage="0" equalAverage="0" bottom="0" percent="0" rank="0" text="" dxfId="8">
      <formula>0</formula>
    </cfRule>
  </conditionalFormatting>
  <conditionalFormatting sqref="C102">
    <cfRule type="cellIs" priority="287" operator="greaterThan" aboveAverage="0" equalAverage="0" bottom="0" percent="0" rank="0" text="" dxfId="8">
      <formula>0</formula>
    </cfRule>
  </conditionalFormatting>
  <conditionalFormatting sqref="G102">
    <cfRule type="cellIs" priority="288" operator="greaterThan" aboveAverage="0" equalAverage="0" bottom="0" percent="0" rank="0" text="" dxfId="8">
      <formula>0</formula>
    </cfRule>
  </conditionalFormatting>
  <conditionalFormatting sqref="H102">
    <cfRule type="cellIs" priority="289" operator="greaterThan" aboveAverage="0" equalAverage="0" bottom="0" percent="0" rank="0" text="" dxfId="8">
      <formula>0</formula>
    </cfRule>
  </conditionalFormatting>
  <conditionalFormatting sqref="C103">
    <cfRule type="cellIs" priority="290" operator="greaterThan" aboveAverage="0" equalAverage="0" bottom="0" percent="0" rank="0" text="" dxfId="8">
      <formula>0</formula>
    </cfRule>
  </conditionalFormatting>
  <conditionalFormatting sqref="G103">
    <cfRule type="cellIs" priority="291" operator="greaterThan" aboveAverage="0" equalAverage="0" bottom="0" percent="0" rank="0" text="" dxfId="8">
      <formula>0</formula>
    </cfRule>
  </conditionalFormatting>
  <conditionalFormatting sqref="H103">
    <cfRule type="cellIs" priority="292" operator="greaterThan" aboveAverage="0" equalAverage="0" bottom="0" percent="0" rank="0" text="" dxfId="8">
      <formula>0</formula>
    </cfRule>
  </conditionalFormatting>
  <conditionalFormatting sqref="C104">
    <cfRule type="cellIs" priority="293" operator="greaterThan" aboveAverage="0" equalAverage="0" bottom="0" percent="0" rank="0" text="" dxfId="8">
      <formula>0</formula>
    </cfRule>
  </conditionalFormatting>
  <conditionalFormatting sqref="G104">
    <cfRule type="cellIs" priority="294" operator="greaterThan" aboveAverage="0" equalAverage="0" bottom="0" percent="0" rank="0" text="" dxfId="8">
      <formula>0</formula>
    </cfRule>
  </conditionalFormatting>
  <conditionalFormatting sqref="H104">
    <cfRule type="cellIs" priority="295" operator="greaterThan" aboveAverage="0" equalAverage="0" bottom="0" percent="0" rank="0" text="" dxfId="8">
      <formula>0</formula>
    </cfRule>
  </conditionalFormatting>
  <conditionalFormatting sqref="C105">
    <cfRule type="cellIs" priority="296" operator="greaterThan" aboveAverage="0" equalAverage="0" bottom="0" percent="0" rank="0" text="" dxfId="8">
      <formula>0</formula>
    </cfRule>
  </conditionalFormatting>
  <conditionalFormatting sqref="G105">
    <cfRule type="cellIs" priority="297" operator="greaterThan" aboveAverage="0" equalAverage="0" bottom="0" percent="0" rank="0" text="" dxfId="8">
      <formula>0</formula>
    </cfRule>
  </conditionalFormatting>
  <conditionalFormatting sqref="H105">
    <cfRule type="cellIs" priority="298" operator="greaterThan" aboveAverage="0" equalAverage="0" bottom="0" percent="0" rank="0" text="" dxfId="8">
      <formula>0</formula>
    </cfRule>
  </conditionalFormatting>
  <conditionalFormatting sqref="C106">
    <cfRule type="cellIs" priority="299" operator="greaterThan" aboveAverage="0" equalAverage="0" bottom="0" percent="0" rank="0" text="" dxfId="8">
      <formula>0</formula>
    </cfRule>
  </conditionalFormatting>
  <conditionalFormatting sqref="G106">
    <cfRule type="cellIs" priority="300" operator="greaterThan" aboveAverage="0" equalAverage="0" bottom="0" percent="0" rank="0" text="" dxfId="8">
      <formula>0</formula>
    </cfRule>
  </conditionalFormatting>
  <conditionalFormatting sqref="H106">
    <cfRule type="cellIs" priority="301" operator="greaterThan" aboveAverage="0" equalAverage="0" bottom="0" percent="0" rank="0" text="" dxfId="8">
      <formula>0</formula>
    </cfRule>
  </conditionalFormatting>
  <conditionalFormatting sqref="C107">
    <cfRule type="cellIs" priority="302" operator="greaterThan" aboveAverage="0" equalAverage="0" bottom="0" percent="0" rank="0" text="" dxfId="8">
      <formula>0</formula>
    </cfRule>
  </conditionalFormatting>
  <conditionalFormatting sqref="G107">
    <cfRule type="cellIs" priority="303" operator="greaterThan" aboveAverage="0" equalAverage="0" bottom="0" percent="0" rank="0" text="" dxfId="8">
      <formula>0</formula>
    </cfRule>
  </conditionalFormatting>
  <conditionalFormatting sqref="H107">
    <cfRule type="cellIs" priority="304" operator="greaterThan" aboveAverage="0" equalAverage="0" bottom="0" percent="0" rank="0" text="" dxfId="8">
      <formula>0</formula>
    </cfRule>
  </conditionalFormatting>
  <conditionalFormatting sqref="C108">
    <cfRule type="cellIs" priority="305" operator="greaterThan" aboveAverage="0" equalAverage="0" bottom="0" percent="0" rank="0" text="" dxfId="8">
      <formula>0</formula>
    </cfRule>
  </conditionalFormatting>
  <conditionalFormatting sqref="G108">
    <cfRule type="cellIs" priority="306" operator="greaterThan" aboveAverage="0" equalAverage="0" bottom="0" percent="0" rank="0" text="" dxfId="8">
      <formula>0</formula>
    </cfRule>
  </conditionalFormatting>
  <conditionalFormatting sqref="H108">
    <cfRule type="cellIs" priority="307" operator="greaterThan" aboveAverage="0" equalAverage="0" bottom="0" percent="0" rank="0" text="" dxfId="8">
      <formula>0</formula>
    </cfRule>
  </conditionalFormatting>
  <conditionalFormatting sqref="C109">
    <cfRule type="cellIs" priority="308" operator="greaterThan" aboveAverage="0" equalAverage="0" bottom="0" percent="0" rank="0" text="" dxfId="8">
      <formula>0</formula>
    </cfRule>
  </conditionalFormatting>
  <conditionalFormatting sqref="G109">
    <cfRule type="cellIs" priority="309" operator="greaterThan" aboveAverage="0" equalAverage="0" bottom="0" percent="0" rank="0" text="" dxfId="8">
      <formula>0</formula>
    </cfRule>
  </conditionalFormatting>
  <conditionalFormatting sqref="H109">
    <cfRule type="cellIs" priority="310" operator="greaterThan" aboveAverage="0" equalAverage="0" bottom="0" percent="0" rank="0" text="" dxfId="8">
      <formula>0</formula>
    </cfRule>
  </conditionalFormatting>
  <conditionalFormatting sqref="C110">
    <cfRule type="cellIs" priority="311" operator="greaterThan" aboveAverage="0" equalAverage="0" bottom="0" percent="0" rank="0" text="" dxfId="8">
      <formula>0</formula>
    </cfRule>
  </conditionalFormatting>
  <conditionalFormatting sqref="G110">
    <cfRule type="cellIs" priority="312" operator="greaterThan" aboveAverage="0" equalAverage="0" bottom="0" percent="0" rank="0" text="" dxfId="8">
      <formula>0</formula>
    </cfRule>
  </conditionalFormatting>
  <conditionalFormatting sqref="H110">
    <cfRule type="cellIs" priority="313" operator="greaterThan" aboveAverage="0" equalAverage="0" bottom="0" percent="0" rank="0" text="" dxfId="8">
      <formula>0</formula>
    </cfRule>
  </conditionalFormatting>
  <conditionalFormatting sqref="C111">
    <cfRule type="cellIs" priority="314" operator="greaterThan" aboveAverage="0" equalAverage="0" bottom="0" percent="0" rank="0" text="" dxfId="8">
      <formula>0</formula>
    </cfRule>
  </conditionalFormatting>
  <conditionalFormatting sqref="G111">
    <cfRule type="cellIs" priority="315" operator="greaterThan" aboveAverage="0" equalAverage="0" bottom="0" percent="0" rank="0" text="" dxfId="8">
      <formula>0</formula>
    </cfRule>
  </conditionalFormatting>
  <conditionalFormatting sqref="H111">
    <cfRule type="cellIs" priority="316" operator="greaterThan" aboveAverage="0" equalAverage="0" bottom="0" percent="0" rank="0" text="" dxfId="8">
      <formula>0</formula>
    </cfRule>
  </conditionalFormatting>
  <conditionalFormatting sqref="C112">
    <cfRule type="cellIs" priority="317" operator="greaterThan" aboveAverage="0" equalAverage="0" bottom="0" percent="0" rank="0" text="" dxfId="8">
      <formula>0</formula>
    </cfRule>
  </conditionalFormatting>
  <conditionalFormatting sqref="G112">
    <cfRule type="cellIs" priority="318" operator="greaterThan" aboveAverage="0" equalAverage="0" bottom="0" percent="0" rank="0" text="" dxfId="8">
      <formula>0</formula>
    </cfRule>
  </conditionalFormatting>
  <conditionalFormatting sqref="H112">
    <cfRule type="cellIs" priority="319" operator="greaterThan" aboveAverage="0" equalAverage="0" bottom="0" percent="0" rank="0" text="" dxfId="8">
      <formula>0</formula>
    </cfRule>
  </conditionalFormatting>
  <conditionalFormatting sqref="C113">
    <cfRule type="cellIs" priority="320" operator="greaterThan" aboveAverage="0" equalAverage="0" bottom="0" percent="0" rank="0" text="" dxfId="8">
      <formula>0</formula>
    </cfRule>
  </conditionalFormatting>
  <conditionalFormatting sqref="G113">
    <cfRule type="cellIs" priority="321" operator="greaterThan" aboveAverage="0" equalAverage="0" bottom="0" percent="0" rank="0" text="" dxfId="8">
      <formula>0</formula>
    </cfRule>
  </conditionalFormatting>
  <conditionalFormatting sqref="H113">
    <cfRule type="cellIs" priority="322" operator="greaterThan" aboveAverage="0" equalAverage="0" bottom="0" percent="0" rank="0" text="" dxfId="8">
      <formula>0</formula>
    </cfRule>
  </conditionalFormatting>
  <conditionalFormatting sqref="C114">
    <cfRule type="cellIs" priority="323" operator="greaterThan" aboveAverage="0" equalAverage="0" bottom="0" percent="0" rank="0" text="" dxfId="8">
      <formula>0</formula>
    </cfRule>
  </conditionalFormatting>
  <conditionalFormatting sqref="G114">
    <cfRule type="cellIs" priority="324" operator="greaterThan" aboveAverage="0" equalAverage="0" bottom="0" percent="0" rank="0" text="" dxfId="8">
      <formula>0</formula>
    </cfRule>
  </conditionalFormatting>
  <conditionalFormatting sqref="H114">
    <cfRule type="cellIs" priority="325" operator="greaterThan" aboveAverage="0" equalAverage="0" bottom="0" percent="0" rank="0" text="" dxfId="8">
      <formula>0</formula>
    </cfRule>
  </conditionalFormatting>
  <conditionalFormatting sqref="C115">
    <cfRule type="cellIs" priority="326" operator="greaterThan" aboveAverage="0" equalAverage="0" bottom="0" percent="0" rank="0" text="" dxfId="8">
      <formula>0</formula>
    </cfRule>
  </conditionalFormatting>
  <conditionalFormatting sqref="G115">
    <cfRule type="cellIs" priority="327" operator="greaterThan" aboveAverage="0" equalAverage="0" bottom="0" percent="0" rank="0" text="" dxfId="8">
      <formula>0</formula>
    </cfRule>
  </conditionalFormatting>
  <conditionalFormatting sqref="H115">
    <cfRule type="cellIs" priority="328" operator="greaterThan" aboveAverage="0" equalAverage="0" bottom="0" percent="0" rank="0" text="" dxfId="8">
      <formula>0</formula>
    </cfRule>
  </conditionalFormatting>
  <conditionalFormatting sqref="C116">
    <cfRule type="cellIs" priority="329" operator="greaterThan" aboveAverage="0" equalAverage="0" bottom="0" percent="0" rank="0" text="" dxfId="8">
      <formula>0</formula>
    </cfRule>
  </conditionalFormatting>
  <conditionalFormatting sqref="G116">
    <cfRule type="cellIs" priority="330" operator="greaterThan" aboveAverage="0" equalAverage="0" bottom="0" percent="0" rank="0" text="" dxfId="8">
      <formula>0</formula>
    </cfRule>
  </conditionalFormatting>
  <conditionalFormatting sqref="H116">
    <cfRule type="cellIs" priority="331" operator="greaterThan" aboveAverage="0" equalAverage="0" bottom="0" percent="0" rank="0" text="" dxfId="8">
      <formula>0</formula>
    </cfRule>
  </conditionalFormatting>
  <conditionalFormatting sqref="C117">
    <cfRule type="cellIs" priority="332" operator="greaterThan" aboveAverage="0" equalAverage="0" bottom="0" percent="0" rank="0" text="" dxfId="8">
      <formula>0</formula>
    </cfRule>
  </conditionalFormatting>
  <conditionalFormatting sqref="G117">
    <cfRule type="cellIs" priority="333" operator="greaterThan" aboveAverage="0" equalAverage="0" bottom="0" percent="0" rank="0" text="" dxfId="8">
      <formula>0</formula>
    </cfRule>
  </conditionalFormatting>
  <conditionalFormatting sqref="H117">
    <cfRule type="cellIs" priority="334" operator="greaterThan" aboveAverage="0" equalAverage="0" bottom="0" percent="0" rank="0" text="" dxfId="8">
      <formula>0</formula>
    </cfRule>
  </conditionalFormatting>
  <conditionalFormatting sqref="C118">
    <cfRule type="cellIs" priority="335" operator="greaterThan" aboveAverage="0" equalAverage="0" bottom="0" percent="0" rank="0" text="" dxfId="8">
      <formula>0</formula>
    </cfRule>
  </conditionalFormatting>
  <conditionalFormatting sqref="G118">
    <cfRule type="cellIs" priority="336" operator="greaterThan" aboveAverage="0" equalAverage="0" bottom="0" percent="0" rank="0" text="" dxfId="8">
      <formula>0</formula>
    </cfRule>
  </conditionalFormatting>
  <conditionalFormatting sqref="H118">
    <cfRule type="cellIs" priority="337" operator="greaterThan" aboveAverage="0" equalAverage="0" bottom="0" percent="0" rank="0" text="" dxfId="8">
      <formula>0</formula>
    </cfRule>
  </conditionalFormatting>
  <conditionalFormatting sqref="C119">
    <cfRule type="cellIs" priority="338" operator="greaterThan" aboveAverage="0" equalAverage="0" bottom="0" percent="0" rank="0" text="" dxfId="8">
      <formula>0</formula>
    </cfRule>
  </conditionalFormatting>
  <conditionalFormatting sqref="G119">
    <cfRule type="cellIs" priority="339" operator="greaterThan" aboveAverage="0" equalAverage="0" bottom="0" percent="0" rank="0" text="" dxfId="8">
      <formula>0</formula>
    </cfRule>
  </conditionalFormatting>
  <conditionalFormatting sqref="H119">
    <cfRule type="cellIs" priority="340" operator="greaterThan" aboveAverage="0" equalAverage="0" bottom="0" percent="0" rank="0" text="" dxfId="8">
      <formula>0</formula>
    </cfRule>
  </conditionalFormatting>
  <conditionalFormatting sqref="C120">
    <cfRule type="cellIs" priority="341" operator="greaterThan" aboveAverage="0" equalAverage="0" bottom="0" percent="0" rank="0" text="" dxfId="8">
      <formula>0</formula>
    </cfRule>
  </conditionalFormatting>
  <conditionalFormatting sqref="G120">
    <cfRule type="cellIs" priority="342" operator="greaterThan" aboveAverage="0" equalAverage="0" bottom="0" percent="0" rank="0" text="" dxfId="8">
      <formula>0</formula>
    </cfRule>
  </conditionalFormatting>
  <conditionalFormatting sqref="H120">
    <cfRule type="cellIs" priority="343" operator="greaterThan" aboveAverage="0" equalAverage="0" bottom="0" percent="0" rank="0" text="" dxfId="8">
      <formula>0</formula>
    </cfRule>
  </conditionalFormatting>
  <conditionalFormatting sqref="C121">
    <cfRule type="cellIs" priority="344" operator="greaterThan" aboveAverage="0" equalAverage="0" bottom="0" percent="0" rank="0" text="" dxfId="8">
      <formula>0</formula>
    </cfRule>
  </conditionalFormatting>
  <conditionalFormatting sqref="G121">
    <cfRule type="cellIs" priority="345" operator="greaterThan" aboveAverage="0" equalAverage="0" bottom="0" percent="0" rank="0" text="" dxfId="8">
      <formula>0</formula>
    </cfRule>
  </conditionalFormatting>
  <conditionalFormatting sqref="H121">
    <cfRule type="cellIs" priority="346" operator="greaterThan" aboveAverage="0" equalAverage="0" bottom="0" percent="0" rank="0" text="" dxfId="8">
      <formula>0</formula>
    </cfRule>
  </conditionalFormatting>
  <conditionalFormatting sqref="C122">
    <cfRule type="cellIs" priority="347" operator="greaterThan" aboveAverage="0" equalAverage="0" bottom="0" percent="0" rank="0" text="" dxfId="8">
      <formula>0</formula>
    </cfRule>
  </conditionalFormatting>
  <conditionalFormatting sqref="G122">
    <cfRule type="cellIs" priority="348" operator="greaterThan" aboveAverage="0" equalAverage="0" bottom="0" percent="0" rank="0" text="" dxfId="8">
      <formula>0</formula>
    </cfRule>
  </conditionalFormatting>
  <conditionalFormatting sqref="H122">
    <cfRule type="cellIs" priority="349" operator="greaterThan" aboveAverage="0" equalAverage="0" bottom="0" percent="0" rank="0" text="" dxfId="8">
      <formula>0</formula>
    </cfRule>
  </conditionalFormatting>
  <conditionalFormatting sqref="C123">
    <cfRule type="cellIs" priority="350" operator="greaterThan" aboveAverage="0" equalAverage="0" bottom="0" percent="0" rank="0" text="" dxfId="8">
      <formula>0</formula>
    </cfRule>
  </conditionalFormatting>
  <conditionalFormatting sqref="G123">
    <cfRule type="cellIs" priority="351" operator="greaterThan" aboveAverage="0" equalAverage="0" bottom="0" percent="0" rank="0" text="" dxfId="8">
      <formula>0</formula>
    </cfRule>
  </conditionalFormatting>
  <conditionalFormatting sqref="H123">
    <cfRule type="cellIs" priority="352" operator="greaterThan" aboveAverage="0" equalAverage="0" bottom="0" percent="0" rank="0" text="" dxfId="8">
      <formula>0</formula>
    </cfRule>
  </conditionalFormatting>
  <conditionalFormatting sqref="C124">
    <cfRule type="cellIs" priority="353" operator="greaterThan" aboveAverage="0" equalAverage="0" bottom="0" percent="0" rank="0" text="" dxfId="8">
      <formula>0</formula>
    </cfRule>
  </conditionalFormatting>
  <conditionalFormatting sqref="G124">
    <cfRule type="cellIs" priority="354" operator="greaterThan" aboveAverage="0" equalAverage="0" bottom="0" percent="0" rank="0" text="" dxfId="8">
      <formula>0</formula>
    </cfRule>
  </conditionalFormatting>
  <conditionalFormatting sqref="H124">
    <cfRule type="cellIs" priority="355" operator="greaterThan" aboveAverage="0" equalAverage="0" bottom="0" percent="0" rank="0" text="" dxfId="8">
      <formula>0</formula>
    </cfRule>
  </conditionalFormatting>
  <conditionalFormatting sqref="C125">
    <cfRule type="cellIs" priority="356" operator="greaterThan" aboveAverage="0" equalAverage="0" bottom="0" percent="0" rank="0" text="" dxfId="8">
      <formula>0</formula>
    </cfRule>
  </conditionalFormatting>
  <conditionalFormatting sqref="G125">
    <cfRule type="cellIs" priority="357" operator="greaterThan" aboveAverage="0" equalAverage="0" bottom="0" percent="0" rank="0" text="" dxfId="8">
      <formula>0</formula>
    </cfRule>
  </conditionalFormatting>
  <conditionalFormatting sqref="H125">
    <cfRule type="cellIs" priority="358" operator="greaterThan" aboveAverage="0" equalAverage="0" bottom="0" percent="0" rank="0" text="" dxfId="8">
      <formula>0</formula>
    </cfRule>
  </conditionalFormatting>
  <conditionalFormatting sqref="C126">
    <cfRule type="cellIs" priority="359" operator="greaterThan" aboveAverage="0" equalAverage="0" bottom="0" percent="0" rank="0" text="" dxfId="8">
      <formula>0</formula>
    </cfRule>
  </conditionalFormatting>
  <conditionalFormatting sqref="G126">
    <cfRule type="cellIs" priority="360" operator="greaterThan" aboveAverage="0" equalAverage="0" bottom="0" percent="0" rank="0" text="" dxfId="8">
      <formula>0</formula>
    </cfRule>
  </conditionalFormatting>
  <conditionalFormatting sqref="H126">
    <cfRule type="cellIs" priority="361" operator="greaterThan" aboveAverage="0" equalAverage="0" bottom="0" percent="0" rank="0" text="" dxfId="8">
      <formula>0</formula>
    </cfRule>
  </conditionalFormatting>
  <conditionalFormatting sqref="C127">
    <cfRule type="cellIs" priority="362" operator="greaterThan" aboveAverage="0" equalAverage="0" bottom="0" percent="0" rank="0" text="" dxfId="8">
      <formula>0</formula>
    </cfRule>
  </conditionalFormatting>
  <conditionalFormatting sqref="G127">
    <cfRule type="cellIs" priority="363" operator="greaterThan" aboveAverage="0" equalAverage="0" bottom="0" percent="0" rank="0" text="" dxfId="8">
      <formula>0</formula>
    </cfRule>
  </conditionalFormatting>
  <conditionalFormatting sqref="H127">
    <cfRule type="cellIs" priority="364" operator="greaterThan" aboveAverage="0" equalAverage="0" bottom="0" percent="0" rank="0" text="" dxfId="8">
      <formula>0</formula>
    </cfRule>
  </conditionalFormatting>
  <conditionalFormatting sqref="C128">
    <cfRule type="cellIs" priority="365" operator="greaterThan" aboveAverage="0" equalAverage="0" bottom="0" percent="0" rank="0" text="" dxfId="8">
      <formula>0</formula>
    </cfRule>
  </conditionalFormatting>
  <conditionalFormatting sqref="G128">
    <cfRule type="cellIs" priority="366" operator="greaterThan" aboveAverage="0" equalAverage="0" bottom="0" percent="0" rank="0" text="" dxfId="8">
      <formula>0</formula>
    </cfRule>
  </conditionalFormatting>
  <conditionalFormatting sqref="H128">
    <cfRule type="cellIs" priority="367" operator="greaterThan" aboveAverage="0" equalAverage="0" bottom="0" percent="0" rank="0" text="" dxfId="8">
      <formula>0</formula>
    </cfRule>
  </conditionalFormatting>
  <conditionalFormatting sqref="C129">
    <cfRule type="cellIs" priority="368" operator="greaterThan" aboveAverage="0" equalAverage="0" bottom="0" percent="0" rank="0" text="" dxfId="8">
      <formula>0</formula>
    </cfRule>
  </conditionalFormatting>
  <conditionalFormatting sqref="G129">
    <cfRule type="cellIs" priority="369" operator="greaterThan" aboveAverage="0" equalAverage="0" bottom="0" percent="0" rank="0" text="" dxfId="8">
      <formula>0</formula>
    </cfRule>
  </conditionalFormatting>
  <conditionalFormatting sqref="H129">
    <cfRule type="cellIs" priority="370" operator="greaterThan" aboveAverage="0" equalAverage="0" bottom="0" percent="0" rank="0" text="" dxfId="8">
      <formula>0</formula>
    </cfRule>
  </conditionalFormatting>
  <conditionalFormatting sqref="C130">
    <cfRule type="cellIs" priority="371" operator="greaterThan" aboveAverage="0" equalAverage="0" bottom="0" percent="0" rank="0" text="" dxfId="8">
      <formula>0</formula>
    </cfRule>
  </conditionalFormatting>
  <conditionalFormatting sqref="G130">
    <cfRule type="cellIs" priority="372" operator="greaterThan" aboveAverage="0" equalAverage="0" bottom="0" percent="0" rank="0" text="" dxfId="8">
      <formula>0</formula>
    </cfRule>
  </conditionalFormatting>
  <conditionalFormatting sqref="H130">
    <cfRule type="cellIs" priority="373" operator="greaterThan" aboveAverage="0" equalAverage="0" bottom="0" percent="0" rank="0" text="" dxfId="8">
      <formula>0</formula>
    </cfRule>
  </conditionalFormatting>
  <conditionalFormatting sqref="C131">
    <cfRule type="cellIs" priority="374" operator="greaterThan" aboveAverage="0" equalAverage="0" bottom="0" percent="0" rank="0" text="" dxfId="8">
      <formula>0</formula>
    </cfRule>
  </conditionalFormatting>
  <conditionalFormatting sqref="G131">
    <cfRule type="cellIs" priority="375" operator="greaterThan" aboveAverage="0" equalAverage="0" bottom="0" percent="0" rank="0" text="" dxfId="8">
      <formula>0</formula>
    </cfRule>
  </conditionalFormatting>
  <conditionalFormatting sqref="H131">
    <cfRule type="cellIs" priority="376" operator="greaterThan" aboveAverage="0" equalAverage="0" bottom="0" percent="0" rank="0" text="" dxfId="8">
      <formula>0</formula>
    </cfRule>
  </conditionalFormatting>
  <conditionalFormatting sqref="C132">
    <cfRule type="cellIs" priority="377" operator="greaterThan" aboveAverage="0" equalAverage="0" bottom="0" percent="0" rank="0" text="" dxfId="8">
      <formula>0</formula>
    </cfRule>
  </conditionalFormatting>
  <conditionalFormatting sqref="G132">
    <cfRule type="cellIs" priority="378" operator="greaterThan" aboveAverage="0" equalAverage="0" bottom="0" percent="0" rank="0" text="" dxfId="8">
      <formula>0</formula>
    </cfRule>
  </conditionalFormatting>
  <conditionalFormatting sqref="H132">
    <cfRule type="cellIs" priority="379" operator="greaterThan" aboveAverage="0" equalAverage="0" bottom="0" percent="0" rank="0" text="" dxfId="8">
      <formula>0</formula>
    </cfRule>
  </conditionalFormatting>
  <conditionalFormatting sqref="C133">
    <cfRule type="cellIs" priority="380" operator="greaterThan" aboveAverage="0" equalAverage="0" bottom="0" percent="0" rank="0" text="" dxfId="8">
      <formula>0</formula>
    </cfRule>
  </conditionalFormatting>
  <conditionalFormatting sqref="G133">
    <cfRule type="cellIs" priority="381" operator="greaterThan" aboveAverage="0" equalAverage="0" bottom="0" percent="0" rank="0" text="" dxfId="8">
      <formula>0</formula>
    </cfRule>
  </conditionalFormatting>
  <conditionalFormatting sqref="H133">
    <cfRule type="cellIs" priority="382" operator="greaterThan" aboveAverage="0" equalAverage="0" bottom="0" percent="0" rank="0" text="" dxfId="8">
      <formula>0</formula>
    </cfRule>
  </conditionalFormatting>
  <conditionalFormatting sqref="C134">
    <cfRule type="cellIs" priority="383" operator="greaterThan" aboveAverage="0" equalAverage="0" bottom="0" percent="0" rank="0" text="" dxfId="8">
      <formula>0</formula>
    </cfRule>
  </conditionalFormatting>
  <conditionalFormatting sqref="G134">
    <cfRule type="cellIs" priority="384" operator="greaterThan" aboveAverage="0" equalAverage="0" bottom="0" percent="0" rank="0" text="" dxfId="8">
      <formula>0</formula>
    </cfRule>
  </conditionalFormatting>
  <conditionalFormatting sqref="H134">
    <cfRule type="cellIs" priority="385" operator="greaterThan" aboveAverage="0" equalAverage="0" bottom="0" percent="0" rank="0" text="" dxfId="8">
      <formula>0</formula>
    </cfRule>
  </conditionalFormatting>
  <conditionalFormatting sqref="C135">
    <cfRule type="cellIs" priority="386" operator="greaterThan" aboveAverage="0" equalAverage="0" bottom="0" percent="0" rank="0" text="" dxfId="8">
      <formula>0</formula>
    </cfRule>
  </conditionalFormatting>
  <conditionalFormatting sqref="G135">
    <cfRule type="cellIs" priority="387" operator="greaterThan" aboveAverage="0" equalAverage="0" bottom="0" percent="0" rank="0" text="" dxfId="8">
      <formula>0</formula>
    </cfRule>
  </conditionalFormatting>
  <conditionalFormatting sqref="H135">
    <cfRule type="cellIs" priority="388" operator="greaterThan" aboveAverage="0" equalAverage="0" bottom="0" percent="0" rank="0" text="" dxfId="8">
      <formula>0</formula>
    </cfRule>
  </conditionalFormatting>
  <conditionalFormatting sqref="C136">
    <cfRule type="cellIs" priority="389" operator="greaterThan" aboveAverage="0" equalAverage="0" bottom="0" percent="0" rank="0" text="" dxfId="8">
      <formula>0</formula>
    </cfRule>
  </conditionalFormatting>
  <conditionalFormatting sqref="G136">
    <cfRule type="cellIs" priority="390" operator="greaterThan" aboveAverage="0" equalAverage="0" bottom="0" percent="0" rank="0" text="" dxfId="8">
      <formula>0</formula>
    </cfRule>
  </conditionalFormatting>
  <conditionalFormatting sqref="H136">
    <cfRule type="cellIs" priority="391" operator="greaterThan" aboveAverage="0" equalAverage="0" bottom="0" percent="0" rank="0" text="" dxfId="8">
      <formula>0</formula>
    </cfRule>
  </conditionalFormatting>
  <conditionalFormatting sqref="C137">
    <cfRule type="cellIs" priority="392" operator="greaterThan" aboveAverage="0" equalAverage="0" bottom="0" percent="0" rank="0" text="" dxfId="8">
      <formula>0</formula>
    </cfRule>
  </conditionalFormatting>
  <conditionalFormatting sqref="G137">
    <cfRule type="cellIs" priority="393" operator="greaterThan" aboveAverage="0" equalAverage="0" bottom="0" percent="0" rank="0" text="" dxfId="8">
      <formula>0</formula>
    </cfRule>
  </conditionalFormatting>
  <conditionalFormatting sqref="H137">
    <cfRule type="cellIs" priority="394" operator="greaterThan" aboveAverage="0" equalAverage="0" bottom="0" percent="0" rank="0" text="" dxfId="8">
      <formula>0</formula>
    </cfRule>
  </conditionalFormatting>
  <conditionalFormatting sqref="C138">
    <cfRule type="cellIs" priority="395" operator="greaterThan" aboveAverage="0" equalAverage="0" bottom="0" percent="0" rank="0" text="" dxfId="8">
      <formula>0</formula>
    </cfRule>
  </conditionalFormatting>
  <conditionalFormatting sqref="G138">
    <cfRule type="cellIs" priority="396" operator="greaterThan" aboveAverage="0" equalAverage="0" bottom="0" percent="0" rank="0" text="" dxfId="8">
      <formula>0</formula>
    </cfRule>
  </conditionalFormatting>
  <conditionalFormatting sqref="H138">
    <cfRule type="cellIs" priority="397" operator="greaterThan" aboveAverage="0" equalAverage="0" bottom="0" percent="0" rank="0" text="" dxfId="8">
      <formula>0</formula>
    </cfRule>
  </conditionalFormatting>
  <conditionalFormatting sqref="C139">
    <cfRule type="cellIs" priority="398" operator="greaterThan" aboveAverage="0" equalAverage="0" bottom="0" percent="0" rank="0" text="" dxfId="8">
      <formula>0</formula>
    </cfRule>
  </conditionalFormatting>
  <conditionalFormatting sqref="G139">
    <cfRule type="cellIs" priority="399" operator="greaterThan" aboveAverage="0" equalAverage="0" bottom="0" percent="0" rank="0" text="" dxfId="8">
      <formula>0</formula>
    </cfRule>
  </conditionalFormatting>
  <conditionalFormatting sqref="H139">
    <cfRule type="cellIs" priority="400" operator="greaterThan" aboveAverage="0" equalAverage="0" bottom="0" percent="0" rank="0" text="" dxfId="8">
      <formula>0</formula>
    </cfRule>
  </conditionalFormatting>
  <conditionalFormatting sqref="C140">
    <cfRule type="cellIs" priority="401" operator="greaterThan" aboveAverage="0" equalAverage="0" bottom="0" percent="0" rank="0" text="" dxfId="8">
      <formula>0</formula>
    </cfRule>
  </conditionalFormatting>
  <conditionalFormatting sqref="G140">
    <cfRule type="cellIs" priority="402" operator="greaterThan" aboveAverage="0" equalAverage="0" bottom="0" percent="0" rank="0" text="" dxfId="8">
      <formula>0</formula>
    </cfRule>
  </conditionalFormatting>
  <conditionalFormatting sqref="H140">
    <cfRule type="cellIs" priority="403" operator="greaterThan" aboveAverage="0" equalAverage="0" bottom="0" percent="0" rank="0" text="" dxfId="8">
      <formula>0</formula>
    </cfRule>
  </conditionalFormatting>
  <conditionalFormatting sqref="C141">
    <cfRule type="cellIs" priority="404" operator="greaterThan" aboveAverage="0" equalAverage="0" bottom="0" percent="0" rank="0" text="" dxfId="8">
      <formula>0</formula>
    </cfRule>
  </conditionalFormatting>
  <conditionalFormatting sqref="G141">
    <cfRule type="cellIs" priority="405" operator="greaterThan" aboveAverage="0" equalAverage="0" bottom="0" percent="0" rank="0" text="" dxfId="8">
      <formula>0</formula>
    </cfRule>
  </conditionalFormatting>
  <conditionalFormatting sqref="H141">
    <cfRule type="cellIs" priority="406" operator="greaterThan" aboveAverage="0" equalAverage="0" bottom="0" percent="0" rank="0" text="" dxfId="8">
      <formula>0</formula>
    </cfRule>
  </conditionalFormatting>
  <conditionalFormatting sqref="C142">
    <cfRule type="cellIs" priority="407" operator="greaterThan" aboveAverage="0" equalAverage="0" bottom="0" percent="0" rank="0" text="" dxfId="8">
      <formula>0</formula>
    </cfRule>
  </conditionalFormatting>
  <conditionalFormatting sqref="G142">
    <cfRule type="cellIs" priority="408" operator="greaterThan" aboveAverage="0" equalAverage="0" bottom="0" percent="0" rank="0" text="" dxfId="8">
      <formula>0</formula>
    </cfRule>
  </conditionalFormatting>
  <conditionalFormatting sqref="H142">
    <cfRule type="cellIs" priority="409" operator="greaterThan" aboveAverage="0" equalAverage="0" bottom="0" percent="0" rank="0" text="" dxfId="8">
      <formula>0</formula>
    </cfRule>
  </conditionalFormatting>
  <conditionalFormatting sqref="C143">
    <cfRule type="cellIs" priority="410" operator="greaterThan" aboveAverage="0" equalAverage="0" bottom="0" percent="0" rank="0" text="" dxfId="8">
      <formula>0</formula>
    </cfRule>
  </conditionalFormatting>
  <conditionalFormatting sqref="G143">
    <cfRule type="cellIs" priority="411" operator="greaterThan" aboveAverage="0" equalAverage="0" bottom="0" percent="0" rank="0" text="" dxfId="8">
      <formula>0</formula>
    </cfRule>
  </conditionalFormatting>
  <conditionalFormatting sqref="H143">
    <cfRule type="cellIs" priority="412" operator="greaterThan" aboveAverage="0" equalAverage="0" bottom="0" percent="0" rank="0" text="" dxfId="8">
      <formula>0</formula>
    </cfRule>
  </conditionalFormatting>
  <conditionalFormatting sqref="C144">
    <cfRule type="cellIs" priority="413" operator="greaterThan" aboveAverage="0" equalAverage="0" bottom="0" percent="0" rank="0" text="" dxfId="8">
      <formula>0</formula>
    </cfRule>
  </conditionalFormatting>
  <conditionalFormatting sqref="G144">
    <cfRule type="cellIs" priority="414" operator="greaterThan" aboveAverage="0" equalAverage="0" bottom="0" percent="0" rank="0" text="" dxfId="8">
      <formula>0</formula>
    </cfRule>
  </conditionalFormatting>
  <conditionalFormatting sqref="H144">
    <cfRule type="cellIs" priority="415" operator="greaterThan" aboveAverage="0" equalAverage="0" bottom="0" percent="0" rank="0" text="" dxfId="8">
      <formula>0</formula>
    </cfRule>
  </conditionalFormatting>
  <conditionalFormatting sqref="C145">
    <cfRule type="cellIs" priority="416" operator="greaterThan" aboveAverage="0" equalAverage="0" bottom="0" percent="0" rank="0" text="" dxfId="8">
      <formula>0</formula>
    </cfRule>
  </conditionalFormatting>
  <conditionalFormatting sqref="G145">
    <cfRule type="cellIs" priority="417" operator="greaterThan" aboveAverage="0" equalAverage="0" bottom="0" percent="0" rank="0" text="" dxfId="8">
      <formula>0</formula>
    </cfRule>
  </conditionalFormatting>
  <conditionalFormatting sqref="H145">
    <cfRule type="cellIs" priority="418" operator="greaterThan" aboveAverage="0" equalAverage="0" bottom="0" percent="0" rank="0" text="" dxfId="8">
      <formula>0</formula>
    </cfRule>
  </conditionalFormatting>
  <conditionalFormatting sqref="C146">
    <cfRule type="cellIs" priority="419" operator="greaterThan" aboveAverage="0" equalAverage="0" bottom="0" percent="0" rank="0" text="" dxfId="8">
      <formula>0</formula>
    </cfRule>
  </conditionalFormatting>
  <conditionalFormatting sqref="G146">
    <cfRule type="cellIs" priority="420" operator="greaterThan" aboveAverage="0" equalAverage="0" bottom="0" percent="0" rank="0" text="" dxfId="8">
      <formula>0</formula>
    </cfRule>
  </conditionalFormatting>
  <conditionalFormatting sqref="H146">
    <cfRule type="cellIs" priority="421" operator="greaterThan" aboveAverage="0" equalAverage="0" bottom="0" percent="0" rank="0" text="" dxfId="8">
      <formula>0</formula>
    </cfRule>
  </conditionalFormatting>
  <conditionalFormatting sqref="C147">
    <cfRule type="cellIs" priority="422" operator="greaterThan" aboveAverage="0" equalAverage="0" bottom="0" percent="0" rank="0" text="" dxfId="8">
      <formula>0</formula>
    </cfRule>
  </conditionalFormatting>
  <conditionalFormatting sqref="G147">
    <cfRule type="cellIs" priority="423" operator="greaterThan" aboveAverage="0" equalAverage="0" bottom="0" percent="0" rank="0" text="" dxfId="8">
      <formula>0</formula>
    </cfRule>
  </conditionalFormatting>
  <conditionalFormatting sqref="H147">
    <cfRule type="cellIs" priority="424" operator="greaterThan" aboveAverage="0" equalAverage="0" bottom="0" percent="0" rank="0" text="" dxfId="8">
      <formula>0</formula>
    </cfRule>
  </conditionalFormatting>
  <conditionalFormatting sqref="C148">
    <cfRule type="cellIs" priority="425" operator="greaterThan" aboveAverage="0" equalAverage="0" bottom="0" percent="0" rank="0" text="" dxfId="8">
      <formula>0</formula>
    </cfRule>
  </conditionalFormatting>
  <conditionalFormatting sqref="G148">
    <cfRule type="cellIs" priority="426" operator="greaterThan" aboveAverage="0" equalAverage="0" bottom="0" percent="0" rank="0" text="" dxfId="8">
      <formula>0</formula>
    </cfRule>
  </conditionalFormatting>
  <conditionalFormatting sqref="H148">
    <cfRule type="cellIs" priority="427" operator="greaterThan" aboveAverage="0" equalAverage="0" bottom="0" percent="0" rank="0" text="" dxfId="8">
      <formula>0</formula>
    </cfRule>
  </conditionalFormatting>
  <conditionalFormatting sqref="C149">
    <cfRule type="cellIs" priority="428" operator="greaterThan" aboveAverage="0" equalAverage="0" bottom="0" percent="0" rank="0" text="" dxfId="8">
      <formula>0</formula>
    </cfRule>
  </conditionalFormatting>
  <conditionalFormatting sqref="G149">
    <cfRule type="cellIs" priority="429" operator="greaterThan" aboveAverage="0" equalAverage="0" bottom="0" percent="0" rank="0" text="" dxfId="8">
      <formula>0</formula>
    </cfRule>
  </conditionalFormatting>
  <conditionalFormatting sqref="H149">
    <cfRule type="cellIs" priority="430" operator="greaterThan" aboveAverage="0" equalAverage="0" bottom="0" percent="0" rank="0" text="" dxfId="8">
      <formula>0</formula>
    </cfRule>
  </conditionalFormatting>
  <conditionalFormatting sqref="C150">
    <cfRule type="cellIs" priority="431" operator="greaterThan" aboveAverage="0" equalAverage="0" bottom="0" percent="0" rank="0" text="" dxfId="8">
      <formula>0</formula>
    </cfRule>
  </conditionalFormatting>
  <conditionalFormatting sqref="G150">
    <cfRule type="cellIs" priority="432" operator="greaterThan" aboveAverage="0" equalAverage="0" bottom="0" percent="0" rank="0" text="" dxfId="8">
      <formula>0</formula>
    </cfRule>
  </conditionalFormatting>
  <conditionalFormatting sqref="H150">
    <cfRule type="cellIs" priority="433" operator="greaterThan" aboveAverage="0" equalAverage="0" bottom="0" percent="0" rank="0" text="" dxfId="8">
      <formula>0</formula>
    </cfRule>
  </conditionalFormatting>
  <conditionalFormatting sqref="C151">
    <cfRule type="cellIs" priority="434" operator="greaterThan" aboveAverage="0" equalAverage="0" bottom="0" percent="0" rank="0" text="" dxfId="8">
      <formula>0</formula>
    </cfRule>
  </conditionalFormatting>
  <conditionalFormatting sqref="G151">
    <cfRule type="cellIs" priority="435" operator="greaterThan" aboveAverage="0" equalAverage="0" bottom="0" percent="0" rank="0" text="" dxfId="8">
      <formula>0</formula>
    </cfRule>
  </conditionalFormatting>
  <conditionalFormatting sqref="H151">
    <cfRule type="cellIs" priority="436" operator="greaterThan" aboveAverage="0" equalAverage="0" bottom="0" percent="0" rank="0" text="" dxfId="8">
      <formula>0</formula>
    </cfRule>
  </conditionalFormatting>
  <conditionalFormatting sqref="C152">
    <cfRule type="cellIs" priority="437" operator="greaterThan" aboveAverage="0" equalAverage="0" bottom="0" percent="0" rank="0" text="" dxfId="8">
      <formula>0</formula>
    </cfRule>
  </conditionalFormatting>
  <conditionalFormatting sqref="G152">
    <cfRule type="cellIs" priority="438" operator="greaterThan" aboveAverage="0" equalAverage="0" bottom="0" percent="0" rank="0" text="" dxfId="8">
      <formula>0</formula>
    </cfRule>
  </conditionalFormatting>
  <conditionalFormatting sqref="H152">
    <cfRule type="cellIs" priority="439" operator="greaterThan" aboveAverage="0" equalAverage="0" bottom="0" percent="0" rank="0" text="" dxfId="8">
      <formula>0</formula>
    </cfRule>
  </conditionalFormatting>
  <conditionalFormatting sqref="C153">
    <cfRule type="cellIs" priority="440" operator="greaterThan" aboveAverage="0" equalAverage="0" bottom="0" percent="0" rank="0" text="" dxfId="8">
      <formula>0</formula>
    </cfRule>
  </conditionalFormatting>
  <conditionalFormatting sqref="G153">
    <cfRule type="cellIs" priority="441" operator="greaterThan" aboveAverage="0" equalAverage="0" bottom="0" percent="0" rank="0" text="" dxfId="8">
      <formula>0</formula>
    </cfRule>
  </conditionalFormatting>
  <conditionalFormatting sqref="H153">
    <cfRule type="cellIs" priority="442" operator="greaterThan" aboveAverage="0" equalAverage="0" bottom="0" percent="0" rank="0" text="" dxfId="8">
      <formula>0</formula>
    </cfRule>
  </conditionalFormatting>
  <conditionalFormatting sqref="C154">
    <cfRule type="cellIs" priority="443" operator="greaterThan" aboveAverage="0" equalAverage="0" bottom="0" percent="0" rank="0" text="" dxfId="8">
      <formula>0</formula>
    </cfRule>
  </conditionalFormatting>
  <conditionalFormatting sqref="G154">
    <cfRule type="cellIs" priority="444" operator="greaterThan" aboveAverage="0" equalAverage="0" bottom="0" percent="0" rank="0" text="" dxfId="8">
      <formula>0</formula>
    </cfRule>
  </conditionalFormatting>
  <conditionalFormatting sqref="H154">
    <cfRule type="cellIs" priority="445" operator="greaterThan" aboveAverage="0" equalAverage="0" bottom="0" percent="0" rank="0" text="" dxfId="8">
      <formula>0</formula>
    </cfRule>
  </conditionalFormatting>
  <conditionalFormatting sqref="C155">
    <cfRule type="cellIs" priority="446" operator="greaterThan" aboveAverage="0" equalAverage="0" bottom="0" percent="0" rank="0" text="" dxfId="8">
      <formula>0</formula>
    </cfRule>
  </conditionalFormatting>
  <conditionalFormatting sqref="G155">
    <cfRule type="cellIs" priority="447" operator="greaterThan" aboveAverage="0" equalAverage="0" bottom="0" percent="0" rank="0" text="" dxfId="8">
      <formula>0</formula>
    </cfRule>
  </conditionalFormatting>
  <conditionalFormatting sqref="H155">
    <cfRule type="cellIs" priority="448" operator="greaterThan" aboveAverage="0" equalAverage="0" bottom="0" percent="0" rank="0" text="" dxfId="8">
      <formula>0</formula>
    </cfRule>
  </conditionalFormatting>
  <conditionalFormatting sqref="C156">
    <cfRule type="cellIs" priority="449" operator="greaterThan" aboveAverage="0" equalAverage="0" bottom="0" percent="0" rank="0" text="" dxfId="8">
      <formula>0</formula>
    </cfRule>
  </conditionalFormatting>
  <conditionalFormatting sqref="G156">
    <cfRule type="cellIs" priority="450" operator="greaterThan" aboveAverage="0" equalAverage="0" bottom="0" percent="0" rank="0" text="" dxfId="8">
      <formula>0</formula>
    </cfRule>
  </conditionalFormatting>
  <conditionalFormatting sqref="H156">
    <cfRule type="cellIs" priority="451" operator="greaterThan" aboveAverage="0" equalAverage="0" bottom="0" percent="0" rank="0" text="" dxfId="8">
      <formula>0</formula>
    </cfRule>
  </conditionalFormatting>
  <conditionalFormatting sqref="C157">
    <cfRule type="cellIs" priority="452" operator="greaterThan" aboveAverage="0" equalAverage="0" bottom="0" percent="0" rank="0" text="" dxfId="8">
      <formula>0</formula>
    </cfRule>
  </conditionalFormatting>
  <conditionalFormatting sqref="G157">
    <cfRule type="cellIs" priority="453" operator="greaterThan" aboveAverage="0" equalAverage="0" bottom="0" percent="0" rank="0" text="" dxfId="8">
      <formula>0</formula>
    </cfRule>
  </conditionalFormatting>
  <conditionalFormatting sqref="H157">
    <cfRule type="cellIs" priority="454" operator="greaterThan" aboveAverage="0" equalAverage="0" bottom="0" percent="0" rank="0" text="" dxfId="8">
      <formula>0</formula>
    </cfRule>
  </conditionalFormatting>
  <conditionalFormatting sqref="C158">
    <cfRule type="cellIs" priority="455" operator="greaterThan" aboveAverage="0" equalAverage="0" bottom="0" percent="0" rank="0" text="" dxfId="8">
      <formula>0</formula>
    </cfRule>
  </conditionalFormatting>
  <conditionalFormatting sqref="G158">
    <cfRule type="cellIs" priority="456" operator="greaterThan" aboveAverage="0" equalAverage="0" bottom="0" percent="0" rank="0" text="" dxfId="8">
      <formula>0</formula>
    </cfRule>
  </conditionalFormatting>
  <conditionalFormatting sqref="H158">
    <cfRule type="cellIs" priority="457" operator="greaterThan" aboveAverage="0" equalAverage="0" bottom="0" percent="0" rank="0" text="" dxfId="8">
      <formula>0</formula>
    </cfRule>
  </conditionalFormatting>
  <conditionalFormatting sqref="C159">
    <cfRule type="cellIs" priority="458" operator="greaterThan" aboveAverage="0" equalAverage="0" bottom="0" percent="0" rank="0" text="" dxfId="8">
      <formula>0</formula>
    </cfRule>
  </conditionalFormatting>
  <conditionalFormatting sqref="G159">
    <cfRule type="cellIs" priority="459" operator="greaterThan" aboveAverage="0" equalAverage="0" bottom="0" percent="0" rank="0" text="" dxfId="8">
      <formula>0</formula>
    </cfRule>
  </conditionalFormatting>
  <conditionalFormatting sqref="H159">
    <cfRule type="cellIs" priority="460" operator="greaterThan" aboveAverage="0" equalAverage="0" bottom="0" percent="0" rank="0" text="" dxfId="8">
      <formula>0</formula>
    </cfRule>
  </conditionalFormatting>
  <conditionalFormatting sqref="C160">
    <cfRule type="cellIs" priority="461" operator="greaterThan" aboveAverage="0" equalAverage="0" bottom="0" percent="0" rank="0" text="" dxfId="8">
      <formula>0</formula>
    </cfRule>
  </conditionalFormatting>
  <conditionalFormatting sqref="G160">
    <cfRule type="cellIs" priority="462" operator="greaterThan" aboveAverage="0" equalAverage="0" bottom="0" percent="0" rank="0" text="" dxfId="8">
      <formula>0</formula>
    </cfRule>
  </conditionalFormatting>
  <conditionalFormatting sqref="H160">
    <cfRule type="cellIs" priority="463" operator="greaterThan" aboveAverage="0" equalAverage="0" bottom="0" percent="0" rank="0" text="" dxfId="8">
      <formula>0</formula>
    </cfRule>
  </conditionalFormatting>
  <conditionalFormatting sqref="C161">
    <cfRule type="cellIs" priority="464" operator="greaterThan" aboveAverage="0" equalAverage="0" bottom="0" percent="0" rank="0" text="" dxfId="8">
      <formula>0</formula>
    </cfRule>
  </conditionalFormatting>
  <conditionalFormatting sqref="G161">
    <cfRule type="cellIs" priority="465" operator="greaterThan" aboveAverage="0" equalAverage="0" bottom="0" percent="0" rank="0" text="" dxfId="8">
      <formula>0</formula>
    </cfRule>
  </conditionalFormatting>
  <conditionalFormatting sqref="H161">
    <cfRule type="cellIs" priority="466" operator="greaterThan" aboveAverage="0" equalAverage="0" bottom="0" percent="0" rank="0" text="" dxfId="8">
      <formula>0</formula>
    </cfRule>
  </conditionalFormatting>
  <conditionalFormatting sqref="C162">
    <cfRule type="cellIs" priority="467" operator="greaterThan" aboveAverage="0" equalAverage="0" bottom="0" percent="0" rank="0" text="" dxfId="8">
      <formula>0</formula>
    </cfRule>
  </conditionalFormatting>
  <conditionalFormatting sqref="G162">
    <cfRule type="cellIs" priority="468" operator="greaterThan" aboveAverage="0" equalAverage="0" bottom="0" percent="0" rank="0" text="" dxfId="8">
      <formula>0</formula>
    </cfRule>
  </conditionalFormatting>
  <conditionalFormatting sqref="H162">
    <cfRule type="cellIs" priority="469" operator="greaterThan" aboveAverage="0" equalAverage="0" bottom="0" percent="0" rank="0" text="" dxfId="8">
      <formula>0</formula>
    </cfRule>
  </conditionalFormatting>
  <conditionalFormatting sqref="C163">
    <cfRule type="cellIs" priority="470" operator="greaterThan" aboveAverage="0" equalAverage="0" bottom="0" percent="0" rank="0" text="" dxfId="8">
      <formula>0</formula>
    </cfRule>
  </conditionalFormatting>
  <conditionalFormatting sqref="G163">
    <cfRule type="cellIs" priority="471" operator="greaterThan" aboveAverage="0" equalAverage="0" bottom="0" percent="0" rank="0" text="" dxfId="8">
      <formula>0</formula>
    </cfRule>
  </conditionalFormatting>
  <conditionalFormatting sqref="H163">
    <cfRule type="cellIs" priority="472" operator="greaterThan" aboveAverage="0" equalAverage="0" bottom="0" percent="0" rank="0" text="" dxfId="8">
      <formula>0</formula>
    </cfRule>
  </conditionalFormatting>
  <conditionalFormatting sqref="C164">
    <cfRule type="cellIs" priority="473" operator="greaterThan" aboveAverage="0" equalAverage="0" bottom="0" percent="0" rank="0" text="" dxfId="8">
      <formula>0</formula>
    </cfRule>
  </conditionalFormatting>
  <conditionalFormatting sqref="G164">
    <cfRule type="cellIs" priority="474" operator="greaterThan" aboveAverage="0" equalAverage="0" bottom="0" percent="0" rank="0" text="" dxfId="8">
      <formula>0</formula>
    </cfRule>
  </conditionalFormatting>
  <conditionalFormatting sqref="H164">
    <cfRule type="cellIs" priority="475" operator="greaterThan" aboveAverage="0" equalAverage="0" bottom="0" percent="0" rank="0" text="" dxfId="8">
      <formula>0</formula>
    </cfRule>
  </conditionalFormatting>
  <conditionalFormatting sqref="C165">
    <cfRule type="cellIs" priority="476" operator="greaterThan" aboveAverage="0" equalAverage="0" bottom="0" percent="0" rank="0" text="" dxfId="8">
      <formula>0</formula>
    </cfRule>
  </conditionalFormatting>
  <conditionalFormatting sqref="G165">
    <cfRule type="cellIs" priority="477" operator="greaterThan" aboveAverage="0" equalAverage="0" bottom="0" percent="0" rank="0" text="" dxfId="8">
      <formula>0</formula>
    </cfRule>
  </conditionalFormatting>
  <conditionalFormatting sqref="H165">
    <cfRule type="cellIs" priority="478" operator="greaterThan" aboveAverage="0" equalAverage="0" bottom="0" percent="0" rank="0" text="" dxfId="8">
      <formula>0</formula>
    </cfRule>
  </conditionalFormatting>
  <conditionalFormatting sqref="C166">
    <cfRule type="cellIs" priority="479" operator="greaterThan" aboveAverage="0" equalAverage="0" bottom="0" percent="0" rank="0" text="" dxfId="8">
      <formula>0</formula>
    </cfRule>
  </conditionalFormatting>
  <conditionalFormatting sqref="G166">
    <cfRule type="cellIs" priority="480" operator="greaterThan" aboveAverage="0" equalAverage="0" bottom="0" percent="0" rank="0" text="" dxfId="8">
      <formula>0</formula>
    </cfRule>
  </conditionalFormatting>
  <conditionalFormatting sqref="H166">
    <cfRule type="cellIs" priority="481" operator="greaterThan" aboveAverage="0" equalAverage="0" bottom="0" percent="0" rank="0" text="" dxfId="8">
      <formula>0</formula>
    </cfRule>
  </conditionalFormatting>
  <conditionalFormatting sqref="C167">
    <cfRule type="cellIs" priority="482" operator="greaterThan" aboveAverage="0" equalAverage="0" bottom="0" percent="0" rank="0" text="" dxfId="8">
      <formula>0</formula>
    </cfRule>
  </conditionalFormatting>
  <conditionalFormatting sqref="G167">
    <cfRule type="cellIs" priority="483" operator="greaterThan" aboveAverage="0" equalAverage="0" bottom="0" percent="0" rank="0" text="" dxfId="8">
      <formula>0</formula>
    </cfRule>
  </conditionalFormatting>
  <conditionalFormatting sqref="H167">
    <cfRule type="cellIs" priority="484" operator="greaterThan" aboveAverage="0" equalAverage="0" bottom="0" percent="0" rank="0" text="" dxfId="8">
      <formula>0</formula>
    </cfRule>
  </conditionalFormatting>
  <conditionalFormatting sqref="C168">
    <cfRule type="cellIs" priority="485" operator="greaterThan" aboveAverage="0" equalAverage="0" bottom="0" percent="0" rank="0" text="" dxfId="8">
      <formula>0</formula>
    </cfRule>
  </conditionalFormatting>
  <conditionalFormatting sqref="G168">
    <cfRule type="cellIs" priority="486" operator="greaterThan" aboveAverage="0" equalAverage="0" bottom="0" percent="0" rank="0" text="" dxfId="8">
      <formula>0</formula>
    </cfRule>
  </conditionalFormatting>
  <conditionalFormatting sqref="H168">
    <cfRule type="cellIs" priority="487" operator="greaterThan" aboveAverage="0" equalAverage="0" bottom="0" percent="0" rank="0" text="" dxfId="8">
      <formula>0</formula>
    </cfRule>
  </conditionalFormatting>
  <conditionalFormatting sqref="C169">
    <cfRule type="cellIs" priority="488" operator="greaterThan" aboveAverage="0" equalAverage="0" bottom="0" percent="0" rank="0" text="" dxfId="8">
      <formula>0</formula>
    </cfRule>
  </conditionalFormatting>
  <conditionalFormatting sqref="G169">
    <cfRule type="cellIs" priority="489" operator="greaterThan" aboveAverage="0" equalAverage="0" bottom="0" percent="0" rank="0" text="" dxfId="8">
      <formula>0</formula>
    </cfRule>
  </conditionalFormatting>
  <conditionalFormatting sqref="H169">
    <cfRule type="cellIs" priority="490" operator="greaterThan" aboveAverage="0" equalAverage="0" bottom="0" percent="0" rank="0" text="" dxfId="8">
      <formula>0</formula>
    </cfRule>
  </conditionalFormatting>
  <conditionalFormatting sqref="C170">
    <cfRule type="cellIs" priority="491" operator="greaterThan" aboveAverage="0" equalAverage="0" bottom="0" percent="0" rank="0" text="" dxfId="8">
      <formula>0</formula>
    </cfRule>
  </conditionalFormatting>
  <conditionalFormatting sqref="G170">
    <cfRule type="cellIs" priority="492" operator="greaterThan" aboveAverage="0" equalAverage="0" bottom="0" percent="0" rank="0" text="" dxfId="8">
      <formula>0</formula>
    </cfRule>
  </conditionalFormatting>
  <conditionalFormatting sqref="H170">
    <cfRule type="cellIs" priority="493" operator="greaterThan" aboveAverage="0" equalAverage="0" bottom="0" percent="0" rank="0" text="" dxfId="8">
      <formula>0</formula>
    </cfRule>
  </conditionalFormatting>
  <conditionalFormatting sqref="C171">
    <cfRule type="cellIs" priority="494" operator="greaterThan" aboveAverage="0" equalAverage="0" bottom="0" percent="0" rank="0" text="" dxfId="8">
      <formula>0</formula>
    </cfRule>
  </conditionalFormatting>
  <conditionalFormatting sqref="G171">
    <cfRule type="cellIs" priority="495" operator="greaterThan" aboveAverage="0" equalAverage="0" bottom="0" percent="0" rank="0" text="" dxfId="8">
      <formula>0</formula>
    </cfRule>
  </conditionalFormatting>
  <conditionalFormatting sqref="H171">
    <cfRule type="cellIs" priority="496" operator="greaterThan" aboveAverage="0" equalAverage="0" bottom="0" percent="0" rank="0" text="" dxfId="8">
      <formula>0</formula>
    </cfRule>
  </conditionalFormatting>
  <conditionalFormatting sqref="C172">
    <cfRule type="cellIs" priority="497" operator="greaterThan" aboveAverage="0" equalAverage="0" bottom="0" percent="0" rank="0" text="" dxfId="8">
      <formula>0</formula>
    </cfRule>
  </conditionalFormatting>
  <conditionalFormatting sqref="G172">
    <cfRule type="cellIs" priority="498" operator="greaterThan" aboveAverage="0" equalAverage="0" bottom="0" percent="0" rank="0" text="" dxfId="8">
      <formula>0</formula>
    </cfRule>
  </conditionalFormatting>
  <conditionalFormatting sqref="H172">
    <cfRule type="cellIs" priority="499" operator="greaterThan" aboveAverage="0" equalAverage="0" bottom="0" percent="0" rank="0" text="" dxfId="8">
      <formula>0</formula>
    </cfRule>
  </conditionalFormatting>
  <conditionalFormatting sqref="C173">
    <cfRule type="cellIs" priority="500" operator="greaterThan" aboveAverage="0" equalAverage="0" bottom="0" percent="0" rank="0" text="" dxfId="8">
      <formula>0</formula>
    </cfRule>
  </conditionalFormatting>
  <conditionalFormatting sqref="G173">
    <cfRule type="cellIs" priority="501" operator="greaterThan" aboveAverage="0" equalAverage="0" bottom="0" percent="0" rank="0" text="" dxfId="8">
      <formula>0</formula>
    </cfRule>
  </conditionalFormatting>
  <conditionalFormatting sqref="H173">
    <cfRule type="cellIs" priority="502" operator="greaterThan" aboveAverage="0" equalAverage="0" bottom="0" percent="0" rank="0" text="" dxfId="8">
      <formula>0</formula>
    </cfRule>
  </conditionalFormatting>
  <conditionalFormatting sqref="C174">
    <cfRule type="cellIs" priority="503" operator="greaterThan" aboveAverage="0" equalAverage="0" bottom="0" percent="0" rank="0" text="" dxfId="8">
      <formula>0</formula>
    </cfRule>
  </conditionalFormatting>
  <conditionalFormatting sqref="G174">
    <cfRule type="cellIs" priority="504" operator="greaterThan" aboveAverage="0" equalAverage="0" bottom="0" percent="0" rank="0" text="" dxfId="8">
      <formula>0</formula>
    </cfRule>
  </conditionalFormatting>
  <conditionalFormatting sqref="H174">
    <cfRule type="cellIs" priority="505" operator="greaterThan" aboveAverage="0" equalAverage="0" bottom="0" percent="0" rank="0" text="" dxfId="8">
      <formula>0</formula>
    </cfRule>
  </conditionalFormatting>
  <conditionalFormatting sqref="C175">
    <cfRule type="cellIs" priority="506" operator="greaterThan" aboveAverage="0" equalAverage="0" bottom="0" percent="0" rank="0" text="" dxfId="8">
      <formula>0</formula>
    </cfRule>
  </conditionalFormatting>
  <conditionalFormatting sqref="G175">
    <cfRule type="cellIs" priority="507" operator="greaterThan" aboveAverage="0" equalAverage="0" bottom="0" percent="0" rank="0" text="" dxfId="8">
      <formula>0</formula>
    </cfRule>
  </conditionalFormatting>
  <conditionalFormatting sqref="H175">
    <cfRule type="cellIs" priority="508" operator="greaterThan" aboveAverage="0" equalAverage="0" bottom="0" percent="0" rank="0" text="" dxfId="8">
      <formula>0</formula>
    </cfRule>
  </conditionalFormatting>
  <conditionalFormatting sqref="C176">
    <cfRule type="cellIs" priority="509" operator="greaterThan" aboveAverage="0" equalAverage="0" bottom="0" percent="0" rank="0" text="" dxfId="8">
      <formula>0</formula>
    </cfRule>
  </conditionalFormatting>
  <conditionalFormatting sqref="G176">
    <cfRule type="cellIs" priority="510" operator="greaterThan" aboveAverage="0" equalAverage="0" bottom="0" percent="0" rank="0" text="" dxfId="8">
      <formula>0</formula>
    </cfRule>
  </conditionalFormatting>
  <conditionalFormatting sqref="H176">
    <cfRule type="cellIs" priority="511" operator="greaterThan" aboveAverage="0" equalAverage="0" bottom="0" percent="0" rank="0" text="" dxfId="8">
      <formula>0</formula>
    </cfRule>
  </conditionalFormatting>
  <conditionalFormatting sqref="C177">
    <cfRule type="cellIs" priority="512" operator="greaterThan" aboveAverage="0" equalAverage="0" bottom="0" percent="0" rank="0" text="" dxfId="8">
      <formula>0</formula>
    </cfRule>
  </conditionalFormatting>
  <conditionalFormatting sqref="G177">
    <cfRule type="cellIs" priority="513" operator="greaterThan" aboveAverage="0" equalAverage="0" bottom="0" percent="0" rank="0" text="" dxfId="8">
      <formula>0</formula>
    </cfRule>
  </conditionalFormatting>
  <conditionalFormatting sqref="H177">
    <cfRule type="cellIs" priority="514" operator="greaterThan" aboveAverage="0" equalAverage="0" bottom="0" percent="0" rank="0" text="" dxfId="8">
      <formula>0</formula>
    </cfRule>
  </conditionalFormatting>
  <conditionalFormatting sqref="C178">
    <cfRule type="cellIs" priority="515" operator="greaterThan" aboveAverage="0" equalAverage="0" bottom="0" percent="0" rank="0" text="" dxfId="8">
      <formula>0</formula>
    </cfRule>
  </conditionalFormatting>
  <conditionalFormatting sqref="G178">
    <cfRule type="cellIs" priority="516" operator="greaterThan" aboveAverage="0" equalAverage="0" bottom="0" percent="0" rank="0" text="" dxfId="8">
      <formula>0</formula>
    </cfRule>
  </conditionalFormatting>
  <conditionalFormatting sqref="H178">
    <cfRule type="cellIs" priority="517" operator="greaterThan" aboveAverage="0" equalAverage="0" bottom="0" percent="0" rank="0" text="" dxfId="8">
      <formula>0</formula>
    </cfRule>
  </conditionalFormatting>
  <conditionalFormatting sqref="C179">
    <cfRule type="cellIs" priority="518" operator="greaterThan" aboveAverage="0" equalAverage="0" bottom="0" percent="0" rank="0" text="" dxfId="8">
      <formula>0</formula>
    </cfRule>
  </conditionalFormatting>
  <conditionalFormatting sqref="G179">
    <cfRule type="cellIs" priority="519" operator="greaterThan" aboveAverage="0" equalAverage="0" bottom="0" percent="0" rank="0" text="" dxfId="8">
      <formula>0</formula>
    </cfRule>
  </conditionalFormatting>
  <conditionalFormatting sqref="H179">
    <cfRule type="cellIs" priority="520" operator="greaterThan" aboveAverage="0" equalAverage="0" bottom="0" percent="0" rank="0" text="" dxfId="8">
      <formula>0</formula>
    </cfRule>
  </conditionalFormatting>
  <conditionalFormatting sqref="C180">
    <cfRule type="cellIs" priority="521" operator="greaterThan" aboveAverage="0" equalAverage="0" bottom="0" percent="0" rank="0" text="" dxfId="8">
      <formula>0</formula>
    </cfRule>
  </conditionalFormatting>
  <conditionalFormatting sqref="G180">
    <cfRule type="cellIs" priority="522" operator="greaterThan" aboveAverage="0" equalAverage="0" bottom="0" percent="0" rank="0" text="" dxfId="8">
      <formula>0</formula>
    </cfRule>
  </conditionalFormatting>
  <conditionalFormatting sqref="H180">
    <cfRule type="cellIs" priority="523" operator="greaterThan" aboveAverage="0" equalAverage="0" bottom="0" percent="0" rank="0" text="" dxfId="8">
      <formula>0</formula>
    </cfRule>
  </conditionalFormatting>
  <conditionalFormatting sqref="C181">
    <cfRule type="cellIs" priority="524" operator="greaterThan" aboveAverage="0" equalAverage="0" bottom="0" percent="0" rank="0" text="" dxfId="8">
      <formula>0</formula>
    </cfRule>
  </conditionalFormatting>
  <conditionalFormatting sqref="G181">
    <cfRule type="cellIs" priority="525" operator="greaterThan" aboveAverage="0" equalAverage="0" bottom="0" percent="0" rank="0" text="" dxfId="8">
      <formula>0</formula>
    </cfRule>
  </conditionalFormatting>
  <conditionalFormatting sqref="H181">
    <cfRule type="cellIs" priority="526" operator="greaterThan" aboveAverage="0" equalAverage="0" bottom="0" percent="0" rank="0" text="" dxfId="8">
      <formula>0</formula>
    </cfRule>
  </conditionalFormatting>
  <conditionalFormatting sqref="C182">
    <cfRule type="cellIs" priority="527" operator="greaterThan" aboveAverage="0" equalAverage="0" bottom="0" percent="0" rank="0" text="" dxfId="8">
      <formula>0</formula>
    </cfRule>
  </conditionalFormatting>
  <conditionalFormatting sqref="G182">
    <cfRule type="cellIs" priority="528" operator="greaterThan" aboveAverage="0" equalAverage="0" bottom="0" percent="0" rank="0" text="" dxfId="8">
      <formula>0</formula>
    </cfRule>
  </conditionalFormatting>
  <conditionalFormatting sqref="H182">
    <cfRule type="cellIs" priority="529" operator="greaterThan" aboveAverage="0" equalAverage="0" bottom="0" percent="0" rank="0" text="" dxfId="8">
      <formula>0</formula>
    </cfRule>
  </conditionalFormatting>
  <conditionalFormatting sqref="C183">
    <cfRule type="cellIs" priority="530" operator="greaterThan" aboveAverage="0" equalAverage="0" bottom="0" percent="0" rank="0" text="" dxfId="8">
      <formula>0</formula>
    </cfRule>
  </conditionalFormatting>
  <conditionalFormatting sqref="G183">
    <cfRule type="cellIs" priority="531" operator="greaterThan" aboveAverage="0" equalAverage="0" bottom="0" percent="0" rank="0" text="" dxfId="8">
      <formula>0</formula>
    </cfRule>
  </conditionalFormatting>
  <conditionalFormatting sqref="H183">
    <cfRule type="cellIs" priority="532" operator="greaterThan" aboveAverage="0" equalAverage="0" bottom="0" percent="0" rank="0" text="" dxfId="8">
      <formula>0</formula>
    </cfRule>
  </conditionalFormatting>
  <conditionalFormatting sqref="C184">
    <cfRule type="cellIs" priority="533" operator="greaterThan" aboveAverage="0" equalAverage="0" bottom="0" percent="0" rank="0" text="" dxfId="8">
      <formula>0</formula>
    </cfRule>
  </conditionalFormatting>
  <conditionalFormatting sqref="G184">
    <cfRule type="cellIs" priority="534" operator="greaterThan" aboveAverage="0" equalAverage="0" bottom="0" percent="0" rank="0" text="" dxfId="8">
      <formula>0</formula>
    </cfRule>
  </conditionalFormatting>
  <conditionalFormatting sqref="H184">
    <cfRule type="cellIs" priority="535" operator="greaterThan" aboveAverage="0" equalAverage="0" bottom="0" percent="0" rank="0" text="" dxfId="8">
      <formula>0</formula>
    </cfRule>
  </conditionalFormatting>
  <conditionalFormatting sqref="C185">
    <cfRule type="cellIs" priority="536" operator="greaterThan" aboveAverage="0" equalAverage="0" bottom="0" percent="0" rank="0" text="" dxfId="8">
      <formula>0</formula>
    </cfRule>
  </conditionalFormatting>
  <conditionalFormatting sqref="G185">
    <cfRule type="cellIs" priority="537" operator="greaterThan" aboveAverage="0" equalAverage="0" bottom="0" percent="0" rank="0" text="" dxfId="8">
      <formula>0</formula>
    </cfRule>
  </conditionalFormatting>
  <conditionalFormatting sqref="H185">
    <cfRule type="cellIs" priority="538" operator="greaterThan" aboveAverage="0" equalAverage="0" bottom="0" percent="0" rank="0" text="" dxfId="8">
      <formula>0</formula>
    </cfRule>
  </conditionalFormatting>
  <conditionalFormatting sqref="C186">
    <cfRule type="cellIs" priority="539" operator="greaterThan" aboveAverage="0" equalAverage="0" bottom="0" percent="0" rank="0" text="" dxfId="8">
      <formula>0</formula>
    </cfRule>
  </conditionalFormatting>
  <conditionalFormatting sqref="G186">
    <cfRule type="cellIs" priority="540" operator="greaterThan" aboveAverage="0" equalAverage="0" bottom="0" percent="0" rank="0" text="" dxfId="8">
      <formula>0</formula>
    </cfRule>
  </conditionalFormatting>
  <conditionalFormatting sqref="H186">
    <cfRule type="cellIs" priority="541" operator="greaterThan" aboveAverage="0" equalAverage="0" bottom="0" percent="0" rank="0" text="" dxfId="8">
      <formula>0</formula>
    </cfRule>
  </conditionalFormatting>
  <conditionalFormatting sqref="C187">
    <cfRule type="cellIs" priority="542" operator="greaterThan" aboveAverage="0" equalAverage="0" bottom="0" percent="0" rank="0" text="" dxfId="8">
      <formula>0</formula>
    </cfRule>
  </conditionalFormatting>
  <conditionalFormatting sqref="G187">
    <cfRule type="cellIs" priority="543" operator="greaterThan" aboveAverage="0" equalAverage="0" bottom="0" percent="0" rank="0" text="" dxfId="8">
      <formula>0</formula>
    </cfRule>
  </conditionalFormatting>
  <conditionalFormatting sqref="H187">
    <cfRule type="cellIs" priority="544" operator="greaterThan" aboveAverage="0" equalAverage="0" bottom="0" percent="0" rank="0" text="" dxfId="8">
      <formula>0</formula>
    </cfRule>
  </conditionalFormatting>
  <conditionalFormatting sqref="C188">
    <cfRule type="cellIs" priority="545" operator="greaterThan" aboveAverage="0" equalAverage="0" bottom="0" percent="0" rank="0" text="" dxfId="8">
      <formula>0</formula>
    </cfRule>
  </conditionalFormatting>
  <conditionalFormatting sqref="G188">
    <cfRule type="cellIs" priority="546" operator="greaterThan" aboveAverage="0" equalAverage="0" bottom="0" percent="0" rank="0" text="" dxfId="8">
      <formula>0</formula>
    </cfRule>
  </conditionalFormatting>
  <conditionalFormatting sqref="H188">
    <cfRule type="cellIs" priority="547" operator="greaterThan" aboveAverage="0" equalAverage="0" bottom="0" percent="0" rank="0" text="" dxfId="8">
      <formula>0</formula>
    </cfRule>
  </conditionalFormatting>
  <conditionalFormatting sqref="C189">
    <cfRule type="cellIs" priority="548" operator="greaterThan" aboveAverage="0" equalAverage="0" bottom="0" percent="0" rank="0" text="" dxfId="8">
      <formula>0</formula>
    </cfRule>
  </conditionalFormatting>
  <conditionalFormatting sqref="G189">
    <cfRule type="cellIs" priority="549" operator="greaterThan" aboveAverage="0" equalAverage="0" bottom="0" percent="0" rank="0" text="" dxfId="8">
      <formula>0</formula>
    </cfRule>
  </conditionalFormatting>
  <conditionalFormatting sqref="H189">
    <cfRule type="cellIs" priority="550" operator="greaterThan" aboveAverage="0" equalAverage="0" bottom="0" percent="0" rank="0" text="" dxfId="8">
      <formula>0</formula>
    </cfRule>
  </conditionalFormatting>
  <conditionalFormatting sqref="C190">
    <cfRule type="cellIs" priority="551" operator="greaterThan" aboveAverage="0" equalAverage="0" bottom="0" percent="0" rank="0" text="" dxfId="8">
      <formula>0</formula>
    </cfRule>
  </conditionalFormatting>
  <conditionalFormatting sqref="G190">
    <cfRule type="cellIs" priority="552" operator="greaterThan" aboveAverage="0" equalAverage="0" bottom="0" percent="0" rank="0" text="" dxfId="8">
      <formula>0</formula>
    </cfRule>
  </conditionalFormatting>
  <conditionalFormatting sqref="H190">
    <cfRule type="cellIs" priority="553" operator="greaterThan" aboveAverage="0" equalAverage="0" bottom="0" percent="0" rank="0" text="" dxfId="8">
      <formula>0</formula>
    </cfRule>
  </conditionalFormatting>
  <conditionalFormatting sqref="C191">
    <cfRule type="cellIs" priority="554" operator="greaterThan" aboveAverage="0" equalAverage="0" bottom="0" percent="0" rank="0" text="" dxfId="8">
      <formula>0</formula>
    </cfRule>
  </conditionalFormatting>
  <conditionalFormatting sqref="G191">
    <cfRule type="cellIs" priority="555" operator="greaterThan" aboveAverage="0" equalAverage="0" bottom="0" percent="0" rank="0" text="" dxfId="8">
      <formula>0</formula>
    </cfRule>
  </conditionalFormatting>
  <conditionalFormatting sqref="H191">
    <cfRule type="cellIs" priority="556" operator="greaterThan" aboveAverage="0" equalAverage="0" bottom="0" percent="0" rank="0" text="" dxfId="8">
      <formula>0</formula>
    </cfRule>
  </conditionalFormatting>
  <conditionalFormatting sqref="C192">
    <cfRule type="cellIs" priority="557" operator="greaterThan" aboveAverage="0" equalAverage="0" bottom="0" percent="0" rank="0" text="" dxfId="8">
      <formula>0</formula>
    </cfRule>
  </conditionalFormatting>
  <conditionalFormatting sqref="G192">
    <cfRule type="cellIs" priority="558" operator="greaterThan" aboveAverage="0" equalAverage="0" bottom="0" percent="0" rank="0" text="" dxfId="8">
      <formula>0</formula>
    </cfRule>
  </conditionalFormatting>
  <conditionalFormatting sqref="H192">
    <cfRule type="cellIs" priority="559" operator="greaterThan" aboveAverage="0" equalAverage="0" bottom="0" percent="0" rank="0" text="" dxfId="8">
      <formula>0</formula>
    </cfRule>
  </conditionalFormatting>
  <conditionalFormatting sqref="C193">
    <cfRule type="cellIs" priority="560" operator="greaterThan" aboveAverage="0" equalAverage="0" bottom="0" percent="0" rank="0" text="" dxfId="8">
      <formula>0</formula>
    </cfRule>
  </conditionalFormatting>
  <conditionalFormatting sqref="G193">
    <cfRule type="cellIs" priority="561" operator="greaterThan" aboveAverage="0" equalAverage="0" bottom="0" percent="0" rank="0" text="" dxfId="8">
      <formula>0</formula>
    </cfRule>
  </conditionalFormatting>
  <conditionalFormatting sqref="H193">
    <cfRule type="cellIs" priority="562" operator="greaterThan" aboveAverage="0" equalAverage="0" bottom="0" percent="0" rank="0" text="" dxfId="8">
      <formula>0</formula>
    </cfRule>
  </conditionalFormatting>
  <conditionalFormatting sqref="C194">
    <cfRule type="cellIs" priority="563" operator="greaterThan" aboveAverage="0" equalAverage="0" bottom="0" percent="0" rank="0" text="" dxfId="8">
      <formula>0</formula>
    </cfRule>
  </conditionalFormatting>
  <conditionalFormatting sqref="G194">
    <cfRule type="cellIs" priority="564" operator="greaterThan" aboveAverage="0" equalAverage="0" bottom="0" percent="0" rank="0" text="" dxfId="8">
      <formula>0</formula>
    </cfRule>
  </conditionalFormatting>
  <conditionalFormatting sqref="H194">
    <cfRule type="cellIs" priority="565" operator="greaterThan" aboveAverage="0" equalAverage="0" bottom="0" percent="0" rank="0" text="" dxfId="8">
      <formula>0</formula>
    </cfRule>
  </conditionalFormatting>
  <conditionalFormatting sqref="C195">
    <cfRule type="cellIs" priority="566" operator="greaterThan" aboveAverage="0" equalAverage="0" bottom="0" percent="0" rank="0" text="" dxfId="8">
      <formula>0</formula>
    </cfRule>
  </conditionalFormatting>
  <conditionalFormatting sqref="G195">
    <cfRule type="cellIs" priority="567" operator="greaterThan" aboveAverage="0" equalAverage="0" bottom="0" percent="0" rank="0" text="" dxfId="8">
      <formula>0</formula>
    </cfRule>
  </conditionalFormatting>
  <conditionalFormatting sqref="H195">
    <cfRule type="cellIs" priority="568" operator="greaterThan" aboveAverage="0" equalAverage="0" bottom="0" percent="0" rank="0" text="" dxfId="8">
      <formula>0</formula>
    </cfRule>
  </conditionalFormatting>
  <conditionalFormatting sqref="C196">
    <cfRule type="cellIs" priority="569" operator="greaterThan" aboveAverage="0" equalAverage="0" bottom="0" percent="0" rank="0" text="" dxfId="8">
      <formula>0</formula>
    </cfRule>
  </conditionalFormatting>
  <conditionalFormatting sqref="G196">
    <cfRule type="cellIs" priority="570" operator="greaterThan" aboveAverage="0" equalAverage="0" bottom="0" percent="0" rank="0" text="" dxfId="8">
      <formula>0</formula>
    </cfRule>
  </conditionalFormatting>
  <conditionalFormatting sqref="H196">
    <cfRule type="cellIs" priority="571" operator="greaterThan" aboveAverage="0" equalAverage="0" bottom="0" percent="0" rank="0" text="" dxfId="8">
      <formula>0</formula>
    </cfRule>
  </conditionalFormatting>
  <conditionalFormatting sqref="C197">
    <cfRule type="cellIs" priority="572" operator="greaterThan" aboveAverage="0" equalAverage="0" bottom="0" percent="0" rank="0" text="" dxfId="8">
      <formula>0</formula>
    </cfRule>
  </conditionalFormatting>
  <conditionalFormatting sqref="G197">
    <cfRule type="cellIs" priority="573" operator="greaterThan" aboveAverage="0" equalAverage="0" bottom="0" percent="0" rank="0" text="" dxfId="8">
      <formula>0</formula>
    </cfRule>
  </conditionalFormatting>
  <conditionalFormatting sqref="H197">
    <cfRule type="cellIs" priority="574" operator="greaterThan" aboveAverage="0" equalAverage="0" bottom="0" percent="0" rank="0" text="" dxfId="8">
      <formula>0</formula>
    </cfRule>
  </conditionalFormatting>
  <conditionalFormatting sqref="C198">
    <cfRule type="cellIs" priority="575" operator="greaterThan" aboveAverage="0" equalAverage="0" bottom="0" percent="0" rank="0" text="" dxfId="8">
      <formula>0</formula>
    </cfRule>
  </conditionalFormatting>
  <conditionalFormatting sqref="G198">
    <cfRule type="cellIs" priority="576" operator="greaterThan" aboveAverage="0" equalAverage="0" bottom="0" percent="0" rank="0" text="" dxfId="8">
      <formula>0</formula>
    </cfRule>
  </conditionalFormatting>
  <conditionalFormatting sqref="H198">
    <cfRule type="cellIs" priority="577" operator="greaterThan" aboveAverage="0" equalAverage="0" bottom="0" percent="0" rank="0" text="" dxfId="8">
      <formula>0</formula>
    </cfRule>
  </conditionalFormatting>
  <conditionalFormatting sqref="C199">
    <cfRule type="cellIs" priority="578" operator="greaterThan" aboveAverage="0" equalAverage="0" bottom="0" percent="0" rank="0" text="" dxfId="8">
      <formula>0</formula>
    </cfRule>
  </conditionalFormatting>
  <conditionalFormatting sqref="G199">
    <cfRule type="cellIs" priority="579" operator="greaterThan" aboveAverage="0" equalAverage="0" bottom="0" percent="0" rank="0" text="" dxfId="8">
      <formula>0</formula>
    </cfRule>
  </conditionalFormatting>
  <conditionalFormatting sqref="H199">
    <cfRule type="cellIs" priority="580" operator="greaterThan" aboveAverage="0" equalAverage="0" bottom="0" percent="0" rank="0" text="" dxfId="8">
      <formula>0</formula>
    </cfRule>
  </conditionalFormatting>
  <conditionalFormatting sqref="C200">
    <cfRule type="cellIs" priority="581" operator="greaterThan" aboveAverage="0" equalAverage="0" bottom="0" percent="0" rank="0" text="" dxfId="8">
      <formula>0</formula>
    </cfRule>
  </conditionalFormatting>
  <conditionalFormatting sqref="G200">
    <cfRule type="cellIs" priority="582" operator="greaterThan" aboveAverage="0" equalAverage="0" bottom="0" percent="0" rank="0" text="" dxfId="8">
      <formula>0</formula>
    </cfRule>
  </conditionalFormatting>
  <conditionalFormatting sqref="H200">
    <cfRule type="cellIs" priority="583" operator="greaterThan" aboveAverage="0" equalAverage="0" bottom="0" percent="0" rank="0" text="" dxfId="8">
      <formula>0</formula>
    </cfRule>
  </conditionalFormatting>
  <conditionalFormatting sqref="C201">
    <cfRule type="cellIs" priority="584" operator="greaterThan" aboveAverage="0" equalAverage="0" bottom="0" percent="0" rank="0" text="" dxfId="8">
      <formula>0</formula>
    </cfRule>
  </conditionalFormatting>
  <conditionalFormatting sqref="G201">
    <cfRule type="cellIs" priority="585" operator="greaterThan" aboveAverage="0" equalAverage="0" bottom="0" percent="0" rank="0" text="" dxfId="8">
      <formula>0</formula>
    </cfRule>
  </conditionalFormatting>
  <conditionalFormatting sqref="H201">
    <cfRule type="cellIs" priority="586" operator="greaterThan" aboveAverage="0" equalAverage="0" bottom="0" percent="0" rank="0" text="" dxfId="8">
      <formula>0</formula>
    </cfRule>
  </conditionalFormatting>
  <conditionalFormatting sqref="C202">
    <cfRule type="cellIs" priority="587" operator="greaterThan" aboveAverage="0" equalAverage="0" bottom="0" percent="0" rank="0" text="" dxfId="8">
      <formula>0</formula>
    </cfRule>
  </conditionalFormatting>
  <conditionalFormatting sqref="G202">
    <cfRule type="cellIs" priority="588" operator="greaterThan" aboveAverage="0" equalAverage="0" bottom="0" percent="0" rank="0" text="" dxfId="8">
      <formula>0</formula>
    </cfRule>
  </conditionalFormatting>
  <conditionalFormatting sqref="H202">
    <cfRule type="cellIs" priority="589" operator="greaterThan" aboveAverage="0" equalAverage="0" bottom="0" percent="0" rank="0" text="" dxfId="8">
      <formula>0</formula>
    </cfRule>
  </conditionalFormatting>
  <conditionalFormatting sqref="C203">
    <cfRule type="cellIs" priority="590" operator="greaterThan" aboveAverage="0" equalAverage="0" bottom="0" percent="0" rank="0" text="" dxfId="8">
      <formula>0</formula>
    </cfRule>
  </conditionalFormatting>
  <conditionalFormatting sqref="G203">
    <cfRule type="cellIs" priority="591" operator="greaterThan" aboveAverage="0" equalAverage="0" bottom="0" percent="0" rank="0" text="" dxfId="8">
      <formula>0</formula>
    </cfRule>
  </conditionalFormatting>
  <conditionalFormatting sqref="H203">
    <cfRule type="cellIs" priority="592" operator="greaterThan" aboveAverage="0" equalAverage="0" bottom="0" percent="0" rank="0" text="" dxfId="8">
      <formula>0</formula>
    </cfRule>
  </conditionalFormatting>
  <conditionalFormatting sqref="C204">
    <cfRule type="cellIs" priority="593" operator="greaterThan" aboveAverage="0" equalAverage="0" bottom="0" percent="0" rank="0" text="" dxfId="8">
      <formula>0</formula>
    </cfRule>
  </conditionalFormatting>
  <conditionalFormatting sqref="G204">
    <cfRule type="cellIs" priority="594" operator="greaterThan" aboveAverage="0" equalAverage="0" bottom="0" percent="0" rank="0" text="" dxfId="8">
      <formula>0</formula>
    </cfRule>
  </conditionalFormatting>
  <conditionalFormatting sqref="H204">
    <cfRule type="cellIs" priority="595" operator="greaterThan" aboveAverage="0" equalAverage="0" bottom="0" percent="0" rank="0" text="" dxfId="8">
      <formula>0</formula>
    </cfRule>
  </conditionalFormatting>
  <conditionalFormatting sqref="C205">
    <cfRule type="cellIs" priority="596" operator="greaterThan" aboveAverage="0" equalAverage="0" bottom="0" percent="0" rank="0" text="" dxfId="8">
      <formula>0</formula>
    </cfRule>
  </conditionalFormatting>
  <conditionalFormatting sqref="G205">
    <cfRule type="cellIs" priority="597" operator="greaterThan" aboveAverage="0" equalAverage="0" bottom="0" percent="0" rank="0" text="" dxfId="8">
      <formula>0</formula>
    </cfRule>
  </conditionalFormatting>
  <conditionalFormatting sqref="H205">
    <cfRule type="cellIs" priority="598" operator="greaterThan" aboveAverage="0" equalAverage="0" bottom="0" percent="0" rank="0" text="" dxfId="8">
      <formula>0</formula>
    </cfRule>
  </conditionalFormatting>
  <conditionalFormatting sqref="C206">
    <cfRule type="cellIs" priority="599" operator="greaterThan" aboveAverage="0" equalAverage="0" bottom="0" percent="0" rank="0" text="" dxfId="8">
      <formula>0</formula>
    </cfRule>
  </conditionalFormatting>
  <conditionalFormatting sqref="G206">
    <cfRule type="cellIs" priority="600" operator="greaterThan" aboveAverage="0" equalAverage="0" bottom="0" percent="0" rank="0" text="" dxfId="8">
      <formula>0</formula>
    </cfRule>
  </conditionalFormatting>
  <conditionalFormatting sqref="H206">
    <cfRule type="cellIs" priority="601" operator="greaterThan" aboveAverage="0" equalAverage="0" bottom="0" percent="0" rank="0" text="" dxfId="8">
      <formula>0</formula>
    </cfRule>
  </conditionalFormatting>
  <conditionalFormatting sqref="C207">
    <cfRule type="cellIs" priority="602" operator="greaterThan" aboveAverage="0" equalAverage="0" bottom="0" percent="0" rank="0" text="" dxfId="8">
      <formula>0</formula>
    </cfRule>
  </conditionalFormatting>
  <conditionalFormatting sqref="G207">
    <cfRule type="cellIs" priority="603" operator="greaterThan" aboveAverage="0" equalAverage="0" bottom="0" percent="0" rank="0" text="" dxfId="8">
      <formula>0</formula>
    </cfRule>
  </conditionalFormatting>
  <conditionalFormatting sqref="H207">
    <cfRule type="cellIs" priority="604" operator="greaterThan" aboveAverage="0" equalAverage="0" bottom="0" percent="0" rank="0" text="" dxfId="8">
      <formula>0</formula>
    </cfRule>
  </conditionalFormatting>
  <conditionalFormatting sqref="C208">
    <cfRule type="cellIs" priority="605" operator="greaterThan" aboveAverage="0" equalAverage="0" bottom="0" percent="0" rank="0" text="" dxfId="8">
      <formula>0</formula>
    </cfRule>
  </conditionalFormatting>
  <conditionalFormatting sqref="G208">
    <cfRule type="cellIs" priority="606" operator="greaterThan" aboveAverage="0" equalAverage="0" bottom="0" percent="0" rank="0" text="" dxfId="8">
      <formula>0</formula>
    </cfRule>
  </conditionalFormatting>
  <conditionalFormatting sqref="H208">
    <cfRule type="cellIs" priority="607" operator="greaterThan" aboveAverage="0" equalAverage="0" bottom="0" percent="0" rank="0" text="" dxfId="8">
      <formula>0</formula>
    </cfRule>
  </conditionalFormatting>
  <conditionalFormatting sqref="C209">
    <cfRule type="cellIs" priority="608" operator="greaterThan" aboveAverage="0" equalAverage="0" bottom="0" percent="0" rank="0" text="" dxfId="8">
      <formula>0</formula>
    </cfRule>
  </conditionalFormatting>
  <conditionalFormatting sqref="G209">
    <cfRule type="cellIs" priority="609" operator="greaterThan" aboveAverage="0" equalAverage="0" bottom="0" percent="0" rank="0" text="" dxfId="8">
      <formula>0</formula>
    </cfRule>
  </conditionalFormatting>
  <conditionalFormatting sqref="H209">
    <cfRule type="cellIs" priority="610" operator="greaterThan" aboveAverage="0" equalAverage="0" bottom="0" percent="0" rank="0" text="" dxfId="8">
      <formula>0</formula>
    </cfRule>
  </conditionalFormatting>
  <conditionalFormatting sqref="C210">
    <cfRule type="cellIs" priority="611" operator="greaterThan" aboveAverage="0" equalAverage="0" bottom="0" percent="0" rank="0" text="" dxfId="8">
      <formula>0</formula>
    </cfRule>
  </conditionalFormatting>
  <conditionalFormatting sqref="G210">
    <cfRule type="cellIs" priority="612" operator="greaterThan" aboveAverage="0" equalAverage="0" bottom="0" percent="0" rank="0" text="" dxfId="8">
      <formula>0</formula>
    </cfRule>
  </conditionalFormatting>
  <conditionalFormatting sqref="H210">
    <cfRule type="cellIs" priority="613" operator="greaterThan" aboveAverage="0" equalAverage="0" bottom="0" percent="0" rank="0" text="" dxfId="8">
      <formula>0</formula>
    </cfRule>
  </conditionalFormatting>
  <conditionalFormatting sqref="C211">
    <cfRule type="cellIs" priority="614" operator="greaterThan" aboveAverage="0" equalAverage="0" bottom="0" percent="0" rank="0" text="" dxfId="8">
      <formula>0</formula>
    </cfRule>
  </conditionalFormatting>
  <conditionalFormatting sqref="G211">
    <cfRule type="cellIs" priority="615" operator="greaterThan" aboveAverage="0" equalAverage="0" bottom="0" percent="0" rank="0" text="" dxfId="8">
      <formula>0</formula>
    </cfRule>
  </conditionalFormatting>
  <conditionalFormatting sqref="H211">
    <cfRule type="cellIs" priority="616" operator="greaterThan" aboveAverage="0" equalAverage="0" bottom="0" percent="0" rank="0" text="" dxfId="8">
      <formula>0</formula>
    </cfRule>
  </conditionalFormatting>
  <conditionalFormatting sqref="C212">
    <cfRule type="cellIs" priority="617" operator="greaterThan" aboveAverage="0" equalAverage="0" bottom="0" percent="0" rank="0" text="" dxfId="8">
      <formula>0</formula>
    </cfRule>
  </conditionalFormatting>
  <conditionalFormatting sqref="G212">
    <cfRule type="cellIs" priority="618" operator="greaterThan" aboveAverage="0" equalAverage="0" bottom="0" percent="0" rank="0" text="" dxfId="8">
      <formula>0</formula>
    </cfRule>
  </conditionalFormatting>
  <conditionalFormatting sqref="H212">
    <cfRule type="cellIs" priority="619" operator="greaterThan" aboveAverage="0" equalAverage="0" bottom="0" percent="0" rank="0" text="" dxfId="8">
      <formula>0</formula>
    </cfRule>
  </conditionalFormatting>
  <conditionalFormatting sqref="C213">
    <cfRule type="cellIs" priority="620" operator="greaterThan" aboveAverage="0" equalAverage="0" bottom="0" percent="0" rank="0" text="" dxfId="8">
      <formula>0</formula>
    </cfRule>
  </conditionalFormatting>
  <conditionalFormatting sqref="G213">
    <cfRule type="cellIs" priority="621" operator="greaterThan" aboveAverage="0" equalAverage="0" bottom="0" percent="0" rank="0" text="" dxfId="8">
      <formula>0</formula>
    </cfRule>
  </conditionalFormatting>
  <conditionalFormatting sqref="H213">
    <cfRule type="cellIs" priority="622" operator="greaterThan" aboveAverage="0" equalAverage="0" bottom="0" percent="0" rank="0" text="" dxfId="8">
      <formula>0</formula>
    </cfRule>
  </conditionalFormatting>
  <conditionalFormatting sqref="C214">
    <cfRule type="cellIs" priority="623" operator="greaterThan" aboveAverage="0" equalAverage="0" bottom="0" percent="0" rank="0" text="" dxfId="8">
      <formula>0</formula>
    </cfRule>
  </conditionalFormatting>
  <conditionalFormatting sqref="G214">
    <cfRule type="cellIs" priority="624" operator="greaterThan" aboveAverage="0" equalAverage="0" bottom="0" percent="0" rank="0" text="" dxfId="8">
      <formula>0</formula>
    </cfRule>
  </conditionalFormatting>
  <conditionalFormatting sqref="H214">
    <cfRule type="cellIs" priority="625" operator="greaterThan" aboveAverage="0" equalAverage="0" bottom="0" percent="0" rank="0" text="" dxfId="8">
      <formula>0</formula>
    </cfRule>
  </conditionalFormatting>
  <conditionalFormatting sqref="C215">
    <cfRule type="cellIs" priority="626" operator="greaterThan" aboveAverage="0" equalAverage="0" bottom="0" percent="0" rank="0" text="" dxfId="8">
      <formula>0</formula>
    </cfRule>
  </conditionalFormatting>
  <conditionalFormatting sqref="G215">
    <cfRule type="cellIs" priority="627" operator="greaterThan" aboveAverage="0" equalAverage="0" bottom="0" percent="0" rank="0" text="" dxfId="8">
      <formula>0</formula>
    </cfRule>
  </conditionalFormatting>
  <conditionalFormatting sqref="H215">
    <cfRule type="cellIs" priority="628" operator="greaterThan" aboveAverage="0" equalAverage="0" bottom="0" percent="0" rank="0" text="" dxfId="8">
      <formula>0</formula>
    </cfRule>
  </conditionalFormatting>
  <conditionalFormatting sqref="C216">
    <cfRule type="cellIs" priority="629" operator="greaterThan" aboveAverage="0" equalAverage="0" bottom="0" percent="0" rank="0" text="" dxfId="8">
      <formula>0</formula>
    </cfRule>
  </conditionalFormatting>
  <conditionalFormatting sqref="G216">
    <cfRule type="cellIs" priority="630" operator="greaterThan" aboveAverage="0" equalAverage="0" bottom="0" percent="0" rank="0" text="" dxfId="8">
      <formula>0</formula>
    </cfRule>
  </conditionalFormatting>
  <conditionalFormatting sqref="H216">
    <cfRule type="cellIs" priority="631" operator="greaterThan" aboveAverage="0" equalAverage="0" bottom="0" percent="0" rank="0" text="" dxfId="8">
      <formula>0</formula>
    </cfRule>
  </conditionalFormatting>
  <conditionalFormatting sqref="C217">
    <cfRule type="cellIs" priority="632" operator="greaterThan" aboveAverage="0" equalAverage="0" bottom="0" percent="0" rank="0" text="" dxfId="8">
      <formula>0</formula>
    </cfRule>
  </conditionalFormatting>
  <conditionalFormatting sqref="G217">
    <cfRule type="cellIs" priority="633" operator="greaterThan" aboveAverage="0" equalAverage="0" bottom="0" percent="0" rank="0" text="" dxfId="8">
      <formula>0</formula>
    </cfRule>
  </conditionalFormatting>
  <conditionalFormatting sqref="H217">
    <cfRule type="cellIs" priority="634" operator="greaterThan" aboveAverage="0" equalAverage="0" bottom="0" percent="0" rank="0" text="" dxfId="8">
      <formula>0</formula>
    </cfRule>
  </conditionalFormatting>
  <conditionalFormatting sqref="C218">
    <cfRule type="cellIs" priority="635" operator="greaterThan" aboveAverage="0" equalAverage="0" bottom="0" percent="0" rank="0" text="" dxfId="8">
      <formula>0</formula>
    </cfRule>
  </conditionalFormatting>
  <conditionalFormatting sqref="G218">
    <cfRule type="cellIs" priority="636" operator="greaterThan" aboveAverage="0" equalAverage="0" bottom="0" percent="0" rank="0" text="" dxfId="8">
      <formula>0</formula>
    </cfRule>
  </conditionalFormatting>
  <conditionalFormatting sqref="H218">
    <cfRule type="cellIs" priority="637" operator="greaterThan" aboveAverage="0" equalAverage="0" bottom="0" percent="0" rank="0" text="" dxfId="8">
      <formula>0</formula>
    </cfRule>
  </conditionalFormatting>
  <conditionalFormatting sqref="C219">
    <cfRule type="cellIs" priority="638" operator="greaterThan" aboveAverage="0" equalAverage="0" bottom="0" percent="0" rank="0" text="" dxfId="8">
      <formula>0</formula>
    </cfRule>
  </conditionalFormatting>
  <conditionalFormatting sqref="G219">
    <cfRule type="cellIs" priority="639" operator="greaterThan" aboveAverage="0" equalAverage="0" bottom="0" percent="0" rank="0" text="" dxfId="8">
      <formula>0</formula>
    </cfRule>
  </conditionalFormatting>
  <conditionalFormatting sqref="H219">
    <cfRule type="cellIs" priority="640" operator="greaterThan" aboveAverage="0" equalAverage="0" bottom="0" percent="0" rank="0" text="" dxfId="8">
      <formula>0</formula>
    </cfRule>
  </conditionalFormatting>
  <conditionalFormatting sqref="C220">
    <cfRule type="cellIs" priority="641" operator="greaterThan" aboveAverage="0" equalAverage="0" bottom="0" percent="0" rank="0" text="" dxfId="8">
      <formula>0</formula>
    </cfRule>
  </conditionalFormatting>
  <conditionalFormatting sqref="G220">
    <cfRule type="cellIs" priority="642" operator="greaterThan" aboveAverage="0" equalAverage="0" bottom="0" percent="0" rank="0" text="" dxfId="8">
      <formula>0</formula>
    </cfRule>
  </conditionalFormatting>
  <conditionalFormatting sqref="H220">
    <cfRule type="cellIs" priority="643" operator="greaterThan" aboveAverage="0" equalAverage="0" bottom="0" percent="0" rank="0" text="" dxfId="8">
      <formula>0</formula>
    </cfRule>
  </conditionalFormatting>
  <conditionalFormatting sqref="C221">
    <cfRule type="cellIs" priority="644" operator="greaterThan" aboveAverage="0" equalAverage="0" bottom="0" percent="0" rank="0" text="" dxfId="8">
      <formula>0</formula>
    </cfRule>
  </conditionalFormatting>
  <conditionalFormatting sqref="G221">
    <cfRule type="cellIs" priority="645" operator="greaterThan" aboveAverage="0" equalAverage="0" bottom="0" percent="0" rank="0" text="" dxfId="8">
      <formula>0</formula>
    </cfRule>
  </conditionalFormatting>
  <conditionalFormatting sqref="H221">
    <cfRule type="cellIs" priority="646" operator="greaterThan" aboveAverage="0" equalAverage="0" bottom="0" percent="0" rank="0" text="" dxfId="8">
      <formula>0</formula>
    </cfRule>
  </conditionalFormatting>
  <conditionalFormatting sqref="C222">
    <cfRule type="cellIs" priority="647" operator="greaterThan" aboveAverage="0" equalAverage="0" bottom="0" percent="0" rank="0" text="" dxfId="8">
      <formula>0</formula>
    </cfRule>
  </conditionalFormatting>
  <conditionalFormatting sqref="G222">
    <cfRule type="cellIs" priority="648" operator="greaterThan" aboveAverage="0" equalAverage="0" bottom="0" percent="0" rank="0" text="" dxfId="8">
      <formula>0</formula>
    </cfRule>
  </conditionalFormatting>
  <conditionalFormatting sqref="H222">
    <cfRule type="cellIs" priority="649" operator="greaterThan" aboveAverage="0" equalAverage="0" bottom="0" percent="0" rank="0" text="" dxfId="8">
      <formula>0</formula>
    </cfRule>
  </conditionalFormatting>
  <conditionalFormatting sqref="C223">
    <cfRule type="cellIs" priority="650" operator="greaterThan" aboveAverage="0" equalAverage="0" bottom="0" percent="0" rank="0" text="" dxfId="8">
      <formula>0</formula>
    </cfRule>
  </conditionalFormatting>
  <conditionalFormatting sqref="G223">
    <cfRule type="cellIs" priority="651" operator="greaterThan" aboveAverage="0" equalAverage="0" bottom="0" percent="0" rank="0" text="" dxfId="8">
      <formula>0</formula>
    </cfRule>
  </conditionalFormatting>
  <conditionalFormatting sqref="H223">
    <cfRule type="cellIs" priority="652" operator="greaterThan" aboveAverage="0" equalAverage="0" bottom="0" percent="0" rank="0" text="" dxfId="8">
      <formula>0</formula>
    </cfRule>
  </conditionalFormatting>
  <conditionalFormatting sqref="C224">
    <cfRule type="cellIs" priority="653" operator="greaterThan" aboveAverage="0" equalAverage="0" bottom="0" percent="0" rank="0" text="" dxfId="8">
      <formula>0</formula>
    </cfRule>
  </conditionalFormatting>
  <conditionalFormatting sqref="G224">
    <cfRule type="cellIs" priority="654" operator="greaterThan" aboveAverage="0" equalAverage="0" bottom="0" percent="0" rank="0" text="" dxfId="8">
      <formula>0</formula>
    </cfRule>
  </conditionalFormatting>
  <conditionalFormatting sqref="H224">
    <cfRule type="cellIs" priority="655" operator="greaterThan" aboveAverage="0" equalAverage="0" bottom="0" percent="0" rank="0" text="" dxfId="8">
      <formula>0</formula>
    </cfRule>
  </conditionalFormatting>
  <conditionalFormatting sqref="C225">
    <cfRule type="cellIs" priority="656" operator="greaterThan" aboveAverage="0" equalAverage="0" bottom="0" percent="0" rank="0" text="" dxfId="8">
      <formula>0</formula>
    </cfRule>
  </conditionalFormatting>
  <conditionalFormatting sqref="G225">
    <cfRule type="cellIs" priority="657" operator="greaterThan" aboveAverage="0" equalAverage="0" bottom="0" percent="0" rank="0" text="" dxfId="8">
      <formula>0</formula>
    </cfRule>
  </conditionalFormatting>
  <conditionalFormatting sqref="H225">
    <cfRule type="cellIs" priority="658" operator="greaterThan" aboveAverage="0" equalAverage="0" bottom="0" percent="0" rank="0" text="" dxfId="8">
      <formula>0</formula>
    </cfRule>
  </conditionalFormatting>
  <conditionalFormatting sqref="C226">
    <cfRule type="cellIs" priority="659" operator="greaterThan" aboveAverage="0" equalAverage="0" bottom="0" percent="0" rank="0" text="" dxfId="8">
      <formula>0</formula>
    </cfRule>
  </conditionalFormatting>
  <conditionalFormatting sqref="G226">
    <cfRule type="cellIs" priority="660" operator="greaterThan" aboveAverage="0" equalAverage="0" bottom="0" percent="0" rank="0" text="" dxfId="8">
      <formula>0</formula>
    </cfRule>
  </conditionalFormatting>
  <conditionalFormatting sqref="H226">
    <cfRule type="cellIs" priority="661" operator="greaterThan" aboveAverage="0" equalAverage="0" bottom="0" percent="0" rank="0" text="" dxfId="8">
      <formula>0</formula>
    </cfRule>
  </conditionalFormatting>
  <conditionalFormatting sqref="C227">
    <cfRule type="cellIs" priority="662" operator="greaterThan" aboveAverage="0" equalAverage="0" bottom="0" percent="0" rank="0" text="" dxfId="8">
      <formula>0</formula>
    </cfRule>
  </conditionalFormatting>
  <conditionalFormatting sqref="G227">
    <cfRule type="cellIs" priority="663" operator="greaterThan" aboveAverage="0" equalAverage="0" bottom="0" percent="0" rank="0" text="" dxfId="8">
      <formula>0</formula>
    </cfRule>
  </conditionalFormatting>
  <conditionalFormatting sqref="H227">
    <cfRule type="cellIs" priority="664" operator="greaterThan" aboveAverage="0" equalAverage="0" bottom="0" percent="0" rank="0" text="" dxfId="8">
      <formula>0</formula>
    </cfRule>
  </conditionalFormatting>
  <conditionalFormatting sqref="C228">
    <cfRule type="cellIs" priority="665" operator="greaterThan" aboveAverage="0" equalAverage="0" bottom="0" percent="0" rank="0" text="" dxfId="8">
      <formula>0</formula>
    </cfRule>
  </conditionalFormatting>
  <conditionalFormatting sqref="G228">
    <cfRule type="cellIs" priority="666" operator="greaterThan" aboveAverage="0" equalAverage="0" bottom="0" percent="0" rank="0" text="" dxfId="8">
      <formula>0</formula>
    </cfRule>
  </conditionalFormatting>
  <conditionalFormatting sqref="H228">
    <cfRule type="cellIs" priority="667" operator="greaterThan" aboveAverage="0" equalAverage="0" bottom="0" percent="0" rank="0" text="" dxfId="8">
      <formula>0</formula>
    </cfRule>
  </conditionalFormatting>
  <conditionalFormatting sqref="C229">
    <cfRule type="cellIs" priority="668" operator="greaterThan" aboveAverage="0" equalAverage="0" bottom="0" percent="0" rank="0" text="" dxfId="8">
      <formula>0</formula>
    </cfRule>
  </conditionalFormatting>
  <conditionalFormatting sqref="G229">
    <cfRule type="cellIs" priority="669" operator="greaterThan" aboveAverage="0" equalAverage="0" bottom="0" percent="0" rank="0" text="" dxfId="8">
      <formula>0</formula>
    </cfRule>
  </conditionalFormatting>
  <conditionalFormatting sqref="H229">
    <cfRule type="cellIs" priority="670" operator="greaterThan" aboveAverage="0" equalAverage="0" bottom="0" percent="0" rank="0" text="" dxfId="8">
      <formula>0</formula>
    </cfRule>
  </conditionalFormatting>
  <conditionalFormatting sqref="C230">
    <cfRule type="cellIs" priority="671" operator="greaterThan" aboveAverage="0" equalAverage="0" bottom="0" percent="0" rank="0" text="" dxfId="8">
      <formula>0</formula>
    </cfRule>
  </conditionalFormatting>
  <conditionalFormatting sqref="G230">
    <cfRule type="cellIs" priority="672" operator="greaterThan" aboveAverage="0" equalAverage="0" bottom="0" percent="0" rank="0" text="" dxfId="8">
      <formula>0</formula>
    </cfRule>
  </conditionalFormatting>
  <conditionalFormatting sqref="H230">
    <cfRule type="cellIs" priority="673" operator="greaterThan" aboveAverage="0" equalAverage="0" bottom="0" percent="0" rank="0" text="" dxfId="8">
      <formula>0</formula>
    </cfRule>
  </conditionalFormatting>
  <conditionalFormatting sqref="C231">
    <cfRule type="cellIs" priority="674" operator="greaterThan" aboveAverage="0" equalAverage="0" bottom="0" percent="0" rank="0" text="" dxfId="8">
      <formula>0</formula>
    </cfRule>
  </conditionalFormatting>
  <conditionalFormatting sqref="G231">
    <cfRule type="cellIs" priority="675" operator="greaterThan" aboveAverage="0" equalAverage="0" bottom="0" percent="0" rank="0" text="" dxfId="8">
      <formula>0</formula>
    </cfRule>
  </conditionalFormatting>
  <conditionalFormatting sqref="H231">
    <cfRule type="cellIs" priority="676" operator="greaterThan" aboveAverage="0" equalAverage="0" bottom="0" percent="0" rank="0" text="" dxfId="8">
      <formula>0</formula>
    </cfRule>
  </conditionalFormatting>
  <conditionalFormatting sqref="C232">
    <cfRule type="cellIs" priority="677" operator="greaterThan" aboveAverage="0" equalAverage="0" bottom="0" percent="0" rank="0" text="" dxfId="8">
      <formula>0</formula>
    </cfRule>
  </conditionalFormatting>
  <conditionalFormatting sqref="G232">
    <cfRule type="cellIs" priority="678" operator="greaterThan" aboveAverage="0" equalAverage="0" bottom="0" percent="0" rank="0" text="" dxfId="8">
      <formula>0</formula>
    </cfRule>
  </conditionalFormatting>
  <conditionalFormatting sqref="H232">
    <cfRule type="cellIs" priority="679" operator="greaterThan" aboveAverage="0" equalAverage="0" bottom="0" percent="0" rank="0" text="" dxfId="8">
      <formula>0</formula>
    </cfRule>
  </conditionalFormatting>
  <conditionalFormatting sqref="C233">
    <cfRule type="cellIs" priority="680" operator="greaterThan" aboveAverage="0" equalAverage="0" bottom="0" percent="0" rank="0" text="" dxfId="8">
      <formula>0</formula>
    </cfRule>
  </conditionalFormatting>
  <conditionalFormatting sqref="G233">
    <cfRule type="cellIs" priority="681" operator="greaterThan" aboveAverage="0" equalAverage="0" bottom="0" percent="0" rank="0" text="" dxfId="8">
      <formula>0</formula>
    </cfRule>
  </conditionalFormatting>
  <conditionalFormatting sqref="H233">
    <cfRule type="cellIs" priority="682" operator="greaterThan" aboveAverage="0" equalAverage="0" bottom="0" percent="0" rank="0" text="" dxfId="8">
      <formula>0</formula>
    </cfRule>
  </conditionalFormatting>
  <conditionalFormatting sqref="C234">
    <cfRule type="cellIs" priority="683" operator="greaterThan" aboveAverage="0" equalAverage="0" bottom="0" percent="0" rank="0" text="" dxfId="8">
      <formula>0</formula>
    </cfRule>
  </conditionalFormatting>
  <conditionalFormatting sqref="G234">
    <cfRule type="cellIs" priority="684" operator="greaterThan" aboveAverage="0" equalAverage="0" bottom="0" percent="0" rank="0" text="" dxfId="8">
      <formula>0</formula>
    </cfRule>
  </conditionalFormatting>
  <conditionalFormatting sqref="H234">
    <cfRule type="cellIs" priority="685" operator="greaterThan" aboveAverage="0" equalAverage="0" bottom="0" percent="0" rank="0" text="" dxfId="8">
      <formula>0</formula>
    </cfRule>
  </conditionalFormatting>
  <conditionalFormatting sqref="C235">
    <cfRule type="cellIs" priority="686" operator="greaterThan" aboveAverage="0" equalAverage="0" bottom="0" percent="0" rank="0" text="" dxfId="8">
      <formula>0</formula>
    </cfRule>
  </conditionalFormatting>
  <conditionalFormatting sqref="G235">
    <cfRule type="cellIs" priority="687" operator="greaterThan" aboveAverage="0" equalAverage="0" bottom="0" percent="0" rank="0" text="" dxfId="8">
      <formula>0</formula>
    </cfRule>
  </conditionalFormatting>
  <conditionalFormatting sqref="H235">
    <cfRule type="cellIs" priority="688" operator="greaterThan" aboveAverage="0" equalAverage="0" bottom="0" percent="0" rank="0" text="" dxfId="8">
      <formula>0</formula>
    </cfRule>
  </conditionalFormatting>
  <conditionalFormatting sqref="C236">
    <cfRule type="cellIs" priority="689" operator="greaterThan" aboveAverage="0" equalAverage="0" bottom="0" percent="0" rank="0" text="" dxfId="8">
      <formula>0</formula>
    </cfRule>
  </conditionalFormatting>
  <conditionalFormatting sqref="G236">
    <cfRule type="cellIs" priority="690" operator="greaterThan" aboveAverage="0" equalAverage="0" bottom="0" percent="0" rank="0" text="" dxfId="8">
      <formula>0</formula>
    </cfRule>
  </conditionalFormatting>
  <conditionalFormatting sqref="H236">
    <cfRule type="cellIs" priority="691" operator="greaterThan" aboveAverage="0" equalAverage="0" bottom="0" percent="0" rank="0" text="" dxfId="8">
      <formula>0</formula>
    </cfRule>
  </conditionalFormatting>
  <conditionalFormatting sqref="C237">
    <cfRule type="cellIs" priority="692" operator="greaterThan" aboveAverage="0" equalAverage="0" bottom="0" percent="0" rank="0" text="" dxfId="8">
      <formula>0</formula>
    </cfRule>
  </conditionalFormatting>
  <conditionalFormatting sqref="G237">
    <cfRule type="cellIs" priority="693" operator="greaterThan" aboveAverage="0" equalAverage="0" bottom="0" percent="0" rank="0" text="" dxfId="8">
      <formula>0</formula>
    </cfRule>
  </conditionalFormatting>
  <conditionalFormatting sqref="H237">
    <cfRule type="cellIs" priority="694" operator="greaterThan" aboveAverage="0" equalAverage="0" bottom="0" percent="0" rank="0" text="" dxfId="8">
      <formula>0</formula>
    </cfRule>
  </conditionalFormatting>
  <conditionalFormatting sqref="C238">
    <cfRule type="cellIs" priority="695" operator="greaterThan" aboveAverage="0" equalAverage="0" bottom="0" percent="0" rank="0" text="" dxfId="8">
      <formula>0</formula>
    </cfRule>
  </conditionalFormatting>
  <conditionalFormatting sqref="G238">
    <cfRule type="cellIs" priority="696" operator="greaterThan" aboveAverage="0" equalAverage="0" bottom="0" percent="0" rank="0" text="" dxfId="8">
      <formula>0</formula>
    </cfRule>
  </conditionalFormatting>
  <conditionalFormatting sqref="H238">
    <cfRule type="cellIs" priority="697" operator="greaterThan" aboveAverage="0" equalAverage="0" bottom="0" percent="0" rank="0" text="" dxfId="8">
      <formula>0</formula>
    </cfRule>
  </conditionalFormatting>
  <conditionalFormatting sqref="C239">
    <cfRule type="cellIs" priority="698" operator="greaterThan" aboveAverage="0" equalAverage="0" bottom="0" percent="0" rank="0" text="" dxfId="8">
      <formula>0</formula>
    </cfRule>
  </conditionalFormatting>
  <conditionalFormatting sqref="G239">
    <cfRule type="cellIs" priority="699" operator="greaterThan" aboveAverage="0" equalAverage="0" bottom="0" percent="0" rank="0" text="" dxfId="8">
      <formula>0</formula>
    </cfRule>
  </conditionalFormatting>
  <conditionalFormatting sqref="H239">
    <cfRule type="cellIs" priority="700" operator="greaterThan" aboveAverage="0" equalAverage="0" bottom="0" percent="0" rank="0" text="" dxfId="8">
      <formula>0</formula>
    </cfRule>
  </conditionalFormatting>
  <conditionalFormatting sqref="C240">
    <cfRule type="cellIs" priority="701" operator="greaterThan" aboveAverage="0" equalAverage="0" bottom="0" percent="0" rank="0" text="" dxfId="8">
      <formula>0</formula>
    </cfRule>
  </conditionalFormatting>
  <conditionalFormatting sqref="G240">
    <cfRule type="cellIs" priority="702" operator="greaterThan" aboveAverage="0" equalAverage="0" bottom="0" percent="0" rank="0" text="" dxfId="8">
      <formula>0</formula>
    </cfRule>
  </conditionalFormatting>
  <conditionalFormatting sqref="H240">
    <cfRule type="cellIs" priority="703" operator="greaterThan" aboveAverage="0" equalAverage="0" bottom="0" percent="0" rank="0" text="" dxfId="8">
      <formula>0</formula>
    </cfRule>
  </conditionalFormatting>
  <conditionalFormatting sqref="C241">
    <cfRule type="cellIs" priority="704" operator="greaterThan" aboveAverage="0" equalAverage="0" bottom="0" percent="0" rank="0" text="" dxfId="8">
      <formula>0</formula>
    </cfRule>
  </conditionalFormatting>
  <conditionalFormatting sqref="G241">
    <cfRule type="cellIs" priority="705" operator="greaterThan" aboveAverage="0" equalAverage="0" bottom="0" percent="0" rank="0" text="" dxfId="8">
      <formula>0</formula>
    </cfRule>
  </conditionalFormatting>
  <conditionalFormatting sqref="H241">
    <cfRule type="cellIs" priority="706" operator="greaterThan" aboveAverage="0" equalAverage="0" bottom="0" percent="0" rank="0" text="" dxfId="8">
      <formula>0</formula>
    </cfRule>
  </conditionalFormatting>
  <conditionalFormatting sqref="C242">
    <cfRule type="cellIs" priority="707" operator="greaterThan" aboveAverage="0" equalAverage="0" bottom="0" percent="0" rank="0" text="" dxfId="8">
      <formula>0</formula>
    </cfRule>
  </conditionalFormatting>
  <conditionalFormatting sqref="G242">
    <cfRule type="cellIs" priority="708" operator="greaterThan" aboveAverage="0" equalAverage="0" bottom="0" percent="0" rank="0" text="" dxfId="8">
      <formula>0</formula>
    </cfRule>
  </conditionalFormatting>
  <conditionalFormatting sqref="H242">
    <cfRule type="cellIs" priority="709" operator="greaterThan" aboveAverage="0" equalAverage="0" bottom="0" percent="0" rank="0" text="" dxfId="8">
      <formula>0</formula>
    </cfRule>
  </conditionalFormatting>
  <conditionalFormatting sqref="C243">
    <cfRule type="cellIs" priority="710" operator="greaterThan" aboveAverage="0" equalAverage="0" bottom="0" percent="0" rank="0" text="" dxfId="8">
      <formula>0</formula>
    </cfRule>
  </conditionalFormatting>
  <conditionalFormatting sqref="G243">
    <cfRule type="cellIs" priority="711" operator="greaterThan" aboveAverage="0" equalAverage="0" bottom="0" percent="0" rank="0" text="" dxfId="8">
      <formula>0</formula>
    </cfRule>
  </conditionalFormatting>
  <conditionalFormatting sqref="H243">
    <cfRule type="cellIs" priority="712" operator="greaterThan" aboveAverage="0" equalAverage="0" bottom="0" percent="0" rank="0" text="" dxfId="8">
      <formula>0</formula>
    </cfRule>
  </conditionalFormatting>
  <conditionalFormatting sqref="C244">
    <cfRule type="cellIs" priority="713" operator="greaterThan" aboveAverage="0" equalAverage="0" bottom="0" percent="0" rank="0" text="" dxfId="8">
      <formula>0</formula>
    </cfRule>
  </conditionalFormatting>
  <conditionalFormatting sqref="G244">
    <cfRule type="cellIs" priority="714" operator="greaterThan" aboveAverage="0" equalAverage="0" bottom="0" percent="0" rank="0" text="" dxfId="8">
      <formula>0</formula>
    </cfRule>
  </conditionalFormatting>
  <conditionalFormatting sqref="H244">
    <cfRule type="cellIs" priority="715" operator="greaterThan" aboveAverage="0" equalAverage="0" bottom="0" percent="0" rank="0" text="" dxfId="8">
      <formula>0</formula>
    </cfRule>
  </conditionalFormatting>
  <conditionalFormatting sqref="C245">
    <cfRule type="cellIs" priority="716" operator="greaterThan" aboveAverage="0" equalAverage="0" bottom="0" percent="0" rank="0" text="" dxfId="8">
      <formula>0</formula>
    </cfRule>
  </conditionalFormatting>
  <conditionalFormatting sqref="G245">
    <cfRule type="cellIs" priority="717" operator="greaterThan" aboveAverage="0" equalAverage="0" bottom="0" percent="0" rank="0" text="" dxfId="8">
      <formula>0</formula>
    </cfRule>
  </conditionalFormatting>
  <conditionalFormatting sqref="H245">
    <cfRule type="cellIs" priority="718" operator="greaterThan" aboveAverage="0" equalAverage="0" bottom="0" percent="0" rank="0" text="" dxfId="8">
      <formula>0</formula>
    </cfRule>
  </conditionalFormatting>
  <conditionalFormatting sqref="C246">
    <cfRule type="cellIs" priority="719" operator="greaterThan" aboveAverage="0" equalAverage="0" bottom="0" percent="0" rank="0" text="" dxfId="8">
      <formula>0</formula>
    </cfRule>
  </conditionalFormatting>
  <conditionalFormatting sqref="G246">
    <cfRule type="cellIs" priority="720" operator="greaterThan" aboveAverage="0" equalAverage="0" bottom="0" percent="0" rank="0" text="" dxfId="8">
      <formula>0</formula>
    </cfRule>
  </conditionalFormatting>
  <conditionalFormatting sqref="H246">
    <cfRule type="cellIs" priority="721" operator="greaterThan" aboveAverage="0" equalAverage="0" bottom="0" percent="0" rank="0" text="" dxfId="8">
      <formula>0</formula>
    </cfRule>
  </conditionalFormatting>
  <conditionalFormatting sqref="C247">
    <cfRule type="cellIs" priority="722" operator="greaterThan" aboveAverage="0" equalAverage="0" bottom="0" percent="0" rank="0" text="" dxfId="8">
      <formula>0</formula>
    </cfRule>
  </conditionalFormatting>
  <conditionalFormatting sqref="G247">
    <cfRule type="cellIs" priority="723" operator="greaterThan" aboveAverage="0" equalAverage="0" bottom="0" percent="0" rank="0" text="" dxfId="8">
      <formula>0</formula>
    </cfRule>
  </conditionalFormatting>
  <conditionalFormatting sqref="H247">
    <cfRule type="cellIs" priority="724" operator="greaterThan" aboveAverage="0" equalAverage="0" bottom="0" percent="0" rank="0" text="" dxfId="8">
      <formula>0</formula>
    </cfRule>
  </conditionalFormatting>
  <conditionalFormatting sqref="C248">
    <cfRule type="cellIs" priority="725" operator="greaterThan" aboveAverage="0" equalAverage="0" bottom="0" percent="0" rank="0" text="" dxfId="8">
      <formula>0</formula>
    </cfRule>
  </conditionalFormatting>
  <conditionalFormatting sqref="G248">
    <cfRule type="cellIs" priority="726" operator="greaterThan" aboveAverage="0" equalAverage="0" bottom="0" percent="0" rank="0" text="" dxfId="8">
      <formula>0</formula>
    </cfRule>
  </conditionalFormatting>
  <conditionalFormatting sqref="H248">
    <cfRule type="cellIs" priority="727" operator="greaterThan" aboveAverage="0" equalAverage="0" bottom="0" percent="0" rank="0" text="" dxfId="8">
      <formula>0</formula>
    </cfRule>
  </conditionalFormatting>
  <conditionalFormatting sqref="C249">
    <cfRule type="cellIs" priority="728" operator="greaterThan" aboveAverage="0" equalAverage="0" bottom="0" percent="0" rank="0" text="" dxfId="8">
      <formula>0</formula>
    </cfRule>
  </conditionalFormatting>
  <conditionalFormatting sqref="G249">
    <cfRule type="cellIs" priority="729" operator="greaterThan" aboveAverage="0" equalAverage="0" bottom="0" percent="0" rank="0" text="" dxfId="8">
      <formula>0</formula>
    </cfRule>
  </conditionalFormatting>
  <conditionalFormatting sqref="H249">
    <cfRule type="cellIs" priority="730" operator="greaterThan" aboveAverage="0" equalAverage="0" bottom="0" percent="0" rank="0" text="" dxfId="8">
      <formula>0</formula>
    </cfRule>
  </conditionalFormatting>
  <conditionalFormatting sqref="C250">
    <cfRule type="cellIs" priority="731" operator="greaterThan" aboveAverage="0" equalAverage="0" bottom="0" percent="0" rank="0" text="" dxfId="8">
      <formula>0</formula>
    </cfRule>
  </conditionalFormatting>
  <conditionalFormatting sqref="G250">
    <cfRule type="cellIs" priority="732" operator="greaterThan" aboveAverage="0" equalAverage="0" bottom="0" percent="0" rank="0" text="" dxfId="8">
      <formula>0</formula>
    </cfRule>
  </conditionalFormatting>
  <conditionalFormatting sqref="H250">
    <cfRule type="cellIs" priority="733" operator="greaterThan" aboveAverage="0" equalAverage="0" bottom="0" percent="0" rank="0" text="" dxfId="8">
      <formula>0</formula>
    </cfRule>
  </conditionalFormatting>
  <conditionalFormatting sqref="C251">
    <cfRule type="cellIs" priority="734" operator="greaterThan" aboveAverage="0" equalAverage="0" bottom="0" percent="0" rank="0" text="" dxfId="8">
      <formula>0</formula>
    </cfRule>
  </conditionalFormatting>
  <conditionalFormatting sqref="G251">
    <cfRule type="cellIs" priority="735" operator="greaterThan" aboveAverage="0" equalAverage="0" bottom="0" percent="0" rank="0" text="" dxfId="8">
      <formula>0</formula>
    </cfRule>
  </conditionalFormatting>
  <conditionalFormatting sqref="H251">
    <cfRule type="cellIs" priority="736" operator="greaterThan" aboveAverage="0" equalAverage="0" bottom="0" percent="0" rank="0" text="" dxfId="8">
      <formula>0</formula>
    </cfRule>
  </conditionalFormatting>
  <conditionalFormatting sqref="C252">
    <cfRule type="cellIs" priority="737" operator="greaterThan" aboveAverage="0" equalAverage="0" bottom="0" percent="0" rank="0" text="" dxfId="8">
      <formula>0</formula>
    </cfRule>
  </conditionalFormatting>
  <conditionalFormatting sqref="G252">
    <cfRule type="cellIs" priority="738" operator="greaterThan" aboveAverage="0" equalAverage="0" bottom="0" percent="0" rank="0" text="" dxfId="8">
      <formula>0</formula>
    </cfRule>
  </conditionalFormatting>
  <conditionalFormatting sqref="H252">
    <cfRule type="cellIs" priority="739" operator="greaterThan" aboveAverage="0" equalAverage="0" bottom="0" percent="0" rank="0" text="" dxfId="8">
      <formula>0</formula>
    </cfRule>
  </conditionalFormatting>
  <conditionalFormatting sqref="C253">
    <cfRule type="cellIs" priority="740" operator="greaterThan" aboveAverage="0" equalAverage="0" bottom="0" percent="0" rank="0" text="" dxfId="8">
      <formula>0</formula>
    </cfRule>
  </conditionalFormatting>
  <conditionalFormatting sqref="G253">
    <cfRule type="cellIs" priority="741" operator="greaterThan" aboveAverage="0" equalAverage="0" bottom="0" percent="0" rank="0" text="" dxfId="8">
      <formula>0</formula>
    </cfRule>
  </conditionalFormatting>
  <conditionalFormatting sqref="H253">
    <cfRule type="cellIs" priority="742" operator="greaterThan" aboveAverage="0" equalAverage="0" bottom="0" percent="0" rank="0" text="" dxfId="8">
      <formula>0</formula>
    </cfRule>
  </conditionalFormatting>
  <conditionalFormatting sqref="C254">
    <cfRule type="cellIs" priority="743" operator="greaterThan" aboveAverage="0" equalAverage="0" bottom="0" percent="0" rank="0" text="" dxfId="8">
      <formula>0</formula>
    </cfRule>
  </conditionalFormatting>
  <conditionalFormatting sqref="G254">
    <cfRule type="cellIs" priority="744" operator="greaterThan" aboveAverage="0" equalAverage="0" bottom="0" percent="0" rank="0" text="" dxfId="8">
      <formula>0</formula>
    </cfRule>
  </conditionalFormatting>
  <conditionalFormatting sqref="H254">
    <cfRule type="cellIs" priority="745" operator="greaterThan" aboveAverage="0" equalAverage="0" bottom="0" percent="0" rank="0" text="" dxfId="8">
      <formula>0</formula>
    </cfRule>
  </conditionalFormatting>
  <conditionalFormatting sqref="C255">
    <cfRule type="cellIs" priority="746" operator="greaterThan" aboveAverage="0" equalAverage="0" bottom="0" percent="0" rank="0" text="" dxfId="8">
      <formula>0</formula>
    </cfRule>
  </conditionalFormatting>
  <conditionalFormatting sqref="G255">
    <cfRule type="cellIs" priority="747" operator="greaterThan" aboveAverage="0" equalAverage="0" bottom="0" percent="0" rank="0" text="" dxfId="8">
      <formula>0</formula>
    </cfRule>
  </conditionalFormatting>
  <conditionalFormatting sqref="H255">
    <cfRule type="cellIs" priority="748" operator="greaterThan" aboveAverage="0" equalAverage="0" bottom="0" percent="0" rank="0" text="" dxfId="8">
      <formula>0</formula>
    </cfRule>
  </conditionalFormatting>
  <conditionalFormatting sqref="C256">
    <cfRule type="cellIs" priority="749" operator="greaterThan" aboveAverage="0" equalAverage="0" bottom="0" percent="0" rank="0" text="" dxfId="8">
      <formula>0</formula>
    </cfRule>
  </conditionalFormatting>
  <conditionalFormatting sqref="G256">
    <cfRule type="cellIs" priority="750" operator="greaterThan" aboveAverage="0" equalAverage="0" bottom="0" percent="0" rank="0" text="" dxfId="8">
      <formula>0</formula>
    </cfRule>
  </conditionalFormatting>
  <conditionalFormatting sqref="H256">
    <cfRule type="cellIs" priority="751" operator="greaterThan" aboveAverage="0" equalAverage="0" bottom="0" percent="0" rank="0" text="" dxfId="8">
      <formula>0</formula>
    </cfRule>
  </conditionalFormatting>
  <conditionalFormatting sqref="C257">
    <cfRule type="cellIs" priority="752" operator="greaterThan" aboveAverage="0" equalAverage="0" bottom="0" percent="0" rank="0" text="" dxfId="8">
      <formula>0</formula>
    </cfRule>
  </conditionalFormatting>
  <conditionalFormatting sqref="G257">
    <cfRule type="cellIs" priority="753" operator="greaterThan" aboveAverage="0" equalAverage="0" bottom="0" percent="0" rank="0" text="" dxfId="8">
      <formula>0</formula>
    </cfRule>
  </conditionalFormatting>
  <conditionalFormatting sqref="H257">
    <cfRule type="cellIs" priority="754" operator="greaterThan" aboveAverage="0" equalAverage="0" bottom="0" percent="0" rank="0" text="" dxfId="8">
      <formula>0</formula>
    </cfRule>
  </conditionalFormatting>
  <conditionalFormatting sqref="C258">
    <cfRule type="cellIs" priority="755" operator="greaterThan" aboveAverage="0" equalAverage="0" bottom="0" percent="0" rank="0" text="" dxfId="8">
      <formula>0</formula>
    </cfRule>
  </conditionalFormatting>
  <conditionalFormatting sqref="G258">
    <cfRule type="cellIs" priority="756" operator="greaterThan" aboveAverage="0" equalAverage="0" bottom="0" percent="0" rank="0" text="" dxfId="8">
      <formula>0</formula>
    </cfRule>
  </conditionalFormatting>
  <conditionalFormatting sqref="H258">
    <cfRule type="cellIs" priority="757" operator="greaterThan" aboveAverage="0" equalAverage="0" bottom="0" percent="0" rank="0" text="" dxfId="8">
      <formula>0</formula>
    </cfRule>
  </conditionalFormatting>
  <conditionalFormatting sqref="C259">
    <cfRule type="cellIs" priority="758" operator="greaterThan" aboveAverage="0" equalAverage="0" bottom="0" percent="0" rank="0" text="" dxfId="8">
      <formula>0</formula>
    </cfRule>
  </conditionalFormatting>
  <conditionalFormatting sqref="G259">
    <cfRule type="cellIs" priority="759" operator="greaterThan" aboveAverage="0" equalAverage="0" bottom="0" percent="0" rank="0" text="" dxfId="8">
      <formula>0</formula>
    </cfRule>
  </conditionalFormatting>
  <conditionalFormatting sqref="H259">
    <cfRule type="cellIs" priority="760" operator="greaterThan" aboveAverage="0" equalAverage="0" bottom="0" percent="0" rank="0" text="" dxfId="8">
      <formula>0</formula>
    </cfRule>
  </conditionalFormatting>
  <conditionalFormatting sqref="C260">
    <cfRule type="cellIs" priority="761" operator="greaterThan" aboveAverage="0" equalAverage="0" bottom="0" percent="0" rank="0" text="" dxfId="8">
      <formula>0</formula>
    </cfRule>
  </conditionalFormatting>
  <conditionalFormatting sqref="G260">
    <cfRule type="cellIs" priority="762" operator="greaterThan" aboveAverage="0" equalAverage="0" bottom="0" percent="0" rank="0" text="" dxfId="8">
      <formula>0</formula>
    </cfRule>
  </conditionalFormatting>
  <conditionalFormatting sqref="H260">
    <cfRule type="cellIs" priority="763" operator="greaterThan" aboveAverage="0" equalAverage="0" bottom="0" percent="0" rank="0" text="" dxfId="8">
      <formula>0</formula>
    </cfRule>
  </conditionalFormatting>
  <conditionalFormatting sqref="C261">
    <cfRule type="cellIs" priority="764" operator="greaterThan" aboveAverage="0" equalAverage="0" bottom="0" percent="0" rank="0" text="" dxfId="8">
      <formula>0</formula>
    </cfRule>
  </conditionalFormatting>
  <conditionalFormatting sqref="G261">
    <cfRule type="cellIs" priority="765" operator="greaterThan" aboveAverage="0" equalAverage="0" bottom="0" percent="0" rank="0" text="" dxfId="8">
      <formula>0</formula>
    </cfRule>
  </conditionalFormatting>
  <conditionalFormatting sqref="H261">
    <cfRule type="cellIs" priority="766" operator="greaterThan" aboveAverage="0" equalAverage="0" bottom="0" percent="0" rank="0" text="" dxfId="8">
      <formula>0</formula>
    </cfRule>
  </conditionalFormatting>
  <conditionalFormatting sqref="C262">
    <cfRule type="cellIs" priority="767" operator="greaterThan" aboveAverage="0" equalAverage="0" bottom="0" percent="0" rank="0" text="" dxfId="8">
      <formula>0</formula>
    </cfRule>
  </conditionalFormatting>
  <conditionalFormatting sqref="G262">
    <cfRule type="cellIs" priority="768" operator="greaterThan" aboveAverage="0" equalAverage="0" bottom="0" percent="0" rank="0" text="" dxfId="8">
      <formula>0</formula>
    </cfRule>
  </conditionalFormatting>
  <conditionalFormatting sqref="H262">
    <cfRule type="cellIs" priority="769" operator="greaterThan" aboveAverage="0" equalAverage="0" bottom="0" percent="0" rank="0" text="" dxfId="8">
      <formula>0</formula>
    </cfRule>
  </conditionalFormatting>
  <conditionalFormatting sqref="C263">
    <cfRule type="cellIs" priority="770" operator="greaterThan" aboveAverage="0" equalAverage="0" bottom="0" percent="0" rank="0" text="" dxfId="8">
      <formula>0</formula>
    </cfRule>
  </conditionalFormatting>
  <conditionalFormatting sqref="G263">
    <cfRule type="cellIs" priority="771" operator="greaterThan" aboveAverage="0" equalAverage="0" bottom="0" percent="0" rank="0" text="" dxfId="8">
      <formula>0</formula>
    </cfRule>
  </conditionalFormatting>
  <conditionalFormatting sqref="H263">
    <cfRule type="cellIs" priority="772" operator="greaterThan" aboveAverage="0" equalAverage="0" bottom="0" percent="0" rank="0" text="" dxfId="8">
      <formula>0</formula>
    </cfRule>
  </conditionalFormatting>
  <conditionalFormatting sqref="C264">
    <cfRule type="cellIs" priority="773" operator="greaterThan" aboveAverage="0" equalAverage="0" bottom="0" percent="0" rank="0" text="" dxfId="8">
      <formula>0</formula>
    </cfRule>
  </conditionalFormatting>
  <conditionalFormatting sqref="G264">
    <cfRule type="cellIs" priority="774" operator="greaterThan" aboveAverage="0" equalAverage="0" bottom="0" percent="0" rank="0" text="" dxfId="8">
      <formula>0</formula>
    </cfRule>
  </conditionalFormatting>
  <conditionalFormatting sqref="H264">
    <cfRule type="cellIs" priority="775" operator="greaterThan" aboveAverage="0" equalAverage="0" bottom="0" percent="0" rank="0" text="" dxfId="8">
      <formula>0</formula>
    </cfRule>
  </conditionalFormatting>
  <conditionalFormatting sqref="C265">
    <cfRule type="cellIs" priority="776" operator="greaterThan" aboveAverage="0" equalAverage="0" bottom="0" percent="0" rank="0" text="" dxfId="8">
      <formula>0</formula>
    </cfRule>
  </conditionalFormatting>
  <conditionalFormatting sqref="G265">
    <cfRule type="cellIs" priority="777" operator="greaterThan" aboveAverage="0" equalAverage="0" bottom="0" percent="0" rank="0" text="" dxfId="8">
      <formula>0</formula>
    </cfRule>
  </conditionalFormatting>
  <conditionalFormatting sqref="H265">
    <cfRule type="cellIs" priority="778" operator="greaterThan" aboveAverage="0" equalAverage="0" bottom="0" percent="0" rank="0" text="" dxfId="8">
      <formula>0</formula>
    </cfRule>
  </conditionalFormatting>
  <conditionalFormatting sqref="C266">
    <cfRule type="cellIs" priority="779" operator="greaterThan" aboveAverage="0" equalAverage="0" bottom="0" percent="0" rank="0" text="" dxfId="8">
      <formula>0</formula>
    </cfRule>
  </conditionalFormatting>
  <conditionalFormatting sqref="G266">
    <cfRule type="cellIs" priority="780" operator="greaterThan" aboveAverage="0" equalAverage="0" bottom="0" percent="0" rank="0" text="" dxfId="8">
      <formula>0</formula>
    </cfRule>
  </conditionalFormatting>
  <conditionalFormatting sqref="H266">
    <cfRule type="cellIs" priority="781" operator="greaterThan" aboveAverage="0" equalAverage="0" bottom="0" percent="0" rank="0" text="" dxfId="8">
      <formula>0</formula>
    </cfRule>
  </conditionalFormatting>
  <conditionalFormatting sqref="C267">
    <cfRule type="cellIs" priority="782" operator="greaterThan" aboveAverage="0" equalAverage="0" bottom="0" percent="0" rank="0" text="" dxfId="8">
      <formula>0</formula>
    </cfRule>
  </conditionalFormatting>
  <conditionalFormatting sqref="G267">
    <cfRule type="cellIs" priority="783" operator="greaterThan" aboveAverage="0" equalAverage="0" bottom="0" percent="0" rank="0" text="" dxfId="8">
      <formula>0</formula>
    </cfRule>
  </conditionalFormatting>
  <conditionalFormatting sqref="H267">
    <cfRule type="cellIs" priority="784" operator="greaterThan" aboveAverage="0" equalAverage="0" bottom="0" percent="0" rank="0" text="" dxfId="8">
      <formula>0</formula>
    </cfRule>
  </conditionalFormatting>
  <conditionalFormatting sqref="C268">
    <cfRule type="cellIs" priority="785" operator="greaterThan" aboveAverage="0" equalAverage="0" bottom="0" percent="0" rank="0" text="" dxfId="8">
      <formula>0</formula>
    </cfRule>
  </conditionalFormatting>
  <conditionalFormatting sqref="G268">
    <cfRule type="cellIs" priority="786" operator="greaterThan" aboveAverage="0" equalAverage="0" bottom="0" percent="0" rank="0" text="" dxfId="8">
      <formula>0</formula>
    </cfRule>
  </conditionalFormatting>
  <conditionalFormatting sqref="H268">
    <cfRule type="cellIs" priority="787" operator="greaterThan" aboveAverage="0" equalAverage="0" bottom="0" percent="0" rank="0" text="" dxfId="8">
      <formula>0</formula>
    </cfRule>
  </conditionalFormatting>
  <conditionalFormatting sqref="C269">
    <cfRule type="cellIs" priority="788" operator="greaterThan" aboveAverage="0" equalAverage="0" bottom="0" percent="0" rank="0" text="" dxfId="8">
      <formula>0</formula>
    </cfRule>
  </conditionalFormatting>
  <conditionalFormatting sqref="G269">
    <cfRule type="cellIs" priority="789" operator="greaterThan" aboveAverage="0" equalAverage="0" bottom="0" percent="0" rank="0" text="" dxfId="8">
      <formula>0</formula>
    </cfRule>
  </conditionalFormatting>
  <conditionalFormatting sqref="H269">
    <cfRule type="cellIs" priority="790" operator="greaterThan" aboveAverage="0" equalAverage="0" bottom="0" percent="0" rank="0" text="" dxfId="8">
      <formula>0</formula>
    </cfRule>
  </conditionalFormatting>
  <conditionalFormatting sqref="C270">
    <cfRule type="cellIs" priority="791" operator="greaterThan" aboveAverage="0" equalAverage="0" bottom="0" percent="0" rank="0" text="" dxfId="8">
      <formula>0</formula>
    </cfRule>
  </conditionalFormatting>
  <conditionalFormatting sqref="G270">
    <cfRule type="cellIs" priority="792" operator="greaterThan" aboveAverage="0" equalAverage="0" bottom="0" percent="0" rank="0" text="" dxfId="8">
      <formula>0</formula>
    </cfRule>
  </conditionalFormatting>
  <conditionalFormatting sqref="H270">
    <cfRule type="cellIs" priority="793" operator="greaterThan" aboveAverage="0" equalAverage="0" bottom="0" percent="0" rank="0" text="" dxfId="8">
      <formula>0</formula>
    </cfRule>
  </conditionalFormatting>
  <conditionalFormatting sqref="C271">
    <cfRule type="cellIs" priority="794" operator="greaterThan" aboveAverage="0" equalAverage="0" bottom="0" percent="0" rank="0" text="" dxfId="8">
      <formula>0</formula>
    </cfRule>
  </conditionalFormatting>
  <conditionalFormatting sqref="G271">
    <cfRule type="cellIs" priority="795" operator="greaterThan" aboveAverage="0" equalAverage="0" bottom="0" percent="0" rank="0" text="" dxfId="8">
      <formula>0</formula>
    </cfRule>
  </conditionalFormatting>
  <conditionalFormatting sqref="H271">
    <cfRule type="cellIs" priority="796" operator="greaterThan" aboveAverage="0" equalAverage="0" bottom="0" percent="0" rank="0" text="" dxfId="8">
      <formula>0</formula>
    </cfRule>
  </conditionalFormatting>
  <conditionalFormatting sqref="C272">
    <cfRule type="cellIs" priority="797" operator="greaterThan" aboveAverage="0" equalAverage="0" bottom="0" percent="0" rank="0" text="" dxfId="8">
      <formula>0</formula>
    </cfRule>
  </conditionalFormatting>
  <conditionalFormatting sqref="G272">
    <cfRule type="cellIs" priority="798" operator="greaterThan" aboveAverage="0" equalAverage="0" bottom="0" percent="0" rank="0" text="" dxfId="8">
      <formula>0</formula>
    </cfRule>
  </conditionalFormatting>
  <conditionalFormatting sqref="H272">
    <cfRule type="cellIs" priority="799" operator="greaterThan" aboveAverage="0" equalAverage="0" bottom="0" percent="0" rank="0" text="" dxfId="8">
      <formula>0</formula>
    </cfRule>
  </conditionalFormatting>
  <conditionalFormatting sqref="C273">
    <cfRule type="cellIs" priority="800" operator="greaterThan" aboveAverage="0" equalAverage="0" bottom="0" percent="0" rank="0" text="" dxfId="8">
      <formula>0</formula>
    </cfRule>
  </conditionalFormatting>
  <conditionalFormatting sqref="G273">
    <cfRule type="cellIs" priority="801" operator="greaterThan" aboveAverage="0" equalAverage="0" bottom="0" percent="0" rank="0" text="" dxfId="8">
      <formula>0</formula>
    </cfRule>
  </conditionalFormatting>
  <conditionalFormatting sqref="H273">
    <cfRule type="cellIs" priority="802" operator="greaterThan" aboveAverage="0" equalAverage="0" bottom="0" percent="0" rank="0" text="" dxfId="8">
      <formula>0</formula>
    </cfRule>
  </conditionalFormatting>
  <conditionalFormatting sqref="C274">
    <cfRule type="cellIs" priority="803" operator="greaterThan" aboveAverage="0" equalAverage="0" bottom="0" percent="0" rank="0" text="" dxfId="8">
      <formula>0</formula>
    </cfRule>
  </conditionalFormatting>
  <conditionalFormatting sqref="G274">
    <cfRule type="cellIs" priority="804" operator="greaterThan" aboveAverage="0" equalAverage="0" bottom="0" percent="0" rank="0" text="" dxfId="8">
      <formula>0</formula>
    </cfRule>
  </conditionalFormatting>
  <conditionalFormatting sqref="H274">
    <cfRule type="cellIs" priority="805" operator="greaterThan" aboveAverage="0" equalAverage="0" bottom="0" percent="0" rank="0" text="" dxfId="8">
      <formula>0</formula>
    </cfRule>
  </conditionalFormatting>
  <conditionalFormatting sqref="C275">
    <cfRule type="cellIs" priority="806" operator="greaterThan" aboveAverage="0" equalAverage="0" bottom="0" percent="0" rank="0" text="" dxfId="8">
      <formula>0</formula>
    </cfRule>
  </conditionalFormatting>
  <conditionalFormatting sqref="G275">
    <cfRule type="cellIs" priority="807" operator="greaterThan" aboveAverage="0" equalAverage="0" bottom="0" percent="0" rank="0" text="" dxfId="8">
      <formula>0</formula>
    </cfRule>
  </conditionalFormatting>
  <conditionalFormatting sqref="H275">
    <cfRule type="cellIs" priority="808" operator="greaterThan" aboveAverage="0" equalAverage="0" bottom="0" percent="0" rank="0" text="" dxfId="8">
      <formula>0</formula>
    </cfRule>
  </conditionalFormatting>
  <conditionalFormatting sqref="C276">
    <cfRule type="cellIs" priority="809" operator="greaterThan" aboveAverage="0" equalAverage="0" bottom="0" percent="0" rank="0" text="" dxfId="8">
      <formula>0</formula>
    </cfRule>
  </conditionalFormatting>
  <conditionalFormatting sqref="G276">
    <cfRule type="cellIs" priority="810" operator="greaterThan" aboveAverage="0" equalAverage="0" bottom="0" percent="0" rank="0" text="" dxfId="8">
      <formula>0</formula>
    </cfRule>
  </conditionalFormatting>
  <conditionalFormatting sqref="H276">
    <cfRule type="cellIs" priority="811" operator="greaterThan" aboveAverage="0" equalAverage="0" bottom="0" percent="0" rank="0" text="" dxfId="8">
      <formula>0</formula>
    </cfRule>
  </conditionalFormatting>
  <conditionalFormatting sqref="C277">
    <cfRule type="cellIs" priority="812" operator="greaterThan" aboveAverage="0" equalAverage="0" bottom="0" percent="0" rank="0" text="" dxfId="8">
      <formula>0</formula>
    </cfRule>
  </conditionalFormatting>
  <conditionalFormatting sqref="G277">
    <cfRule type="cellIs" priority="813" operator="greaterThan" aboveAverage="0" equalAverage="0" bottom="0" percent="0" rank="0" text="" dxfId="8">
      <formula>0</formula>
    </cfRule>
  </conditionalFormatting>
  <conditionalFormatting sqref="H277">
    <cfRule type="cellIs" priority="814" operator="greaterThan" aboveAverage="0" equalAverage="0" bottom="0" percent="0" rank="0" text="" dxfId="8">
      <formula>0</formula>
    </cfRule>
  </conditionalFormatting>
  <conditionalFormatting sqref="C278">
    <cfRule type="cellIs" priority="815" operator="greaterThan" aboveAverage="0" equalAverage="0" bottom="0" percent="0" rank="0" text="" dxfId="8">
      <formula>0</formula>
    </cfRule>
  </conditionalFormatting>
  <conditionalFormatting sqref="G278">
    <cfRule type="cellIs" priority="816" operator="greaterThan" aboveAverage="0" equalAverage="0" bottom="0" percent="0" rank="0" text="" dxfId="8">
      <formula>0</formula>
    </cfRule>
  </conditionalFormatting>
  <conditionalFormatting sqref="H278">
    <cfRule type="cellIs" priority="817" operator="greaterThan" aboveAverage="0" equalAverage="0" bottom="0" percent="0" rank="0" text="" dxfId="8">
      <formula>0</formula>
    </cfRule>
  </conditionalFormatting>
  <conditionalFormatting sqref="C279">
    <cfRule type="cellIs" priority="818" operator="greaterThan" aboveAverage="0" equalAverage="0" bottom="0" percent="0" rank="0" text="" dxfId="8">
      <formula>0</formula>
    </cfRule>
  </conditionalFormatting>
  <conditionalFormatting sqref="G279">
    <cfRule type="cellIs" priority="819" operator="greaterThan" aboveAverage="0" equalAverage="0" bottom="0" percent="0" rank="0" text="" dxfId="8">
      <formula>0</formula>
    </cfRule>
  </conditionalFormatting>
  <conditionalFormatting sqref="H279">
    <cfRule type="cellIs" priority="820" operator="greaterThan" aboveAverage="0" equalAverage="0" bottom="0" percent="0" rank="0" text="" dxfId="8">
      <formula>0</formula>
    </cfRule>
  </conditionalFormatting>
  <conditionalFormatting sqref="C280">
    <cfRule type="cellIs" priority="821" operator="greaterThan" aboveAverage="0" equalAverage="0" bottom="0" percent="0" rank="0" text="" dxfId="8">
      <formula>0</formula>
    </cfRule>
  </conditionalFormatting>
  <conditionalFormatting sqref="G280">
    <cfRule type="cellIs" priority="822" operator="greaterThan" aboveAverage="0" equalAverage="0" bottom="0" percent="0" rank="0" text="" dxfId="8">
      <formula>0</formula>
    </cfRule>
  </conditionalFormatting>
  <conditionalFormatting sqref="H280">
    <cfRule type="cellIs" priority="823" operator="greaterThan" aboveAverage="0" equalAverage="0" bottom="0" percent="0" rank="0" text="" dxfId="8">
      <formula>0</formula>
    </cfRule>
  </conditionalFormatting>
  <conditionalFormatting sqref="C281">
    <cfRule type="cellIs" priority="824" operator="greaterThan" aboveAverage="0" equalAverage="0" bottom="0" percent="0" rank="0" text="" dxfId="8">
      <formula>0</formula>
    </cfRule>
  </conditionalFormatting>
  <conditionalFormatting sqref="G281">
    <cfRule type="cellIs" priority="825" operator="greaterThan" aboveAverage="0" equalAverage="0" bottom="0" percent="0" rank="0" text="" dxfId="8">
      <formula>0</formula>
    </cfRule>
  </conditionalFormatting>
  <conditionalFormatting sqref="H281">
    <cfRule type="cellIs" priority="826" operator="greaterThan" aboveAverage="0" equalAverage="0" bottom="0" percent="0" rank="0" text="" dxfId="8">
      <formula>0</formula>
    </cfRule>
  </conditionalFormatting>
  <conditionalFormatting sqref="C282">
    <cfRule type="cellIs" priority="827" operator="greaterThan" aboveAverage="0" equalAverage="0" bottom="0" percent="0" rank="0" text="" dxfId="8">
      <formula>0</formula>
    </cfRule>
  </conditionalFormatting>
  <conditionalFormatting sqref="G282">
    <cfRule type="cellIs" priority="828" operator="greaterThan" aboveAverage="0" equalAverage="0" bottom="0" percent="0" rank="0" text="" dxfId="8">
      <formula>0</formula>
    </cfRule>
  </conditionalFormatting>
  <conditionalFormatting sqref="H282">
    <cfRule type="cellIs" priority="829" operator="greaterThan" aboveAverage="0" equalAverage="0" bottom="0" percent="0" rank="0" text="" dxfId="8">
      <formula>0</formula>
    </cfRule>
  </conditionalFormatting>
  <conditionalFormatting sqref="C283">
    <cfRule type="cellIs" priority="830" operator="greaterThan" aboveAverage="0" equalAverage="0" bottom="0" percent="0" rank="0" text="" dxfId="8">
      <formula>0</formula>
    </cfRule>
  </conditionalFormatting>
  <conditionalFormatting sqref="G283">
    <cfRule type="cellIs" priority="831" operator="greaterThan" aboveAverage="0" equalAverage="0" bottom="0" percent="0" rank="0" text="" dxfId="8">
      <formula>0</formula>
    </cfRule>
  </conditionalFormatting>
  <conditionalFormatting sqref="H283">
    <cfRule type="cellIs" priority="832" operator="greaterThan" aboveAverage="0" equalAverage="0" bottom="0" percent="0" rank="0" text="" dxfId="8">
      <formula>0</formula>
    </cfRule>
  </conditionalFormatting>
  <conditionalFormatting sqref="C284">
    <cfRule type="cellIs" priority="833" operator="greaterThan" aboveAverage="0" equalAverage="0" bottom="0" percent="0" rank="0" text="" dxfId="8">
      <formula>0</formula>
    </cfRule>
  </conditionalFormatting>
  <conditionalFormatting sqref="G284">
    <cfRule type="cellIs" priority="834" operator="greaterThan" aboveAverage="0" equalAverage="0" bottom="0" percent="0" rank="0" text="" dxfId="8">
      <formula>0</formula>
    </cfRule>
  </conditionalFormatting>
  <conditionalFormatting sqref="H284">
    <cfRule type="cellIs" priority="835" operator="greaterThan" aboveAverage="0" equalAverage="0" bottom="0" percent="0" rank="0" text="" dxfId="8">
      <formula>0</formula>
    </cfRule>
  </conditionalFormatting>
  <conditionalFormatting sqref="C285">
    <cfRule type="cellIs" priority="836" operator="greaterThan" aboveAverage="0" equalAverage="0" bottom="0" percent="0" rank="0" text="" dxfId="8">
      <formula>0</formula>
    </cfRule>
  </conditionalFormatting>
  <conditionalFormatting sqref="G285">
    <cfRule type="cellIs" priority="837" operator="greaterThan" aboveAverage="0" equalAverage="0" bottom="0" percent="0" rank="0" text="" dxfId="8">
      <formula>0</formula>
    </cfRule>
  </conditionalFormatting>
  <conditionalFormatting sqref="H285">
    <cfRule type="cellIs" priority="838" operator="greaterThan" aboveAverage="0" equalAverage="0" bottom="0" percent="0" rank="0" text="" dxfId="8">
      <formula>0</formula>
    </cfRule>
  </conditionalFormatting>
  <conditionalFormatting sqref="C286">
    <cfRule type="cellIs" priority="839" operator="greaterThan" aboveAverage="0" equalAverage="0" bottom="0" percent="0" rank="0" text="" dxfId="8">
      <formula>0</formula>
    </cfRule>
  </conditionalFormatting>
  <conditionalFormatting sqref="G286">
    <cfRule type="cellIs" priority="840" operator="greaterThan" aboveAverage="0" equalAverage="0" bottom="0" percent="0" rank="0" text="" dxfId="8">
      <formula>0</formula>
    </cfRule>
  </conditionalFormatting>
  <conditionalFormatting sqref="H286">
    <cfRule type="cellIs" priority="841" operator="greaterThan" aboveAverage="0" equalAverage="0" bottom="0" percent="0" rank="0" text="" dxfId="8">
      <formula>0</formula>
    </cfRule>
  </conditionalFormatting>
  <conditionalFormatting sqref="C287">
    <cfRule type="cellIs" priority="842" operator="greaterThan" aboveAverage="0" equalAverage="0" bottom="0" percent="0" rank="0" text="" dxfId="8">
      <formula>0</formula>
    </cfRule>
  </conditionalFormatting>
  <conditionalFormatting sqref="G287">
    <cfRule type="cellIs" priority="843" operator="greaterThan" aboveAverage="0" equalAverage="0" bottom="0" percent="0" rank="0" text="" dxfId="8">
      <formula>0</formula>
    </cfRule>
  </conditionalFormatting>
  <conditionalFormatting sqref="H287">
    <cfRule type="cellIs" priority="844" operator="greaterThan" aboveAverage="0" equalAverage="0" bottom="0" percent="0" rank="0" text="" dxfId="8">
      <formula>0</formula>
    </cfRule>
  </conditionalFormatting>
  <conditionalFormatting sqref="C288">
    <cfRule type="cellIs" priority="845" operator="greaterThan" aboveAverage="0" equalAverage="0" bottom="0" percent="0" rank="0" text="" dxfId="8">
      <formula>0</formula>
    </cfRule>
  </conditionalFormatting>
  <conditionalFormatting sqref="G288">
    <cfRule type="cellIs" priority="846" operator="greaterThan" aboveAverage="0" equalAverage="0" bottom="0" percent="0" rank="0" text="" dxfId="8">
      <formula>0</formula>
    </cfRule>
  </conditionalFormatting>
  <conditionalFormatting sqref="H288">
    <cfRule type="cellIs" priority="847" operator="greaterThan" aboveAverage="0" equalAverage="0" bottom="0" percent="0" rank="0" text="" dxfId="8">
      <formula>0</formula>
    </cfRule>
  </conditionalFormatting>
  <conditionalFormatting sqref="C289">
    <cfRule type="cellIs" priority="848" operator="greaterThan" aboveAverage="0" equalAverage="0" bottom="0" percent="0" rank="0" text="" dxfId="8">
      <formula>0</formula>
    </cfRule>
  </conditionalFormatting>
  <conditionalFormatting sqref="G289">
    <cfRule type="cellIs" priority="849" operator="greaterThan" aboveAverage="0" equalAverage="0" bottom="0" percent="0" rank="0" text="" dxfId="8">
      <formula>0</formula>
    </cfRule>
  </conditionalFormatting>
  <conditionalFormatting sqref="H289">
    <cfRule type="cellIs" priority="850" operator="greaterThan" aboveAverage="0" equalAverage="0" bottom="0" percent="0" rank="0" text="" dxfId="8">
      <formula>0</formula>
    </cfRule>
  </conditionalFormatting>
  <conditionalFormatting sqref="C290">
    <cfRule type="cellIs" priority="851" operator="greaterThan" aboveAverage="0" equalAverage="0" bottom="0" percent="0" rank="0" text="" dxfId="8">
      <formula>0</formula>
    </cfRule>
  </conditionalFormatting>
  <conditionalFormatting sqref="G290">
    <cfRule type="cellIs" priority="852" operator="greaterThan" aboveAverage="0" equalAverage="0" bottom="0" percent="0" rank="0" text="" dxfId="8">
      <formula>0</formula>
    </cfRule>
  </conditionalFormatting>
  <conditionalFormatting sqref="H290">
    <cfRule type="cellIs" priority="853" operator="greaterThan" aboveAverage="0" equalAverage="0" bottom="0" percent="0" rank="0" text="" dxfId="8">
      <formula>0</formula>
    </cfRule>
  </conditionalFormatting>
  <conditionalFormatting sqref="C291">
    <cfRule type="cellIs" priority="854" operator="greaterThan" aboveAverage="0" equalAverage="0" bottom="0" percent="0" rank="0" text="" dxfId="8">
      <formula>0</formula>
    </cfRule>
  </conditionalFormatting>
  <conditionalFormatting sqref="G291">
    <cfRule type="cellIs" priority="855" operator="greaterThan" aboveAverage="0" equalAverage="0" bottom="0" percent="0" rank="0" text="" dxfId="8">
      <formula>0</formula>
    </cfRule>
  </conditionalFormatting>
  <conditionalFormatting sqref="H291">
    <cfRule type="cellIs" priority="856" operator="greaterThan" aboveAverage="0" equalAverage="0" bottom="0" percent="0" rank="0" text="" dxfId="8">
      <formula>0</formula>
    </cfRule>
  </conditionalFormatting>
  <conditionalFormatting sqref="C292">
    <cfRule type="cellIs" priority="857" operator="greaterThan" aboveAverage="0" equalAverage="0" bottom="0" percent="0" rank="0" text="" dxfId="8">
      <formula>0</formula>
    </cfRule>
  </conditionalFormatting>
  <conditionalFormatting sqref="G292">
    <cfRule type="cellIs" priority="858" operator="greaterThan" aboveAverage="0" equalAverage="0" bottom="0" percent="0" rank="0" text="" dxfId="8">
      <formula>0</formula>
    </cfRule>
  </conditionalFormatting>
  <conditionalFormatting sqref="H292">
    <cfRule type="cellIs" priority="859" operator="greaterThan" aboveAverage="0" equalAverage="0" bottom="0" percent="0" rank="0" text="" dxfId="8">
      <formula>0</formula>
    </cfRule>
  </conditionalFormatting>
  <conditionalFormatting sqref="C293">
    <cfRule type="cellIs" priority="860" operator="greaterThan" aboveAverage="0" equalAverage="0" bottom="0" percent="0" rank="0" text="" dxfId="8">
      <formula>0</formula>
    </cfRule>
  </conditionalFormatting>
  <conditionalFormatting sqref="G293">
    <cfRule type="cellIs" priority="861" operator="greaterThan" aboveAverage="0" equalAverage="0" bottom="0" percent="0" rank="0" text="" dxfId="8">
      <formula>0</formula>
    </cfRule>
  </conditionalFormatting>
  <conditionalFormatting sqref="H293">
    <cfRule type="cellIs" priority="862" operator="greaterThan" aboveAverage="0" equalAverage="0" bottom="0" percent="0" rank="0" text="" dxfId="8">
      <formula>0</formula>
    </cfRule>
  </conditionalFormatting>
  <conditionalFormatting sqref="C294">
    <cfRule type="cellIs" priority="863" operator="greaterThan" aboveAverage="0" equalAverage="0" bottom="0" percent="0" rank="0" text="" dxfId="8">
      <formula>0</formula>
    </cfRule>
  </conditionalFormatting>
  <conditionalFormatting sqref="G294">
    <cfRule type="cellIs" priority="864" operator="greaterThan" aboveAverage="0" equalAverage="0" bottom="0" percent="0" rank="0" text="" dxfId="8">
      <formula>0</formula>
    </cfRule>
  </conditionalFormatting>
  <conditionalFormatting sqref="H294">
    <cfRule type="cellIs" priority="865" operator="greaterThan" aboveAverage="0" equalAverage="0" bottom="0" percent="0" rank="0" text="" dxfId="8">
      <formula>0</formula>
    </cfRule>
  </conditionalFormatting>
  <conditionalFormatting sqref="C295">
    <cfRule type="cellIs" priority="866" operator="greaterThan" aboveAverage="0" equalAverage="0" bottom="0" percent="0" rank="0" text="" dxfId="8">
      <formula>0</formula>
    </cfRule>
  </conditionalFormatting>
  <conditionalFormatting sqref="G295">
    <cfRule type="cellIs" priority="867" operator="greaterThan" aboveAverage="0" equalAverage="0" bottom="0" percent="0" rank="0" text="" dxfId="8">
      <formula>0</formula>
    </cfRule>
  </conditionalFormatting>
  <conditionalFormatting sqref="H295">
    <cfRule type="cellIs" priority="868" operator="greaterThan" aboveAverage="0" equalAverage="0" bottom="0" percent="0" rank="0" text="" dxfId="8">
      <formula>0</formula>
    </cfRule>
  </conditionalFormatting>
  <conditionalFormatting sqref="C296">
    <cfRule type="cellIs" priority="869" operator="greaterThan" aboveAverage="0" equalAverage="0" bottom="0" percent="0" rank="0" text="" dxfId="8">
      <formula>0</formula>
    </cfRule>
  </conditionalFormatting>
  <conditionalFormatting sqref="G296">
    <cfRule type="cellIs" priority="870" operator="greaterThan" aboveAverage="0" equalAverage="0" bottom="0" percent="0" rank="0" text="" dxfId="8">
      <formula>0</formula>
    </cfRule>
  </conditionalFormatting>
  <conditionalFormatting sqref="H296">
    <cfRule type="cellIs" priority="871" operator="greaterThan" aboveAverage="0" equalAverage="0" bottom="0" percent="0" rank="0" text="" dxfId="8">
      <formula>0</formula>
    </cfRule>
  </conditionalFormatting>
  <conditionalFormatting sqref="C297">
    <cfRule type="cellIs" priority="872" operator="greaterThan" aboveAverage="0" equalAverage="0" bottom="0" percent="0" rank="0" text="" dxfId="8">
      <formula>0</formula>
    </cfRule>
  </conditionalFormatting>
  <conditionalFormatting sqref="G297">
    <cfRule type="cellIs" priority="873" operator="greaterThan" aboveAverage="0" equalAverage="0" bottom="0" percent="0" rank="0" text="" dxfId="8">
      <formula>0</formula>
    </cfRule>
  </conditionalFormatting>
  <conditionalFormatting sqref="H297">
    <cfRule type="cellIs" priority="874" operator="greaterThan" aboveAverage="0" equalAverage="0" bottom="0" percent="0" rank="0" text="" dxfId="8">
      <formula>0</formula>
    </cfRule>
  </conditionalFormatting>
  <conditionalFormatting sqref="C298">
    <cfRule type="cellIs" priority="875" operator="greaterThan" aboveAverage="0" equalAverage="0" bottom="0" percent="0" rank="0" text="" dxfId="8">
      <formula>0</formula>
    </cfRule>
  </conditionalFormatting>
  <conditionalFormatting sqref="G298">
    <cfRule type="cellIs" priority="876" operator="greaterThan" aboveAverage="0" equalAverage="0" bottom="0" percent="0" rank="0" text="" dxfId="8">
      <formula>0</formula>
    </cfRule>
  </conditionalFormatting>
  <conditionalFormatting sqref="H298">
    <cfRule type="cellIs" priority="877" operator="greaterThan" aboveAverage="0" equalAverage="0" bottom="0" percent="0" rank="0" text="" dxfId="8">
      <formula>0</formula>
    </cfRule>
  </conditionalFormatting>
  <conditionalFormatting sqref="C299">
    <cfRule type="cellIs" priority="878" operator="greaterThan" aboveAverage="0" equalAverage="0" bottom="0" percent="0" rank="0" text="" dxfId="8">
      <formula>0</formula>
    </cfRule>
  </conditionalFormatting>
  <conditionalFormatting sqref="G299">
    <cfRule type="cellIs" priority="879" operator="greaterThan" aboveAverage="0" equalAverage="0" bottom="0" percent="0" rank="0" text="" dxfId="8">
      <formula>0</formula>
    </cfRule>
  </conditionalFormatting>
  <conditionalFormatting sqref="H299">
    <cfRule type="cellIs" priority="880" operator="greaterThan" aboveAverage="0" equalAverage="0" bottom="0" percent="0" rank="0" text="" dxfId="8">
      <formula>0</formula>
    </cfRule>
  </conditionalFormatting>
  <conditionalFormatting sqref="C300">
    <cfRule type="cellIs" priority="881" operator="greaterThan" aboveAverage="0" equalAverage="0" bottom="0" percent="0" rank="0" text="" dxfId="8">
      <formula>0</formula>
    </cfRule>
  </conditionalFormatting>
  <conditionalFormatting sqref="G300">
    <cfRule type="cellIs" priority="882" operator="greaterThan" aboveAverage="0" equalAverage="0" bottom="0" percent="0" rank="0" text="" dxfId="8">
      <formula>0</formula>
    </cfRule>
  </conditionalFormatting>
  <conditionalFormatting sqref="H300">
    <cfRule type="cellIs" priority="883" operator="greaterThan" aboveAverage="0" equalAverage="0" bottom="0" percent="0" rank="0" text="" dxfId="8">
      <formula>0</formula>
    </cfRule>
  </conditionalFormatting>
  <conditionalFormatting sqref="C301">
    <cfRule type="cellIs" priority="884" operator="greaterThan" aboveAverage="0" equalAverage="0" bottom="0" percent="0" rank="0" text="" dxfId="8">
      <formula>0</formula>
    </cfRule>
  </conditionalFormatting>
  <conditionalFormatting sqref="G301">
    <cfRule type="cellIs" priority="885" operator="greaterThan" aboveAverage="0" equalAverage="0" bottom="0" percent="0" rank="0" text="" dxfId="8">
      <formula>0</formula>
    </cfRule>
  </conditionalFormatting>
  <conditionalFormatting sqref="H301">
    <cfRule type="cellIs" priority="886" operator="greaterThan" aboveAverage="0" equalAverage="0" bottom="0" percent="0" rank="0" text="" dxfId="8">
      <formula>0</formula>
    </cfRule>
  </conditionalFormatting>
  <conditionalFormatting sqref="C302">
    <cfRule type="cellIs" priority="887" operator="greaterThan" aboveAverage="0" equalAverage="0" bottom="0" percent="0" rank="0" text="" dxfId="8">
      <formula>0</formula>
    </cfRule>
  </conditionalFormatting>
  <conditionalFormatting sqref="G302">
    <cfRule type="cellIs" priority="888" operator="greaterThan" aboveAverage="0" equalAverage="0" bottom="0" percent="0" rank="0" text="" dxfId="8">
      <formula>0</formula>
    </cfRule>
  </conditionalFormatting>
  <conditionalFormatting sqref="H302">
    <cfRule type="cellIs" priority="889" operator="greaterThan" aboveAverage="0" equalAverage="0" bottom="0" percent="0" rank="0" text="" dxfId="8">
      <formula>0</formula>
    </cfRule>
  </conditionalFormatting>
  <conditionalFormatting sqref="C303">
    <cfRule type="cellIs" priority="890" operator="greaterThan" aboveAverage="0" equalAverage="0" bottom="0" percent="0" rank="0" text="" dxfId="8">
      <formula>0</formula>
    </cfRule>
  </conditionalFormatting>
  <conditionalFormatting sqref="G303">
    <cfRule type="cellIs" priority="891" operator="greaterThan" aboveAverage="0" equalAverage="0" bottom="0" percent="0" rank="0" text="" dxfId="8">
      <formula>0</formula>
    </cfRule>
  </conditionalFormatting>
  <conditionalFormatting sqref="H303">
    <cfRule type="cellIs" priority="892" operator="greaterThan" aboveAverage="0" equalAverage="0" bottom="0" percent="0" rank="0" text="" dxfId="8">
      <formula>0</formula>
    </cfRule>
  </conditionalFormatting>
  <conditionalFormatting sqref="C304">
    <cfRule type="cellIs" priority="893" operator="greaterThan" aboveAverage="0" equalAverage="0" bottom="0" percent="0" rank="0" text="" dxfId="8">
      <formula>0</formula>
    </cfRule>
  </conditionalFormatting>
  <conditionalFormatting sqref="G304">
    <cfRule type="cellIs" priority="894" operator="greaterThan" aboveAverage="0" equalAverage="0" bottom="0" percent="0" rank="0" text="" dxfId="8">
      <formula>0</formula>
    </cfRule>
  </conditionalFormatting>
  <conditionalFormatting sqref="H304">
    <cfRule type="cellIs" priority="895" operator="greaterThan" aboveAverage="0" equalAverage="0" bottom="0" percent="0" rank="0" text="" dxfId="8">
      <formula>0</formula>
    </cfRule>
  </conditionalFormatting>
  <conditionalFormatting sqref="C305">
    <cfRule type="cellIs" priority="896" operator="greaterThan" aboveAverage="0" equalAverage="0" bottom="0" percent="0" rank="0" text="" dxfId="8">
      <formula>0</formula>
    </cfRule>
  </conditionalFormatting>
  <conditionalFormatting sqref="G305">
    <cfRule type="cellIs" priority="897" operator="greaterThan" aboveAverage="0" equalAverage="0" bottom="0" percent="0" rank="0" text="" dxfId="8">
      <formula>0</formula>
    </cfRule>
  </conditionalFormatting>
  <conditionalFormatting sqref="H305">
    <cfRule type="cellIs" priority="898" operator="greaterThan" aboveAverage="0" equalAverage="0" bottom="0" percent="0" rank="0" text="" dxfId="8">
      <formula>0</formula>
    </cfRule>
  </conditionalFormatting>
  <conditionalFormatting sqref="C306">
    <cfRule type="cellIs" priority="899" operator="greaterThan" aboveAverage="0" equalAverage="0" bottom="0" percent="0" rank="0" text="" dxfId="8">
      <formula>0</formula>
    </cfRule>
  </conditionalFormatting>
  <conditionalFormatting sqref="G306">
    <cfRule type="cellIs" priority="900" operator="greaterThan" aboveAverage="0" equalAverage="0" bottom="0" percent="0" rank="0" text="" dxfId="8">
      <formula>0</formula>
    </cfRule>
  </conditionalFormatting>
  <conditionalFormatting sqref="H306">
    <cfRule type="cellIs" priority="901" operator="greaterThan" aboveAverage="0" equalAverage="0" bottom="0" percent="0" rank="0" text="" dxfId="8">
      <formula>0</formula>
    </cfRule>
  </conditionalFormatting>
  <conditionalFormatting sqref="C307">
    <cfRule type="cellIs" priority="902" operator="greaterThan" aboveAverage="0" equalAverage="0" bottom="0" percent="0" rank="0" text="" dxfId="8">
      <formula>0</formula>
    </cfRule>
  </conditionalFormatting>
  <conditionalFormatting sqref="G307">
    <cfRule type="cellIs" priority="903" operator="greaterThan" aboveAverage="0" equalAverage="0" bottom="0" percent="0" rank="0" text="" dxfId="8">
      <formula>0</formula>
    </cfRule>
  </conditionalFormatting>
  <conditionalFormatting sqref="H307">
    <cfRule type="cellIs" priority="904" operator="greaterThan" aboveAverage="0" equalAverage="0" bottom="0" percent="0" rank="0" text="" dxfId="8">
      <formula>0</formula>
    </cfRule>
  </conditionalFormatting>
  <conditionalFormatting sqref="C308">
    <cfRule type="cellIs" priority="905" operator="greaterThan" aboveAverage="0" equalAverage="0" bottom="0" percent="0" rank="0" text="" dxfId="8">
      <formula>0</formula>
    </cfRule>
  </conditionalFormatting>
  <conditionalFormatting sqref="G308">
    <cfRule type="cellIs" priority="906" operator="greaterThan" aboveAverage="0" equalAverage="0" bottom="0" percent="0" rank="0" text="" dxfId="8">
      <formula>0</formula>
    </cfRule>
  </conditionalFormatting>
  <conditionalFormatting sqref="H308">
    <cfRule type="cellIs" priority="907" operator="greaterThan" aboveAverage="0" equalAverage="0" bottom="0" percent="0" rank="0" text="" dxfId="8">
      <formula>0</formula>
    </cfRule>
  </conditionalFormatting>
  <conditionalFormatting sqref="C309">
    <cfRule type="cellIs" priority="908" operator="greaterThan" aboveAverage="0" equalAverage="0" bottom="0" percent="0" rank="0" text="" dxfId="8">
      <formula>0</formula>
    </cfRule>
  </conditionalFormatting>
  <conditionalFormatting sqref="G309">
    <cfRule type="cellIs" priority="909" operator="greaterThan" aboveAverage="0" equalAverage="0" bottom="0" percent="0" rank="0" text="" dxfId="8">
      <formula>0</formula>
    </cfRule>
  </conditionalFormatting>
  <conditionalFormatting sqref="H309">
    <cfRule type="cellIs" priority="910" operator="greaterThan" aboveAverage="0" equalAverage="0" bottom="0" percent="0" rank="0" text="" dxfId="8">
      <formula>0</formula>
    </cfRule>
  </conditionalFormatting>
  <conditionalFormatting sqref="C310">
    <cfRule type="cellIs" priority="911" operator="greaterThan" aboveAverage="0" equalAverage="0" bottom="0" percent="0" rank="0" text="" dxfId="8">
      <formula>0</formula>
    </cfRule>
  </conditionalFormatting>
  <conditionalFormatting sqref="G310">
    <cfRule type="cellIs" priority="912" operator="greaterThan" aboveAverage="0" equalAverage="0" bottom="0" percent="0" rank="0" text="" dxfId="8">
      <formula>0</formula>
    </cfRule>
  </conditionalFormatting>
  <conditionalFormatting sqref="H310">
    <cfRule type="cellIs" priority="913" operator="greaterThan" aboveAverage="0" equalAverage="0" bottom="0" percent="0" rank="0" text="" dxfId="8">
      <formula>0</formula>
    </cfRule>
  </conditionalFormatting>
  <conditionalFormatting sqref="C311">
    <cfRule type="cellIs" priority="914" operator="greaterThan" aboveAverage="0" equalAverage="0" bottom="0" percent="0" rank="0" text="" dxfId="8">
      <formula>0</formula>
    </cfRule>
  </conditionalFormatting>
  <conditionalFormatting sqref="G311">
    <cfRule type="cellIs" priority="915" operator="greaterThan" aboveAverage="0" equalAverage="0" bottom="0" percent="0" rank="0" text="" dxfId="8">
      <formula>0</formula>
    </cfRule>
  </conditionalFormatting>
  <conditionalFormatting sqref="H311">
    <cfRule type="cellIs" priority="916" operator="greaterThan" aboveAverage="0" equalAverage="0" bottom="0" percent="0" rank="0" text="" dxfId="8">
      <formula>0</formula>
    </cfRule>
  </conditionalFormatting>
  <conditionalFormatting sqref="C312">
    <cfRule type="cellIs" priority="917" operator="greaterThan" aboveAverage="0" equalAverage="0" bottom="0" percent="0" rank="0" text="" dxfId="8">
      <formula>0</formula>
    </cfRule>
  </conditionalFormatting>
  <conditionalFormatting sqref="G312">
    <cfRule type="cellIs" priority="918" operator="greaterThan" aboveAverage="0" equalAverage="0" bottom="0" percent="0" rank="0" text="" dxfId="8">
      <formula>0</formula>
    </cfRule>
  </conditionalFormatting>
  <conditionalFormatting sqref="H312">
    <cfRule type="cellIs" priority="919" operator="greaterThan" aboveAverage="0" equalAverage="0" bottom="0" percent="0" rank="0" text="" dxfId="8">
      <formula>0</formula>
    </cfRule>
  </conditionalFormatting>
  <conditionalFormatting sqref="C313">
    <cfRule type="cellIs" priority="920" operator="greaterThan" aboveAverage="0" equalAverage="0" bottom="0" percent="0" rank="0" text="" dxfId="8">
      <formula>0</formula>
    </cfRule>
  </conditionalFormatting>
  <conditionalFormatting sqref="G313">
    <cfRule type="cellIs" priority="921" operator="greaterThan" aboveAverage="0" equalAverage="0" bottom="0" percent="0" rank="0" text="" dxfId="8">
      <formula>0</formula>
    </cfRule>
  </conditionalFormatting>
  <conditionalFormatting sqref="H313">
    <cfRule type="cellIs" priority="922" operator="greaterThan" aboveAverage="0" equalAverage="0" bottom="0" percent="0" rank="0" text="" dxfId="8">
      <formula>0</formula>
    </cfRule>
  </conditionalFormatting>
  <conditionalFormatting sqref="C314">
    <cfRule type="cellIs" priority="923" operator="greaterThan" aboveAverage="0" equalAverage="0" bottom="0" percent="0" rank="0" text="" dxfId="8">
      <formula>0</formula>
    </cfRule>
  </conditionalFormatting>
  <conditionalFormatting sqref="G314">
    <cfRule type="cellIs" priority="924" operator="greaterThan" aboveAverage="0" equalAverage="0" bottom="0" percent="0" rank="0" text="" dxfId="8">
      <formula>0</formula>
    </cfRule>
  </conditionalFormatting>
  <conditionalFormatting sqref="H314">
    <cfRule type="cellIs" priority="925" operator="greaterThan" aboveAverage="0" equalAverage="0" bottom="0" percent="0" rank="0" text="" dxfId="8">
      <formula>0</formula>
    </cfRule>
  </conditionalFormatting>
  <conditionalFormatting sqref="C315">
    <cfRule type="cellIs" priority="926" operator="greaterThan" aboveAverage="0" equalAverage="0" bottom="0" percent="0" rank="0" text="" dxfId="8">
      <formula>0</formula>
    </cfRule>
  </conditionalFormatting>
  <conditionalFormatting sqref="G315">
    <cfRule type="cellIs" priority="927" operator="greaterThan" aboveAverage="0" equalAverage="0" bottom="0" percent="0" rank="0" text="" dxfId="8">
      <formula>0</formula>
    </cfRule>
  </conditionalFormatting>
  <conditionalFormatting sqref="H315">
    <cfRule type="cellIs" priority="928" operator="greaterThan" aboveAverage="0" equalAverage="0" bottom="0" percent="0" rank="0" text="" dxfId="8">
      <formula>0</formula>
    </cfRule>
  </conditionalFormatting>
  <conditionalFormatting sqref="C316">
    <cfRule type="cellIs" priority="929" operator="greaterThan" aboveAverage="0" equalAverage="0" bottom="0" percent="0" rank="0" text="" dxfId="8">
      <formula>0</formula>
    </cfRule>
  </conditionalFormatting>
  <conditionalFormatting sqref="G316">
    <cfRule type="cellIs" priority="930" operator="greaterThan" aboveAverage="0" equalAverage="0" bottom="0" percent="0" rank="0" text="" dxfId="8">
      <formula>0</formula>
    </cfRule>
  </conditionalFormatting>
  <conditionalFormatting sqref="H316">
    <cfRule type="cellIs" priority="931" operator="greaterThan" aboveAverage="0" equalAverage="0" bottom="0" percent="0" rank="0" text="" dxfId="8">
      <formula>0</formula>
    </cfRule>
  </conditionalFormatting>
  <conditionalFormatting sqref="C317">
    <cfRule type="cellIs" priority="932" operator="greaterThan" aboveAverage="0" equalAverage="0" bottom="0" percent="0" rank="0" text="" dxfId="8">
      <formula>0</formula>
    </cfRule>
  </conditionalFormatting>
  <conditionalFormatting sqref="G317">
    <cfRule type="cellIs" priority="933" operator="greaterThan" aboveAverage="0" equalAverage="0" bottom="0" percent="0" rank="0" text="" dxfId="8">
      <formula>0</formula>
    </cfRule>
  </conditionalFormatting>
  <conditionalFormatting sqref="H317">
    <cfRule type="cellIs" priority="934" operator="greaterThan" aboveAverage="0" equalAverage="0" bottom="0" percent="0" rank="0" text="" dxfId="8">
      <formula>0</formula>
    </cfRule>
  </conditionalFormatting>
  <conditionalFormatting sqref="C318">
    <cfRule type="cellIs" priority="935" operator="greaterThan" aboveAverage="0" equalAverage="0" bottom="0" percent="0" rank="0" text="" dxfId="8">
      <formula>0</formula>
    </cfRule>
  </conditionalFormatting>
  <conditionalFormatting sqref="G318">
    <cfRule type="cellIs" priority="936" operator="greaterThan" aboveAverage="0" equalAverage="0" bottom="0" percent="0" rank="0" text="" dxfId="8">
      <formula>0</formula>
    </cfRule>
  </conditionalFormatting>
  <conditionalFormatting sqref="H318">
    <cfRule type="cellIs" priority="937" operator="greaterThan" aboveAverage="0" equalAverage="0" bottom="0" percent="0" rank="0" text="" dxfId="8">
      <formula>0</formula>
    </cfRule>
  </conditionalFormatting>
  <conditionalFormatting sqref="C319">
    <cfRule type="cellIs" priority="938" operator="greaterThan" aboveAverage="0" equalAverage="0" bottom="0" percent="0" rank="0" text="" dxfId="8">
      <formula>0</formula>
    </cfRule>
  </conditionalFormatting>
  <conditionalFormatting sqref="G319">
    <cfRule type="cellIs" priority="939" operator="greaterThan" aboveAverage="0" equalAverage="0" bottom="0" percent="0" rank="0" text="" dxfId="8">
      <formula>0</formula>
    </cfRule>
  </conditionalFormatting>
  <conditionalFormatting sqref="H319">
    <cfRule type="cellIs" priority="940" operator="greaterThan" aboveAverage="0" equalAverage="0" bottom="0" percent="0" rank="0" text="" dxfId="8">
      <formula>0</formula>
    </cfRule>
  </conditionalFormatting>
  <conditionalFormatting sqref="C320">
    <cfRule type="cellIs" priority="941" operator="greaterThan" aboveAverage="0" equalAverage="0" bottom="0" percent="0" rank="0" text="" dxfId="8">
      <formula>0</formula>
    </cfRule>
  </conditionalFormatting>
  <conditionalFormatting sqref="G320">
    <cfRule type="cellIs" priority="942" operator="greaterThan" aboveAverage="0" equalAverage="0" bottom="0" percent="0" rank="0" text="" dxfId="8">
      <formula>0</formula>
    </cfRule>
  </conditionalFormatting>
  <conditionalFormatting sqref="H320">
    <cfRule type="cellIs" priority="943" operator="greaterThan" aboveAverage="0" equalAverage="0" bottom="0" percent="0" rank="0" text="" dxfId="8">
      <formula>0</formula>
    </cfRule>
  </conditionalFormatting>
  <conditionalFormatting sqref="C321">
    <cfRule type="cellIs" priority="944" operator="greaterThan" aboveAverage="0" equalAverage="0" bottom="0" percent="0" rank="0" text="" dxfId="8">
      <formula>0</formula>
    </cfRule>
  </conditionalFormatting>
  <conditionalFormatting sqref="G321">
    <cfRule type="cellIs" priority="945" operator="greaterThan" aboveAverage="0" equalAverage="0" bottom="0" percent="0" rank="0" text="" dxfId="8">
      <formula>0</formula>
    </cfRule>
  </conditionalFormatting>
  <conditionalFormatting sqref="H321">
    <cfRule type="cellIs" priority="946" operator="greaterThan" aboveAverage="0" equalAverage="0" bottom="0" percent="0" rank="0" text="" dxfId="8">
      <formula>0</formula>
    </cfRule>
  </conditionalFormatting>
  <conditionalFormatting sqref="C322">
    <cfRule type="cellIs" priority="947" operator="greaterThan" aboveAverage="0" equalAverage="0" bottom="0" percent="0" rank="0" text="" dxfId="8">
      <formula>0</formula>
    </cfRule>
  </conditionalFormatting>
  <conditionalFormatting sqref="G322">
    <cfRule type="cellIs" priority="948" operator="greaterThan" aboveAverage="0" equalAverage="0" bottom="0" percent="0" rank="0" text="" dxfId="8">
      <formula>0</formula>
    </cfRule>
  </conditionalFormatting>
  <conditionalFormatting sqref="H322">
    <cfRule type="cellIs" priority="949" operator="greaterThan" aboveAverage="0" equalAverage="0" bottom="0" percent="0" rank="0" text="" dxfId="8">
      <formula>0</formula>
    </cfRule>
  </conditionalFormatting>
  <conditionalFormatting sqref="C323">
    <cfRule type="cellIs" priority="950" operator="greaterThan" aboveAverage="0" equalAverage="0" bottom="0" percent="0" rank="0" text="" dxfId="8">
      <formula>0</formula>
    </cfRule>
  </conditionalFormatting>
  <conditionalFormatting sqref="G323">
    <cfRule type="cellIs" priority="951" operator="greaterThan" aboveAverage="0" equalAverage="0" bottom="0" percent="0" rank="0" text="" dxfId="8">
      <formula>0</formula>
    </cfRule>
  </conditionalFormatting>
  <conditionalFormatting sqref="H323">
    <cfRule type="cellIs" priority="952" operator="greaterThan" aboveAverage="0" equalAverage="0" bottom="0" percent="0" rank="0" text="" dxfId="8">
      <formula>0</formula>
    </cfRule>
  </conditionalFormatting>
  <conditionalFormatting sqref="C324">
    <cfRule type="cellIs" priority="953" operator="greaterThan" aboveAverage="0" equalAverage="0" bottom="0" percent="0" rank="0" text="" dxfId="8">
      <formula>0</formula>
    </cfRule>
  </conditionalFormatting>
  <conditionalFormatting sqref="G324">
    <cfRule type="cellIs" priority="954" operator="greaterThan" aboveAverage="0" equalAverage="0" bottom="0" percent="0" rank="0" text="" dxfId="8">
      <formula>0</formula>
    </cfRule>
  </conditionalFormatting>
  <conditionalFormatting sqref="H324">
    <cfRule type="cellIs" priority="955" operator="greaterThan" aboveAverage="0" equalAverage="0" bottom="0" percent="0" rank="0" text="" dxfId="8">
      <formula>0</formula>
    </cfRule>
  </conditionalFormatting>
  <conditionalFormatting sqref="C325">
    <cfRule type="cellIs" priority="956" operator="greaterThan" aboveAverage="0" equalAverage="0" bottom="0" percent="0" rank="0" text="" dxfId="8">
      <formula>0</formula>
    </cfRule>
  </conditionalFormatting>
  <conditionalFormatting sqref="G325">
    <cfRule type="cellIs" priority="957" operator="greaterThan" aboveAverage="0" equalAverage="0" bottom="0" percent="0" rank="0" text="" dxfId="8">
      <formula>0</formula>
    </cfRule>
  </conditionalFormatting>
  <conditionalFormatting sqref="H325">
    <cfRule type="cellIs" priority="958" operator="greaterThan" aboveAverage="0" equalAverage="0" bottom="0" percent="0" rank="0" text="" dxfId="8">
      <formula>0</formula>
    </cfRule>
  </conditionalFormatting>
  <conditionalFormatting sqref="C326">
    <cfRule type="cellIs" priority="959" operator="greaterThan" aboveAverage="0" equalAverage="0" bottom="0" percent="0" rank="0" text="" dxfId="8">
      <formula>0</formula>
    </cfRule>
  </conditionalFormatting>
  <conditionalFormatting sqref="G326">
    <cfRule type="cellIs" priority="960" operator="greaterThan" aboveAverage="0" equalAverage="0" bottom="0" percent="0" rank="0" text="" dxfId="8">
      <formula>0</formula>
    </cfRule>
  </conditionalFormatting>
  <conditionalFormatting sqref="H326">
    <cfRule type="cellIs" priority="961" operator="greaterThan" aboveAverage="0" equalAverage="0" bottom="0" percent="0" rank="0" text="" dxfId="8">
      <formula>0</formula>
    </cfRule>
  </conditionalFormatting>
  <conditionalFormatting sqref="C327">
    <cfRule type="cellIs" priority="962" operator="greaterThan" aboveAverage="0" equalAverage="0" bottom="0" percent="0" rank="0" text="" dxfId="8">
      <formula>0</formula>
    </cfRule>
  </conditionalFormatting>
  <conditionalFormatting sqref="G327">
    <cfRule type="cellIs" priority="963" operator="greaterThan" aboveAverage="0" equalAverage="0" bottom="0" percent="0" rank="0" text="" dxfId="8">
      <formula>0</formula>
    </cfRule>
  </conditionalFormatting>
  <conditionalFormatting sqref="H327">
    <cfRule type="cellIs" priority="964" operator="greaterThan" aboveAverage="0" equalAverage="0" bottom="0" percent="0" rank="0" text="" dxfId="8">
      <formula>0</formula>
    </cfRule>
  </conditionalFormatting>
  <conditionalFormatting sqref="C328">
    <cfRule type="cellIs" priority="965" operator="greaterThan" aboveAverage="0" equalAverage="0" bottom="0" percent="0" rank="0" text="" dxfId="8">
      <formula>0</formula>
    </cfRule>
  </conditionalFormatting>
  <conditionalFormatting sqref="G328">
    <cfRule type="cellIs" priority="966" operator="greaterThan" aboveAverage="0" equalAverage="0" bottom="0" percent="0" rank="0" text="" dxfId="8">
      <formula>0</formula>
    </cfRule>
  </conditionalFormatting>
  <conditionalFormatting sqref="H328">
    <cfRule type="cellIs" priority="967" operator="greaterThan" aboveAverage="0" equalAverage="0" bottom="0" percent="0" rank="0" text="" dxfId="8">
      <formula>0</formula>
    </cfRule>
  </conditionalFormatting>
  <conditionalFormatting sqref="C329">
    <cfRule type="cellIs" priority="968" operator="greaterThan" aboveAverage="0" equalAverage="0" bottom="0" percent="0" rank="0" text="" dxfId="8">
      <formula>0</formula>
    </cfRule>
  </conditionalFormatting>
  <conditionalFormatting sqref="G329">
    <cfRule type="cellIs" priority="969" operator="greaterThan" aboveAverage="0" equalAverage="0" bottom="0" percent="0" rank="0" text="" dxfId="8">
      <formula>0</formula>
    </cfRule>
  </conditionalFormatting>
  <conditionalFormatting sqref="H329">
    <cfRule type="cellIs" priority="970" operator="greaterThan" aboveAverage="0" equalAverage="0" bottom="0" percent="0" rank="0" text="" dxfId="8">
      <formula>0</formula>
    </cfRule>
  </conditionalFormatting>
  <conditionalFormatting sqref="C330">
    <cfRule type="cellIs" priority="971" operator="greaterThan" aboveAverage="0" equalAverage="0" bottom="0" percent="0" rank="0" text="" dxfId="8">
      <formula>0</formula>
    </cfRule>
  </conditionalFormatting>
  <conditionalFormatting sqref="G330">
    <cfRule type="cellIs" priority="972" operator="greaterThan" aboveAverage="0" equalAverage="0" bottom="0" percent="0" rank="0" text="" dxfId="8">
      <formula>0</formula>
    </cfRule>
  </conditionalFormatting>
  <conditionalFormatting sqref="H330">
    <cfRule type="cellIs" priority="973" operator="greaterThan" aboveAverage="0" equalAverage="0" bottom="0" percent="0" rank="0" text="" dxfId="8">
      <formula>0</formula>
    </cfRule>
  </conditionalFormatting>
  <conditionalFormatting sqref="C331">
    <cfRule type="cellIs" priority="974" operator="greaterThan" aboveAverage="0" equalAverage="0" bottom="0" percent="0" rank="0" text="" dxfId="8">
      <formula>0</formula>
    </cfRule>
  </conditionalFormatting>
  <conditionalFormatting sqref="G331">
    <cfRule type="cellIs" priority="975" operator="greaterThan" aboveAverage="0" equalAverage="0" bottom="0" percent="0" rank="0" text="" dxfId="8">
      <formula>0</formula>
    </cfRule>
  </conditionalFormatting>
  <conditionalFormatting sqref="H331">
    <cfRule type="cellIs" priority="976" operator="greaterThan" aboveAverage="0" equalAverage="0" bottom="0" percent="0" rank="0" text="" dxfId="8">
      <formula>0</formula>
    </cfRule>
  </conditionalFormatting>
  <conditionalFormatting sqref="C332">
    <cfRule type="cellIs" priority="977" operator="greaterThan" aboveAverage="0" equalAverage="0" bottom="0" percent="0" rank="0" text="" dxfId="8">
      <formula>0</formula>
    </cfRule>
  </conditionalFormatting>
  <conditionalFormatting sqref="G332">
    <cfRule type="cellIs" priority="978" operator="greaterThan" aboveAverage="0" equalAverage="0" bottom="0" percent="0" rank="0" text="" dxfId="8">
      <formula>0</formula>
    </cfRule>
  </conditionalFormatting>
  <conditionalFormatting sqref="H332">
    <cfRule type="cellIs" priority="979" operator="greaterThan" aboveAverage="0" equalAverage="0" bottom="0" percent="0" rank="0" text="" dxfId="8">
      <formula>0</formula>
    </cfRule>
  </conditionalFormatting>
  <conditionalFormatting sqref="C333">
    <cfRule type="cellIs" priority="980" operator="greaterThan" aboveAverage="0" equalAverage="0" bottom="0" percent="0" rank="0" text="" dxfId="8">
      <formula>0</formula>
    </cfRule>
  </conditionalFormatting>
  <conditionalFormatting sqref="G333">
    <cfRule type="cellIs" priority="981" operator="greaterThan" aboveAverage="0" equalAverage="0" bottom="0" percent="0" rank="0" text="" dxfId="8">
      <formula>0</formula>
    </cfRule>
  </conditionalFormatting>
  <conditionalFormatting sqref="H333">
    <cfRule type="cellIs" priority="982" operator="greaterThan" aboveAverage="0" equalAverage="0" bottom="0" percent="0" rank="0" text="" dxfId="8">
      <formula>0</formula>
    </cfRule>
  </conditionalFormatting>
  <conditionalFormatting sqref="C334">
    <cfRule type="cellIs" priority="983" operator="greaterThan" aboveAverage="0" equalAverage="0" bottom="0" percent="0" rank="0" text="" dxfId="8">
      <formula>0</formula>
    </cfRule>
  </conditionalFormatting>
  <conditionalFormatting sqref="G334">
    <cfRule type="cellIs" priority="984" operator="greaterThan" aboveAverage="0" equalAverage="0" bottom="0" percent="0" rank="0" text="" dxfId="8">
      <formula>0</formula>
    </cfRule>
  </conditionalFormatting>
  <conditionalFormatting sqref="H334">
    <cfRule type="cellIs" priority="985" operator="greaterThan" aboveAverage="0" equalAverage="0" bottom="0" percent="0" rank="0" text="" dxfId="8">
      <formula>0</formula>
    </cfRule>
  </conditionalFormatting>
  <conditionalFormatting sqref="C335">
    <cfRule type="cellIs" priority="986" operator="greaterThan" aboveAverage="0" equalAverage="0" bottom="0" percent="0" rank="0" text="" dxfId="8">
      <formula>0</formula>
    </cfRule>
  </conditionalFormatting>
  <conditionalFormatting sqref="G335">
    <cfRule type="cellIs" priority="987" operator="greaterThan" aboveAverage="0" equalAverage="0" bottom="0" percent="0" rank="0" text="" dxfId="8">
      <formula>0</formula>
    </cfRule>
  </conditionalFormatting>
  <conditionalFormatting sqref="H335">
    <cfRule type="cellIs" priority="988" operator="greaterThan" aboveAverage="0" equalAverage="0" bottom="0" percent="0" rank="0" text="" dxfId="8">
      <formula>0</formula>
    </cfRule>
  </conditionalFormatting>
  <conditionalFormatting sqref="C336">
    <cfRule type="cellIs" priority="989" operator="greaterThan" aboveAverage="0" equalAverage="0" bottom="0" percent="0" rank="0" text="" dxfId="8">
      <formula>0</formula>
    </cfRule>
  </conditionalFormatting>
  <conditionalFormatting sqref="G336">
    <cfRule type="cellIs" priority="990" operator="greaterThan" aboveAverage="0" equalAverage="0" bottom="0" percent="0" rank="0" text="" dxfId="8">
      <formula>0</formula>
    </cfRule>
  </conditionalFormatting>
  <conditionalFormatting sqref="H336">
    <cfRule type="cellIs" priority="991" operator="greaterThan" aboveAverage="0" equalAverage="0" bottom="0" percent="0" rank="0" text="" dxfId="8">
      <formula>0</formula>
    </cfRule>
  </conditionalFormatting>
  <conditionalFormatting sqref="C337">
    <cfRule type="cellIs" priority="992" operator="greaterThan" aboveAverage="0" equalAverage="0" bottom="0" percent="0" rank="0" text="" dxfId="8">
      <formula>0</formula>
    </cfRule>
  </conditionalFormatting>
  <conditionalFormatting sqref="G337">
    <cfRule type="cellIs" priority="993" operator="greaterThan" aboveAverage="0" equalAverage="0" bottom="0" percent="0" rank="0" text="" dxfId="8">
      <formula>0</formula>
    </cfRule>
  </conditionalFormatting>
  <conditionalFormatting sqref="H337">
    <cfRule type="cellIs" priority="994" operator="greaterThan" aboveAverage="0" equalAverage="0" bottom="0" percent="0" rank="0" text="" dxfId="8">
      <formula>0</formula>
    </cfRule>
  </conditionalFormatting>
  <conditionalFormatting sqref="C338">
    <cfRule type="cellIs" priority="995" operator="greaterThan" aboveAverage="0" equalAverage="0" bottom="0" percent="0" rank="0" text="" dxfId="8">
      <formula>0</formula>
    </cfRule>
  </conditionalFormatting>
  <conditionalFormatting sqref="G338">
    <cfRule type="cellIs" priority="996" operator="greaterThan" aboveAverage="0" equalAverage="0" bottom="0" percent="0" rank="0" text="" dxfId="8">
      <formula>0</formula>
    </cfRule>
  </conditionalFormatting>
  <conditionalFormatting sqref="H338">
    <cfRule type="cellIs" priority="997" operator="greaterThan" aboveAverage="0" equalAverage="0" bottom="0" percent="0" rank="0" text="" dxfId="8">
      <formula>0</formula>
    </cfRule>
  </conditionalFormatting>
  <conditionalFormatting sqref="C339">
    <cfRule type="cellIs" priority="998" operator="greaterThan" aboveAverage="0" equalAverage="0" bottom="0" percent="0" rank="0" text="" dxfId="8">
      <formula>0</formula>
    </cfRule>
  </conditionalFormatting>
  <conditionalFormatting sqref="G339">
    <cfRule type="cellIs" priority="999" operator="greaterThan" aboveAverage="0" equalAverage="0" bottom="0" percent="0" rank="0" text="" dxfId="8">
      <formula>0</formula>
    </cfRule>
  </conditionalFormatting>
  <conditionalFormatting sqref="H339">
    <cfRule type="cellIs" priority="1000" operator="greaterThan" aboveAverage="0" equalAverage="0" bottom="0" percent="0" rank="0" text="" dxfId="8">
      <formula>0</formula>
    </cfRule>
  </conditionalFormatting>
  <conditionalFormatting sqref="C340">
    <cfRule type="cellIs" priority="1001" operator="greaterThan" aboveAverage="0" equalAverage="0" bottom="0" percent="0" rank="0" text="" dxfId="8">
      <formula>0</formula>
    </cfRule>
  </conditionalFormatting>
  <conditionalFormatting sqref="G340">
    <cfRule type="cellIs" priority="1002" operator="greaterThan" aboveAverage="0" equalAverage="0" bottom="0" percent="0" rank="0" text="" dxfId="8">
      <formula>0</formula>
    </cfRule>
  </conditionalFormatting>
  <conditionalFormatting sqref="H340">
    <cfRule type="cellIs" priority="1003" operator="greaterThan" aboveAverage="0" equalAverage="0" bottom="0" percent="0" rank="0" text="" dxfId="8">
      <formula>0</formula>
    </cfRule>
  </conditionalFormatting>
  <conditionalFormatting sqref="C341">
    <cfRule type="cellIs" priority="1004" operator="greaterThan" aboveAverage="0" equalAverage="0" bottom="0" percent="0" rank="0" text="" dxfId="8">
      <formula>0</formula>
    </cfRule>
  </conditionalFormatting>
  <conditionalFormatting sqref="G341">
    <cfRule type="cellIs" priority="1005" operator="greaterThan" aboveAverage="0" equalAverage="0" bottom="0" percent="0" rank="0" text="" dxfId="8">
      <formula>0</formula>
    </cfRule>
  </conditionalFormatting>
  <conditionalFormatting sqref="H341">
    <cfRule type="cellIs" priority="1006" operator="greaterThan" aboveAverage="0" equalAverage="0" bottom="0" percent="0" rank="0" text="" dxfId="8">
      <formula>0</formula>
    </cfRule>
  </conditionalFormatting>
  <conditionalFormatting sqref="C342">
    <cfRule type="cellIs" priority="1007" operator="greaterThan" aboveAverage="0" equalAverage="0" bottom="0" percent="0" rank="0" text="" dxfId="8">
      <formula>0</formula>
    </cfRule>
  </conditionalFormatting>
  <conditionalFormatting sqref="G342">
    <cfRule type="cellIs" priority="1008" operator="greaterThan" aboveAverage="0" equalAverage="0" bottom="0" percent="0" rank="0" text="" dxfId="8">
      <formula>0</formula>
    </cfRule>
  </conditionalFormatting>
  <conditionalFormatting sqref="H342">
    <cfRule type="cellIs" priority="1009" operator="greaterThan" aboveAverage="0" equalAverage="0" bottom="0" percent="0" rank="0" text="" dxfId="8">
      <formula>0</formula>
    </cfRule>
  </conditionalFormatting>
  <conditionalFormatting sqref="C343">
    <cfRule type="cellIs" priority="1010" operator="greaterThan" aboveAverage="0" equalAverage="0" bottom="0" percent="0" rank="0" text="" dxfId="8">
      <formula>0</formula>
    </cfRule>
  </conditionalFormatting>
  <conditionalFormatting sqref="G343">
    <cfRule type="cellIs" priority="1011" operator="greaterThan" aboveAverage="0" equalAverage="0" bottom="0" percent="0" rank="0" text="" dxfId="8">
      <formula>0</formula>
    </cfRule>
  </conditionalFormatting>
  <conditionalFormatting sqref="H343">
    <cfRule type="cellIs" priority="1012" operator="greaterThan" aboveAverage="0" equalAverage="0" bottom="0" percent="0" rank="0" text="" dxfId="8">
      <formula>0</formula>
    </cfRule>
  </conditionalFormatting>
  <conditionalFormatting sqref="C344">
    <cfRule type="cellIs" priority="1013" operator="greaterThan" aboveAverage="0" equalAverage="0" bottom="0" percent="0" rank="0" text="" dxfId="8">
      <formula>0</formula>
    </cfRule>
  </conditionalFormatting>
  <conditionalFormatting sqref="G344">
    <cfRule type="cellIs" priority="1014" operator="greaterThan" aboveAverage="0" equalAverage="0" bottom="0" percent="0" rank="0" text="" dxfId="8">
      <formula>0</formula>
    </cfRule>
  </conditionalFormatting>
  <conditionalFormatting sqref="H344">
    <cfRule type="cellIs" priority="1015" operator="greaterThan" aboveAverage="0" equalAverage="0" bottom="0" percent="0" rank="0" text="" dxfId="8">
      <formula>0</formula>
    </cfRule>
  </conditionalFormatting>
  <conditionalFormatting sqref="C345">
    <cfRule type="cellIs" priority="1016" operator="greaterThan" aboveAverage="0" equalAverage="0" bottom="0" percent="0" rank="0" text="" dxfId="8">
      <formula>0</formula>
    </cfRule>
  </conditionalFormatting>
  <conditionalFormatting sqref="G345">
    <cfRule type="cellIs" priority="1017" operator="greaterThan" aboveAverage="0" equalAverage="0" bottom="0" percent="0" rank="0" text="" dxfId="8">
      <formula>0</formula>
    </cfRule>
  </conditionalFormatting>
  <conditionalFormatting sqref="H345">
    <cfRule type="cellIs" priority="1018" operator="greaterThan" aboveAverage="0" equalAverage="0" bottom="0" percent="0" rank="0" text="" dxfId="8">
      <formula>0</formula>
    </cfRule>
  </conditionalFormatting>
  <conditionalFormatting sqref="C346">
    <cfRule type="cellIs" priority="1019" operator="greaterThan" aboveAverage="0" equalAverage="0" bottom="0" percent="0" rank="0" text="" dxfId="8">
      <formula>0</formula>
    </cfRule>
  </conditionalFormatting>
  <conditionalFormatting sqref="G346">
    <cfRule type="cellIs" priority="1020" operator="greaterThan" aboveAverage="0" equalAverage="0" bottom="0" percent="0" rank="0" text="" dxfId="8">
      <formula>0</formula>
    </cfRule>
  </conditionalFormatting>
  <conditionalFormatting sqref="H346">
    <cfRule type="cellIs" priority="1021" operator="greaterThan" aboveAverage="0" equalAverage="0" bottom="0" percent="0" rank="0" text="" dxfId="8">
      <formula>0</formula>
    </cfRule>
  </conditionalFormatting>
  <conditionalFormatting sqref="C347">
    <cfRule type="cellIs" priority="1022" operator="greaterThan" aboveAverage="0" equalAverage="0" bottom="0" percent="0" rank="0" text="" dxfId="8">
      <formula>0</formula>
    </cfRule>
  </conditionalFormatting>
  <conditionalFormatting sqref="G347">
    <cfRule type="cellIs" priority="1023" operator="greaterThan" aboveAverage="0" equalAverage="0" bottom="0" percent="0" rank="0" text="" dxfId="8">
      <formula>0</formula>
    </cfRule>
  </conditionalFormatting>
  <conditionalFormatting sqref="H347">
    <cfRule type="cellIs" priority="1024" operator="greaterThan" aboveAverage="0" equalAverage="0" bottom="0" percent="0" rank="0" text="" dxfId="8">
      <formula>0</formula>
    </cfRule>
  </conditionalFormatting>
  <conditionalFormatting sqref="C348">
    <cfRule type="cellIs" priority="1025" operator="greaterThan" aboveAverage="0" equalAverage="0" bottom="0" percent="0" rank="0" text="" dxfId="8">
      <formula>0</formula>
    </cfRule>
  </conditionalFormatting>
  <conditionalFormatting sqref="G348">
    <cfRule type="cellIs" priority="1026" operator="greaterThan" aboveAverage="0" equalAverage="0" bottom="0" percent="0" rank="0" text="" dxfId="8">
      <formula>0</formula>
    </cfRule>
  </conditionalFormatting>
  <conditionalFormatting sqref="H348">
    <cfRule type="cellIs" priority="1027" operator="greaterThan" aboveAverage="0" equalAverage="0" bottom="0" percent="0" rank="0" text="" dxfId="8">
      <formula>0</formula>
    </cfRule>
  </conditionalFormatting>
  <conditionalFormatting sqref="C349">
    <cfRule type="cellIs" priority="1028" operator="greaterThan" aboveAverage="0" equalAverage="0" bottom="0" percent="0" rank="0" text="" dxfId="8">
      <formula>0</formula>
    </cfRule>
  </conditionalFormatting>
  <conditionalFormatting sqref="G349">
    <cfRule type="cellIs" priority="1029" operator="greaterThan" aboveAverage="0" equalAverage="0" bottom="0" percent="0" rank="0" text="" dxfId="8">
      <formula>0</formula>
    </cfRule>
  </conditionalFormatting>
  <conditionalFormatting sqref="H349">
    <cfRule type="cellIs" priority="1030" operator="greaterThan" aboveAverage="0" equalAverage="0" bottom="0" percent="0" rank="0" text="" dxfId="8">
      <formula>0</formula>
    </cfRule>
  </conditionalFormatting>
  <conditionalFormatting sqref="C350">
    <cfRule type="cellIs" priority="1031" operator="greaterThan" aboveAverage="0" equalAverage="0" bottom="0" percent="0" rank="0" text="" dxfId="8">
      <formula>0</formula>
    </cfRule>
  </conditionalFormatting>
  <conditionalFormatting sqref="G350">
    <cfRule type="cellIs" priority="1032" operator="greaterThan" aboveAverage="0" equalAverage="0" bottom="0" percent="0" rank="0" text="" dxfId="8">
      <formula>0</formula>
    </cfRule>
  </conditionalFormatting>
  <conditionalFormatting sqref="H350">
    <cfRule type="cellIs" priority="1033" operator="greaterThan" aboveAverage="0" equalAverage="0" bottom="0" percent="0" rank="0" text="" dxfId="8">
      <formula>0</formula>
    </cfRule>
  </conditionalFormatting>
  <conditionalFormatting sqref="C351">
    <cfRule type="cellIs" priority="1034" operator="greaterThan" aboveAverage="0" equalAverage="0" bottom="0" percent="0" rank="0" text="" dxfId="8">
      <formula>0</formula>
    </cfRule>
  </conditionalFormatting>
  <conditionalFormatting sqref="G351">
    <cfRule type="cellIs" priority="1035" operator="greaterThan" aboveAverage="0" equalAverage="0" bottom="0" percent="0" rank="0" text="" dxfId="8">
      <formula>0</formula>
    </cfRule>
  </conditionalFormatting>
  <conditionalFormatting sqref="H351">
    <cfRule type="cellIs" priority="1036" operator="greaterThan" aboveAverage="0" equalAverage="0" bottom="0" percent="0" rank="0" text="" dxfId="8">
      <formula>0</formula>
    </cfRule>
  </conditionalFormatting>
  <conditionalFormatting sqref="C352">
    <cfRule type="cellIs" priority="1037" operator="greaterThan" aboveAverage="0" equalAverage="0" bottom="0" percent="0" rank="0" text="" dxfId="8">
      <formula>0</formula>
    </cfRule>
  </conditionalFormatting>
  <conditionalFormatting sqref="G352">
    <cfRule type="cellIs" priority="1038" operator="greaterThan" aboveAverage="0" equalAverage="0" bottom="0" percent="0" rank="0" text="" dxfId="8">
      <formula>0</formula>
    </cfRule>
  </conditionalFormatting>
  <conditionalFormatting sqref="H352">
    <cfRule type="cellIs" priority="1039" operator="greaterThan" aboveAverage="0" equalAverage="0" bottom="0" percent="0" rank="0" text="" dxfId="8">
      <formula>0</formula>
    </cfRule>
  </conditionalFormatting>
  <conditionalFormatting sqref="C353">
    <cfRule type="cellIs" priority="1040" operator="greaterThan" aboveAverage="0" equalAverage="0" bottom="0" percent="0" rank="0" text="" dxfId="8">
      <formula>0</formula>
    </cfRule>
  </conditionalFormatting>
  <conditionalFormatting sqref="G353">
    <cfRule type="cellIs" priority="1041" operator="greaterThan" aboveAverage="0" equalAverage="0" bottom="0" percent="0" rank="0" text="" dxfId="8">
      <formula>0</formula>
    </cfRule>
  </conditionalFormatting>
  <conditionalFormatting sqref="H353">
    <cfRule type="cellIs" priority="1042" operator="greaterThan" aboveAverage="0" equalAverage="0" bottom="0" percent="0" rank="0" text="" dxfId="8">
      <formula>0</formula>
    </cfRule>
  </conditionalFormatting>
  <conditionalFormatting sqref="C354">
    <cfRule type="cellIs" priority="1043" operator="greaterThan" aboveAverage="0" equalAverage="0" bottom="0" percent="0" rank="0" text="" dxfId="8">
      <formula>0</formula>
    </cfRule>
  </conditionalFormatting>
  <conditionalFormatting sqref="G354">
    <cfRule type="cellIs" priority="1044" operator="greaterThan" aboveAverage="0" equalAverage="0" bottom="0" percent="0" rank="0" text="" dxfId="8">
      <formula>0</formula>
    </cfRule>
  </conditionalFormatting>
  <conditionalFormatting sqref="H354">
    <cfRule type="cellIs" priority="1045" operator="greaterThan" aboveAverage="0" equalAverage="0" bottom="0" percent="0" rank="0" text="" dxfId="8">
      <formula>0</formula>
    </cfRule>
  </conditionalFormatting>
  <conditionalFormatting sqref="C355">
    <cfRule type="cellIs" priority="1046" operator="greaterThan" aboveAverage="0" equalAverage="0" bottom="0" percent="0" rank="0" text="" dxfId="8">
      <formula>0</formula>
    </cfRule>
  </conditionalFormatting>
  <conditionalFormatting sqref="G355">
    <cfRule type="cellIs" priority="1047" operator="greaterThan" aboveAverage="0" equalAverage="0" bottom="0" percent="0" rank="0" text="" dxfId="8">
      <formula>0</formula>
    </cfRule>
  </conditionalFormatting>
  <conditionalFormatting sqref="H355">
    <cfRule type="cellIs" priority="1048" operator="greaterThan" aboveAverage="0" equalAverage="0" bottom="0" percent="0" rank="0" text="" dxfId="8">
      <formula>0</formula>
    </cfRule>
  </conditionalFormatting>
  <conditionalFormatting sqref="C356">
    <cfRule type="cellIs" priority="1049" operator="greaterThan" aboveAverage="0" equalAverage="0" bottom="0" percent="0" rank="0" text="" dxfId="8">
      <formula>0</formula>
    </cfRule>
  </conditionalFormatting>
  <conditionalFormatting sqref="G356">
    <cfRule type="cellIs" priority="1050" operator="greaterThan" aboveAverage="0" equalAverage="0" bottom="0" percent="0" rank="0" text="" dxfId="8">
      <formula>0</formula>
    </cfRule>
  </conditionalFormatting>
  <conditionalFormatting sqref="H356">
    <cfRule type="cellIs" priority="1051" operator="greaterThan" aboveAverage="0" equalAverage="0" bottom="0" percent="0" rank="0" text="" dxfId="8">
      <formula>0</formula>
    </cfRule>
  </conditionalFormatting>
  <conditionalFormatting sqref="C357">
    <cfRule type="cellIs" priority="1052" operator="greaterThan" aboveAverage="0" equalAverage="0" bottom="0" percent="0" rank="0" text="" dxfId="8">
      <formula>0</formula>
    </cfRule>
  </conditionalFormatting>
  <conditionalFormatting sqref="G357">
    <cfRule type="cellIs" priority="1053" operator="greaterThan" aboveAverage="0" equalAverage="0" bottom="0" percent="0" rank="0" text="" dxfId="8">
      <formula>0</formula>
    </cfRule>
  </conditionalFormatting>
  <conditionalFormatting sqref="H357">
    <cfRule type="cellIs" priority="1054" operator="greaterThan" aboveAverage="0" equalAverage="0" bottom="0" percent="0" rank="0" text="" dxfId="8">
      <formula>0</formula>
    </cfRule>
  </conditionalFormatting>
  <conditionalFormatting sqref="C358">
    <cfRule type="cellIs" priority="1055" operator="greaterThan" aboveAverage="0" equalAverage="0" bottom="0" percent="0" rank="0" text="" dxfId="8">
      <formula>0</formula>
    </cfRule>
  </conditionalFormatting>
  <conditionalFormatting sqref="G358">
    <cfRule type="cellIs" priority="1056" operator="greaterThan" aboveAverage="0" equalAverage="0" bottom="0" percent="0" rank="0" text="" dxfId="8">
      <formula>0</formula>
    </cfRule>
  </conditionalFormatting>
  <conditionalFormatting sqref="H358">
    <cfRule type="cellIs" priority="1057" operator="greaterThan" aboveAverage="0" equalAverage="0" bottom="0" percent="0" rank="0" text="" dxfId="8">
      <formula>0</formula>
    </cfRule>
  </conditionalFormatting>
  <conditionalFormatting sqref="C359">
    <cfRule type="cellIs" priority="1058" operator="greaterThan" aboveAverage="0" equalAverage="0" bottom="0" percent="0" rank="0" text="" dxfId="8">
      <formula>0</formula>
    </cfRule>
  </conditionalFormatting>
  <conditionalFormatting sqref="G359">
    <cfRule type="cellIs" priority="1059" operator="greaterThan" aboveAverage="0" equalAverage="0" bottom="0" percent="0" rank="0" text="" dxfId="8">
      <formula>0</formula>
    </cfRule>
  </conditionalFormatting>
  <conditionalFormatting sqref="H359">
    <cfRule type="cellIs" priority="1060" operator="greaterThan" aboveAverage="0" equalAverage="0" bottom="0" percent="0" rank="0" text="" dxfId="8">
      <formula>0</formula>
    </cfRule>
  </conditionalFormatting>
  <conditionalFormatting sqref="C360">
    <cfRule type="cellIs" priority="1061" operator="greaterThan" aboveAverage="0" equalAverage="0" bottom="0" percent="0" rank="0" text="" dxfId="8">
      <formula>0</formula>
    </cfRule>
  </conditionalFormatting>
  <conditionalFormatting sqref="G360">
    <cfRule type="cellIs" priority="1062" operator="greaterThan" aboveAverage="0" equalAverage="0" bottom="0" percent="0" rank="0" text="" dxfId="8">
      <formula>0</formula>
    </cfRule>
  </conditionalFormatting>
  <conditionalFormatting sqref="H360">
    <cfRule type="cellIs" priority="1063" operator="greaterThan" aboveAverage="0" equalAverage="0" bottom="0" percent="0" rank="0" text="" dxfId="8">
      <formula>0</formula>
    </cfRule>
  </conditionalFormatting>
  <conditionalFormatting sqref="C361">
    <cfRule type="cellIs" priority="1064" operator="greaterThan" aboveAverage="0" equalAverage="0" bottom="0" percent="0" rank="0" text="" dxfId="8">
      <formula>0</formula>
    </cfRule>
  </conditionalFormatting>
  <conditionalFormatting sqref="G361">
    <cfRule type="cellIs" priority="1065" operator="greaterThan" aboveAverage="0" equalAverage="0" bottom="0" percent="0" rank="0" text="" dxfId="8">
      <formula>0</formula>
    </cfRule>
  </conditionalFormatting>
  <conditionalFormatting sqref="H361">
    <cfRule type="cellIs" priority="1066" operator="greaterThan" aboveAverage="0" equalAverage="0" bottom="0" percent="0" rank="0" text="" dxfId="8">
      <formula>0</formula>
    </cfRule>
  </conditionalFormatting>
  <conditionalFormatting sqref="C362">
    <cfRule type="cellIs" priority="1067" operator="greaterThan" aboveAverage="0" equalAverage="0" bottom="0" percent="0" rank="0" text="" dxfId="8">
      <formula>0</formula>
    </cfRule>
  </conditionalFormatting>
  <conditionalFormatting sqref="G362">
    <cfRule type="cellIs" priority="1068" operator="greaterThan" aboveAverage="0" equalAverage="0" bottom="0" percent="0" rank="0" text="" dxfId="8">
      <formula>0</formula>
    </cfRule>
  </conditionalFormatting>
  <conditionalFormatting sqref="H362">
    <cfRule type="cellIs" priority="1069" operator="greaterThan" aboveAverage="0" equalAverage="0" bottom="0" percent="0" rank="0" text="" dxfId="8">
      <formula>0</formula>
    </cfRule>
  </conditionalFormatting>
  <conditionalFormatting sqref="C363">
    <cfRule type="cellIs" priority="1070" operator="greaterThan" aboveAverage="0" equalAverage="0" bottom="0" percent="0" rank="0" text="" dxfId="8">
      <formula>0</formula>
    </cfRule>
  </conditionalFormatting>
  <conditionalFormatting sqref="G363">
    <cfRule type="cellIs" priority="1071" operator="greaterThan" aboveAverage="0" equalAverage="0" bottom="0" percent="0" rank="0" text="" dxfId="8">
      <formula>0</formula>
    </cfRule>
  </conditionalFormatting>
  <conditionalFormatting sqref="H363">
    <cfRule type="cellIs" priority="1072" operator="greaterThan" aboveAverage="0" equalAverage="0" bottom="0" percent="0" rank="0" text="" dxfId="8">
      <formula>0</formula>
    </cfRule>
  </conditionalFormatting>
  <conditionalFormatting sqref="C364">
    <cfRule type="cellIs" priority="1073" operator="greaterThan" aboveAverage="0" equalAverage="0" bottom="0" percent="0" rank="0" text="" dxfId="8">
      <formula>0</formula>
    </cfRule>
  </conditionalFormatting>
  <conditionalFormatting sqref="G364">
    <cfRule type="cellIs" priority="1074" operator="greaterThan" aboveAverage="0" equalAverage="0" bottom="0" percent="0" rank="0" text="" dxfId="8">
      <formula>0</formula>
    </cfRule>
  </conditionalFormatting>
  <conditionalFormatting sqref="H364">
    <cfRule type="cellIs" priority="1075" operator="greaterThan" aboveAverage="0" equalAverage="0" bottom="0" percent="0" rank="0" text="" dxfId="8">
      <formula>0</formula>
    </cfRule>
  </conditionalFormatting>
  <conditionalFormatting sqref="C365">
    <cfRule type="cellIs" priority="1076" operator="greaterThan" aboveAverage="0" equalAverage="0" bottom="0" percent="0" rank="0" text="" dxfId="8">
      <formula>0</formula>
    </cfRule>
  </conditionalFormatting>
  <conditionalFormatting sqref="G365">
    <cfRule type="cellIs" priority="1077" operator="greaterThan" aboveAverage="0" equalAverage="0" bottom="0" percent="0" rank="0" text="" dxfId="8">
      <formula>0</formula>
    </cfRule>
  </conditionalFormatting>
  <conditionalFormatting sqref="H365">
    <cfRule type="cellIs" priority="1078" operator="greaterThan" aboveAverage="0" equalAverage="0" bottom="0" percent="0" rank="0" text="" dxfId="8">
      <formula>0</formula>
    </cfRule>
  </conditionalFormatting>
  <conditionalFormatting sqref="C366">
    <cfRule type="cellIs" priority="1079" operator="greaterThan" aboveAverage="0" equalAverage="0" bottom="0" percent="0" rank="0" text="" dxfId="8">
      <formula>0</formula>
    </cfRule>
  </conditionalFormatting>
  <conditionalFormatting sqref="G366">
    <cfRule type="cellIs" priority="1080" operator="greaterThan" aboveAverage="0" equalAverage="0" bottom="0" percent="0" rank="0" text="" dxfId="8">
      <formula>0</formula>
    </cfRule>
  </conditionalFormatting>
  <conditionalFormatting sqref="H366">
    <cfRule type="cellIs" priority="1081" operator="greaterThan" aboveAverage="0" equalAverage="0" bottom="0" percent="0" rank="0" text="" dxfId="8">
      <formula>0</formula>
    </cfRule>
  </conditionalFormatting>
  <conditionalFormatting sqref="C367">
    <cfRule type="cellIs" priority="1082" operator="greaterThan" aboveAverage="0" equalAverage="0" bottom="0" percent="0" rank="0" text="" dxfId="8">
      <formula>0</formula>
    </cfRule>
  </conditionalFormatting>
  <conditionalFormatting sqref="G367">
    <cfRule type="cellIs" priority="1083" operator="greaterThan" aboveAverage="0" equalAverage="0" bottom="0" percent="0" rank="0" text="" dxfId="8">
      <formula>0</formula>
    </cfRule>
  </conditionalFormatting>
  <conditionalFormatting sqref="H367">
    <cfRule type="cellIs" priority="1084" operator="greaterThan" aboveAverage="0" equalAverage="0" bottom="0" percent="0" rank="0" text="" dxfId="8">
      <formula>0</formula>
    </cfRule>
  </conditionalFormatting>
  <conditionalFormatting sqref="C368">
    <cfRule type="cellIs" priority="1085" operator="greaterThan" aboveAverage="0" equalAverage="0" bottom="0" percent="0" rank="0" text="" dxfId="8">
      <formula>0</formula>
    </cfRule>
  </conditionalFormatting>
  <conditionalFormatting sqref="G368">
    <cfRule type="cellIs" priority="1086" operator="greaterThan" aboveAverage="0" equalAverage="0" bottom="0" percent="0" rank="0" text="" dxfId="8">
      <formula>0</formula>
    </cfRule>
  </conditionalFormatting>
  <conditionalFormatting sqref="H368">
    <cfRule type="cellIs" priority="1087" operator="greaterThan" aboveAverage="0" equalAverage="0" bottom="0" percent="0" rank="0" text="" dxfId="8">
      <formula>0</formula>
    </cfRule>
  </conditionalFormatting>
  <conditionalFormatting sqref="C369">
    <cfRule type="cellIs" priority="1088" operator="greaterThan" aboveAverage="0" equalAverage="0" bottom="0" percent="0" rank="0" text="" dxfId="8">
      <formula>0</formula>
    </cfRule>
  </conditionalFormatting>
  <conditionalFormatting sqref="G369">
    <cfRule type="cellIs" priority="1089" operator="greaterThan" aboveAverage="0" equalAverage="0" bottom="0" percent="0" rank="0" text="" dxfId="8">
      <formula>0</formula>
    </cfRule>
  </conditionalFormatting>
  <conditionalFormatting sqref="H369">
    <cfRule type="cellIs" priority="1090" operator="greaterThan" aboveAverage="0" equalAverage="0" bottom="0" percent="0" rank="0" text="" dxfId="8">
      <formula>0</formula>
    </cfRule>
  </conditionalFormatting>
  <conditionalFormatting sqref="C370">
    <cfRule type="cellIs" priority="1091" operator="greaterThan" aboveAverage="0" equalAverage="0" bottom="0" percent="0" rank="0" text="" dxfId="8">
      <formula>0</formula>
    </cfRule>
  </conditionalFormatting>
  <conditionalFormatting sqref="G370">
    <cfRule type="cellIs" priority="1092" operator="greaterThan" aboveAverage="0" equalAverage="0" bottom="0" percent="0" rank="0" text="" dxfId="8">
      <formula>0</formula>
    </cfRule>
  </conditionalFormatting>
  <conditionalFormatting sqref="H370">
    <cfRule type="cellIs" priority="1093" operator="greaterThan" aboveAverage="0" equalAverage="0" bottom="0" percent="0" rank="0" text="" dxfId="8">
      <formula>0</formula>
    </cfRule>
  </conditionalFormatting>
  <conditionalFormatting sqref="C371">
    <cfRule type="cellIs" priority="1094" operator="greaterThan" aboveAverage="0" equalAverage="0" bottom="0" percent="0" rank="0" text="" dxfId="8">
      <formula>0</formula>
    </cfRule>
  </conditionalFormatting>
  <conditionalFormatting sqref="G371">
    <cfRule type="cellIs" priority="1095" operator="greaterThan" aboveAverage="0" equalAverage="0" bottom="0" percent="0" rank="0" text="" dxfId="8">
      <formula>0</formula>
    </cfRule>
  </conditionalFormatting>
  <conditionalFormatting sqref="H371">
    <cfRule type="cellIs" priority="1096" operator="greaterThan" aboveAverage="0" equalAverage="0" bottom="0" percent="0" rank="0" text="" dxfId="8">
      <formula>0</formula>
    </cfRule>
  </conditionalFormatting>
  <conditionalFormatting sqref="C372">
    <cfRule type="cellIs" priority="1097" operator="greaterThan" aboveAverage="0" equalAverage="0" bottom="0" percent="0" rank="0" text="" dxfId="8">
      <formula>0</formula>
    </cfRule>
  </conditionalFormatting>
  <conditionalFormatting sqref="G372">
    <cfRule type="cellIs" priority="1098" operator="greaterThan" aboveAverage="0" equalAverage="0" bottom="0" percent="0" rank="0" text="" dxfId="8">
      <formula>0</formula>
    </cfRule>
  </conditionalFormatting>
  <conditionalFormatting sqref="H372">
    <cfRule type="cellIs" priority="1099" operator="greaterThan" aboveAverage="0" equalAverage="0" bottom="0" percent="0" rank="0" text="" dxfId="8">
      <formula>0</formula>
    </cfRule>
  </conditionalFormatting>
  <conditionalFormatting sqref="C373">
    <cfRule type="cellIs" priority="1100" operator="greaterThan" aboveAverage="0" equalAverage="0" bottom="0" percent="0" rank="0" text="" dxfId="8">
      <formula>0</formula>
    </cfRule>
  </conditionalFormatting>
  <conditionalFormatting sqref="G373">
    <cfRule type="cellIs" priority="1101" operator="greaterThan" aboveAverage="0" equalAverage="0" bottom="0" percent="0" rank="0" text="" dxfId="8">
      <formula>0</formula>
    </cfRule>
  </conditionalFormatting>
  <conditionalFormatting sqref="H373">
    <cfRule type="cellIs" priority="1102" operator="greaterThan" aboveAverage="0" equalAverage="0" bottom="0" percent="0" rank="0" text="" dxfId="8">
      <formula>0</formula>
    </cfRule>
  </conditionalFormatting>
  <conditionalFormatting sqref="C374">
    <cfRule type="cellIs" priority="1103" operator="greaterThan" aboveAverage="0" equalAverage="0" bottom="0" percent="0" rank="0" text="" dxfId="8">
      <formula>0</formula>
    </cfRule>
  </conditionalFormatting>
  <conditionalFormatting sqref="G374">
    <cfRule type="cellIs" priority="1104" operator="greaterThan" aboveAverage="0" equalAverage="0" bottom="0" percent="0" rank="0" text="" dxfId="8">
      <formula>0</formula>
    </cfRule>
  </conditionalFormatting>
  <conditionalFormatting sqref="H374">
    <cfRule type="cellIs" priority="1105" operator="greaterThan" aboveAverage="0" equalAverage="0" bottom="0" percent="0" rank="0" text="" dxfId="8">
      <formula>0</formula>
    </cfRule>
  </conditionalFormatting>
  <conditionalFormatting sqref="C375">
    <cfRule type="cellIs" priority="1106" operator="greaterThan" aboveAverage="0" equalAverage="0" bottom="0" percent="0" rank="0" text="" dxfId="8">
      <formula>0</formula>
    </cfRule>
  </conditionalFormatting>
  <conditionalFormatting sqref="G375">
    <cfRule type="cellIs" priority="1107" operator="greaterThan" aboveAverage="0" equalAverage="0" bottom="0" percent="0" rank="0" text="" dxfId="8">
      <formula>0</formula>
    </cfRule>
  </conditionalFormatting>
  <conditionalFormatting sqref="H375">
    <cfRule type="cellIs" priority="1108" operator="greaterThan" aboveAverage="0" equalAverage="0" bottom="0" percent="0" rank="0" text="" dxfId="8">
      <formula>0</formula>
    </cfRule>
  </conditionalFormatting>
  <conditionalFormatting sqref="C376">
    <cfRule type="cellIs" priority="1109" operator="greaterThan" aboveAverage="0" equalAverage="0" bottom="0" percent="0" rank="0" text="" dxfId="8">
      <formula>0</formula>
    </cfRule>
  </conditionalFormatting>
  <conditionalFormatting sqref="G376">
    <cfRule type="cellIs" priority="1110" operator="greaterThan" aboveAverage="0" equalAverage="0" bottom="0" percent="0" rank="0" text="" dxfId="8">
      <formula>0</formula>
    </cfRule>
  </conditionalFormatting>
  <conditionalFormatting sqref="H376">
    <cfRule type="cellIs" priority="1111" operator="greaterThan" aboveAverage="0" equalAverage="0" bottom="0" percent="0" rank="0" text="" dxfId="8">
      <formula>0</formula>
    </cfRule>
  </conditionalFormatting>
  <conditionalFormatting sqref="C377">
    <cfRule type="cellIs" priority="1112" operator="greaterThan" aboveAverage="0" equalAverage="0" bottom="0" percent="0" rank="0" text="" dxfId="8">
      <formula>0</formula>
    </cfRule>
  </conditionalFormatting>
  <conditionalFormatting sqref="G377">
    <cfRule type="cellIs" priority="1113" operator="greaterThan" aboveAverage="0" equalAverage="0" bottom="0" percent="0" rank="0" text="" dxfId="8">
      <formula>0</formula>
    </cfRule>
  </conditionalFormatting>
  <conditionalFormatting sqref="H377">
    <cfRule type="cellIs" priority="1114" operator="greaterThan" aboveAverage="0" equalAverage="0" bottom="0" percent="0" rank="0" text="" dxfId="8">
      <formula>0</formula>
    </cfRule>
  </conditionalFormatting>
  <conditionalFormatting sqref="C378">
    <cfRule type="cellIs" priority="1115" operator="greaterThan" aboveAverage="0" equalAverage="0" bottom="0" percent="0" rank="0" text="" dxfId="8">
      <formula>0</formula>
    </cfRule>
  </conditionalFormatting>
  <conditionalFormatting sqref="G378">
    <cfRule type="cellIs" priority="1116" operator="greaterThan" aboveAverage="0" equalAverage="0" bottom="0" percent="0" rank="0" text="" dxfId="8">
      <formula>0</formula>
    </cfRule>
  </conditionalFormatting>
  <conditionalFormatting sqref="H378">
    <cfRule type="cellIs" priority="1117" operator="greaterThan" aboveAverage="0" equalAverage="0" bottom="0" percent="0" rank="0" text="" dxfId="8">
      <formula>0</formula>
    </cfRule>
  </conditionalFormatting>
  <conditionalFormatting sqref="C379">
    <cfRule type="cellIs" priority="1118" operator="greaterThan" aboveAverage="0" equalAverage="0" bottom="0" percent="0" rank="0" text="" dxfId="8">
      <formula>0</formula>
    </cfRule>
  </conditionalFormatting>
  <conditionalFormatting sqref="G379">
    <cfRule type="cellIs" priority="1119" operator="greaterThan" aboveAverage="0" equalAverage="0" bottom="0" percent="0" rank="0" text="" dxfId="8">
      <formula>0</formula>
    </cfRule>
  </conditionalFormatting>
  <conditionalFormatting sqref="H379">
    <cfRule type="cellIs" priority="1120" operator="greaterThan" aboveAverage="0" equalAverage="0" bottom="0" percent="0" rank="0" text="" dxfId="8">
      <formula>0</formula>
    </cfRule>
  </conditionalFormatting>
  <conditionalFormatting sqref="C380">
    <cfRule type="cellIs" priority="1121" operator="greaterThan" aboveAverage="0" equalAverage="0" bottom="0" percent="0" rank="0" text="" dxfId="8">
      <formula>0</formula>
    </cfRule>
  </conditionalFormatting>
  <conditionalFormatting sqref="G380">
    <cfRule type="cellIs" priority="1122" operator="greaterThan" aboveAverage="0" equalAverage="0" bottom="0" percent="0" rank="0" text="" dxfId="8">
      <formula>0</formula>
    </cfRule>
  </conditionalFormatting>
  <conditionalFormatting sqref="H380">
    <cfRule type="cellIs" priority="1123" operator="greaterThan" aboveAverage="0" equalAverage="0" bottom="0" percent="0" rank="0" text="" dxfId="8">
      <formula>0</formula>
    </cfRule>
  </conditionalFormatting>
  <conditionalFormatting sqref="C381">
    <cfRule type="cellIs" priority="1124" operator="greaterThan" aboveAverage="0" equalAverage="0" bottom="0" percent="0" rank="0" text="" dxfId="8">
      <formula>0</formula>
    </cfRule>
  </conditionalFormatting>
  <conditionalFormatting sqref="G381">
    <cfRule type="cellIs" priority="1125" operator="greaterThan" aboveAverage="0" equalAverage="0" bottom="0" percent="0" rank="0" text="" dxfId="8">
      <formula>0</formula>
    </cfRule>
  </conditionalFormatting>
  <conditionalFormatting sqref="H381">
    <cfRule type="cellIs" priority="1126" operator="greaterThan" aboveAverage="0" equalAverage="0" bottom="0" percent="0" rank="0" text="" dxfId="8">
      <formula>0</formula>
    </cfRule>
  </conditionalFormatting>
  <conditionalFormatting sqref="C382">
    <cfRule type="cellIs" priority="1127" operator="greaterThan" aboveAverage="0" equalAverage="0" bottom="0" percent="0" rank="0" text="" dxfId="8">
      <formula>0</formula>
    </cfRule>
  </conditionalFormatting>
  <conditionalFormatting sqref="G382">
    <cfRule type="cellIs" priority="1128" operator="greaterThan" aboveAverage="0" equalAverage="0" bottom="0" percent="0" rank="0" text="" dxfId="8">
      <formula>0</formula>
    </cfRule>
  </conditionalFormatting>
  <conditionalFormatting sqref="H382">
    <cfRule type="cellIs" priority="1129" operator="greaterThan" aboveAverage="0" equalAverage="0" bottom="0" percent="0" rank="0" text="" dxfId="8">
      <formula>0</formula>
    </cfRule>
  </conditionalFormatting>
  <conditionalFormatting sqref="C383">
    <cfRule type="cellIs" priority="1130" operator="greaterThan" aboveAverage="0" equalAverage="0" bottom="0" percent="0" rank="0" text="" dxfId="8">
      <formula>0</formula>
    </cfRule>
  </conditionalFormatting>
  <conditionalFormatting sqref="G383">
    <cfRule type="cellIs" priority="1131" operator="greaterThan" aboveAverage="0" equalAverage="0" bottom="0" percent="0" rank="0" text="" dxfId="8">
      <formula>0</formula>
    </cfRule>
  </conditionalFormatting>
  <conditionalFormatting sqref="H383">
    <cfRule type="cellIs" priority="1132" operator="greaterThan" aboveAverage="0" equalAverage="0" bottom="0" percent="0" rank="0" text="" dxfId="8">
      <formula>0</formula>
    </cfRule>
  </conditionalFormatting>
  <conditionalFormatting sqref="C384">
    <cfRule type="cellIs" priority="1133" operator="greaterThan" aboveAverage="0" equalAverage="0" bottom="0" percent="0" rank="0" text="" dxfId="8">
      <formula>0</formula>
    </cfRule>
  </conditionalFormatting>
  <conditionalFormatting sqref="G384">
    <cfRule type="cellIs" priority="1134" operator="greaterThan" aboveAverage="0" equalAverage="0" bottom="0" percent="0" rank="0" text="" dxfId="8">
      <formula>0</formula>
    </cfRule>
  </conditionalFormatting>
  <conditionalFormatting sqref="H384">
    <cfRule type="cellIs" priority="1135" operator="greaterThan" aboveAverage="0" equalAverage="0" bottom="0" percent="0" rank="0" text="" dxfId="8">
      <formula>0</formula>
    </cfRule>
  </conditionalFormatting>
  <conditionalFormatting sqref="C385">
    <cfRule type="cellIs" priority="1136" operator="greaterThan" aboveAverage="0" equalAverage="0" bottom="0" percent="0" rank="0" text="" dxfId="8">
      <formula>0</formula>
    </cfRule>
  </conditionalFormatting>
  <conditionalFormatting sqref="G385">
    <cfRule type="cellIs" priority="1137" operator="greaterThan" aboveAverage="0" equalAverage="0" bottom="0" percent="0" rank="0" text="" dxfId="8">
      <formula>0</formula>
    </cfRule>
  </conditionalFormatting>
  <conditionalFormatting sqref="H385">
    <cfRule type="cellIs" priority="1138" operator="greaterThan" aboveAverage="0" equalAverage="0" bottom="0" percent="0" rank="0" text="" dxfId="8">
      <formula>0</formula>
    </cfRule>
  </conditionalFormatting>
  <conditionalFormatting sqref="C386">
    <cfRule type="cellIs" priority="1139" operator="greaterThan" aboveAverage="0" equalAverage="0" bottom="0" percent="0" rank="0" text="" dxfId="8">
      <formula>0</formula>
    </cfRule>
  </conditionalFormatting>
  <conditionalFormatting sqref="G386">
    <cfRule type="cellIs" priority="1140" operator="greaterThan" aboveAverage="0" equalAverage="0" bottom="0" percent="0" rank="0" text="" dxfId="8">
      <formula>0</formula>
    </cfRule>
  </conditionalFormatting>
  <conditionalFormatting sqref="H386">
    <cfRule type="cellIs" priority="1141" operator="greaterThan" aboveAverage="0" equalAverage="0" bottom="0" percent="0" rank="0" text="" dxfId="8">
      <formula>0</formula>
    </cfRule>
  </conditionalFormatting>
  <conditionalFormatting sqref="C387">
    <cfRule type="cellIs" priority="1142" operator="greaterThan" aboveAverage="0" equalAverage="0" bottom="0" percent="0" rank="0" text="" dxfId="8">
      <formula>0</formula>
    </cfRule>
  </conditionalFormatting>
  <conditionalFormatting sqref="G387">
    <cfRule type="cellIs" priority="1143" operator="greaterThan" aboveAverage="0" equalAverage="0" bottom="0" percent="0" rank="0" text="" dxfId="8">
      <formula>0</formula>
    </cfRule>
  </conditionalFormatting>
  <conditionalFormatting sqref="H387">
    <cfRule type="cellIs" priority="1144" operator="greaterThan" aboveAverage="0" equalAverage="0" bottom="0" percent="0" rank="0" text="" dxfId="8">
      <formula>0</formula>
    </cfRule>
  </conditionalFormatting>
  <conditionalFormatting sqref="C388">
    <cfRule type="cellIs" priority="1145" operator="greaterThan" aboveAverage="0" equalAverage="0" bottom="0" percent="0" rank="0" text="" dxfId="8">
      <formula>0</formula>
    </cfRule>
  </conditionalFormatting>
  <conditionalFormatting sqref="G388">
    <cfRule type="cellIs" priority="1146" operator="greaterThan" aboveAverage="0" equalAverage="0" bottom="0" percent="0" rank="0" text="" dxfId="8">
      <formula>0</formula>
    </cfRule>
  </conditionalFormatting>
  <conditionalFormatting sqref="H388">
    <cfRule type="cellIs" priority="1147" operator="greaterThan" aboveAverage="0" equalAverage="0" bottom="0" percent="0" rank="0" text="" dxfId="8">
      <formula>0</formula>
    </cfRule>
  </conditionalFormatting>
  <conditionalFormatting sqref="C389">
    <cfRule type="cellIs" priority="1148" operator="greaterThan" aboveAverage="0" equalAverage="0" bottom="0" percent="0" rank="0" text="" dxfId="8">
      <formula>0</formula>
    </cfRule>
  </conditionalFormatting>
  <conditionalFormatting sqref="G389">
    <cfRule type="cellIs" priority="1149" operator="greaterThan" aboveAverage="0" equalAverage="0" bottom="0" percent="0" rank="0" text="" dxfId="8">
      <formula>0</formula>
    </cfRule>
  </conditionalFormatting>
  <conditionalFormatting sqref="H389">
    <cfRule type="cellIs" priority="1150" operator="greaterThan" aboveAverage="0" equalAverage="0" bottom="0" percent="0" rank="0" text="" dxfId="8">
      <formula>0</formula>
    </cfRule>
  </conditionalFormatting>
  <conditionalFormatting sqref="C390">
    <cfRule type="cellIs" priority="1151" operator="greaterThan" aboveAverage="0" equalAverage="0" bottom="0" percent="0" rank="0" text="" dxfId="8">
      <formula>0</formula>
    </cfRule>
  </conditionalFormatting>
  <conditionalFormatting sqref="G390">
    <cfRule type="cellIs" priority="1152" operator="greaterThan" aboveAverage="0" equalAverage="0" bottom="0" percent="0" rank="0" text="" dxfId="8">
      <formula>0</formula>
    </cfRule>
  </conditionalFormatting>
  <conditionalFormatting sqref="H390">
    <cfRule type="cellIs" priority="1153" operator="greaterThan" aboveAverage="0" equalAverage="0" bottom="0" percent="0" rank="0" text="" dxfId="8">
      <formula>0</formula>
    </cfRule>
  </conditionalFormatting>
  <conditionalFormatting sqref="C391">
    <cfRule type="cellIs" priority="1154" operator="greaterThan" aboveAverage="0" equalAverage="0" bottom="0" percent="0" rank="0" text="" dxfId="8">
      <formula>0</formula>
    </cfRule>
  </conditionalFormatting>
  <conditionalFormatting sqref="G391">
    <cfRule type="cellIs" priority="1155" operator="greaterThan" aboveAverage="0" equalAverage="0" bottom="0" percent="0" rank="0" text="" dxfId="8">
      <formula>0</formula>
    </cfRule>
  </conditionalFormatting>
  <conditionalFormatting sqref="H391">
    <cfRule type="cellIs" priority="1156" operator="greaterThan" aboveAverage="0" equalAverage="0" bottom="0" percent="0" rank="0" text="" dxfId="8">
      <formula>0</formula>
    </cfRule>
  </conditionalFormatting>
  <conditionalFormatting sqref="C392">
    <cfRule type="cellIs" priority="1157" operator="greaterThan" aboveAverage="0" equalAverage="0" bottom="0" percent="0" rank="0" text="" dxfId="8">
      <formula>0</formula>
    </cfRule>
  </conditionalFormatting>
  <conditionalFormatting sqref="G392">
    <cfRule type="cellIs" priority="1158" operator="greaterThan" aboveAverage="0" equalAverage="0" bottom="0" percent="0" rank="0" text="" dxfId="8">
      <formula>0</formula>
    </cfRule>
  </conditionalFormatting>
  <conditionalFormatting sqref="H392">
    <cfRule type="cellIs" priority="1159" operator="greaterThan" aboveAverage="0" equalAverage="0" bottom="0" percent="0" rank="0" text="" dxfId="8">
      <formula>0</formula>
    </cfRule>
  </conditionalFormatting>
  <conditionalFormatting sqref="C393">
    <cfRule type="cellIs" priority="1160" operator="greaterThan" aboveAverage="0" equalAverage="0" bottom="0" percent="0" rank="0" text="" dxfId="8">
      <formula>0</formula>
    </cfRule>
  </conditionalFormatting>
  <conditionalFormatting sqref="G393">
    <cfRule type="cellIs" priority="1161" operator="greaterThan" aboveAverage="0" equalAverage="0" bottom="0" percent="0" rank="0" text="" dxfId="8">
      <formula>0</formula>
    </cfRule>
  </conditionalFormatting>
  <conditionalFormatting sqref="H393">
    <cfRule type="cellIs" priority="1162" operator="greaterThan" aboveAverage="0" equalAverage="0" bottom="0" percent="0" rank="0" text="" dxfId="8">
      <formula>0</formula>
    </cfRule>
  </conditionalFormatting>
  <conditionalFormatting sqref="C394">
    <cfRule type="cellIs" priority="1163" operator="greaterThan" aboveAverage="0" equalAverage="0" bottom="0" percent="0" rank="0" text="" dxfId="8">
      <formula>0</formula>
    </cfRule>
  </conditionalFormatting>
  <conditionalFormatting sqref="G394">
    <cfRule type="cellIs" priority="1164" operator="greaterThan" aboveAverage="0" equalAverage="0" bottom="0" percent="0" rank="0" text="" dxfId="8">
      <formula>0</formula>
    </cfRule>
  </conditionalFormatting>
  <conditionalFormatting sqref="H394">
    <cfRule type="cellIs" priority="1165" operator="greaterThan" aboveAverage="0" equalAverage="0" bottom="0" percent="0" rank="0" text="" dxfId="8">
      <formula>0</formula>
    </cfRule>
  </conditionalFormatting>
  <conditionalFormatting sqref="C395">
    <cfRule type="cellIs" priority="1166" operator="greaterThan" aboveAverage="0" equalAverage="0" bottom="0" percent="0" rank="0" text="" dxfId="8">
      <formula>0</formula>
    </cfRule>
  </conditionalFormatting>
  <conditionalFormatting sqref="G395">
    <cfRule type="cellIs" priority="1167" operator="greaterThan" aboveAverage="0" equalAverage="0" bottom="0" percent="0" rank="0" text="" dxfId="8">
      <formula>0</formula>
    </cfRule>
  </conditionalFormatting>
  <conditionalFormatting sqref="H395">
    <cfRule type="cellIs" priority="1168" operator="greaterThan" aboveAverage="0" equalAverage="0" bottom="0" percent="0" rank="0" text="" dxfId="8">
      <formula>0</formula>
    </cfRule>
  </conditionalFormatting>
  <conditionalFormatting sqref="C396">
    <cfRule type="cellIs" priority="1169" operator="greaterThan" aboveAverage="0" equalAverage="0" bottom="0" percent="0" rank="0" text="" dxfId="8">
      <formula>0</formula>
    </cfRule>
  </conditionalFormatting>
  <conditionalFormatting sqref="G396">
    <cfRule type="cellIs" priority="1170" operator="greaterThan" aboveAverage="0" equalAverage="0" bottom="0" percent="0" rank="0" text="" dxfId="8">
      <formula>0</formula>
    </cfRule>
  </conditionalFormatting>
  <conditionalFormatting sqref="H396">
    <cfRule type="cellIs" priority="1171" operator="greaterThan" aboveAverage="0" equalAverage="0" bottom="0" percent="0" rank="0" text="" dxfId="8">
      <formula>0</formula>
    </cfRule>
  </conditionalFormatting>
  <conditionalFormatting sqref="C397">
    <cfRule type="cellIs" priority="1172" operator="greaterThan" aboveAverage="0" equalAverage="0" bottom="0" percent="0" rank="0" text="" dxfId="8">
      <formula>0</formula>
    </cfRule>
  </conditionalFormatting>
  <conditionalFormatting sqref="G397">
    <cfRule type="cellIs" priority="1173" operator="greaterThan" aboveAverage="0" equalAverage="0" bottom="0" percent="0" rank="0" text="" dxfId="8">
      <formula>0</formula>
    </cfRule>
  </conditionalFormatting>
  <conditionalFormatting sqref="H397">
    <cfRule type="cellIs" priority="1174" operator="greaterThan" aboveAverage="0" equalAverage="0" bottom="0" percent="0" rank="0" text="" dxfId="8">
      <formula>0</formula>
    </cfRule>
  </conditionalFormatting>
  <conditionalFormatting sqref="C398">
    <cfRule type="cellIs" priority="1175" operator="greaterThan" aboveAverage="0" equalAverage="0" bottom="0" percent="0" rank="0" text="" dxfId="8">
      <formula>0</formula>
    </cfRule>
  </conditionalFormatting>
  <conditionalFormatting sqref="G398">
    <cfRule type="cellIs" priority="1176" operator="greaterThan" aboveAverage="0" equalAverage="0" bottom="0" percent="0" rank="0" text="" dxfId="8">
      <formula>0</formula>
    </cfRule>
  </conditionalFormatting>
  <conditionalFormatting sqref="H398">
    <cfRule type="cellIs" priority="1177" operator="greaterThan" aboveAverage="0" equalAverage="0" bottom="0" percent="0" rank="0" text="" dxfId="8">
      <formula>0</formula>
    </cfRule>
  </conditionalFormatting>
  <conditionalFormatting sqref="C399">
    <cfRule type="cellIs" priority="1178" operator="greaterThan" aboveAverage="0" equalAverage="0" bottom="0" percent="0" rank="0" text="" dxfId="8">
      <formula>0</formula>
    </cfRule>
  </conditionalFormatting>
  <conditionalFormatting sqref="G399">
    <cfRule type="cellIs" priority="1179" operator="greaterThan" aboveAverage="0" equalAverage="0" bottom="0" percent="0" rank="0" text="" dxfId="8">
      <formula>0</formula>
    </cfRule>
  </conditionalFormatting>
  <conditionalFormatting sqref="H399">
    <cfRule type="cellIs" priority="1180" operator="greaterThan" aboveAverage="0" equalAverage="0" bottom="0" percent="0" rank="0" text="" dxfId="8">
      <formula>0</formula>
    </cfRule>
  </conditionalFormatting>
  <conditionalFormatting sqref="C400">
    <cfRule type="cellIs" priority="1181" operator="greaterThan" aboveAverage="0" equalAverage="0" bottom="0" percent="0" rank="0" text="" dxfId="8">
      <formula>0</formula>
    </cfRule>
  </conditionalFormatting>
  <conditionalFormatting sqref="G400">
    <cfRule type="cellIs" priority="1182" operator="greaterThan" aboveAverage="0" equalAverage="0" bottom="0" percent="0" rank="0" text="" dxfId="8">
      <formula>0</formula>
    </cfRule>
  </conditionalFormatting>
  <conditionalFormatting sqref="H400">
    <cfRule type="cellIs" priority="1183" operator="greaterThan" aboveAverage="0" equalAverage="0" bottom="0" percent="0" rank="0" text="" dxfId="8">
      <formula>0</formula>
    </cfRule>
  </conditionalFormatting>
  <conditionalFormatting sqref="C401">
    <cfRule type="cellIs" priority="1184" operator="greaterThan" aboveAverage="0" equalAverage="0" bottom="0" percent="0" rank="0" text="" dxfId="8">
      <formula>0</formula>
    </cfRule>
  </conditionalFormatting>
  <conditionalFormatting sqref="G401">
    <cfRule type="cellIs" priority="1185" operator="greaterThan" aboveAverage="0" equalAverage="0" bottom="0" percent="0" rank="0" text="" dxfId="8">
      <formula>0</formula>
    </cfRule>
  </conditionalFormatting>
  <conditionalFormatting sqref="H401">
    <cfRule type="cellIs" priority="1186" operator="greaterThan" aboveAverage="0" equalAverage="0" bottom="0" percent="0" rank="0" text="" dxfId="8">
      <formula>0</formula>
    </cfRule>
  </conditionalFormatting>
  <conditionalFormatting sqref="C402">
    <cfRule type="cellIs" priority="1187" operator="greaterThan" aboveAverage="0" equalAverage="0" bottom="0" percent="0" rank="0" text="" dxfId="8">
      <formula>0</formula>
    </cfRule>
  </conditionalFormatting>
  <conditionalFormatting sqref="G402">
    <cfRule type="cellIs" priority="1188" operator="greaterThan" aboveAverage="0" equalAverage="0" bottom="0" percent="0" rank="0" text="" dxfId="8">
      <formula>0</formula>
    </cfRule>
  </conditionalFormatting>
  <conditionalFormatting sqref="H402">
    <cfRule type="cellIs" priority="1189" operator="greaterThan" aboveAverage="0" equalAverage="0" bottom="0" percent="0" rank="0" text="" dxfId="8">
      <formula>0</formula>
    </cfRule>
  </conditionalFormatting>
  <conditionalFormatting sqref="C403">
    <cfRule type="cellIs" priority="1190" operator="greaterThan" aboveAverage="0" equalAverage="0" bottom="0" percent="0" rank="0" text="" dxfId="8">
      <formula>0</formula>
    </cfRule>
  </conditionalFormatting>
  <conditionalFormatting sqref="G403">
    <cfRule type="cellIs" priority="1191" operator="greaterThan" aboveAverage="0" equalAverage="0" bottom="0" percent="0" rank="0" text="" dxfId="8">
      <formula>0</formula>
    </cfRule>
  </conditionalFormatting>
  <conditionalFormatting sqref="H403">
    <cfRule type="cellIs" priority="1192" operator="greaterThan" aboveAverage="0" equalAverage="0" bottom="0" percent="0" rank="0" text="" dxfId="8">
      <formula>0</formula>
    </cfRule>
  </conditionalFormatting>
  <conditionalFormatting sqref="C404">
    <cfRule type="cellIs" priority="1193" operator="greaterThan" aboveAverage="0" equalAverage="0" bottom="0" percent="0" rank="0" text="" dxfId="8">
      <formula>0</formula>
    </cfRule>
  </conditionalFormatting>
  <conditionalFormatting sqref="G404">
    <cfRule type="cellIs" priority="1194" operator="greaterThan" aboveAverage="0" equalAverage="0" bottom="0" percent="0" rank="0" text="" dxfId="8">
      <formula>0</formula>
    </cfRule>
  </conditionalFormatting>
  <conditionalFormatting sqref="H404">
    <cfRule type="cellIs" priority="1195" operator="greaterThan" aboveAverage="0" equalAverage="0" bottom="0" percent="0" rank="0" text="" dxfId="8">
      <formula>0</formula>
    </cfRule>
  </conditionalFormatting>
  <conditionalFormatting sqref="C405">
    <cfRule type="cellIs" priority="1196" operator="greaterThan" aboveAverage="0" equalAverage="0" bottom="0" percent="0" rank="0" text="" dxfId="8">
      <formula>0</formula>
    </cfRule>
  </conditionalFormatting>
  <conditionalFormatting sqref="G405">
    <cfRule type="cellIs" priority="1197" operator="greaterThan" aboveAverage="0" equalAverage="0" bottom="0" percent="0" rank="0" text="" dxfId="8">
      <formula>0</formula>
    </cfRule>
  </conditionalFormatting>
  <conditionalFormatting sqref="H405">
    <cfRule type="cellIs" priority="1198" operator="greaterThan" aboveAverage="0" equalAverage="0" bottom="0" percent="0" rank="0" text="" dxfId="8">
      <formula>0</formula>
    </cfRule>
  </conditionalFormatting>
  <conditionalFormatting sqref="C406">
    <cfRule type="cellIs" priority="1199" operator="greaterThan" aboveAverage="0" equalAverage="0" bottom="0" percent="0" rank="0" text="" dxfId="8">
      <formula>0</formula>
    </cfRule>
  </conditionalFormatting>
  <conditionalFormatting sqref="G406">
    <cfRule type="cellIs" priority="1200" operator="greaterThan" aboveAverage="0" equalAverage="0" bottom="0" percent="0" rank="0" text="" dxfId="8">
      <formula>0</formula>
    </cfRule>
  </conditionalFormatting>
  <conditionalFormatting sqref="H406">
    <cfRule type="cellIs" priority="1201" operator="greaterThan" aboveAverage="0" equalAverage="0" bottom="0" percent="0" rank="0" text="" dxfId="8">
      <formula>0</formula>
    </cfRule>
  </conditionalFormatting>
  <conditionalFormatting sqref="C407">
    <cfRule type="cellIs" priority="1202" operator="greaterThan" aboveAverage="0" equalAverage="0" bottom="0" percent="0" rank="0" text="" dxfId="8">
      <formula>0</formula>
    </cfRule>
  </conditionalFormatting>
  <conditionalFormatting sqref="G407">
    <cfRule type="cellIs" priority="1203" operator="greaterThan" aboveAverage="0" equalAverage="0" bottom="0" percent="0" rank="0" text="" dxfId="8">
      <formula>0</formula>
    </cfRule>
  </conditionalFormatting>
  <conditionalFormatting sqref="H407">
    <cfRule type="cellIs" priority="1204" operator="greaterThan" aboveAverage="0" equalAverage="0" bottom="0" percent="0" rank="0" text="" dxfId="8">
      <formula>0</formula>
    </cfRule>
  </conditionalFormatting>
  <conditionalFormatting sqref="C408">
    <cfRule type="cellIs" priority="1205" operator="greaterThan" aboveAverage="0" equalAverage="0" bottom="0" percent="0" rank="0" text="" dxfId="8">
      <formula>0</formula>
    </cfRule>
  </conditionalFormatting>
  <conditionalFormatting sqref="G408">
    <cfRule type="cellIs" priority="1206" operator="greaterThan" aboveAverage="0" equalAverage="0" bottom="0" percent="0" rank="0" text="" dxfId="8">
      <formula>0</formula>
    </cfRule>
  </conditionalFormatting>
  <conditionalFormatting sqref="H408">
    <cfRule type="cellIs" priority="1207" operator="greaterThan" aboveAverage="0" equalAverage="0" bottom="0" percent="0" rank="0" text="" dxfId="8">
      <formula>0</formula>
    </cfRule>
  </conditionalFormatting>
  <conditionalFormatting sqref="C409">
    <cfRule type="cellIs" priority="1208" operator="greaterThan" aboveAverage="0" equalAverage="0" bottom="0" percent="0" rank="0" text="" dxfId="8">
      <formula>0</formula>
    </cfRule>
  </conditionalFormatting>
  <conditionalFormatting sqref="G409">
    <cfRule type="cellIs" priority="1209" operator="greaterThan" aboveAverage="0" equalAverage="0" bottom="0" percent="0" rank="0" text="" dxfId="8">
      <formula>0</formula>
    </cfRule>
  </conditionalFormatting>
  <conditionalFormatting sqref="H409">
    <cfRule type="cellIs" priority="1210" operator="greaterThan" aboveAverage="0" equalAverage="0" bottom="0" percent="0" rank="0" text="" dxfId="8">
      <formula>0</formula>
    </cfRule>
  </conditionalFormatting>
  <conditionalFormatting sqref="C410">
    <cfRule type="cellIs" priority="1211" operator="greaterThan" aboveAverage="0" equalAverage="0" bottom="0" percent="0" rank="0" text="" dxfId="8">
      <formula>0</formula>
    </cfRule>
  </conditionalFormatting>
  <conditionalFormatting sqref="G410">
    <cfRule type="cellIs" priority="1212" operator="greaterThan" aboveAverage="0" equalAverage="0" bottom="0" percent="0" rank="0" text="" dxfId="8">
      <formula>0</formula>
    </cfRule>
  </conditionalFormatting>
  <conditionalFormatting sqref="H410">
    <cfRule type="cellIs" priority="1213" operator="greaterThan" aboveAverage="0" equalAverage="0" bottom="0" percent="0" rank="0" text="" dxfId="8">
      <formula>0</formula>
    </cfRule>
  </conditionalFormatting>
  <conditionalFormatting sqref="C411">
    <cfRule type="cellIs" priority="1214" operator="greaterThan" aboveAverage="0" equalAverage="0" bottom="0" percent="0" rank="0" text="" dxfId="8">
      <formula>0</formula>
    </cfRule>
  </conditionalFormatting>
  <conditionalFormatting sqref="G411">
    <cfRule type="cellIs" priority="1215" operator="greaterThan" aboveAverage="0" equalAverage="0" bottom="0" percent="0" rank="0" text="" dxfId="8">
      <formula>0</formula>
    </cfRule>
  </conditionalFormatting>
  <conditionalFormatting sqref="H411">
    <cfRule type="cellIs" priority="1216" operator="greaterThan" aboveAverage="0" equalAverage="0" bottom="0" percent="0" rank="0" text="" dxfId="8">
      <formula>0</formula>
    </cfRule>
  </conditionalFormatting>
  <conditionalFormatting sqref="C412">
    <cfRule type="cellIs" priority="1217" operator="greaterThan" aboveAverage="0" equalAverage="0" bottom="0" percent="0" rank="0" text="" dxfId="8">
      <formula>0</formula>
    </cfRule>
  </conditionalFormatting>
  <conditionalFormatting sqref="G412">
    <cfRule type="cellIs" priority="1218" operator="greaterThan" aboveAverage="0" equalAverage="0" bottom="0" percent="0" rank="0" text="" dxfId="8">
      <formula>0</formula>
    </cfRule>
  </conditionalFormatting>
  <conditionalFormatting sqref="H412">
    <cfRule type="cellIs" priority="1219" operator="greaterThan" aboveAverage="0" equalAverage="0" bottom="0" percent="0" rank="0" text="" dxfId="8">
      <formula>0</formula>
    </cfRule>
  </conditionalFormatting>
  <conditionalFormatting sqref="C413">
    <cfRule type="cellIs" priority="1220" operator="greaterThan" aboveAverage="0" equalAverage="0" bottom="0" percent="0" rank="0" text="" dxfId="8">
      <formula>0</formula>
    </cfRule>
  </conditionalFormatting>
  <conditionalFormatting sqref="G413">
    <cfRule type="cellIs" priority="1221" operator="greaterThan" aboveAverage="0" equalAverage="0" bottom="0" percent="0" rank="0" text="" dxfId="8">
      <formula>0</formula>
    </cfRule>
  </conditionalFormatting>
  <conditionalFormatting sqref="H413">
    <cfRule type="cellIs" priority="1222" operator="greaterThan" aboveAverage="0" equalAverage="0" bottom="0" percent="0" rank="0" text="" dxfId="8">
      <formula>0</formula>
    </cfRule>
  </conditionalFormatting>
  <conditionalFormatting sqref="C414">
    <cfRule type="cellIs" priority="1223" operator="greaterThan" aboveAverage="0" equalAverage="0" bottom="0" percent="0" rank="0" text="" dxfId="8">
      <formula>0</formula>
    </cfRule>
  </conditionalFormatting>
  <conditionalFormatting sqref="G414">
    <cfRule type="cellIs" priority="1224" operator="greaterThan" aboveAverage="0" equalAverage="0" bottom="0" percent="0" rank="0" text="" dxfId="8">
      <formula>0</formula>
    </cfRule>
  </conditionalFormatting>
  <conditionalFormatting sqref="H414">
    <cfRule type="cellIs" priority="1225" operator="greaterThan" aboveAverage="0" equalAverage="0" bottom="0" percent="0" rank="0" text="" dxfId="8">
      <formula>0</formula>
    </cfRule>
  </conditionalFormatting>
  <conditionalFormatting sqref="C415">
    <cfRule type="cellIs" priority="1226" operator="greaterThan" aboveAverage="0" equalAverage="0" bottom="0" percent="0" rank="0" text="" dxfId="8">
      <formula>0</formula>
    </cfRule>
  </conditionalFormatting>
  <conditionalFormatting sqref="G415">
    <cfRule type="cellIs" priority="1227" operator="greaterThan" aboveAverage="0" equalAverage="0" bottom="0" percent="0" rank="0" text="" dxfId="8">
      <formula>0</formula>
    </cfRule>
  </conditionalFormatting>
  <conditionalFormatting sqref="H415">
    <cfRule type="cellIs" priority="1228" operator="greaterThan" aboveAverage="0" equalAverage="0" bottom="0" percent="0" rank="0" text="" dxfId="8">
      <formula>0</formula>
    </cfRule>
  </conditionalFormatting>
  <conditionalFormatting sqref="C416">
    <cfRule type="cellIs" priority="1229" operator="greaterThan" aboveAverage="0" equalAverage="0" bottom="0" percent="0" rank="0" text="" dxfId="8">
      <formula>0</formula>
    </cfRule>
  </conditionalFormatting>
  <conditionalFormatting sqref="G416">
    <cfRule type="cellIs" priority="1230" operator="greaterThan" aboveAverage="0" equalAverage="0" bottom="0" percent="0" rank="0" text="" dxfId="8">
      <formula>0</formula>
    </cfRule>
  </conditionalFormatting>
  <conditionalFormatting sqref="H416">
    <cfRule type="cellIs" priority="1231" operator="greaterThan" aboveAverage="0" equalAverage="0" bottom="0" percent="0" rank="0" text="" dxfId="8">
      <formula>0</formula>
    </cfRule>
  </conditionalFormatting>
  <conditionalFormatting sqref="C417">
    <cfRule type="cellIs" priority="1232" operator="greaterThan" aboveAverage="0" equalAverage="0" bottom="0" percent="0" rank="0" text="" dxfId="8">
      <formula>0</formula>
    </cfRule>
  </conditionalFormatting>
  <conditionalFormatting sqref="G417">
    <cfRule type="cellIs" priority="1233" operator="greaterThan" aboveAverage="0" equalAverage="0" bottom="0" percent="0" rank="0" text="" dxfId="8">
      <formula>0</formula>
    </cfRule>
  </conditionalFormatting>
  <conditionalFormatting sqref="H417">
    <cfRule type="cellIs" priority="1234" operator="greaterThan" aboveAverage="0" equalAverage="0" bottom="0" percent="0" rank="0" text="" dxfId="8">
      <formula>0</formula>
    </cfRule>
  </conditionalFormatting>
  <conditionalFormatting sqref="C418">
    <cfRule type="cellIs" priority="1235" operator="greaterThan" aboveAverage="0" equalAverage="0" bottom="0" percent="0" rank="0" text="" dxfId="8">
      <formula>0</formula>
    </cfRule>
  </conditionalFormatting>
  <conditionalFormatting sqref="G418">
    <cfRule type="cellIs" priority="1236" operator="greaterThan" aboveAverage="0" equalAverage="0" bottom="0" percent="0" rank="0" text="" dxfId="8">
      <formula>0</formula>
    </cfRule>
  </conditionalFormatting>
  <conditionalFormatting sqref="H418">
    <cfRule type="cellIs" priority="1237" operator="greaterThan" aboveAverage="0" equalAverage="0" bottom="0" percent="0" rank="0" text="" dxfId="8">
      <formula>0</formula>
    </cfRule>
  </conditionalFormatting>
  <conditionalFormatting sqref="C419">
    <cfRule type="cellIs" priority="1238" operator="greaterThan" aboveAverage="0" equalAverage="0" bottom="0" percent="0" rank="0" text="" dxfId="8">
      <formula>0</formula>
    </cfRule>
  </conditionalFormatting>
  <conditionalFormatting sqref="G419">
    <cfRule type="cellIs" priority="1239" operator="greaterThan" aboveAverage="0" equalAverage="0" bottom="0" percent="0" rank="0" text="" dxfId="8">
      <formula>0</formula>
    </cfRule>
  </conditionalFormatting>
  <conditionalFormatting sqref="H419">
    <cfRule type="cellIs" priority="1240" operator="greaterThan" aboveAverage="0" equalAverage="0" bottom="0" percent="0" rank="0" text="" dxfId="8">
      <formula>0</formula>
    </cfRule>
  </conditionalFormatting>
  <conditionalFormatting sqref="C420">
    <cfRule type="cellIs" priority="1241" operator="greaterThan" aboveAverage="0" equalAverage="0" bottom="0" percent="0" rank="0" text="" dxfId="8">
      <formula>0</formula>
    </cfRule>
  </conditionalFormatting>
  <conditionalFormatting sqref="G420">
    <cfRule type="cellIs" priority="1242" operator="greaterThan" aboveAverage="0" equalAverage="0" bottom="0" percent="0" rank="0" text="" dxfId="8">
      <formula>0</formula>
    </cfRule>
  </conditionalFormatting>
  <conditionalFormatting sqref="H420">
    <cfRule type="cellIs" priority="1243" operator="greaterThan" aboveAverage="0" equalAverage="0" bottom="0" percent="0" rank="0" text="" dxfId="8">
      <formula>0</formula>
    </cfRule>
  </conditionalFormatting>
  <conditionalFormatting sqref="C421">
    <cfRule type="cellIs" priority="1244" operator="greaterThan" aboveAverage="0" equalAverage="0" bottom="0" percent="0" rank="0" text="" dxfId="8">
      <formula>0</formula>
    </cfRule>
  </conditionalFormatting>
  <conditionalFormatting sqref="G421">
    <cfRule type="cellIs" priority="1245" operator="greaterThan" aboveAverage="0" equalAverage="0" bottom="0" percent="0" rank="0" text="" dxfId="8">
      <formula>0</formula>
    </cfRule>
  </conditionalFormatting>
  <conditionalFormatting sqref="H421">
    <cfRule type="cellIs" priority="1246" operator="greaterThan" aboveAverage="0" equalAverage="0" bottom="0" percent="0" rank="0" text="" dxfId="8">
      <formula>0</formula>
    </cfRule>
  </conditionalFormatting>
  <conditionalFormatting sqref="C422">
    <cfRule type="cellIs" priority="1247" operator="greaterThan" aboveAverage="0" equalAverage="0" bottom="0" percent="0" rank="0" text="" dxfId="8">
      <formula>0</formula>
    </cfRule>
  </conditionalFormatting>
  <conditionalFormatting sqref="G422">
    <cfRule type="cellIs" priority="1248" operator="greaterThan" aboveAverage="0" equalAverage="0" bottom="0" percent="0" rank="0" text="" dxfId="8">
      <formula>0</formula>
    </cfRule>
  </conditionalFormatting>
  <conditionalFormatting sqref="H422">
    <cfRule type="cellIs" priority="1249" operator="greaterThan" aboveAverage="0" equalAverage="0" bottom="0" percent="0" rank="0" text="" dxfId="8">
      <formula>0</formula>
    </cfRule>
  </conditionalFormatting>
  <conditionalFormatting sqref="C423">
    <cfRule type="cellIs" priority="1250" operator="greaterThan" aboveAverage="0" equalAverage="0" bottom="0" percent="0" rank="0" text="" dxfId="8">
      <formula>0</formula>
    </cfRule>
  </conditionalFormatting>
  <conditionalFormatting sqref="G423">
    <cfRule type="cellIs" priority="1251" operator="greaterThan" aboveAverage="0" equalAverage="0" bottom="0" percent="0" rank="0" text="" dxfId="8">
      <formula>0</formula>
    </cfRule>
  </conditionalFormatting>
  <conditionalFormatting sqref="H423">
    <cfRule type="cellIs" priority="1252" operator="greaterThan" aboveAverage="0" equalAverage="0" bottom="0" percent="0" rank="0" text="" dxfId="8">
      <formula>0</formula>
    </cfRule>
  </conditionalFormatting>
  <conditionalFormatting sqref="C424">
    <cfRule type="cellIs" priority="1253" operator="greaterThan" aboveAverage="0" equalAverage="0" bottom="0" percent="0" rank="0" text="" dxfId="8">
      <formula>0</formula>
    </cfRule>
  </conditionalFormatting>
  <conditionalFormatting sqref="G424">
    <cfRule type="cellIs" priority="1254" operator="greaterThan" aboveAverage="0" equalAverage="0" bottom="0" percent="0" rank="0" text="" dxfId="8">
      <formula>0</formula>
    </cfRule>
  </conditionalFormatting>
  <conditionalFormatting sqref="H424">
    <cfRule type="cellIs" priority="1255" operator="greaterThan" aboveAverage="0" equalAverage="0" bottom="0" percent="0" rank="0" text="" dxfId="8">
      <formula>0</formula>
    </cfRule>
  </conditionalFormatting>
  <conditionalFormatting sqref="C425">
    <cfRule type="cellIs" priority="1256" operator="greaterThan" aboveAverage="0" equalAverage="0" bottom="0" percent="0" rank="0" text="" dxfId="8">
      <formula>0</formula>
    </cfRule>
  </conditionalFormatting>
  <conditionalFormatting sqref="G425">
    <cfRule type="cellIs" priority="1257" operator="greaterThan" aboveAverage="0" equalAverage="0" bottom="0" percent="0" rank="0" text="" dxfId="8">
      <formula>0</formula>
    </cfRule>
  </conditionalFormatting>
  <conditionalFormatting sqref="H425">
    <cfRule type="cellIs" priority="1258" operator="greaterThan" aboveAverage="0" equalAverage="0" bottom="0" percent="0" rank="0" text="" dxfId="8">
      <formula>0</formula>
    </cfRule>
  </conditionalFormatting>
  <conditionalFormatting sqref="C426">
    <cfRule type="cellIs" priority="1259" operator="greaterThan" aboveAverage="0" equalAverage="0" bottom="0" percent="0" rank="0" text="" dxfId="8">
      <formula>0</formula>
    </cfRule>
  </conditionalFormatting>
  <conditionalFormatting sqref="G426">
    <cfRule type="cellIs" priority="1260" operator="greaterThan" aboveAverage="0" equalAverage="0" bottom="0" percent="0" rank="0" text="" dxfId="8">
      <formula>0</formula>
    </cfRule>
  </conditionalFormatting>
  <conditionalFormatting sqref="H426">
    <cfRule type="cellIs" priority="1261" operator="greaterThan" aboveAverage="0" equalAverage="0" bottom="0" percent="0" rank="0" text="" dxfId="8">
      <formula>0</formula>
    </cfRule>
  </conditionalFormatting>
  <conditionalFormatting sqref="C427">
    <cfRule type="cellIs" priority="1262" operator="greaterThan" aboveAverage="0" equalAverage="0" bottom="0" percent="0" rank="0" text="" dxfId="8">
      <formula>0</formula>
    </cfRule>
  </conditionalFormatting>
  <conditionalFormatting sqref="G427">
    <cfRule type="cellIs" priority="1263" operator="greaterThan" aboveAverage="0" equalAverage="0" bottom="0" percent="0" rank="0" text="" dxfId="8">
      <formula>0</formula>
    </cfRule>
  </conditionalFormatting>
  <conditionalFormatting sqref="H427">
    <cfRule type="cellIs" priority="1264" operator="greaterThan" aboveAverage="0" equalAverage="0" bottom="0" percent="0" rank="0" text="" dxfId="8">
      <formula>0</formula>
    </cfRule>
  </conditionalFormatting>
  <conditionalFormatting sqref="C428">
    <cfRule type="cellIs" priority="1265" operator="greaterThan" aboveAverage="0" equalAverage="0" bottom="0" percent="0" rank="0" text="" dxfId="8">
      <formula>0</formula>
    </cfRule>
  </conditionalFormatting>
  <conditionalFormatting sqref="G428">
    <cfRule type="cellIs" priority="1266" operator="greaterThan" aboveAverage="0" equalAverage="0" bottom="0" percent="0" rank="0" text="" dxfId="8">
      <formula>0</formula>
    </cfRule>
  </conditionalFormatting>
  <conditionalFormatting sqref="H428">
    <cfRule type="cellIs" priority="1267" operator="greaterThan" aboveAverage="0" equalAverage="0" bottom="0" percent="0" rank="0" text="" dxfId="8">
      <formula>0</formula>
    </cfRule>
  </conditionalFormatting>
  <conditionalFormatting sqref="C429">
    <cfRule type="cellIs" priority="1268" operator="greaterThan" aboveAverage="0" equalAverage="0" bottom="0" percent="0" rank="0" text="" dxfId="8">
      <formula>0</formula>
    </cfRule>
  </conditionalFormatting>
  <conditionalFormatting sqref="G429">
    <cfRule type="cellIs" priority="1269" operator="greaterThan" aboveAverage="0" equalAverage="0" bottom="0" percent="0" rank="0" text="" dxfId="8">
      <formula>0</formula>
    </cfRule>
  </conditionalFormatting>
  <conditionalFormatting sqref="H429">
    <cfRule type="cellIs" priority="1270" operator="greaterThan" aboveAverage="0" equalAverage="0" bottom="0" percent="0" rank="0" text="" dxfId="8">
      <formula>0</formula>
    </cfRule>
  </conditionalFormatting>
  <conditionalFormatting sqref="C430">
    <cfRule type="cellIs" priority="1271" operator="greaterThan" aboveAverage="0" equalAverage="0" bottom="0" percent="0" rank="0" text="" dxfId="8">
      <formula>0</formula>
    </cfRule>
  </conditionalFormatting>
  <conditionalFormatting sqref="G430">
    <cfRule type="cellIs" priority="1272" operator="greaterThan" aboveAverage="0" equalAverage="0" bottom="0" percent="0" rank="0" text="" dxfId="8">
      <formula>0</formula>
    </cfRule>
  </conditionalFormatting>
  <conditionalFormatting sqref="H430">
    <cfRule type="cellIs" priority="1273" operator="greaterThan" aboveAverage="0" equalAverage="0" bottom="0" percent="0" rank="0" text="" dxfId="8">
      <formula>0</formula>
    </cfRule>
  </conditionalFormatting>
  <conditionalFormatting sqref="C431">
    <cfRule type="cellIs" priority="1274" operator="greaterThan" aboveAverage="0" equalAverage="0" bottom="0" percent="0" rank="0" text="" dxfId="8">
      <formula>0</formula>
    </cfRule>
  </conditionalFormatting>
  <conditionalFormatting sqref="G431">
    <cfRule type="cellIs" priority="1275" operator="greaterThan" aboveAverage="0" equalAverage="0" bottom="0" percent="0" rank="0" text="" dxfId="8">
      <formula>0</formula>
    </cfRule>
  </conditionalFormatting>
  <conditionalFormatting sqref="H431">
    <cfRule type="cellIs" priority="1276" operator="greaterThan" aboveAverage="0" equalAverage="0" bottom="0" percent="0" rank="0" text="" dxfId="8">
      <formula>0</formula>
    </cfRule>
  </conditionalFormatting>
  <conditionalFormatting sqref="C432">
    <cfRule type="cellIs" priority="1277" operator="greaterThan" aboveAverage="0" equalAverage="0" bottom="0" percent="0" rank="0" text="" dxfId="8">
      <formula>0</formula>
    </cfRule>
  </conditionalFormatting>
  <conditionalFormatting sqref="G432">
    <cfRule type="cellIs" priority="1278" operator="greaterThan" aboveAverage="0" equalAverage="0" bottom="0" percent="0" rank="0" text="" dxfId="8">
      <formula>0</formula>
    </cfRule>
  </conditionalFormatting>
  <conditionalFormatting sqref="H432">
    <cfRule type="cellIs" priority="1279" operator="greaterThan" aboveAverage="0" equalAverage="0" bottom="0" percent="0" rank="0" text="" dxfId="8">
      <formula>0</formula>
    </cfRule>
  </conditionalFormatting>
  <conditionalFormatting sqref="C433">
    <cfRule type="cellIs" priority="1280" operator="greaterThan" aboveAverage="0" equalAverage="0" bottom="0" percent="0" rank="0" text="" dxfId="8">
      <formula>0</formula>
    </cfRule>
  </conditionalFormatting>
  <conditionalFormatting sqref="G433">
    <cfRule type="cellIs" priority="1281" operator="greaterThan" aboveAverage="0" equalAverage="0" bottom="0" percent="0" rank="0" text="" dxfId="8">
      <formula>0</formula>
    </cfRule>
  </conditionalFormatting>
  <conditionalFormatting sqref="H433">
    <cfRule type="cellIs" priority="1282" operator="greaterThan" aboveAverage="0" equalAverage="0" bottom="0" percent="0" rank="0" text="" dxfId="8">
      <formula>0</formula>
    </cfRule>
  </conditionalFormatting>
  <conditionalFormatting sqref="C434">
    <cfRule type="cellIs" priority="1283" operator="greaterThan" aboveAverage="0" equalAverage="0" bottom="0" percent="0" rank="0" text="" dxfId="8">
      <formula>0</formula>
    </cfRule>
  </conditionalFormatting>
  <conditionalFormatting sqref="G434">
    <cfRule type="cellIs" priority="1284" operator="greaterThan" aboveAverage="0" equalAverage="0" bottom="0" percent="0" rank="0" text="" dxfId="8">
      <formula>0</formula>
    </cfRule>
  </conditionalFormatting>
  <conditionalFormatting sqref="H434">
    <cfRule type="cellIs" priority="1285" operator="greaterThan" aboveAverage="0" equalAverage="0" bottom="0" percent="0" rank="0" text="" dxfId="8">
      <formula>0</formula>
    </cfRule>
  </conditionalFormatting>
  <conditionalFormatting sqref="C435">
    <cfRule type="cellIs" priority="1286" operator="greaterThan" aboveAverage="0" equalAverage="0" bottom="0" percent="0" rank="0" text="" dxfId="8">
      <formula>0</formula>
    </cfRule>
  </conditionalFormatting>
  <conditionalFormatting sqref="G435">
    <cfRule type="cellIs" priority="1287" operator="greaterThan" aboveAverage="0" equalAverage="0" bottom="0" percent="0" rank="0" text="" dxfId="8">
      <formula>0</formula>
    </cfRule>
  </conditionalFormatting>
  <conditionalFormatting sqref="H435">
    <cfRule type="cellIs" priority="1288" operator="greaterThan" aboveAverage="0" equalAverage="0" bottom="0" percent="0" rank="0" text="" dxfId="8">
      <formula>0</formula>
    </cfRule>
  </conditionalFormatting>
  <conditionalFormatting sqref="C436">
    <cfRule type="cellIs" priority="1289" operator="greaterThan" aboveAverage="0" equalAverage="0" bottom="0" percent="0" rank="0" text="" dxfId="8">
      <formula>0</formula>
    </cfRule>
  </conditionalFormatting>
  <conditionalFormatting sqref="G436">
    <cfRule type="cellIs" priority="1290" operator="greaterThan" aboveAverage="0" equalAverage="0" bottom="0" percent="0" rank="0" text="" dxfId="8">
      <formula>0</formula>
    </cfRule>
  </conditionalFormatting>
  <conditionalFormatting sqref="H436">
    <cfRule type="cellIs" priority="1291" operator="greaterThan" aboveAverage="0" equalAverage="0" bottom="0" percent="0" rank="0" text="" dxfId="8">
      <formula>0</formula>
    </cfRule>
  </conditionalFormatting>
  <conditionalFormatting sqref="C437">
    <cfRule type="cellIs" priority="1292" operator="greaterThan" aboveAverage="0" equalAverage="0" bottom="0" percent="0" rank="0" text="" dxfId="8">
      <formula>0</formula>
    </cfRule>
  </conditionalFormatting>
  <conditionalFormatting sqref="G437">
    <cfRule type="cellIs" priority="1293" operator="greaterThan" aboveAverage="0" equalAverage="0" bottom="0" percent="0" rank="0" text="" dxfId="8">
      <formula>0</formula>
    </cfRule>
  </conditionalFormatting>
  <conditionalFormatting sqref="H437">
    <cfRule type="cellIs" priority="1294" operator="greaterThan" aboveAverage="0" equalAverage="0" bottom="0" percent="0" rank="0" text="" dxfId="8">
      <formula>0</formula>
    </cfRule>
  </conditionalFormatting>
  <conditionalFormatting sqref="C438">
    <cfRule type="cellIs" priority="1295" operator="greaterThan" aboveAverage="0" equalAverage="0" bottom="0" percent="0" rank="0" text="" dxfId="8">
      <formula>0</formula>
    </cfRule>
  </conditionalFormatting>
  <conditionalFormatting sqref="G438">
    <cfRule type="cellIs" priority="1296" operator="greaterThan" aboveAverage="0" equalAverage="0" bottom="0" percent="0" rank="0" text="" dxfId="8">
      <formula>0</formula>
    </cfRule>
  </conditionalFormatting>
  <conditionalFormatting sqref="H438">
    <cfRule type="cellIs" priority="1297" operator="greaterThan" aboveAverage="0" equalAverage="0" bottom="0" percent="0" rank="0" text="" dxfId="8">
      <formula>0</formula>
    </cfRule>
  </conditionalFormatting>
  <conditionalFormatting sqref="C439">
    <cfRule type="cellIs" priority="1298" operator="greaterThan" aboveAverage="0" equalAverage="0" bottom="0" percent="0" rank="0" text="" dxfId="8">
      <formula>0</formula>
    </cfRule>
  </conditionalFormatting>
  <conditionalFormatting sqref="G439">
    <cfRule type="cellIs" priority="1299" operator="greaterThan" aboveAverage="0" equalAverage="0" bottom="0" percent="0" rank="0" text="" dxfId="8">
      <formula>0</formula>
    </cfRule>
  </conditionalFormatting>
  <conditionalFormatting sqref="H439">
    <cfRule type="cellIs" priority="1300" operator="greaterThan" aboveAverage="0" equalAverage="0" bottom="0" percent="0" rank="0" text="" dxfId="8">
      <formula>0</formula>
    </cfRule>
  </conditionalFormatting>
  <conditionalFormatting sqref="C440">
    <cfRule type="cellIs" priority="1301" operator="greaterThan" aboveAverage="0" equalAverage="0" bottom="0" percent="0" rank="0" text="" dxfId="8">
      <formula>0</formula>
    </cfRule>
  </conditionalFormatting>
  <conditionalFormatting sqref="G440">
    <cfRule type="cellIs" priority="1302" operator="greaterThan" aboveAverage="0" equalAverage="0" bottom="0" percent="0" rank="0" text="" dxfId="8">
      <formula>0</formula>
    </cfRule>
  </conditionalFormatting>
  <conditionalFormatting sqref="H440">
    <cfRule type="cellIs" priority="1303" operator="greaterThan" aboveAverage="0" equalAverage="0" bottom="0" percent="0" rank="0" text="" dxfId="8">
      <formula>0</formula>
    </cfRule>
  </conditionalFormatting>
  <conditionalFormatting sqref="C441">
    <cfRule type="cellIs" priority="1304" operator="greaterThan" aboveAverage="0" equalAverage="0" bottom="0" percent="0" rank="0" text="" dxfId="8">
      <formula>0</formula>
    </cfRule>
  </conditionalFormatting>
  <conditionalFormatting sqref="G441">
    <cfRule type="cellIs" priority="1305" operator="greaterThan" aboveAverage="0" equalAverage="0" bottom="0" percent="0" rank="0" text="" dxfId="8">
      <formula>0</formula>
    </cfRule>
  </conditionalFormatting>
  <conditionalFormatting sqref="H441">
    <cfRule type="cellIs" priority="1306" operator="greaterThan" aboveAverage="0" equalAverage="0" bottom="0" percent="0" rank="0" text="" dxfId="8">
      <formula>0</formula>
    </cfRule>
  </conditionalFormatting>
  <conditionalFormatting sqref="C442">
    <cfRule type="cellIs" priority="1307" operator="greaterThan" aboveAverage="0" equalAverage="0" bottom="0" percent="0" rank="0" text="" dxfId="8">
      <formula>0</formula>
    </cfRule>
  </conditionalFormatting>
  <conditionalFormatting sqref="G442">
    <cfRule type="cellIs" priority="1308" operator="greaterThan" aboveAverage="0" equalAverage="0" bottom="0" percent="0" rank="0" text="" dxfId="8">
      <formula>0</formula>
    </cfRule>
  </conditionalFormatting>
  <conditionalFormatting sqref="H442">
    <cfRule type="cellIs" priority="1309" operator="greaterThan" aboveAverage="0" equalAverage="0" bottom="0" percent="0" rank="0" text="" dxfId="8">
      <formula>0</formula>
    </cfRule>
  </conditionalFormatting>
  <conditionalFormatting sqref="C443">
    <cfRule type="cellIs" priority="1310" operator="greaterThan" aboveAverage="0" equalAverage="0" bottom="0" percent="0" rank="0" text="" dxfId="8">
      <formula>0</formula>
    </cfRule>
  </conditionalFormatting>
  <conditionalFormatting sqref="G443">
    <cfRule type="cellIs" priority="1311" operator="greaterThan" aboveAverage="0" equalAverage="0" bottom="0" percent="0" rank="0" text="" dxfId="8">
      <formula>0</formula>
    </cfRule>
  </conditionalFormatting>
  <conditionalFormatting sqref="H443">
    <cfRule type="cellIs" priority="1312" operator="greaterThan" aboveAverage="0" equalAverage="0" bottom="0" percent="0" rank="0" text="" dxfId="8">
      <formula>0</formula>
    </cfRule>
  </conditionalFormatting>
  <conditionalFormatting sqref="C444">
    <cfRule type="cellIs" priority="1313" operator="greaterThan" aboveAverage="0" equalAverage="0" bottom="0" percent="0" rank="0" text="" dxfId="8">
      <formula>0</formula>
    </cfRule>
  </conditionalFormatting>
  <conditionalFormatting sqref="G444">
    <cfRule type="cellIs" priority="1314" operator="greaterThan" aboveAverage="0" equalAverage="0" bottom="0" percent="0" rank="0" text="" dxfId="8">
      <formula>0</formula>
    </cfRule>
  </conditionalFormatting>
  <conditionalFormatting sqref="H444">
    <cfRule type="cellIs" priority="1315" operator="greaterThan" aboveAverage="0" equalAverage="0" bottom="0" percent="0" rank="0" text="" dxfId="8">
      <formula>0</formula>
    </cfRule>
  </conditionalFormatting>
  <conditionalFormatting sqref="C445">
    <cfRule type="cellIs" priority="1316" operator="greaterThan" aboveAverage="0" equalAverage="0" bottom="0" percent="0" rank="0" text="" dxfId="8">
      <formula>0</formula>
    </cfRule>
  </conditionalFormatting>
  <conditionalFormatting sqref="G445">
    <cfRule type="cellIs" priority="1317" operator="greaterThan" aboveAverage="0" equalAverage="0" bottom="0" percent="0" rank="0" text="" dxfId="8">
      <formula>0</formula>
    </cfRule>
  </conditionalFormatting>
  <conditionalFormatting sqref="H445">
    <cfRule type="cellIs" priority="1318" operator="greaterThan" aboveAverage="0" equalAverage="0" bottom="0" percent="0" rank="0" text="" dxfId="8">
      <formula>0</formula>
    </cfRule>
  </conditionalFormatting>
  <conditionalFormatting sqref="C446">
    <cfRule type="cellIs" priority="1319" operator="greaterThan" aboveAverage="0" equalAverage="0" bottom="0" percent="0" rank="0" text="" dxfId="8">
      <formula>0</formula>
    </cfRule>
  </conditionalFormatting>
  <conditionalFormatting sqref="G446">
    <cfRule type="cellIs" priority="1320" operator="greaterThan" aboveAverage="0" equalAverage="0" bottom="0" percent="0" rank="0" text="" dxfId="8">
      <formula>0</formula>
    </cfRule>
  </conditionalFormatting>
  <conditionalFormatting sqref="H446">
    <cfRule type="cellIs" priority="1321" operator="greaterThan" aboveAverage="0" equalAverage="0" bottom="0" percent="0" rank="0" text="" dxfId="8">
      <formula>0</formula>
    </cfRule>
  </conditionalFormatting>
  <conditionalFormatting sqref="C447">
    <cfRule type="cellIs" priority="1322" operator="greaterThan" aboveAverage="0" equalAverage="0" bottom="0" percent="0" rank="0" text="" dxfId="8">
      <formula>0</formula>
    </cfRule>
  </conditionalFormatting>
  <conditionalFormatting sqref="G447">
    <cfRule type="cellIs" priority="1323" operator="greaterThan" aboveAverage="0" equalAverage="0" bottom="0" percent="0" rank="0" text="" dxfId="8">
      <formula>0</formula>
    </cfRule>
  </conditionalFormatting>
  <conditionalFormatting sqref="H447">
    <cfRule type="cellIs" priority="1324" operator="greaterThan" aboveAverage="0" equalAverage="0" bottom="0" percent="0" rank="0" text="" dxfId="8">
      <formula>0</formula>
    </cfRule>
  </conditionalFormatting>
  <conditionalFormatting sqref="C448">
    <cfRule type="cellIs" priority="1325" operator="greaterThan" aboveAverage="0" equalAverage="0" bottom="0" percent="0" rank="0" text="" dxfId="8">
      <formula>0</formula>
    </cfRule>
  </conditionalFormatting>
  <conditionalFormatting sqref="G448">
    <cfRule type="cellIs" priority="1326" operator="greaterThan" aboveAverage="0" equalAverage="0" bottom="0" percent="0" rank="0" text="" dxfId="8">
      <formula>0</formula>
    </cfRule>
  </conditionalFormatting>
  <conditionalFormatting sqref="H448">
    <cfRule type="cellIs" priority="1327" operator="greaterThan" aboveAverage="0" equalAverage="0" bottom="0" percent="0" rank="0" text="" dxfId="8">
      <formula>0</formula>
    </cfRule>
  </conditionalFormatting>
  <conditionalFormatting sqref="C449">
    <cfRule type="cellIs" priority="1328" operator="greaterThan" aboveAverage="0" equalAverage="0" bottom="0" percent="0" rank="0" text="" dxfId="8">
      <formula>0</formula>
    </cfRule>
  </conditionalFormatting>
  <conditionalFormatting sqref="G449">
    <cfRule type="cellIs" priority="1329" operator="greaterThan" aboveAverage="0" equalAverage="0" bottom="0" percent="0" rank="0" text="" dxfId="8">
      <formula>0</formula>
    </cfRule>
  </conditionalFormatting>
  <conditionalFormatting sqref="H449">
    <cfRule type="cellIs" priority="1330" operator="greaterThan" aboveAverage="0" equalAverage="0" bottom="0" percent="0" rank="0" text="" dxfId="8">
      <formula>0</formula>
    </cfRule>
  </conditionalFormatting>
  <conditionalFormatting sqref="C450">
    <cfRule type="cellIs" priority="1331" operator="greaterThan" aboveAverage="0" equalAverage="0" bottom="0" percent="0" rank="0" text="" dxfId="8">
      <formula>0</formula>
    </cfRule>
  </conditionalFormatting>
  <conditionalFormatting sqref="G450">
    <cfRule type="cellIs" priority="1332" operator="greaterThan" aboveAverage="0" equalAverage="0" bottom="0" percent="0" rank="0" text="" dxfId="8">
      <formula>0</formula>
    </cfRule>
  </conditionalFormatting>
  <conditionalFormatting sqref="H450">
    <cfRule type="cellIs" priority="1333" operator="greaterThan" aboveAverage="0" equalAverage="0" bottom="0" percent="0" rank="0" text="" dxfId="8">
      <formula>0</formula>
    </cfRule>
  </conditionalFormatting>
  <conditionalFormatting sqref="C451">
    <cfRule type="cellIs" priority="1334" operator="greaterThan" aboveAverage="0" equalAverage="0" bottom="0" percent="0" rank="0" text="" dxfId="8">
      <formula>0</formula>
    </cfRule>
  </conditionalFormatting>
  <conditionalFormatting sqref="G451">
    <cfRule type="cellIs" priority="1335" operator="greaterThan" aboveAverage="0" equalAverage="0" bottom="0" percent="0" rank="0" text="" dxfId="8">
      <formula>0</formula>
    </cfRule>
  </conditionalFormatting>
  <conditionalFormatting sqref="H451">
    <cfRule type="cellIs" priority="1336" operator="greaterThan" aboveAverage="0" equalAverage="0" bottom="0" percent="0" rank="0" text="" dxfId="8">
      <formula>0</formula>
    </cfRule>
  </conditionalFormatting>
  <conditionalFormatting sqref="C452">
    <cfRule type="cellIs" priority="1337" operator="greaterThan" aboveAverage="0" equalAverage="0" bottom="0" percent="0" rank="0" text="" dxfId="8">
      <formula>0</formula>
    </cfRule>
  </conditionalFormatting>
  <conditionalFormatting sqref="G452">
    <cfRule type="cellIs" priority="1338" operator="greaterThan" aboveAverage="0" equalAverage="0" bottom="0" percent="0" rank="0" text="" dxfId="8">
      <formula>0</formula>
    </cfRule>
  </conditionalFormatting>
  <conditionalFormatting sqref="H452">
    <cfRule type="cellIs" priority="1339" operator="greaterThan" aboveAverage="0" equalAverage="0" bottom="0" percent="0" rank="0" text="" dxfId="8">
      <formula>0</formula>
    </cfRule>
  </conditionalFormatting>
  <conditionalFormatting sqref="C453">
    <cfRule type="cellIs" priority="1340" operator="greaterThan" aboveAverage="0" equalAverage="0" bottom="0" percent="0" rank="0" text="" dxfId="8">
      <formula>0</formula>
    </cfRule>
  </conditionalFormatting>
  <conditionalFormatting sqref="G453">
    <cfRule type="cellIs" priority="1341" operator="greaterThan" aboveAverage="0" equalAverage="0" bottom="0" percent="0" rank="0" text="" dxfId="8">
      <formula>0</formula>
    </cfRule>
  </conditionalFormatting>
  <conditionalFormatting sqref="H453">
    <cfRule type="cellIs" priority="1342" operator="greaterThan" aboveAverage="0" equalAverage="0" bottom="0" percent="0" rank="0" text="" dxfId="8">
      <formula>0</formula>
    </cfRule>
  </conditionalFormatting>
  <conditionalFormatting sqref="C454">
    <cfRule type="cellIs" priority="1343" operator="greaterThan" aboveAverage="0" equalAverage="0" bottom="0" percent="0" rank="0" text="" dxfId="8">
      <formula>0</formula>
    </cfRule>
  </conditionalFormatting>
  <conditionalFormatting sqref="G454">
    <cfRule type="cellIs" priority="1344" operator="greaterThan" aboveAverage="0" equalAverage="0" bottom="0" percent="0" rank="0" text="" dxfId="8">
      <formula>0</formula>
    </cfRule>
  </conditionalFormatting>
  <conditionalFormatting sqref="H454">
    <cfRule type="cellIs" priority="1345" operator="greaterThan" aboveAverage="0" equalAverage="0" bottom="0" percent="0" rank="0" text="" dxfId="8">
      <formula>0</formula>
    </cfRule>
  </conditionalFormatting>
  <conditionalFormatting sqref="C455">
    <cfRule type="cellIs" priority="1346" operator="greaterThan" aboveAverage="0" equalAverage="0" bottom="0" percent="0" rank="0" text="" dxfId="8">
      <formula>0</formula>
    </cfRule>
  </conditionalFormatting>
  <conditionalFormatting sqref="G455">
    <cfRule type="cellIs" priority="1347" operator="greaterThan" aboveAverage="0" equalAverage="0" bottom="0" percent="0" rank="0" text="" dxfId="8">
      <formula>0</formula>
    </cfRule>
  </conditionalFormatting>
  <conditionalFormatting sqref="H455">
    <cfRule type="cellIs" priority="1348" operator="greaterThan" aboveAverage="0" equalAverage="0" bottom="0" percent="0" rank="0" text="" dxfId="8">
      <formula>0</formula>
    </cfRule>
  </conditionalFormatting>
  <conditionalFormatting sqref="C456">
    <cfRule type="cellIs" priority="1349" operator="greaterThan" aboveAverage="0" equalAverage="0" bottom="0" percent="0" rank="0" text="" dxfId="8">
      <formula>0</formula>
    </cfRule>
  </conditionalFormatting>
  <conditionalFormatting sqref="G456">
    <cfRule type="cellIs" priority="1350" operator="greaterThan" aboveAverage="0" equalAverage="0" bottom="0" percent="0" rank="0" text="" dxfId="8">
      <formula>0</formula>
    </cfRule>
  </conditionalFormatting>
  <conditionalFormatting sqref="H456">
    <cfRule type="cellIs" priority="1351" operator="greaterThan" aboveAverage="0" equalAverage="0" bottom="0" percent="0" rank="0" text="" dxfId="8">
      <formula>0</formula>
    </cfRule>
  </conditionalFormatting>
  <conditionalFormatting sqref="C457">
    <cfRule type="cellIs" priority="1352" operator="greaterThan" aboveAverage="0" equalAverage="0" bottom="0" percent="0" rank="0" text="" dxfId="8">
      <formula>0</formula>
    </cfRule>
  </conditionalFormatting>
  <conditionalFormatting sqref="G457">
    <cfRule type="cellIs" priority="1353" operator="greaterThan" aboveAverage="0" equalAverage="0" bottom="0" percent="0" rank="0" text="" dxfId="8">
      <formula>0</formula>
    </cfRule>
  </conditionalFormatting>
  <conditionalFormatting sqref="H457">
    <cfRule type="cellIs" priority="1354" operator="greaterThan" aboveAverage="0" equalAverage="0" bottom="0" percent="0" rank="0" text="" dxfId="8">
      <formula>0</formula>
    </cfRule>
  </conditionalFormatting>
  <conditionalFormatting sqref="C458">
    <cfRule type="cellIs" priority="1355" operator="greaterThan" aboveAverage="0" equalAverage="0" bottom="0" percent="0" rank="0" text="" dxfId="8">
      <formula>0</formula>
    </cfRule>
  </conditionalFormatting>
  <conditionalFormatting sqref="G458">
    <cfRule type="cellIs" priority="1356" operator="greaterThan" aboveAverage="0" equalAverage="0" bottom="0" percent="0" rank="0" text="" dxfId="8">
      <formula>0</formula>
    </cfRule>
  </conditionalFormatting>
  <conditionalFormatting sqref="H458">
    <cfRule type="cellIs" priority="1357" operator="greaterThan" aboveAverage="0" equalAverage="0" bottom="0" percent="0" rank="0" text="" dxfId="8">
      <formula>0</formula>
    </cfRule>
  </conditionalFormatting>
  <conditionalFormatting sqref="C459">
    <cfRule type="cellIs" priority="1358" operator="greaterThan" aboveAverage="0" equalAverage="0" bottom="0" percent="0" rank="0" text="" dxfId="8">
      <formula>0</formula>
    </cfRule>
  </conditionalFormatting>
  <conditionalFormatting sqref="G459">
    <cfRule type="cellIs" priority="1359" operator="greaterThan" aboveAverage="0" equalAverage="0" bottom="0" percent="0" rank="0" text="" dxfId="8">
      <formula>0</formula>
    </cfRule>
  </conditionalFormatting>
  <conditionalFormatting sqref="H459">
    <cfRule type="cellIs" priority="1360" operator="greaterThan" aboveAverage="0" equalAverage="0" bottom="0" percent="0" rank="0" text="" dxfId="8">
      <formula>0</formula>
    </cfRule>
  </conditionalFormatting>
  <conditionalFormatting sqref="C460">
    <cfRule type="cellIs" priority="1361" operator="greaterThan" aboveAverage="0" equalAverage="0" bottom="0" percent="0" rank="0" text="" dxfId="8">
      <formula>0</formula>
    </cfRule>
  </conditionalFormatting>
  <conditionalFormatting sqref="G460">
    <cfRule type="cellIs" priority="1362" operator="greaterThan" aboveAverage="0" equalAverage="0" bottom="0" percent="0" rank="0" text="" dxfId="8">
      <formula>0</formula>
    </cfRule>
  </conditionalFormatting>
  <conditionalFormatting sqref="H460">
    <cfRule type="cellIs" priority="1363" operator="greaterThan" aboveAverage="0" equalAverage="0" bottom="0" percent="0" rank="0" text="" dxfId="8">
      <formula>0</formula>
    </cfRule>
  </conditionalFormatting>
  <conditionalFormatting sqref="C461">
    <cfRule type="cellIs" priority="1364" operator="greaterThan" aboveAverage="0" equalAverage="0" bottom="0" percent="0" rank="0" text="" dxfId="8">
      <formula>0</formula>
    </cfRule>
  </conditionalFormatting>
  <conditionalFormatting sqref="G461">
    <cfRule type="cellIs" priority="1365" operator="greaterThan" aboveAverage="0" equalAverage="0" bottom="0" percent="0" rank="0" text="" dxfId="8">
      <formula>0</formula>
    </cfRule>
  </conditionalFormatting>
  <conditionalFormatting sqref="H461">
    <cfRule type="cellIs" priority="1366" operator="greaterThan" aboveAverage="0" equalAverage="0" bottom="0" percent="0" rank="0" text="" dxfId="8">
      <formula>0</formula>
    </cfRule>
  </conditionalFormatting>
  <conditionalFormatting sqref="C462">
    <cfRule type="cellIs" priority="1367" operator="greaterThan" aboveAverage="0" equalAverage="0" bottom="0" percent="0" rank="0" text="" dxfId="8">
      <formula>0</formula>
    </cfRule>
  </conditionalFormatting>
  <conditionalFormatting sqref="G462">
    <cfRule type="cellIs" priority="1368" operator="greaterThan" aboveAverage="0" equalAverage="0" bottom="0" percent="0" rank="0" text="" dxfId="8">
      <formula>0</formula>
    </cfRule>
  </conditionalFormatting>
  <conditionalFormatting sqref="H462">
    <cfRule type="cellIs" priority="1369" operator="greaterThan" aboveAverage="0" equalAverage="0" bottom="0" percent="0" rank="0" text="" dxfId="8">
      <formula>0</formula>
    </cfRule>
  </conditionalFormatting>
  <conditionalFormatting sqref="C463">
    <cfRule type="cellIs" priority="1370" operator="greaterThan" aboveAverage="0" equalAverage="0" bottom="0" percent="0" rank="0" text="" dxfId="8">
      <formula>0</formula>
    </cfRule>
  </conditionalFormatting>
  <conditionalFormatting sqref="G463">
    <cfRule type="cellIs" priority="1371" operator="greaterThan" aboveAverage="0" equalAverage="0" bottom="0" percent="0" rank="0" text="" dxfId="8">
      <formula>0</formula>
    </cfRule>
  </conditionalFormatting>
  <conditionalFormatting sqref="H463">
    <cfRule type="cellIs" priority="1372" operator="greaterThan" aboveAverage="0" equalAverage="0" bottom="0" percent="0" rank="0" text="" dxfId="8">
      <formula>0</formula>
    </cfRule>
  </conditionalFormatting>
  <conditionalFormatting sqref="C464">
    <cfRule type="cellIs" priority="1373" operator="greaterThan" aboveAverage="0" equalAverage="0" bottom="0" percent="0" rank="0" text="" dxfId="8">
      <formula>0</formula>
    </cfRule>
  </conditionalFormatting>
  <conditionalFormatting sqref="G464">
    <cfRule type="cellIs" priority="1374" operator="greaterThan" aboveAverage="0" equalAverage="0" bottom="0" percent="0" rank="0" text="" dxfId="8">
      <formula>0</formula>
    </cfRule>
  </conditionalFormatting>
  <conditionalFormatting sqref="H464">
    <cfRule type="cellIs" priority="1375" operator="greaterThan" aboveAverage="0" equalAverage="0" bottom="0" percent="0" rank="0" text="" dxfId="8">
      <formula>0</formula>
    </cfRule>
  </conditionalFormatting>
  <conditionalFormatting sqref="C465">
    <cfRule type="cellIs" priority="1376" operator="greaterThan" aboveAverage="0" equalAverage="0" bottom="0" percent="0" rank="0" text="" dxfId="8">
      <formula>0</formula>
    </cfRule>
  </conditionalFormatting>
  <conditionalFormatting sqref="G465">
    <cfRule type="cellIs" priority="1377" operator="greaterThan" aboveAverage="0" equalAverage="0" bottom="0" percent="0" rank="0" text="" dxfId="8">
      <formula>0</formula>
    </cfRule>
  </conditionalFormatting>
  <conditionalFormatting sqref="H465">
    <cfRule type="cellIs" priority="1378" operator="greaterThan" aboveAverage="0" equalAverage="0" bottom="0" percent="0" rank="0" text="" dxfId="8">
      <formula>0</formula>
    </cfRule>
  </conditionalFormatting>
  <conditionalFormatting sqref="C466">
    <cfRule type="cellIs" priority="1379" operator="greaterThan" aboveAverage="0" equalAverage="0" bottom="0" percent="0" rank="0" text="" dxfId="8">
      <formula>0</formula>
    </cfRule>
  </conditionalFormatting>
  <conditionalFormatting sqref="G466">
    <cfRule type="cellIs" priority="1380" operator="greaterThan" aboveAverage="0" equalAverage="0" bottom="0" percent="0" rank="0" text="" dxfId="8">
      <formula>0</formula>
    </cfRule>
  </conditionalFormatting>
  <conditionalFormatting sqref="H466">
    <cfRule type="cellIs" priority="1381" operator="greaterThan" aboveAverage="0" equalAverage="0" bottom="0" percent="0" rank="0" text="" dxfId="8">
      <formula>0</formula>
    </cfRule>
  </conditionalFormatting>
  <conditionalFormatting sqref="C467">
    <cfRule type="cellIs" priority="1382" operator="greaterThan" aboveAverage="0" equalAverage="0" bottom="0" percent="0" rank="0" text="" dxfId="8">
      <formula>0</formula>
    </cfRule>
  </conditionalFormatting>
  <conditionalFormatting sqref="G467">
    <cfRule type="cellIs" priority="1383" operator="greaterThan" aboveAverage="0" equalAverage="0" bottom="0" percent="0" rank="0" text="" dxfId="8">
      <formula>0</formula>
    </cfRule>
  </conditionalFormatting>
  <conditionalFormatting sqref="H467">
    <cfRule type="cellIs" priority="1384" operator="greaterThan" aboveAverage="0" equalAverage="0" bottom="0" percent="0" rank="0" text="" dxfId="8">
      <formula>0</formula>
    </cfRule>
  </conditionalFormatting>
  <conditionalFormatting sqref="C468">
    <cfRule type="cellIs" priority="1385" operator="greaterThan" aboveAverage="0" equalAverage="0" bottom="0" percent="0" rank="0" text="" dxfId="8">
      <formula>0</formula>
    </cfRule>
  </conditionalFormatting>
  <conditionalFormatting sqref="G468">
    <cfRule type="cellIs" priority="1386" operator="greaterThan" aboveAverage="0" equalAverage="0" bottom="0" percent="0" rank="0" text="" dxfId="8">
      <formula>0</formula>
    </cfRule>
  </conditionalFormatting>
  <conditionalFormatting sqref="H468">
    <cfRule type="cellIs" priority="1387" operator="greaterThan" aboveAverage="0" equalAverage="0" bottom="0" percent="0" rank="0" text="" dxfId="8">
      <formula>0</formula>
    </cfRule>
  </conditionalFormatting>
  <conditionalFormatting sqref="C469">
    <cfRule type="cellIs" priority="1388" operator="greaterThan" aboveAverage="0" equalAverage="0" bottom="0" percent="0" rank="0" text="" dxfId="8">
      <formula>0</formula>
    </cfRule>
  </conditionalFormatting>
  <conditionalFormatting sqref="G469">
    <cfRule type="cellIs" priority="1389" operator="greaterThan" aboveAverage="0" equalAverage="0" bottom="0" percent="0" rank="0" text="" dxfId="8">
      <formula>0</formula>
    </cfRule>
  </conditionalFormatting>
  <conditionalFormatting sqref="H469">
    <cfRule type="cellIs" priority="1390" operator="greaterThan" aboveAverage="0" equalAverage="0" bottom="0" percent="0" rank="0" text="" dxfId="8">
      <formula>0</formula>
    </cfRule>
  </conditionalFormatting>
  <conditionalFormatting sqref="C470">
    <cfRule type="cellIs" priority="1391" operator="greaterThan" aboveAverage="0" equalAverage="0" bottom="0" percent="0" rank="0" text="" dxfId="8">
      <formula>0</formula>
    </cfRule>
  </conditionalFormatting>
  <conditionalFormatting sqref="G470">
    <cfRule type="cellIs" priority="1392" operator="greaterThan" aboveAverage="0" equalAverage="0" bottom="0" percent="0" rank="0" text="" dxfId="8">
      <formula>0</formula>
    </cfRule>
  </conditionalFormatting>
  <conditionalFormatting sqref="H470">
    <cfRule type="cellIs" priority="1393" operator="greaterThan" aboveAverage="0" equalAverage="0" bottom="0" percent="0" rank="0" text="" dxfId="8">
      <formula>0</formula>
    </cfRule>
  </conditionalFormatting>
  <conditionalFormatting sqref="C471">
    <cfRule type="cellIs" priority="1394" operator="greaterThan" aboveAverage="0" equalAverage="0" bottom="0" percent="0" rank="0" text="" dxfId="8">
      <formula>0</formula>
    </cfRule>
  </conditionalFormatting>
  <conditionalFormatting sqref="G471">
    <cfRule type="cellIs" priority="1395" operator="greaterThan" aboveAverage="0" equalAverage="0" bottom="0" percent="0" rank="0" text="" dxfId="8">
      <formula>0</formula>
    </cfRule>
  </conditionalFormatting>
  <conditionalFormatting sqref="H471">
    <cfRule type="cellIs" priority="1396" operator="greaterThan" aboveAverage="0" equalAverage="0" bottom="0" percent="0" rank="0" text="" dxfId="8">
      <formula>0</formula>
    </cfRule>
  </conditionalFormatting>
  <conditionalFormatting sqref="C472">
    <cfRule type="cellIs" priority="1397" operator="greaterThan" aboveAverage="0" equalAverage="0" bottom="0" percent="0" rank="0" text="" dxfId="8">
      <formula>0</formula>
    </cfRule>
  </conditionalFormatting>
  <conditionalFormatting sqref="G472">
    <cfRule type="cellIs" priority="1398" operator="greaterThan" aboveAverage="0" equalAverage="0" bottom="0" percent="0" rank="0" text="" dxfId="8">
      <formula>0</formula>
    </cfRule>
  </conditionalFormatting>
  <conditionalFormatting sqref="H472">
    <cfRule type="cellIs" priority="1399" operator="greaterThan" aboveAverage="0" equalAverage="0" bottom="0" percent="0" rank="0" text="" dxfId="8">
      <formula>0</formula>
    </cfRule>
  </conditionalFormatting>
  <conditionalFormatting sqref="C473">
    <cfRule type="cellIs" priority="1400" operator="greaterThan" aboveAverage="0" equalAverage="0" bottom="0" percent="0" rank="0" text="" dxfId="8">
      <formula>0</formula>
    </cfRule>
  </conditionalFormatting>
  <conditionalFormatting sqref="G473">
    <cfRule type="cellIs" priority="1401" operator="greaterThan" aboveAverage="0" equalAverage="0" bottom="0" percent="0" rank="0" text="" dxfId="8">
      <formula>0</formula>
    </cfRule>
  </conditionalFormatting>
  <conditionalFormatting sqref="H473">
    <cfRule type="cellIs" priority="1402" operator="greaterThan" aboveAverage="0" equalAverage="0" bottom="0" percent="0" rank="0" text="" dxfId="8">
      <formula>0</formula>
    </cfRule>
  </conditionalFormatting>
  <conditionalFormatting sqref="C474">
    <cfRule type="cellIs" priority="1403" operator="greaterThan" aboveAverage="0" equalAverage="0" bottom="0" percent="0" rank="0" text="" dxfId="8">
      <formula>0</formula>
    </cfRule>
  </conditionalFormatting>
  <conditionalFormatting sqref="G474">
    <cfRule type="cellIs" priority="1404" operator="greaterThan" aboveAverage="0" equalAverage="0" bottom="0" percent="0" rank="0" text="" dxfId="8">
      <formula>0</formula>
    </cfRule>
  </conditionalFormatting>
  <conditionalFormatting sqref="H474">
    <cfRule type="cellIs" priority="1405" operator="greaterThan" aboveAverage="0" equalAverage="0" bottom="0" percent="0" rank="0" text="" dxfId="8">
      <formula>0</formula>
    </cfRule>
  </conditionalFormatting>
  <conditionalFormatting sqref="C475">
    <cfRule type="cellIs" priority="1406" operator="greaterThan" aboveAverage="0" equalAverage="0" bottom="0" percent="0" rank="0" text="" dxfId="8">
      <formula>0</formula>
    </cfRule>
  </conditionalFormatting>
  <conditionalFormatting sqref="G475">
    <cfRule type="cellIs" priority="1407" operator="greaterThan" aboveAverage="0" equalAverage="0" bottom="0" percent="0" rank="0" text="" dxfId="8">
      <formula>0</formula>
    </cfRule>
  </conditionalFormatting>
  <conditionalFormatting sqref="H475">
    <cfRule type="cellIs" priority="1408" operator="greaterThan" aboveAverage="0" equalAverage="0" bottom="0" percent="0" rank="0" text="" dxfId="8">
      <formula>0</formula>
    </cfRule>
  </conditionalFormatting>
  <conditionalFormatting sqref="C476">
    <cfRule type="cellIs" priority="1409" operator="greaterThan" aboveAverage="0" equalAverage="0" bottom="0" percent="0" rank="0" text="" dxfId="8">
      <formula>0</formula>
    </cfRule>
  </conditionalFormatting>
  <conditionalFormatting sqref="G476">
    <cfRule type="cellIs" priority="1410" operator="greaterThan" aboveAverage="0" equalAverage="0" bottom="0" percent="0" rank="0" text="" dxfId="8">
      <formula>0</formula>
    </cfRule>
  </conditionalFormatting>
  <conditionalFormatting sqref="H476">
    <cfRule type="cellIs" priority="1411" operator="greaterThan" aboveAverage="0" equalAverage="0" bottom="0" percent="0" rank="0" text="" dxfId="8">
      <formula>0</formula>
    </cfRule>
  </conditionalFormatting>
  <conditionalFormatting sqref="C477">
    <cfRule type="cellIs" priority="1412" operator="greaterThan" aboveAverage="0" equalAverage="0" bottom="0" percent="0" rank="0" text="" dxfId="8">
      <formula>0</formula>
    </cfRule>
  </conditionalFormatting>
  <conditionalFormatting sqref="G477">
    <cfRule type="cellIs" priority="1413" operator="greaterThan" aboveAverage="0" equalAverage="0" bottom="0" percent="0" rank="0" text="" dxfId="8">
      <formula>0</formula>
    </cfRule>
  </conditionalFormatting>
  <conditionalFormatting sqref="H477">
    <cfRule type="cellIs" priority="1414" operator="greaterThan" aboveAverage="0" equalAverage="0" bottom="0" percent="0" rank="0" text="" dxfId="8">
      <formula>0</formula>
    </cfRule>
  </conditionalFormatting>
  <conditionalFormatting sqref="C478">
    <cfRule type="cellIs" priority="1415" operator="greaterThan" aboveAverage="0" equalAverage="0" bottom="0" percent="0" rank="0" text="" dxfId="8">
      <formula>0</formula>
    </cfRule>
  </conditionalFormatting>
  <conditionalFormatting sqref="G478">
    <cfRule type="cellIs" priority="1416" operator="greaterThan" aboveAverage="0" equalAverage="0" bottom="0" percent="0" rank="0" text="" dxfId="8">
      <formula>0</formula>
    </cfRule>
  </conditionalFormatting>
  <conditionalFormatting sqref="H478">
    <cfRule type="cellIs" priority="1417" operator="greaterThan" aboveAverage="0" equalAverage="0" bottom="0" percent="0" rank="0" text="" dxfId="8">
      <formula>0</formula>
    </cfRule>
  </conditionalFormatting>
  <conditionalFormatting sqref="C479">
    <cfRule type="cellIs" priority="1418" operator="greaterThan" aboveAverage="0" equalAverage="0" bottom="0" percent="0" rank="0" text="" dxfId="8">
      <formula>0</formula>
    </cfRule>
  </conditionalFormatting>
  <conditionalFormatting sqref="G479">
    <cfRule type="cellIs" priority="1419" operator="greaterThan" aboveAverage="0" equalAverage="0" bottom="0" percent="0" rank="0" text="" dxfId="8">
      <formula>0</formula>
    </cfRule>
  </conditionalFormatting>
  <conditionalFormatting sqref="H479">
    <cfRule type="cellIs" priority="1420" operator="greaterThan" aboveAverage="0" equalAverage="0" bottom="0" percent="0" rank="0" text="" dxfId="8">
      <formula>0</formula>
    </cfRule>
  </conditionalFormatting>
  <conditionalFormatting sqref="C480">
    <cfRule type="cellIs" priority="1421" operator="greaterThan" aboveAverage="0" equalAverage="0" bottom="0" percent="0" rank="0" text="" dxfId="8">
      <formula>0</formula>
    </cfRule>
  </conditionalFormatting>
  <conditionalFormatting sqref="G480">
    <cfRule type="cellIs" priority="1422" operator="greaterThan" aboveAverage="0" equalAverage="0" bottom="0" percent="0" rank="0" text="" dxfId="8">
      <formula>0</formula>
    </cfRule>
  </conditionalFormatting>
  <conditionalFormatting sqref="H480">
    <cfRule type="cellIs" priority="1423" operator="greaterThan" aboveAverage="0" equalAverage="0" bottom="0" percent="0" rank="0" text="" dxfId="8">
      <formula>0</formula>
    </cfRule>
  </conditionalFormatting>
  <conditionalFormatting sqref="C481">
    <cfRule type="cellIs" priority="1424" operator="greaterThan" aboveAverage="0" equalAverage="0" bottom="0" percent="0" rank="0" text="" dxfId="8">
      <formula>0</formula>
    </cfRule>
  </conditionalFormatting>
  <conditionalFormatting sqref="G481">
    <cfRule type="cellIs" priority="1425" operator="greaterThan" aboveAverage="0" equalAverage="0" bottom="0" percent="0" rank="0" text="" dxfId="8">
      <formula>0</formula>
    </cfRule>
  </conditionalFormatting>
  <conditionalFormatting sqref="H481">
    <cfRule type="cellIs" priority="1426" operator="greaterThan" aboveAverage="0" equalAverage="0" bottom="0" percent="0" rank="0" text="" dxfId="8">
      <formula>0</formula>
    </cfRule>
  </conditionalFormatting>
  <conditionalFormatting sqref="C482">
    <cfRule type="cellIs" priority="1427" operator="greaterThan" aboveAverage="0" equalAverage="0" bottom="0" percent="0" rank="0" text="" dxfId="8">
      <formula>0</formula>
    </cfRule>
  </conditionalFormatting>
  <conditionalFormatting sqref="G482">
    <cfRule type="cellIs" priority="1428" operator="greaterThan" aboveAverage="0" equalAverage="0" bottom="0" percent="0" rank="0" text="" dxfId="8">
      <formula>0</formula>
    </cfRule>
  </conditionalFormatting>
  <conditionalFormatting sqref="H482">
    <cfRule type="cellIs" priority="1429" operator="greaterThan" aboveAverage="0" equalAverage="0" bottom="0" percent="0" rank="0" text="" dxfId="8">
      <formula>0</formula>
    </cfRule>
  </conditionalFormatting>
  <conditionalFormatting sqref="C483">
    <cfRule type="cellIs" priority="1430" operator="greaterThan" aboveAverage="0" equalAverage="0" bottom="0" percent="0" rank="0" text="" dxfId="8">
      <formula>0</formula>
    </cfRule>
  </conditionalFormatting>
  <conditionalFormatting sqref="G483">
    <cfRule type="cellIs" priority="1431" operator="greaterThan" aboveAverage="0" equalAverage="0" bottom="0" percent="0" rank="0" text="" dxfId="8">
      <formula>0</formula>
    </cfRule>
  </conditionalFormatting>
  <conditionalFormatting sqref="H483">
    <cfRule type="cellIs" priority="1432" operator="greaterThan" aboveAverage="0" equalAverage="0" bottom="0" percent="0" rank="0" text="" dxfId="8">
      <formula>0</formula>
    </cfRule>
  </conditionalFormatting>
  <conditionalFormatting sqref="C484">
    <cfRule type="cellIs" priority="1433" operator="greaterThan" aboveAverage="0" equalAverage="0" bottom="0" percent="0" rank="0" text="" dxfId="8">
      <formula>0</formula>
    </cfRule>
  </conditionalFormatting>
  <conditionalFormatting sqref="G484">
    <cfRule type="cellIs" priority="1434" operator="greaterThan" aboveAverage="0" equalAverage="0" bottom="0" percent="0" rank="0" text="" dxfId="8">
      <formula>0</formula>
    </cfRule>
  </conditionalFormatting>
  <conditionalFormatting sqref="H484">
    <cfRule type="cellIs" priority="1435" operator="greaterThan" aboveAverage="0" equalAverage="0" bottom="0" percent="0" rank="0" text="" dxfId="8">
      <formula>0</formula>
    </cfRule>
  </conditionalFormatting>
  <conditionalFormatting sqref="C485">
    <cfRule type="cellIs" priority="1436" operator="greaterThan" aboveAverage="0" equalAverage="0" bottom="0" percent="0" rank="0" text="" dxfId="8">
      <formula>0</formula>
    </cfRule>
  </conditionalFormatting>
  <conditionalFormatting sqref="G485">
    <cfRule type="cellIs" priority="1437" operator="greaterThan" aboveAverage="0" equalAverage="0" bottom="0" percent="0" rank="0" text="" dxfId="8">
      <formula>0</formula>
    </cfRule>
  </conditionalFormatting>
  <conditionalFormatting sqref="H485">
    <cfRule type="cellIs" priority="1438" operator="greaterThan" aboveAverage="0" equalAverage="0" bottom="0" percent="0" rank="0" text="" dxfId="8">
      <formula>0</formula>
    </cfRule>
  </conditionalFormatting>
  <conditionalFormatting sqref="C486">
    <cfRule type="cellIs" priority="1439" operator="greaterThan" aboveAverage="0" equalAverage="0" bottom="0" percent="0" rank="0" text="" dxfId="8">
      <formula>0</formula>
    </cfRule>
  </conditionalFormatting>
  <conditionalFormatting sqref="G486">
    <cfRule type="cellIs" priority="1440" operator="greaterThan" aboveAverage="0" equalAverage="0" bottom="0" percent="0" rank="0" text="" dxfId="8">
      <formula>0</formula>
    </cfRule>
  </conditionalFormatting>
  <conditionalFormatting sqref="H486">
    <cfRule type="cellIs" priority="1441" operator="greaterThan" aboveAverage="0" equalAverage="0" bottom="0" percent="0" rank="0" text="" dxfId="8">
      <formula>0</formula>
    </cfRule>
  </conditionalFormatting>
  <conditionalFormatting sqref="C487">
    <cfRule type="cellIs" priority="1442" operator="greaterThan" aboveAverage="0" equalAverage="0" bottom="0" percent="0" rank="0" text="" dxfId="8">
      <formula>0</formula>
    </cfRule>
  </conditionalFormatting>
  <conditionalFormatting sqref="G487">
    <cfRule type="cellIs" priority="1443" operator="greaterThan" aboveAverage="0" equalAverage="0" bottom="0" percent="0" rank="0" text="" dxfId="8">
      <formula>0</formula>
    </cfRule>
  </conditionalFormatting>
  <conditionalFormatting sqref="H487">
    <cfRule type="cellIs" priority="1444" operator="greaterThan" aboveAverage="0" equalAverage="0" bottom="0" percent="0" rank="0" text="" dxfId="8">
      <formula>0</formula>
    </cfRule>
  </conditionalFormatting>
  <conditionalFormatting sqref="C488">
    <cfRule type="cellIs" priority="1445" operator="greaterThan" aboveAverage="0" equalAverage="0" bottom="0" percent="0" rank="0" text="" dxfId="8">
      <formula>0</formula>
    </cfRule>
  </conditionalFormatting>
  <conditionalFormatting sqref="G488">
    <cfRule type="cellIs" priority="1446" operator="greaterThan" aboveAverage="0" equalAverage="0" bottom="0" percent="0" rank="0" text="" dxfId="8">
      <formula>0</formula>
    </cfRule>
  </conditionalFormatting>
  <conditionalFormatting sqref="H488">
    <cfRule type="cellIs" priority="1447" operator="greaterThan" aboveAverage="0" equalAverage="0" bottom="0" percent="0" rank="0" text="" dxfId="8">
      <formula>0</formula>
    </cfRule>
  </conditionalFormatting>
  <conditionalFormatting sqref="C489">
    <cfRule type="cellIs" priority="1448" operator="greaterThan" aboveAverage="0" equalAverage="0" bottom="0" percent="0" rank="0" text="" dxfId="8">
      <formula>0</formula>
    </cfRule>
  </conditionalFormatting>
  <conditionalFormatting sqref="G489">
    <cfRule type="cellIs" priority="1449" operator="greaterThan" aboveAverage="0" equalAverage="0" bottom="0" percent="0" rank="0" text="" dxfId="8">
      <formula>0</formula>
    </cfRule>
  </conditionalFormatting>
  <conditionalFormatting sqref="H489">
    <cfRule type="cellIs" priority="1450" operator="greaterThan" aboveAverage="0" equalAverage="0" bottom="0" percent="0" rank="0" text="" dxfId="8">
      <formula>0</formula>
    </cfRule>
  </conditionalFormatting>
  <conditionalFormatting sqref="C490">
    <cfRule type="cellIs" priority="1451" operator="greaterThan" aboveAverage="0" equalAverage="0" bottom="0" percent="0" rank="0" text="" dxfId="8">
      <formula>0</formula>
    </cfRule>
  </conditionalFormatting>
  <conditionalFormatting sqref="G490">
    <cfRule type="cellIs" priority="1452" operator="greaterThan" aboveAverage="0" equalAverage="0" bottom="0" percent="0" rank="0" text="" dxfId="8">
      <formula>0</formula>
    </cfRule>
  </conditionalFormatting>
  <conditionalFormatting sqref="H490">
    <cfRule type="cellIs" priority="1453" operator="greaterThan" aboveAverage="0" equalAverage="0" bottom="0" percent="0" rank="0" text="" dxfId="8">
      <formula>0</formula>
    </cfRule>
  </conditionalFormatting>
  <conditionalFormatting sqref="C491">
    <cfRule type="cellIs" priority="1454" operator="greaterThan" aboveAverage="0" equalAverage="0" bottom="0" percent="0" rank="0" text="" dxfId="8">
      <formula>0</formula>
    </cfRule>
  </conditionalFormatting>
  <conditionalFormatting sqref="G491">
    <cfRule type="cellIs" priority="1455" operator="greaterThan" aboveAverage="0" equalAverage="0" bottom="0" percent="0" rank="0" text="" dxfId="8">
      <formula>0</formula>
    </cfRule>
  </conditionalFormatting>
  <conditionalFormatting sqref="H491">
    <cfRule type="cellIs" priority="1456" operator="greaterThan" aboveAverage="0" equalAverage="0" bottom="0" percent="0" rank="0" text="" dxfId="8">
      <formula>0</formula>
    </cfRule>
  </conditionalFormatting>
  <conditionalFormatting sqref="C492">
    <cfRule type="cellIs" priority="1457" operator="greaterThan" aboveAverage="0" equalAverage="0" bottom="0" percent="0" rank="0" text="" dxfId="8">
      <formula>0</formula>
    </cfRule>
  </conditionalFormatting>
  <conditionalFormatting sqref="G492">
    <cfRule type="cellIs" priority="1458" operator="greaterThan" aboveAverage="0" equalAverage="0" bottom="0" percent="0" rank="0" text="" dxfId="8">
      <formula>0</formula>
    </cfRule>
  </conditionalFormatting>
  <conditionalFormatting sqref="H492">
    <cfRule type="cellIs" priority="1459" operator="greaterThan" aboveAverage="0" equalAverage="0" bottom="0" percent="0" rank="0" text="" dxfId="8">
      <formula>0</formula>
    </cfRule>
  </conditionalFormatting>
  <conditionalFormatting sqref="C493">
    <cfRule type="cellIs" priority="1460" operator="greaterThan" aboveAverage="0" equalAverage="0" bottom="0" percent="0" rank="0" text="" dxfId="8">
      <formula>0</formula>
    </cfRule>
  </conditionalFormatting>
  <conditionalFormatting sqref="G493">
    <cfRule type="cellIs" priority="1461" operator="greaterThan" aboveAverage="0" equalAverage="0" bottom="0" percent="0" rank="0" text="" dxfId="8">
      <formula>0</formula>
    </cfRule>
  </conditionalFormatting>
  <conditionalFormatting sqref="H493">
    <cfRule type="cellIs" priority="1462" operator="greaterThan" aboveAverage="0" equalAverage="0" bottom="0" percent="0" rank="0" text="" dxfId="8">
      <formula>0</formula>
    </cfRule>
  </conditionalFormatting>
  <conditionalFormatting sqref="C494">
    <cfRule type="cellIs" priority="1463" operator="greaterThan" aboveAverage="0" equalAverage="0" bottom="0" percent="0" rank="0" text="" dxfId="8">
      <formula>0</formula>
    </cfRule>
  </conditionalFormatting>
  <conditionalFormatting sqref="G494">
    <cfRule type="cellIs" priority="1464" operator="greaterThan" aboveAverage="0" equalAverage="0" bottom="0" percent="0" rank="0" text="" dxfId="8">
      <formula>0</formula>
    </cfRule>
  </conditionalFormatting>
  <conditionalFormatting sqref="H494">
    <cfRule type="cellIs" priority="1465" operator="greaterThan" aboveAverage="0" equalAverage="0" bottom="0" percent="0" rank="0" text="" dxfId="8">
      <formula>0</formula>
    </cfRule>
  </conditionalFormatting>
  <conditionalFormatting sqref="C495">
    <cfRule type="cellIs" priority="1466" operator="greaterThan" aboveAverage="0" equalAverage="0" bottom="0" percent="0" rank="0" text="" dxfId="8">
      <formula>0</formula>
    </cfRule>
  </conditionalFormatting>
  <conditionalFormatting sqref="G495">
    <cfRule type="cellIs" priority="1467" operator="greaterThan" aboveAverage="0" equalAverage="0" bottom="0" percent="0" rank="0" text="" dxfId="8">
      <formula>0</formula>
    </cfRule>
  </conditionalFormatting>
  <conditionalFormatting sqref="H495">
    <cfRule type="cellIs" priority="1468" operator="greaterThan" aboveAverage="0" equalAverage="0" bottom="0" percent="0" rank="0" text="" dxfId="8">
      <formula>0</formula>
    </cfRule>
  </conditionalFormatting>
  <conditionalFormatting sqref="C496">
    <cfRule type="cellIs" priority="1469" operator="greaterThan" aboveAverage="0" equalAverage="0" bottom="0" percent="0" rank="0" text="" dxfId="8">
      <formula>0</formula>
    </cfRule>
  </conditionalFormatting>
  <conditionalFormatting sqref="G496">
    <cfRule type="cellIs" priority="1470" operator="greaterThan" aboveAverage="0" equalAverage="0" bottom="0" percent="0" rank="0" text="" dxfId="8">
      <formula>0</formula>
    </cfRule>
  </conditionalFormatting>
  <conditionalFormatting sqref="H496">
    <cfRule type="cellIs" priority="1471" operator="greaterThan" aboveAverage="0" equalAverage="0" bottom="0" percent="0" rank="0" text="" dxfId="8">
      <formula>0</formula>
    </cfRule>
  </conditionalFormatting>
  <conditionalFormatting sqref="C497">
    <cfRule type="cellIs" priority="1472" operator="greaterThan" aboveAverage="0" equalAverage="0" bottom="0" percent="0" rank="0" text="" dxfId="8">
      <formula>0</formula>
    </cfRule>
  </conditionalFormatting>
  <conditionalFormatting sqref="G497">
    <cfRule type="cellIs" priority="1473" operator="greaterThan" aboveAverage="0" equalAverage="0" bottom="0" percent="0" rank="0" text="" dxfId="8">
      <formula>0</formula>
    </cfRule>
  </conditionalFormatting>
  <conditionalFormatting sqref="H497">
    <cfRule type="cellIs" priority="1474" operator="greaterThan" aboveAverage="0" equalAverage="0" bottom="0" percent="0" rank="0" text="" dxfId="8">
      <formula>0</formula>
    </cfRule>
  </conditionalFormatting>
  <conditionalFormatting sqref="C498">
    <cfRule type="cellIs" priority="1475" operator="greaterThan" aboveAverage="0" equalAverage="0" bottom="0" percent="0" rank="0" text="" dxfId="8">
      <formula>0</formula>
    </cfRule>
  </conditionalFormatting>
  <conditionalFormatting sqref="G498">
    <cfRule type="cellIs" priority="1476" operator="greaterThan" aboveAverage="0" equalAverage="0" bottom="0" percent="0" rank="0" text="" dxfId="8">
      <formula>0</formula>
    </cfRule>
  </conditionalFormatting>
  <conditionalFormatting sqref="H498">
    <cfRule type="cellIs" priority="1477" operator="greaterThan" aboveAverage="0" equalAverage="0" bottom="0" percent="0" rank="0" text="" dxfId="8">
      <formula>0</formula>
    </cfRule>
  </conditionalFormatting>
  <conditionalFormatting sqref="C499">
    <cfRule type="cellIs" priority="1478" operator="greaterThan" aboveAverage="0" equalAverage="0" bottom="0" percent="0" rank="0" text="" dxfId="8">
      <formula>0</formula>
    </cfRule>
  </conditionalFormatting>
  <conditionalFormatting sqref="G499">
    <cfRule type="cellIs" priority="1479" operator="greaterThan" aboveAverage="0" equalAverage="0" bottom="0" percent="0" rank="0" text="" dxfId="8">
      <formula>0</formula>
    </cfRule>
  </conditionalFormatting>
  <conditionalFormatting sqref="H499">
    <cfRule type="cellIs" priority="1480" operator="greaterThan" aboveAverage="0" equalAverage="0" bottom="0" percent="0" rank="0" text="" dxfId="8">
      <formula>0</formula>
    </cfRule>
  </conditionalFormatting>
  <conditionalFormatting sqref="C500">
    <cfRule type="cellIs" priority="1481" operator="greaterThan" aboveAverage="0" equalAverage="0" bottom="0" percent="0" rank="0" text="" dxfId="8">
      <formula>0</formula>
    </cfRule>
  </conditionalFormatting>
  <conditionalFormatting sqref="G500">
    <cfRule type="cellIs" priority="1482" operator="greaterThan" aboveAverage="0" equalAverage="0" bottom="0" percent="0" rank="0" text="" dxfId="8">
      <formula>0</formula>
    </cfRule>
  </conditionalFormatting>
  <conditionalFormatting sqref="H500">
    <cfRule type="cellIs" priority="1483" operator="greaterThan" aboveAverage="0" equalAverage="0" bottom="0" percent="0" rank="0" text="" dxfId="8">
      <formula>0</formula>
    </cfRule>
  </conditionalFormatting>
  <conditionalFormatting sqref="C501">
    <cfRule type="cellIs" priority="1484" operator="greaterThan" aboveAverage="0" equalAverage="0" bottom="0" percent="0" rank="0" text="" dxfId="8">
      <formula>0</formula>
    </cfRule>
  </conditionalFormatting>
  <conditionalFormatting sqref="G501">
    <cfRule type="cellIs" priority="1485" operator="greaterThan" aboveAverage="0" equalAverage="0" bottom="0" percent="0" rank="0" text="" dxfId="8">
      <formula>0</formula>
    </cfRule>
  </conditionalFormatting>
  <conditionalFormatting sqref="H501">
    <cfRule type="cellIs" priority="1486" operator="greaterThan" aboveAverage="0" equalAverage="0" bottom="0" percent="0" rank="0" text="" dxfId="8">
      <formula>0</formula>
    </cfRule>
  </conditionalFormatting>
  <conditionalFormatting sqref="C502">
    <cfRule type="cellIs" priority="1487" operator="greaterThan" aboveAverage="0" equalAverage="0" bottom="0" percent="0" rank="0" text="" dxfId="8">
      <formula>0</formula>
    </cfRule>
  </conditionalFormatting>
  <conditionalFormatting sqref="G502">
    <cfRule type="cellIs" priority="1488" operator="greaterThan" aboveAverage="0" equalAverage="0" bottom="0" percent="0" rank="0" text="" dxfId="8">
      <formula>0</formula>
    </cfRule>
  </conditionalFormatting>
  <conditionalFormatting sqref="H502">
    <cfRule type="cellIs" priority="1489" operator="greaterThan" aboveAverage="0" equalAverage="0" bottom="0" percent="0" rank="0" text="" dxfId="8">
      <formula>0</formula>
    </cfRule>
  </conditionalFormatting>
  <conditionalFormatting sqref="C503">
    <cfRule type="cellIs" priority="1490" operator="greaterThan" aboveAverage="0" equalAverage="0" bottom="0" percent="0" rank="0" text="" dxfId="8">
      <formula>0</formula>
    </cfRule>
  </conditionalFormatting>
  <conditionalFormatting sqref="G503">
    <cfRule type="cellIs" priority="1491" operator="greaterThan" aboveAverage="0" equalAverage="0" bottom="0" percent="0" rank="0" text="" dxfId="8">
      <formula>0</formula>
    </cfRule>
  </conditionalFormatting>
  <conditionalFormatting sqref="H503">
    <cfRule type="cellIs" priority="1492" operator="greaterThan" aboveAverage="0" equalAverage="0" bottom="0" percent="0" rank="0" text="" dxfId="8">
      <formula>0</formula>
    </cfRule>
  </conditionalFormatting>
  <conditionalFormatting sqref="C504">
    <cfRule type="cellIs" priority="1493" operator="greaterThan" aboveAverage="0" equalAverage="0" bottom="0" percent="0" rank="0" text="" dxfId="8">
      <formula>0</formula>
    </cfRule>
  </conditionalFormatting>
  <conditionalFormatting sqref="G504">
    <cfRule type="cellIs" priority="1494" operator="greaterThan" aboveAverage="0" equalAverage="0" bottom="0" percent="0" rank="0" text="" dxfId="8">
      <formula>0</formula>
    </cfRule>
  </conditionalFormatting>
  <conditionalFormatting sqref="H504">
    <cfRule type="cellIs" priority="1495" operator="greaterThan" aboveAverage="0" equalAverage="0" bottom="0" percent="0" rank="0" text="" dxfId="8">
      <formula>0</formula>
    </cfRule>
  </conditionalFormatting>
  <conditionalFormatting sqref="C505">
    <cfRule type="cellIs" priority="1496" operator="greaterThan" aboveAverage="0" equalAverage="0" bottom="0" percent="0" rank="0" text="" dxfId="8">
      <formula>0</formula>
    </cfRule>
  </conditionalFormatting>
  <conditionalFormatting sqref="G505">
    <cfRule type="cellIs" priority="1497" operator="greaterThan" aboveAverage="0" equalAverage="0" bottom="0" percent="0" rank="0" text="" dxfId="8">
      <formula>0</formula>
    </cfRule>
  </conditionalFormatting>
  <conditionalFormatting sqref="H505">
    <cfRule type="cellIs" priority="1498" operator="greaterThan" aboveAverage="0" equalAverage="0" bottom="0" percent="0" rank="0" text="" dxfId="8">
      <formula>0</formula>
    </cfRule>
  </conditionalFormatting>
  <conditionalFormatting sqref="C506">
    <cfRule type="cellIs" priority="1499" operator="greaterThan" aboveAverage="0" equalAverage="0" bottom="0" percent="0" rank="0" text="" dxfId="8">
      <formula>0</formula>
    </cfRule>
  </conditionalFormatting>
  <conditionalFormatting sqref="G506">
    <cfRule type="cellIs" priority="1500" operator="greaterThan" aboveAverage="0" equalAverage="0" bottom="0" percent="0" rank="0" text="" dxfId="8">
      <formula>0</formula>
    </cfRule>
  </conditionalFormatting>
  <conditionalFormatting sqref="H506">
    <cfRule type="cellIs" priority="1501" operator="greaterThan" aboveAverage="0" equalAverage="0" bottom="0" percent="0" rank="0" text="" dxfId="8">
      <formula>0</formula>
    </cfRule>
  </conditionalFormatting>
  <conditionalFormatting sqref="C507">
    <cfRule type="cellIs" priority="1502" operator="greaterThan" aboveAverage="0" equalAverage="0" bottom="0" percent="0" rank="0" text="" dxfId="8">
      <formula>0</formula>
    </cfRule>
  </conditionalFormatting>
  <conditionalFormatting sqref="G507">
    <cfRule type="cellIs" priority="1503" operator="greaterThan" aboveAverage="0" equalAverage="0" bottom="0" percent="0" rank="0" text="" dxfId="8">
      <formula>0</formula>
    </cfRule>
  </conditionalFormatting>
  <conditionalFormatting sqref="H507">
    <cfRule type="cellIs" priority="1504" operator="greaterThan" aboveAverage="0" equalAverage="0" bottom="0" percent="0" rank="0" text="" dxfId="8">
      <formula>0</formula>
    </cfRule>
  </conditionalFormatting>
  <conditionalFormatting sqref="C508">
    <cfRule type="cellIs" priority="1505" operator="greaterThan" aboveAverage="0" equalAverage="0" bottom="0" percent="0" rank="0" text="" dxfId="8">
      <formula>0</formula>
    </cfRule>
  </conditionalFormatting>
  <conditionalFormatting sqref="G508">
    <cfRule type="cellIs" priority="1506" operator="greaterThan" aboveAverage="0" equalAverage="0" bottom="0" percent="0" rank="0" text="" dxfId="8">
      <formula>0</formula>
    </cfRule>
  </conditionalFormatting>
  <conditionalFormatting sqref="H508">
    <cfRule type="cellIs" priority="1507" operator="greaterThan" aboveAverage="0" equalAverage="0" bottom="0" percent="0" rank="0" text="" dxfId="8">
      <formula>0</formula>
    </cfRule>
  </conditionalFormatting>
  <conditionalFormatting sqref="C509">
    <cfRule type="cellIs" priority="1508" operator="greaterThan" aboveAverage="0" equalAverage="0" bottom="0" percent="0" rank="0" text="" dxfId="8">
      <formula>0</formula>
    </cfRule>
  </conditionalFormatting>
  <conditionalFormatting sqref="G509">
    <cfRule type="cellIs" priority="1509" operator="greaterThan" aboveAverage="0" equalAverage="0" bottom="0" percent="0" rank="0" text="" dxfId="8">
      <formula>0</formula>
    </cfRule>
  </conditionalFormatting>
  <conditionalFormatting sqref="H509">
    <cfRule type="cellIs" priority="1510" operator="greaterThan" aboveAverage="0" equalAverage="0" bottom="0" percent="0" rank="0" text="" dxfId="8">
      <formula>0</formula>
    </cfRule>
  </conditionalFormatting>
  <conditionalFormatting sqref="C510">
    <cfRule type="cellIs" priority="1511" operator="greaterThan" aboveAverage="0" equalAverage="0" bottom="0" percent="0" rank="0" text="" dxfId="8">
      <formula>0</formula>
    </cfRule>
  </conditionalFormatting>
  <conditionalFormatting sqref="G510">
    <cfRule type="cellIs" priority="1512" operator="greaterThan" aboveAverage="0" equalAverage="0" bottom="0" percent="0" rank="0" text="" dxfId="8">
      <formula>0</formula>
    </cfRule>
  </conditionalFormatting>
  <conditionalFormatting sqref="H510">
    <cfRule type="cellIs" priority="1513" operator="greaterThan" aboveAverage="0" equalAverage="0" bottom="0" percent="0" rank="0" text="" dxfId="8">
      <formula>0</formula>
    </cfRule>
  </conditionalFormatting>
  <conditionalFormatting sqref="C511">
    <cfRule type="cellIs" priority="1514" operator="greaterThan" aboveAverage="0" equalAverage="0" bottom="0" percent="0" rank="0" text="" dxfId="8">
      <formula>0</formula>
    </cfRule>
  </conditionalFormatting>
  <conditionalFormatting sqref="G511">
    <cfRule type="cellIs" priority="1515" operator="greaterThan" aboveAverage="0" equalAverage="0" bottom="0" percent="0" rank="0" text="" dxfId="8">
      <formula>0</formula>
    </cfRule>
  </conditionalFormatting>
  <conditionalFormatting sqref="H511">
    <cfRule type="cellIs" priority="1516" operator="greaterThan" aboveAverage="0" equalAverage="0" bottom="0" percent="0" rank="0" text="" dxfId="8">
      <formula>0</formula>
    </cfRule>
  </conditionalFormatting>
  <conditionalFormatting sqref="C512">
    <cfRule type="cellIs" priority="1517" operator="greaterThan" aboveAverage="0" equalAverage="0" bottom="0" percent="0" rank="0" text="" dxfId="8">
      <formula>0</formula>
    </cfRule>
  </conditionalFormatting>
  <conditionalFormatting sqref="G512">
    <cfRule type="cellIs" priority="1518" operator="greaterThan" aboveAverage="0" equalAverage="0" bottom="0" percent="0" rank="0" text="" dxfId="8">
      <formula>0</formula>
    </cfRule>
  </conditionalFormatting>
  <conditionalFormatting sqref="H512">
    <cfRule type="cellIs" priority="1519" operator="greaterThan" aboveAverage="0" equalAverage="0" bottom="0" percent="0" rank="0" text="" dxfId="8">
      <formula>0</formula>
    </cfRule>
  </conditionalFormatting>
  <conditionalFormatting sqref="C513">
    <cfRule type="cellIs" priority="1520" operator="greaterThan" aboveAverage="0" equalAverage="0" bottom="0" percent="0" rank="0" text="" dxfId="8">
      <formula>0</formula>
    </cfRule>
  </conditionalFormatting>
  <conditionalFormatting sqref="G513">
    <cfRule type="cellIs" priority="1521" operator="greaterThan" aboveAverage="0" equalAverage="0" bottom="0" percent="0" rank="0" text="" dxfId="8">
      <formula>0</formula>
    </cfRule>
  </conditionalFormatting>
  <conditionalFormatting sqref="H513">
    <cfRule type="cellIs" priority="1522" operator="greaterThan" aboveAverage="0" equalAverage="0" bottom="0" percent="0" rank="0" text="" dxfId="8">
      <formula>0</formula>
    </cfRule>
  </conditionalFormatting>
  <conditionalFormatting sqref="C514">
    <cfRule type="cellIs" priority="1523" operator="greaterThan" aboveAverage="0" equalAverage="0" bottom="0" percent="0" rank="0" text="" dxfId="8">
      <formula>0</formula>
    </cfRule>
  </conditionalFormatting>
  <conditionalFormatting sqref="G514">
    <cfRule type="cellIs" priority="1524" operator="greaterThan" aboveAverage="0" equalAverage="0" bottom="0" percent="0" rank="0" text="" dxfId="8">
      <formula>0</formula>
    </cfRule>
  </conditionalFormatting>
  <conditionalFormatting sqref="H514">
    <cfRule type="cellIs" priority="1525" operator="greaterThan" aboveAverage="0" equalAverage="0" bottom="0" percent="0" rank="0" text="" dxfId="8">
      <formula>0</formula>
    </cfRule>
  </conditionalFormatting>
  <conditionalFormatting sqref="C515">
    <cfRule type="cellIs" priority="1526" operator="greaterThan" aboveAverage="0" equalAverage="0" bottom="0" percent="0" rank="0" text="" dxfId="8">
      <formula>0</formula>
    </cfRule>
  </conditionalFormatting>
  <conditionalFormatting sqref="G515">
    <cfRule type="cellIs" priority="1527" operator="greaterThan" aboveAverage="0" equalAverage="0" bottom="0" percent="0" rank="0" text="" dxfId="8">
      <formula>0</formula>
    </cfRule>
  </conditionalFormatting>
  <conditionalFormatting sqref="H515">
    <cfRule type="cellIs" priority="1528" operator="greaterThan" aboveAverage="0" equalAverage="0" bottom="0" percent="0" rank="0" text="" dxfId="8">
      <formula>0</formula>
    </cfRule>
  </conditionalFormatting>
  <conditionalFormatting sqref="C516">
    <cfRule type="cellIs" priority="1529" operator="greaterThan" aboveAverage="0" equalAverage="0" bottom="0" percent="0" rank="0" text="" dxfId="8">
      <formula>0</formula>
    </cfRule>
  </conditionalFormatting>
  <conditionalFormatting sqref="G516">
    <cfRule type="cellIs" priority="1530" operator="greaterThan" aboveAverage="0" equalAverage="0" bottom="0" percent="0" rank="0" text="" dxfId="8">
      <formula>0</formula>
    </cfRule>
  </conditionalFormatting>
  <conditionalFormatting sqref="H516">
    <cfRule type="cellIs" priority="1531" operator="greaterThan" aboveAverage="0" equalAverage="0" bottom="0" percent="0" rank="0" text="" dxfId="8">
      <formula>0</formula>
    </cfRule>
  </conditionalFormatting>
  <conditionalFormatting sqref="C517">
    <cfRule type="cellIs" priority="1532" operator="greaterThan" aboveAverage="0" equalAverage="0" bottom="0" percent="0" rank="0" text="" dxfId="8">
      <formula>0</formula>
    </cfRule>
  </conditionalFormatting>
  <conditionalFormatting sqref="G517">
    <cfRule type="cellIs" priority="1533" operator="greaterThan" aboveAverage="0" equalAverage="0" bottom="0" percent="0" rank="0" text="" dxfId="8">
      <formula>0</formula>
    </cfRule>
  </conditionalFormatting>
  <conditionalFormatting sqref="H517">
    <cfRule type="cellIs" priority="1534" operator="greaterThan" aboveAverage="0" equalAverage="0" bottom="0" percent="0" rank="0" text="" dxfId="8">
      <formula>0</formula>
    </cfRule>
  </conditionalFormatting>
  <conditionalFormatting sqref="C518">
    <cfRule type="cellIs" priority="1535" operator="greaterThan" aboveAverage="0" equalAverage="0" bottom="0" percent="0" rank="0" text="" dxfId="8">
      <formula>0</formula>
    </cfRule>
  </conditionalFormatting>
  <conditionalFormatting sqref="G518">
    <cfRule type="cellIs" priority="1536" operator="greaterThan" aboveAverage="0" equalAverage="0" bottom="0" percent="0" rank="0" text="" dxfId="8">
      <formula>0</formula>
    </cfRule>
  </conditionalFormatting>
  <conditionalFormatting sqref="H518">
    <cfRule type="cellIs" priority="1537" operator="greaterThan" aboveAverage="0" equalAverage="0" bottom="0" percent="0" rank="0" text="" dxfId="8">
      <formula>0</formula>
    </cfRule>
  </conditionalFormatting>
  <conditionalFormatting sqref="C519">
    <cfRule type="cellIs" priority="1538" operator="greaterThan" aboveAverage="0" equalAverage="0" bottom="0" percent="0" rank="0" text="" dxfId="8">
      <formula>0</formula>
    </cfRule>
  </conditionalFormatting>
  <conditionalFormatting sqref="G519">
    <cfRule type="cellIs" priority="1539" operator="greaterThan" aboveAverage="0" equalAverage="0" bottom="0" percent="0" rank="0" text="" dxfId="8">
      <formula>0</formula>
    </cfRule>
  </conditionalFormatting>
  <conditionalFormatting sqref="H519">
    <cfRule type="cellIs" priority="1540" operator="greaterThan" aboveAverage="0" equalAverage="0" bottom="0" percent="0" rank="0" text="" dxfId="8">
      <formula>0</formula>
    </cfRule>
  </conditionalFormatting>
  <conditionalFormatting sqref="C520">
    <cfRule type="cellIs" priority="1541" operator="greaterThan" aboveAverage="0" equalAverage="0" bottom="0" percent="0" rank="0" text="" dxfId="8">
      <formula>0</formula>
    </cfRule>
  </conditionalFormatting>
  <conditionalFormatting sqref="G520">
    <cfRule type="cellIs" priority="1542" operator="greaterThan" aboveAverage="0" equalAverage="0" bottom="0" percent="0" rank="0" text="" dxfId="8">
      <formula>0</formula>
    </cfRule>
  </conditionalFormatting>
  <conditionalFormatting sqref="H520">
    <cfRule type="cellIs" priority="1543" operator="greaterThan" aboveAverage="0" equalAverage="0" bottom="0" percent="0" rank="0" text="" dxfId="8">
      <formula>0</formula>
    </cfRule>
  </conditionalFormatting>
  <conditionalFormatting sqref="C521">
    <cfRule type="cellIs" priority="1544" operator="greaterThan" aboveAverage="0" equalAverage="0" bottom="0" percent="0" rank="0" text="" dxfId="8">
      <formula>0</formula>
    </cfRule>
  </conditionalFormatting>
  <conditionalFormatting sqref="G521">
    <cfRule type="cellIs" priority="1545" operator="greaterThan" aboveAverage="0" equalAverage="0" bottom="0" percent="0" rank="0" text="" dxfId="8">
      <formula>0</formula>
    </cfRule>
  </conditionalFormatting>
  <conditionalFormatting sqref="H521">
    <cfRule type="cellIs" priority="1546" operator="greaterThan" aboveAverage="0" equalAverage="0" bottom="0" percent="0" rank="0" text="" dxfId="8">
      <formula>0</formula>
    </cfRule>
  </conditionalFormatting>
  <conditionalFormatting sqref="C522">
    <cfRule type="cellIs" priority="1547" operator="greaterThan" aboveAverage="0" equalAverage="0" bottom="0" percent="0" rank="0" text="" dxfId="8">
      <formula>0</formula>
    </cfRule>
  </conditionalFormatting>
  <conditionalFormatting sqref="G522">
    <cfRule type="cellIs" priority="1548" operator="greaterThan" aboveAverage="0" equalAverage="0" bottom="0" percent="0" rank="0" text="" dxfId="8">
      <formula>0</formula>
    </cfRule>
  </conditionalFormatting>
  <conditionalFormatting sqref="H522">
    <cfRule type="cellIs" priority="1549" operator="greaterThan" aboveAverage="0" equalAverage="0" bottom="0" percent="0" rank="0" text="" dxfId="8">
      <formula>0</formula>
    </cfRule>
  </conditionalFormatting>
  <conditionalFormatting sqref="C523">
    <cfRule type="cellIs" priority="1550" operator="greaterThan" aboveAverage="0" equalAverage="0" bottom="0" percent="0" rank="0" text="" dxfId="8">
      <formula>0</formula>
    </cfRule>
  </conditionalFormatting>
  <conditionalFormatting sqref="G523">
    <cfRule type="cellIs" priority="1551" operator="greaterThan" aboveAverage="0" equalAverage="0" bottom="0" percent="0" rank="0" text="" dxfId="8">
      <formula>0</formula>
    </cfRule>
  </conditionalFormatting>
  <conditionalFormatting sqref="H523">
    <cfRule type="cellIs" priority="1552" operator="greaterThan" aboveAverage="0" equalAverage="0" bottom="0" percent="0" rank="0" text="" dxfId="8">
      <formula>0</formula>
    </cfRule>
  </conditionalFormatting>
  <conditionalFormatting sqref="C524">
    <cfRule type="cellIs" priority="1553" operator="greaterThan" aboveAverage="0" equalAverage="0" bottom="0" percent="0" rank="0" text="" dxfId="8">
      <formula>0</formula>
    </cfRule>
  </conditionalFormatting>
  <conditionalFormatting sqref="G524">
    <cfRule type="cellIs" priority="1554" operator="greaterThan" aboveAverage="0" equalAverage="0" bottom="0" percent="0" rank="0" text="" dxfId="8">
      <formula>0</formula>
    </cfRule>
  </conditionalFormatting>
  <conditionalFormatting sqref="H524">
    <cfRule type="cellIs" priority="1555" operator="greaterThan" aboveAverage="0" equalAverage="0" bottom="0" percent="0" rank="0" text="" dxfId="8">
      <formula>0</formula>
    </cfRule>
  </conditionalFormatting>
  <conditionalFormatting sqref="C525">
    <cfRule type="cellIs" priority="1556" operator="greaterThan" aboveAverage="0" equalAverage="0" bottom="0" percent="0" rank="0" text="" dxfId="8">
      <formula>0</formula>
    </cfRule>
  </conditionalFormatting>
  <conditionalFormatting sqref="G525">
    <cfRule type="cellIs" priority="1557" operator="greaterThan" aboveAverage="0" equalAverage="0" bottom="0" percent="0" rank="0" text="" dxfId="8">
      <formula>0</formula>
    </cfRule>
  </conditionalFormatting>
  <conditionalFormatting sqref="H525">
    <cfRule type="cellIs" priority="1558" operator="greaterThan" aboveAverage="0" equalAverage="0" bottom="0" percent="0" rank="0" text="" dxfId="8">
      <formula>0</formula>
    </cfRule>
  </conditionalFormatting>
  <conditionalFormatting sqref="C526">
    <cfRule type="cellIs" priority="1559" operator="greaterThan" aboveAverage="0" equalAverage="0" bottom="0" percent="0" rank="0" text="" dxfId="8">
      <formula>0</formula>
    </cfRule>
  </conditionalFormatting>
  <conditionalFormatting sqref="G526">
    <cfRule type="cellIs" priority="1560" operator="greaterThan" aboveAverage="0" equalAverage="0" bottom="0" percent="0" rank="0" text="" dxfId="8">
      <formula>0</formula>
    </cfRule>
  </conditionalFormatting>
  <conditionalFormatting sqref="H526">
    <cfRule type="cellIs" priority="1561" operator="greaterThan" aboveAverage="0" equalAverage="0" bottom="0" percent="0" rank="0" text="" dxfId="8">
      <formula>0</formula>
    </cfRule>
  </conditionalFormatting>
  <conditionalFormatting sqref="C527">
    <cfRule type="cellIs" priority="1562" operator="greaterThan" aboveAverage="0" equalAverage="0" bottom="0" percent="0" rank="0" text="" dxfId="8">
      <formula>0</formula>
    </cfRule>
  </conditionalFormatting>
  <conditionalFormatting sqref="G527">
    <cfRule type="cellIs" priority="1563" operator="greaterThan" aboveAverage="0" equalAverage="0" bottom="0" percent="0" rank="0" text="" dxfId="8">
      <formula>0</formula>
    </cfRule>
  </conditionalFormatting>
  <conditionalFormatting sqref="H527">
    <cfRule type="cellIs" priority="1564" operator="greaterThan" aboveAverage="0" equalAverage="0" bottom="0" percent="0" rank="0" text="" dxfId="8">
      <formula>0</formula>
    </cfRule>
  </conditionalFormatting>
  <conditionalFormatting sqref="C528">
    <cfRule type="cellIs" priority="1565" operator="greaterThan" aboveAverage="0" equalAverage="0" bottom="0" percent="0" rank="0" text="" dxfId="8">
      <formula>0</formula>
    </cfRule>
  </conditionalFormatting>
  <conditionalFormatting sqref="G528">
    <cfRule type="cellIs" priority="1566" operator="greaterThan" aboveAverage="0" equalAverage="0" bottom="0" percent="0" rank="0" text="" dxfId="8">
      <formula>0</formula>
    </cfRule>
  </conditionalFormatting>
  <conditionalFormatting sqref="H528">
    <cfRule type="cellIs" priority="1567" operator="greaterThan" aboveAverage="0" equalAverage="0" bottom="0" percent="0" rank="0" text="" dxfId="8">
      <formula>0</formula>
    </cfRule>
  </conditionalFormatting>
  <conditionalFormatting sqref="C529">
    <cfRule type="cellIs" priority="1568" operator="greaterThan" aboveAverage="0" equalAverage="0" bottom="0" percent="0" rank="0" text="" dxfId="8">
      <formula>0</formula>
    </cfRule>
  </conditionalFormatting>
  <conditionalFormatting sqref="G529">
    <cfRule type="cellIs" priority="1569" operator="greaterThan" aboveAverage="0" equalAverage="0" bottom="0" percent="0" rank="0" text="" dxfId="8">
      <formula>0</formula>
    </cfRule>
  </conditionalFormatting>
  <conditionalFormatting sqref="H529">
    <cfRule type="cellIs" priority="1570" operator="greaterThan" aboveAverage="0" equalAverage="0" bottom="0" percent="0" rank="0" text="" dxfId="8">
      <formula>0</formula>
    </cfRule>
  </conditionalFormatting>
  <conditionalFormatting sqref="C530">
    <cfRule type="cellIs" priority="1571" operator="greaterThan" aboveAverage="0" equalAverage="0" bottom="0" percent="0" rank="0" text="" dxfId="8">
      <formula>0</formula>
    </cfRule>
  </conditionalFormatting>
  <conditionalFormatting sqref="G530">
    <cfRule type="cellIs" priority="1572" operator="greaterThan" aboveAverage="0" equalAverage="0" bottom="0" percent="0" rank="0" text="" dxfId="8">
      <formula>0</formula>
    </cfRule>
  </conditionalFormatting>
  <conditionalFormatting sqref="H530">
    <cfRule type="cellIs" priority="1573" operator="greaterThan" aboveAverage="0" equalAverage="0" bottom="0" percent="0" rank="0" text="" dxfId="8">
      <formula>0</formula>
    </cfRule>
  </conditionalFormatting>
  <conditionalFormatting sqref="C531">
    <cfRule type="cellIs" priority="1574" operator="greaterThan" aboveAverage="0" equalAverage="0" bottom="0" percent="0" rank="0" text="" dxfId="8">
      <formula>0</formula>
    </cfRule>
  </conditionalFormatting>
  <conditionalFormatting sqref="G531">
    <cfRule type="cellIs" priority="1575" operator="greaterThan" aboveAverage="0" equalAverage="0" bottom="0" percent="0" rank="0" text="" dxfId="8">
      <formula>0</formula>
    </cfRule>
  </conditionalFormatting>
  <conditionalFormatting sqref="H531">
    <cfRule type="cellIs" priority="1576" operator="greaterThan" aboveAverage="0" equalAverage="0" bottom="0" percent="0" rank="0" text="" dxfId="8">
      <formula>0</formula>
    </cfRule>
  </conditionalFormatting>
  <conditionalFormatting sqref="C532">
    <cfRule type="cellIs" priority="1577" operator="greaterThan" aboveAverage="0" equalAverage="0" bottom="0" percent="0" rank="0" text="" dxfId="8">
      <formula>0</formula>
    </cfRule>
  </conditionalFormatting>
  <conditionalFormatting sqref="G532">
    <cfRule type="cellIs" priority="1578" operator="greaterThan" aboveAverage="0" equalAverage="0" bottom="0" percent="0" rank="0" text="" dxfId="8">
      <formula>0</formula>
    </cfRule>
  </conditionalFormatting>
  <conditionalFormatting sqref="H532">
    <cfRule type="cellIs" priority="1579" operator="greaterThan" aboveAverage="0" equalAverage="0" bottom="0" percent="0" rank="0" text="" dxfId="8">
      <formula>0</formula>
    </cfRule>
  </conditionalFormatting>
  <conditionalFormatting sqref="C533">
    <cfRule type="cellIs" priority="1580" operator="greaterThan" aboveAverage="0" equalAverage="0" bottom="0" percent="0" rank="0" text="" dxfId="8">
      <formula>0</formula>
    </cfRule>
  </conditionalFormatting>
  <conditionalFormatting sqref="G533">
    <cfRule type="cellIs" priority="1581" operator="greaterThan" aboveAverage="0" equalAverage="0" bottom="0" percent="0" rank="0" text="" dxfId="8">
      <formula>0</formula>
    </cfRule>
  </conditionalFormatting>
  <conditionalFormatting sqref="H533">
    <cfRule type="cellIs" priority="1582" operator="greaterThan" aboveAverage="0" equalAverage="0" bottom="0" percent="0" rank="0" text="" dxfId="8">
      <formula>0</formula>
    </cfRule>
  </conditionalFormatting>
  <conditionalFormatting sqref="C534">
    <cfRule type="cellIs" priority="1583" operator="greaterThan" aboveAverage="0" equalAverage="0" bottom="0" percent="0" rank="0" text="" dxfId="8">
      <formula>0</formula>
    </cfRule>
  </conditionalFormatting>
  <conditionalFormatting sqref="G534">
    <cfRule type="cellIs" priority="1584" operator="greaterThan" aboveAverage="0" equalAverage="0" bottom="0" percent="0" rank="0" text="" dxfId="8">
      <formula>0</formula>
    </cfRule>
  </conditionalFormatting>
  <conditionalFormatting sqref="H534">
    <cfRule type="cellIs" priority="1585" operator="greaterThan" aboveAverage="0" equalAverage="0" bottom="0" percent="0" rank="0" text="" dxfId="8">
      <formula>0</formula>
    </cfRule>
  </conditionalFormatting>
  <conditionalFormatting sqref="C535">
    <cfRule type="cellIs" priority="1586" operator="greaterThan" aboveAverage="0" equalAverage="0" bottom="0" percent="0" rank="0" text="" dxfId="8">
      <formula>0</formula>
    </cfRule>
  </conditionalFormatting>
  <conditionalFormatting sqref="G535">
    <cfRule type="cellIs" priority="1587" operator="greaterThan" aboveAverage="0" equalAverage="0" bottom="0" percent="0" rank="0" text="" dxfId="8">
      <formula>0</formula>
    </cfRule>
  </conditionalFormatting>
  <conditionalFormatting sqref="H535">
    <cfRule type="cellIs" priority="1588" operator="greaterThan" aboveAverage="0" equalAverage="0" bottom="0" percent="0" rank="0" text="" dxfId="8">
      <formula>0</formula>
    </cfRule>
  </conditionalFormatting>
  <conditionalFormatting sqref="C536">
    <cfRule type="cellIs" priority="1589" operator="greaterThan" aboveAverage="0" equalAverage="0" bottom="0" percent="0" rank="0" text="" dxfId="8">
      <formula>0</formula>
    </cfRule>
  </conditionalFormatting>
  <conditionalFormatting sqref="G536">
    <cfRule type="cellIs" priority="1590" operator="greaterThan" aboveAverage="0" equalAverage="0" bottom="0" percent="0" rank="0" text="" dxfId="8">
      <formula>0</formula>
    </cfRule>
  </conditionalFormatting>
  <conditionalFormatting sqref="H536">
    <cfRule type="cellIs" priority="1591" operator="greaterThan" aboveAverage="0" equalAverage="0" bottom="0" percent="0" rank="0" text="" dxfId="8">
      <formula>0</formula>
    </cfRule>
  </conditionalFormatting>
  <conditionalFormatting sqref="C537">
    <cfRule type="cellIs" priority="1592" operator="greaterThan" aboveAverage="0" equalAverage="0" bottom="0" percent="0" rank="0" text="" dxfId="8">
      <formula>0</formula>
    </cfRule>
  </conditionalFormatting>
  <conditionalFormatting sqref="G537">
    <cfRule type="cellIs" priority="1593" operator="greaterThan" aboveAverage="0" equalAverage="0" bottom="0" percent="0" rank="0" text="" dxfId="8">
      <formula>0</formula>
    </cfRule>
  </conditionalFormatting>
  <conditionalFormatting sqref="H537">
    <cfRule type="cellIs" priority="1594" operator="greaterThan" aboveAverage="0" equalAverage="0" bottom="0" percent="0" rank="0" text="" dxfId="8">
      <formula>0</formula>
    </cfRule>
  </conditionalFormatting>
  <conditionalFormatting sqref="C538">
    <cfRule type="cellIs" priority="1595" operator="greaterThan" aboveAverage="0" equalAverage="0" bottom="0" percent="0" rank="0" text="" dxfId="8">
      <formula>0</formula>
    </cfRule>
  </conditionalFormatting>
  <conditionalFormatting sqref="G538">
    <cfRule type="cellIs" priority="1596" operator="greaterThan" aboveAverage="0" equalAverage="0" bottom="0" percent="0" rank="0" text="" dxfId="8">
      <formula>0</formula>
    </cfRule>
  </conditionalFormatting>
  <conditionalFormatting sqref="H538">
    <cfRule type="cellIs" priority="1597" operator="greaterThan" aboveAverage="0" equalAverage="0" bottom="0" percent="0" rank="0" text="" dxfId="8">
      <formula>0</formula>
    </cfRule>
  </conditionalFormatting>
  <conditionalFormatting sqref="C539">
    <cfRule type="cellIs" priority="1598" operator="greaterThan" aboveAverage="0" equalAverage="0" bottom="0" percent="0" rank="0" text="" dxfId="8">
      <formula>0</formula>
    </cfRule>
  </conditionalFormatting>
  <conditionalFormatting sqref="G539">
    <cfRule type="cellIs" priority="1599" operator="greaterThan" aboveAverage="0" equalAverage="0" bottom="0" percent="0" rank="0" text="" dxfId="8">
      <formula>0</formula>
    </cfRule>
  </conditionalFormatting>
  <conditionalFormatting sqref="H539">
    <cfRule type="cellIs" priority="1600" operator="greaterThan" aboveAverage="0" equalAverage="0" bottom="0" percent="0" rank="0" text="" dxfId="8">
      <formula>0</formula>
    </cfRule>
  </conditionalFormatting>
  <conditionalFormatting sqref="C540">
    <cfRule type="cellIs" priority="1601" operator="greaterThan" aboveAverage="0" equalAverage="0" bottom="0" percent="0" rank="0" text="" dxfId="8">
      <formula>0</formula>
    </cfRule>
  </conditionalFormatting>
  <conditionalFormatting sqref="G540">
    <cfRule type="cellIs" priority="1602" operator="greaterThan" aboveAverage="0" equalAverage="0" bottom="0" percent="0" rank="0" text="" dxfId="8">
      <formula>0</formula>
    </cfRule>
  </conditionalFormatting>
  <conditionalFormatting sqref="H540">
    <cfRule type="cellIs" priority="1603" operator="greaterThan" aboveAverage="0" equalAverage="0" bottom="0" percent="0" rank="0" text="" dxfId="8">
      <formula>0</formula>
    </cfRule>
  </conditionalFormatting>
  <conditionalFormatting sqref="C541">
    <cfRule type="cellIs" priority="1604" operator="greaterThan" aboveAverage="0" equalAverage="0" bottom="0" percent="0" rank="0" text="" dxfId="8">
      <formula>0</formula>
    </cfRule>
  </conditionalFormatting>
  <conditionalFormatting sqref="G541">
    <cfRule type="cellIs" priority="1605" operator="greaterThan" aboveAverage="0" equalAverage="0" bottom="0" percent="0" rank="0" text="" dxfId="8">
      <formula>0</formula>
    </cfRule>
  </conditionalFormatting>
  <conditionalFormatting sqref="H541">
    <cfRule type="cellIs" priority="1606" operator="greaterThan" aboveAverage="0" equalAverage="0" bottom="0" percent="0" rank="0" text="" dxfId="8">
      <formula>0</formula>
    </cfRule>
  </conditionalFormatting>
  <conditionalFormatting sqref="C542">
    <cfRule type="cellIs" priority="1607" operator="greaterThan" aboveAverage="0" equalAverage="0" bottom="0" percent="0" rank="0" text="" dxfId="8">
      <formula>0</formula>
    </cfRule>
  </conditionalFormatting>
  <conditionalFormatting sqref="G542">
    <cfRule type="cellIs" priority="1608" operator="greaterThan" aboveAverage="0" equalAverage="0" bottom="0" percent="0" rank="0" text="" dxfId="8">
      <formula>0</formula>
    </cfRule>
  </conditionalFormatting>
  <conditionalFormatting sqref="H542">
    <cfRule type="cellIs" priority="1609" operator="greaterThan" aboveAverage="0" equalAverage="0" bottom="0" percent="0" rank="0" text="" dxfId="8">
      <formula>0</formula>
    </cfRule>
  </conditionalFormatting>
  <conditionalFormatting sqref="C543">
    <cfRule type="cellIs" priority="1610" operator="greaterThan" aboveAverage="0" equalAverage="0" bottom="0" percent="0" rank="0" text="" dxfId="8">
      <formula>0</formula>
    </cfRule>
  </conditionalFormatting>
  <conditionalFormatting sqref="G543">
    <cfRule type="cellIs" priority="1611" operator="greaterThan" aboveAverage="0" equalAverage="0" bottom="0" percent="0" rank="0" text="" dxfId="8">
      <formula>0</formula>
    </cfRule>
  </conditionalFormatting>
  <conditionalFormatting sqref="H543">
    <cfRule type="cellIs" priority="1612" operator="greaterThan" aboveAverage="0" equalAverage="0" bottom="0" percent="0" rank="0" text="" dxfId="8">
      <formula>0</formula>
    </cfRule>
  </conditionalFormatting>
  <conditionalFormatting sqref="C544">
    <cfRule type="cellIs" priority="1613" operator="greaterThan" aboveAverage="0" equalAverage="0" bottom="0" percent="0" rank="0" text="" dxfId="8">
      <formula>0</formula>
    </cfRule>
  </conditionalFormatting>
  <conditionalFormatting sqref="G544">
    <cfRule type="cellIs" priority="1614" operator="greaterThan" aboveAverage="0" equalAverage="0" bottom="0" percent="0" rank="0" text="" dxfId="8">
      <formula>0</formula>
    </cfRule>
  </conditionalFormatting>
  <conditionalFormatting sqref="H544">
    <cfRule type="cellIs" priority="1615" operator="greaterThan" aboveAverage="0" equalAverage="0" bottom="0" percent="0" rank="0" text="" dxfId="8">
      <formula>0</formula>
    </cfRule>
  </conditionalFormatting>
  <conditionalFormatting sqref="C545">
    <cfRule type="cellIs" priority="1616" operator="greaterThan" aboveAverage="0" equalAverage="0" bottom="0" percent="0" rank="0" text="" dxfId="8">
      <formula>0</formula>
    </cfRule>
  </conditionalFormatting>
  <conditionalFormatting sqref="G545">
    <cfRule type="cellIs" priority="1617" operator="greaterThan" aboveAverage="0" equalAverage="0" bottom="0" percent="0" rank="0" text="" dxfId="8">
      <formula>0</formula>
    </cfRule>
  </conditionalFormatting>
  <conditionalFormatting sqref="H545">
    <cfRule type="cellIs" priority="1618" operator="greaterThan" aboveAverage="0" equalAverage="0" bottom="0" percent="0" rank="0" text="" dxfId="8">
      <formula>0</formula>
    </cfRule>
  </conditionalFormatting>
  <conditionalFormatting sqref="C546">
    <cfRule type="cellIs" priority="1619" operator="greaterThan" aboveAverage="0" equalAverage="0" bottom="0" percent="0" rank="0" text="" dxfId="8">
      <formula>0</formula>
    </cfRule>
  </conditionalFormatting>
  <conditionalFormatting sqref="G546">
    <cfRule type="cellIs" priority="1620" operator="greaterThan" aboveAverage="0" equalAverage="0" bottom="0" percent="0" rank="0" text="" dxfId="8">
      <formula>0</formula>
    </cfRule>
  </conditionalFormatting>
  <conditionalFormatting sqref="H546">
    <cfRule type="cellIs" priority="1621" operator="greaterThan" aboveAverage="0" equalAverage="0" bottom="0" percent="0" rank="0" text="" dxfId="8">
      <formula>0</formula>
    </cfRule>
  </conditionalFormatting>
  <conditionalFormatting sqref="C547">
    <cfRule type="cellIs" priority="1622" operator="greaterThan" aboveAverage="0" equalAverage="0" bottom="0" percent="0" rank="0" text="" dxfId="8">
      <formula>0</formula>
    </cfRule>
  </conditionalFormatting>
  <conditionalFormatting sqref="G547">
    <cfRule type="cellIs" priority="1623" operator="greaterThan" aboveAverage="0" equalAverage="0" bottom="0" percent="0" rank="0" text="" dxfId="8">
      <formula>0</formula>
    </cfRule>
  </conditionalFormatting>
  <conditionalFormatting sqref="H547">
    <cfRule type="cellIs" priority="1624" operator="greaterThan" aboveAverage="0" equalAverage="0" bottom="0" percent="0" rank="0" text="" dxfId="8">
      <formula>0</formula>
    </cfRule>
  </conditionalFormatting>
  <conditionalFormatting sqref="C548">
    <cfRule type="cellIs" priority="1625" operator="greaterThan" aboveAverage="0" equalAverage="0" bottom="0" percent="0" rank="0" text="" dxfId="8">
      <formula>0</formula>
    </cfRule>
  </conditionalFormatting>
  <conditionalFormatting sqref="G548">
    <cfRule type="cellIs" priority="1626" operator="greaterThan" aboveAverage="0" equalAverage="0" bottom="0" percent="0" rank="0" text="" dxfId="8">
      <formula>0</formula>
    </cfRule>
  </conditionalFormatting>
  <conditionalFormatting sqref="H548">
    <cfRule type="cellIs" priority="1627" operator="greaterThan" aboveAverage="0" equalAverage="0" bottom="0" percent="0" rank="0" text="" dxfId="8">
      <formula>0</formula>
    </cfRule>
  </conditionalFormatting>
  <conditionalFormatting sqref="C549">
    <cfRule type="cellIs" priority="1628" operator="greaterThan" aboveAverage="0" equalAverage="0" bottom="0" percent="0" rank="0" text="" dxfId="8">
      <formula>0</formula>
    </cfRule>
  </conditionalFormatting>
  <conditionalFormatting sqref="G549">
    <cfRule type="cellIs" priority="1629" operator="greaterThan" aboveAverage="0" equalAverage="0" bottom="0" percent="0" rank="0" text="" dxfId="8">
      <formula>0</formula>
    </cfRule>
  </conditionalFormatting>
  <conditionalFormatting sqref="H549">
    <cfRule type="cellIs" priority="1630" operator="greaterThan" aboveAverage="0" equalAverage="0" bottom="0" percent="0" rank="0" text="" dxfId="8">
      <formula>0</formula>
    </cfRule>
  </conditionalFormatting>
  <conditionalFormatting sqref="C550">
    <cfRule type="cellIs" priority="1631" operator="greaterThan" aboveAverage="0" equalAverage="0" bottom="0" percent="0" rank="0" text="" dxfId="8">
      <formula>0</formula>
    </cfRule>
  </conditionalFormatting>
  <conditionalFormatting sqref="G550">
    <cfRule type="cellIs" priority="1632" operator="greaterThan" aboveAverage="0" equalAverage="0" bottom="0" percent="0" rank="0" text="" dxfId="8">
      <formula>0</formula>
    </cfRule>
  </conditionalFormatting>
  <conditionalFormatting sqref="H550">
    <cfRule type="cellIs" priority="1633" operator="greaterThan" aboveAverage="0" equalAverage="0" bottom="0" percent="0" rank="0" text="" dxfId="8">
      <formula>0</formula>
    </cfRule>
  </conditionalFormatting>
  <conditionalFormatting sqref="C551">
    <cfRule type="cellIs" priority="1634" operator="greaterThan" aboveAverage="0" equalAverage="0" bottom="0" percent="0" rank="0" text="" dxfId="8">
      <formula>0</formula>
    </cfRule>
  </conditionalFormatting>
  <conditionalFormatting sqref="G551">
    <cfRule type="cellIs" priority="1635" operator="greaterThan" aboveAverage="0" equalAverage="0" bottom="0" percent="0" rank="0" text="" dxfId="8">
      <formula>0</formula>
    </cfRule>
  </conditionalFormatting>
  <conditionalFormatting sqref="H551">
    <cfRule type="cellIs" priority="1636" operator="greaterThan" aboveAverage="0" equalAverage="0" bottom="0" percent="0" rank="0" text="" dxfId="8">
      <formula>0</formula>
    </cfRule>
  </conditionalFormatting>
  <conditionalFormatting sqref="C552">
    <cfRule type="cellIs" priority="1637" operator="greaterThan" aboveAverage="0" equalAverage="0" bottom="0" percent="0" rank="0" text="" dxfId="8">
      <formula>0</formula>
    </cfRule>
  </conditionalFormatting>
  <conditionalFormatting sqref="G552">
    <cfRule type="cellIs" priority="1638" operator="greaterThan" aboveAverage="0" equalAverage="0" bottom="0" percent="0" rank="0" text="" dxfId="8">
      <formula>0</formula>
    </cfRule>
  </conditionalFormatting>
  <conditionalFormatting sqref="H552">
    <cfRule type="cellIs" priority="1639" operator="greaterThan" aboveAverage="0" equalAverage="0" bottom="0" percent="0" rank="0" text="" dxfId="8">
      <formula>0</formula>
    </cfRule>
  </conditionalFormatting>
  <conditionalFormatting sqref="C553">
    <cfRule type="cellIs" priority="1640" operator="greaterThan" aboveAverage="0" equalAverage="0" bottom="0" percent="0" rank="0" text="" dxfId="8">
      <formula>0</formula>
    </cfRule>
  </conditionalFormatting>
  <conditionalFormatting sqref="G553">
    <cfRule type="cellIs" priority="1641" operator="greaterThan" aboveAverage="0" equalAverage="0" bottom="0" percent="0" rank="0" text="" dxfId="8">
      <formula>0</formula>
    </cfRule>
  </conditionalFormatting>
  <conditionalFormatting sqref="H553">
    <cfRule type="cellIs" priority="1642" operator="greaterThan" aboveAverage="0" equalAverage="0" bottom="0" percent="0" rank="0" text="" dxfId="8">
      <formula>0</formula>
    </cfRule>
  </conditionalFormatting>
  <conditionalFormatting sqref="C554">
    <cfRule type="cellIs" priority="1643" operator="greaterThan" aboveAverage="0" equalAverage="0" bottom="0" percent="0" rank="0" text="" dxfId="8">
      <formula>0</formula>
    </cfRule>
  </conditionalFormatting>
  <conditionalFormatting sqref="G554">
    <cfRule type="cellIs" priority="1644" operator="greaterThan" aboveAverage="0" equalAverage="0" bottom="0" percent="0" rank="0" text="" dxfId="8">
      <formula>0</formula>
    </cfRule>
  </conditionalFormatting>
  <conditionalFormatting sqref="H554">
    <cfRule type="cellIs" priority="1645" operator="greaterThan" aboveAverage="0" equalAverage="0" bottom="0" percent="0" rank="0" text="" dxfId="8">
      <formula>0</formula>
    </cfRule>
  </conditionalFormatting>
  <conditionalFormatting sqref="C555">
    <cfRule type="cellIs" priority="1646" operator="greaterThan" aboveAverage="0" equalAverage="0" bottom="0" percent="0" rank="0" text="" dxfId="8">
      <formula>0</formula>
    </cfRule>
  </conditionalFormatting>
  <conditionalFormatting sqref="G555">
    <cfRule type="cellIs" priority="1647" operator="greaterThan" aboveAverage="0" equalAverage="0" bottom="0" percent="0" rank="0" text="" dxfId="8">
      <formula>0</formula>
    </cfRule>
  </conditionalFormatting>
  <conditionalFormatting sqref="H555">
    <cfRule type="cellIs" priority="1648" operator="greaterThan" aboveAverage="0" equalAverage="0" bottom="0" percent="0" rank="0" text="" dxfId="8">
      <formula>0</formula>
    </cfRule>
  </conditionalFormatting>
  <conditionalFormatting sqref="C556">
    <cfRule type="cellIs" priority="1649" operator="greaterThan" aboveAverage="0" equalAverage="0" bottom="0" percent="0" rank="0" text="" dxfId="8">
      <formula>0</formula>
    </cfRule>
  </conditionalFormatting>
  <conditionalFormatting sqref="G556">
    <cfRule type="cellIs" priority="1650" operator="greaterThan" aboveAverage="0" equalAverage="0" bottom="0" percent="0" rank="0" text="" dxfId="8">
      <formula>0</formula>
    </cfRule>
  </conditionalFormatting>
  <conditionalFormatting sqref="H556">
    <cfRule type="cellIs" priority="1651" operator="greaterThan" aboveAverage="0" equalAverage="0" bottom="0" percent="0" rank="0" text="" dxfId="8">
      <formula>0</formula>
    </cfRule>
  </conditionalFormatting>
  <conditionalFormatting sqref="C557">
    <cfRule type="cellIs" priority="1652" operator="greaterThan" aboveAverage="0" equalAverage="0" bottom="0" percent="0" rank="0" text="" dxfId="8">
      <formula>0</formula>
    </cfRule>
  </conditionalFormatting>
  <conditionalFormatting sqref="G557">
    <cfRule type="cellIs" priority="1653" operator="greaterThan" aboveAverage="0" equalAverage="0" bottom="0" percent="0" rank="0" text="" dxfId="8">
      <formula>0</formula>
    </cfRule>
  </conditionalFormatting>
  <conditionalFormatting sqref="H557">
    <cfRule type="cellIs" priority="1654" operator="greaterThan" aboveAverage="0" equalAverage="0" bottom="0" percent="0" rank="0" text="" dxfId="8">
      <formula>0</formula>
    </cfRule>
  </conditionalFormatting>
  <conditionalFormatting sqref="C558">
    <cfRule type="cellIs" priority="1655" operator="greaterThan" aboveAverage="0" equalAverage="0" bottom="0" percent="0" rank="0" text="" dxfId="8">
      <formula>0</formula>
    </cfRule>
  </conditionalFormatting>
  <conditionalFormatting sqref="G558">
    <cfRule type="cellIs" priority="1656" operator="greaterThan" aboveAverage="0" equalAverage="0" bottom="0" percent="0" rank="0" text="" dxfId="8">
      <formula>0</formula>
    </cfRule>
  </conditionalFormatting>
  <conditionalFormatting sqref="H558">
    <cfRule type="cellIs" priority="1657" operator="greaterThan" aboveAverage="0" equalAverage="0" bottom="0" percent="0" rank="0" text="" dxfId="8">
      <formula>0</formula>
    </cfRule>
  </conditionalFormatting>
  <conditionalFormatting sqref="C559">
    <cfRule type="cellIs" priority="1658" operator="greaterThan" aboveAverage="0" equalAverage="0" bottom="0" percent="0" rank="0" text="" dxfId="8">
      <formula>0</formula>
    </cfRule>
  </conditionalFormatting>
  <conditionalFormatting sqref="G559">
    <cfRule type="cellIs" priority="1659" operator="greaterThan" aboveAverage="0" equalAverage="0" bottom="0" percent="0" rank="0" text="" dxfId="8">
      <formula>0</formula>
    </cfRule>
  </conditionalFormatting>
  <conditionalFormatting sqref="H559">
    <cfRule type="cellIs" priority="1660" operator="greaterThan" aboveAverage="0" equalAverage="0" bottom="0" percent="0" rank="0" text="" dxfId="8">
      <formula>0</formula>
    </cfRule>
  </conditionalFormatting>
  <conditionalFormatting sqref="C560">
    <cfRule type="cellIs" priority="1661" operator="greaterThan" aboveAverage="0" equalAverage="0" bottom="0" percent="0" rank="0" text="" dxfId="8">
      <formula>0</formula>
    </cfRule>
  </conditionalFormatting>
  <conditionalFormatting sqref="G560">
    <cfRule type="cellIs" priority="1662" operator="greaterThan" aboveAverage="0" equalAverage="0" bottom="0" percent="0" rank="0" text="" dxfId="8">
      <formula>0</formula>
    </cfRule>
  </conditionalFormatting>
  <conditionalFormatting sqref="H560">
    <cfRule type="cellIs" priority="1663" operator="greaterThan" aboveAverage="0" equalAverage="0" bottom="0" percent="0" rank="0" text="" dxfId="8">
      <formula>0</formula>
    </cfRule>
  </conditionalFormatting>
  <conditionalFormatting sqref="C561">
    <cfRule type="cellIs" priority="1664" operator="greaterThan" aboveAverage="0" equalAverage="0" bottom="0" percent="0" rank="0" text="" dxfId="8">
      <formula>0</formula>
    </cfRule>
  </conditionalFormatting>
  <conditionalFormatting sqref="G561">
    <cfRule type="cellIs" priority="1665" operator="greaterThan" aboveAverage="0" equalAverage="0" bottom="0" percent="0" rank="0" text="" dxfId="8">
      <formula>0</formula>
    </cfRule>
  </conditionalFormatting>
  <conditionalFormatting sqref="H561">
    <cfRule type="cellIs" priority="1666" operator="greaterThan" aboveAverage="0" equalAverage="0" bottom="0" percent="0" rank="0" text="" dxfId="8">
      <formula>0</formula>
    </cfRule>
  </conditionalFormatting>
  <conditionalFormatting sqref="C562">
    <cfRule type="cellIs" priority="1667" operator="greaterThan" aboveAverage="0" equalAverage="0" bottom="0" percent="0" rank="0" text="" dxfId="8">
      <formula>0</formula>
    </cfRule>
  </conditionalFormatting>
  <conditionalFormatting sqref="G562">
    <cfRule type="cellIs" priority="1668" operator="greaterThan" aboveAverage="0" equalAverage="0" bottom="0" percent="0" rank="0" text="" dxfId="8">
      <formula>0</formula>
    </cfRule>
  </conditionalFormatting>
  <conditionalFormatting sqref="H562">
    <cfRule type="cellIs" priority="1669" operator="greaterThan" aboveAverage="0" equalAverage="0" bottom="0" percent="0" rank="0" text="" dxfId="8">
      <formula>0</formula>
    </cfRule>
  </conditionalFormatting>
  <conditionalFormatting sqref="C563">
    <cfRule type="cellIs" priority="1670" operator="greaterThan" aboveAverage="0" equalAverage="0" bottom="0" percent="0" rank="0" text="" dxfId="8">
      <formula>0</formula>
    </cfRule>
  </conditionalFormatting>
  <conditionalFormatting sqref="G563">
    <cfRule type="cellIs" priority="1671" operator="greaterThan" aboveAverage="0" equalAverage="0" bottom="0" percent="0" rank="0" text="" dxfId="8">
      <formula>0</formula>
    </cfRule>
  </conditionalFormatting>
  <conditionalFormatting sqref="H563">
    <cfRule type="cellIs" priority="1672" operator="greaterThan" aboveAverage="0" equalAverage="0" bottom="0" percent="0" rank="0" text="" dxfId="8">
      <formula>0</formula>
    </cfRule>
  </conditionalFormatting>
  <conditionalFormatting sqref="C564">
    <cfRule type="cellIs" priority="1673" operator="greaterThan" aboveAverage="0" equalAverage="0" bottom="0" percent="0" rank="0" text="" dxfId="8">
      <formula>0</formula>
    </cfRule>
  </conditionalFormatting>
  <conditionalFormatting sqref="G564">
    <cfRule type="cellIs" priority="1674" operator="greaterThan" aboveAverage="0" equalAverage="0" bottom="0" percent="0" rank="0" text="" dxfId="8">
      <formula>0</formula>
    </cfRule>
  </conditionalFormatting>
  <conditionalFormatting sqref="H564">
    <cfRule type="cellIs" priority="1675" operator="greaterThan" aboveAverage="0" equalAverage="0" bottom="0" percent="0" rank="0" text="" dxfId="8">
      <formula>0</formula>
    </cfRule>
  </conditionalFormatting>
  <conditionalFormatting sqref="C565">
    <cfRule type="cellIs" priority="1676" operator="greaterThan" aboveAverage="0" equalAverage="0" bottom="0" percent="0" rank="0" text="" dxfId="8">
      <formula>0</formula>
    </cfRule>
  </conditionalFormatting>
  <conditionalFormatting sqref="G565">
    <cfRule type="cellIs" priority="1677" operator="greaterThan" aboveAverage="0" equalAverage="0" bottom="0" percent="0" rank="0" text="" dxfId="8">
      <formula>0</formula>
    </cfRule>
  </conditionalFormatting>
  <conditionalFormatting sqref="H565">
    <cfRule type="cellIs" priority="1678" operator="greaterThan" aboveAverage="0" equalAverage="0" bottom="0" percent="0" rank="0" text="" dxfId="8">
      <formula>0</formula>
    </cfRule>
  </conditionalFormatting>
  <conditionalFormatting sqref="C566">
    <cfRule type="cellIs" priority="1679" operator="greaterThan" aboveAverage="0" equalAverage="0" bottom="0" percent="0" rank="0" text="" dxfId="8">
      <formula>0</formula>
    </cfRule>
  </conditionalFormatting>
  <conditionalFormatting sqref="G566">
    <cfRule type="cellIs" priority="1680" operator="greaterThan" aboveAverage="0" equalAverage="0" bottom="0" percent="0" rank="0" text="" dxfId="8">
      <formula>0</formula>
    </cfRule>
  </conditionalFormatting>
  <conditionalFormatting sqref="H566">
    <cfRule type="cellIs" priority="1681" operator="greaterThan" aboveAverage="0" equalAverage="0" bottom="0" percent="0" rank="0" text="" dxfId="8">
      <formula>0</formula>
    </cfRule>
  </conditionalFormatting>
  <conditionalFormatting sqref="C567">
    <cfRule type="cellIs" priority="1682" operator="greaterThan" aboveAverage="0" equalAverage="0" bottom="0" percent="0" rank="0" text="" dxfId="8">
      <formula>0</formula>
    </cfRule>
  </conditionalFormatting>
  <conditionalFormatting sqref="G567">
    <cfRule type="cellIs" priority="1683" operator="greaterThan" aboveAverage="0" equalAverage="0" bottom="0" percent="0" rank="0" text="" dxfId="8">
      <formula>0</formula>
    </cfRule>
  </conditionalFormatting>
  <conditionalFormatting sqref="H567">
    <cfRule type="cellIs" priority="1684" operator="greaterThan" aboveAverage="0" equalAverage="0" bottom="0" percent="0" rank="0" text="" dxfId="8">
      <formula>0</formula>
    </cfRule>
  </conditionalFormatting>
  <conditionalFormatting sqref="C568">
    <cfRule type="cellIs" priority="1685" operator="greaterThan" aboveAverage="0" equalAverage="0" bottom="0" percent="0" rank="0" text="" dxfId="8">
      <formula>0</formula>
    </cfRule>
  </conditionalFormatting>
  <conditionalFormatting sqref="G568">
    <cfRule type="cellIs" priority="1686" operator="greaterThan" aboveAverage="0" equalAverage="0" bottom="0" percent="0" rank="0" text="" dxfId="8">
      <formula>0</formula>
    </cfRule>
  </conditionalFormatting>
  <conditionalFormatting sqref="H568">
    <cfRule type="cellIs" priority="1687" operator="greaterThan" aboveAverage="0" equalAverage="0" bottom="0" percent="0" rank="0" text="" dxfId="8">
      <formula>0</formula>
    </cfRule>
  </conditionalFormatting>
  <conditionalFormatting sqref="C569">
    <cfRule type="cellIs" priority="1688" operator="greaterThan" aboveAverage="0" equalAverage="0" bottom="0" percent="0" rank="0" text="" dxfId="8">
      <formula>0</formula>
    </cfRule>
  </conditionalFormatting>
  <conditionalFormatting sqref="G569">
    <cfRule type="cellIs" priority="1689" operator="greaterThan" aboveAverage="0" equalAverage="0" bottom="0" percent="0" rank="0" text="" dxfId="8">
      <formula>0</formula>
    </cfRule>
  </conditionalFormatting>
  <conditionalFormatting sqref="H569">
    <cfRule type="cellIs" priority="1690" operator="greaterThan" aboveAverage="0" equalAverage="0" bottom="0" percent="0" rank="0" text="" dxfId="8">
      <formula>0</formula>
    </cfRule>
  </conditionalFormatting>
  <conditionalFormatting sqref="C570">
    <cfRule type="cellIs" priority="1691" operator="greaterThan" aboveAverage="0" equalAverage="0" bottom="0" percent="0" rank="0" text="" dxfId="8">
      <formula>0</formula>
    </cfRule>
  </conditionalFormatting>
  <conditionalFormatting sqref="G570">
    <cfRule type="cellIs" priority="1692" operator="greaterThan" aboveAverage="0" equalAverage="0" bottom="0" percent="0" rank="0" text="" dxfId="8">
      <formula>0</formula>
    </cfRule>
  </conditionalFormatting>
  <conditionalFormatting sqref="H570">
    <cfRule type="cellIs" priority="1693" operator="greaterThan" aboveAverage="0" equalAverage="0" bottom="0" percent="0" rank="0" text="" dxfId="8">
      <formula>0</formula>
    </cfRule>
  </conditionalFormatting>
  <conditionalFormatting sqref="C571">
    <cfRule type="cellIs" priority="1694" operator="greaterThan" aboveAverage="0" equalAverage="0" bottom="0" percent="0" rank="0" text="" dxfId="8">
      <formula>0</formula>
    </cfRule>
  </conditionalFormatting>
  <conditionalFormatting sqref="G571">
    <cfRule type="cellIs" priority="1695" operator="greaterThan" aboveAverage="0" equalAverage="0" bottom="0" percent="0" rank="0" text="" dxfId="8">
      <formula>0</formula>
    </cfRule>
  </conditionalFormatting>
  <conditionalFormatting sqref="H571">
    <cfRule type="cellIs" priority="1696" operator="greaterThan" aboveAverage="0" equalAverage="0" bottom="0" percent="0" rank="0" text="" dxfId="8">
      <formula>0</formula>
    </cfRule>
  </conditionalFormatting>
  <conditionalFormatting sqref="C572">
    <cfRule type="cellIs" priority="1697" operator="greaterThan" aboveAverage="0" equalAverage="0" bottom="0" percent="0" rank="0" text="" dxfId="8">
      <formula>0</formula>
    </cfRule>
  </conditionalFormatting>
  <conditionalFormatting sqref="G572">
    <cfRule type="cellIs" priority="1698" operator="greaterThan" aboveAverage="0" equalAverage="0" bottom="0" percent="0" rank="0" text="" dxfId="8">
      <formula>0</formula>
    </cfRule>
  </conditionalFormatting>
  <conditionalFormatting sqref="H572">
    <cfRule type="cellIs" priority="1699" operator="greaterThan" aboveAverage="0" equalAverage="0" bottom="0" percent="0" rank="0" text="" dxfId="8">
      <formula>0</formula>
    </cfRule>
  </conditionalFormatting>
  <conditionalFormatting sqref="C573">
    <cfRule type="cellIs" priority="1700" operator="greaterThan" aboveAverage="0" equalAverage="0" bottom="0" percent="0" rank="0" text="" dxfId="8">
      <formula>0</formula>
    </cfRule>
  </conditionalFormatting>
  <conditionalFormatting sqref="G573">
    <cfRule type="cellIs" priority="1701" operator="greaterThan" aboveAverage="0" equalAverage="0" bottom="0" percent="0" rank="0" text="" dxfId="8">
      <formula>0</formula>
    </cfRule>
  </conditionalFormatting>
  <conditionalFormatting sqref="H573">
    <cfRule type="cellIs" priority="1702" operator="greaterThan" aboveAverage="0" equalAverage="0" bottom="0" percent="0" rank="0" text="" dxfId="8">
      <formula>0</formula>
    </cfRule>
  </conditionalFormatting>
  <conditionalFormatting sqref="C574">
    <cfRule type="cellIs" priority="1703" operator="greaterThan" aboveAverage="0" equalAverage="0" bottom="0" percent="0" rank="0" text="" dxfId="8">
      <formula>0</formula>
    </cfRule>
  </conditionalFormatting>
  <conditionalFormatting sqref="G574">
    <cfRule type="cellIs" priority="1704" operator="greaterThan" aboveAverage="0" equalAverage="0" bottom="0" percent="0" rank="0" text="" dxfId="8">
      <formula>0</formula>
    </cfRule>
  </conditionalFormatting>
  <conditionalFormatting sqref="H574">
    <cfRule type="cellIs" priority="1705" operator="greaterThan" aboveAverage="0" equalAverage="0" bottom="0" percent="0" rank="0" text="" dxfId="8">
      <formula>0</formula>
    </cfRule>
  </conditionalFormatting>
  <conditionalFormatting sqref="C575">
    <cfRule type="cellIs" priority="1706" operator="greaterThan" aboveAverage="0" equalAverage="0" bottom="0" percent="0" rank="0" text="" dxfId="8">
      <formula>0</formula>
    </cfRule>
  </conditionalFormatting>
  <conditionalFormatting sqref="G575">
    <cfRule type="cellIs" priority="1707" operator="greaterThan" aboveAverage="0" equalAverage="0" bottom="0" percent="0" rank="0" text="" dxfId="8">
      <formula>0</formula>
    </cfRule>
  </conditionalFormatting>
  <conditionalFormatting sqref="H575">
    <cfRule type="cellIs" priority="1708" operator="greaterThan" aboveAverage="0" equalAverage="0" bottom="0" percent="0" rank="0" text="" dxfId="8">
      <formula>0</formula>
    </cfRule>
  </conditionalFormatting>
  <conditionalFormatting sqref="C576">
    <cfRule type="cellIs" priority="1709" operator="greaterThan" aboveAverage="0" equalAverage="0" bottom="0" percent="0" rank="0" text="" dxfId="8">
      <formula>0</formula>
    </cfRule>
  </conditionalFormatting>
  <conditionalFormatting sqref="G576">
    <cfRule type="cellIs" priority="1710" operator="greaterThan" aboveAverage="0" equalAverage="0" bottom="0" percent="0" rank="0" text="" dxfId="8">
      <formula>0</formula>
    </cfRule>
  </conditionalFormatting>
  <conditionalFormatting sqref="H576">
    <cfRule type="cellIs" priority="1711" operator="greaterThan" aboveAverage="0" equalAverage="0" bottom="0" percent="0" rank="0" text="" dxfId="8">
      <formula>0</formula>
    </cfRule>
  </conditionalFormatting>
  <conditionalFormatting sqref="C577">
    <cfRule type="cellIs" priority="1712" operator="greaterThan" aboveAverage="0" equalAverage="0" bottom="0" percent="0" rank="0" text="" dxfId="8">
      <formula>0</formula>
    </cfRule>
  </conditionalFormatting>
  <conditionalFormatting sqref="G577">
    <cfRule type="cellIs" priority="1713" operator="greaterThan" aboveAverage="0" equalAverage="0" bottom="0" percent="0" rank="0" text="" dxfId="8">
      <formula>0</formula>
    </cfRule>
  </conditionalFormatting>
  <conditionalFormatting sqref="H577">
    <cfRule type="cellIs" priority="1714" operator="greaterThan" aboveAverage="0" equalAverage="0" bottom="0" percent="0" rank="0" text="" dxfId="8">
      <formula>0</formula>
    </cfRule>
  </conditionalFormatting>
  <conditionalFormatting sqref="C578">
    <cfRule type="cellIs" priority="1715" operator="greaterThan" aboveAverage="0" equalAverage="0" bottom="0" percent="0" rank="0" text="" dxfId="8">
      <formula>0</formula>
    </cfRule>
  </conditionalFormatting>
  <conditionalFormatting sqref="G578">
    <cfRule type="cellIs" priority="1716" operator="greaterThan" aboveAverage="0" equalAverage="0" bottom="0" percent="0" rank="0" text="" dxfId="8">
      <formula>0</formula>
    </cfRule>
  </conditionalFormatting>
  <conditionalFormatting sqref="H578">
    <cfRule type="cellIs" priority="1717" operator="greaterThan" aboveAverage="0" equalAverage="0" bottom="0" percent="0" rank="0" text="" dxfId="8">
      <formula>0</formula>
    </cfRule>
  </conditionalFormatting>
  <conditionalFormatting sqref="C579">
    <cfRule type="cellIs" priority="1718" operator="greaterThan" aboveAverage="0" equalAverage="0" bottom="0" percent="0" rank="0" text="" dxfId="8">
      <formula>0</formula>
    </cfRule>
  </conditionalFormatting>
  <conditionalFormatting sqref="G579">
    <cfRule type="cellIs" priority="1719" operator="greaterThan" aboveAverage="0" equalAverage="0" bottom="0" percent="0" rank="0" text="" dxfId="8">
      <formula>0</formula>
    </cfRule>
  </conditionalFormatting>
  <conditionalFormatting sqref="H579">
    <cfRule type="cellIs" priority="1720" operator="greaterThan" aboveAverage="0" equalAverage="0" bottom="0" percent="0" rank="0" text="" dxfId="8">
      <formula>0</formula>
    </cfRule>
  </conditionalFormatting>
  <conditionalFormatting sqref="C580">
    <cfRule type="cellIs" priority="1721" operator="greaterThan" aboveAverage="0" equalAverage="0" bottom="0" percent="0" rank="0" text="" dxfId="8">
      <formula>0</formula>
    </cfRule>
  </conditionalFormatting>
  <conditionalFormatting sqref="G580">
    <cfRule type="cellIs" priority="1722" operator="greaterThan" aboveAverage="0" equalAverage="0" bottom="0" percent="0" rank="0" text="" dxfId="8">
      <formula>0</formula>
    </cfRule>
  </conditionalFormatting>
  <conditionalFormatting sqref="H580">
    <cfRule type="cellIs" priority="1723" operator="greaterThan" aboveAverage="0" equalAverage="0" bottom="0" percent="0" rank="0" text="" dxfId="8">
      <formula>0</formula>
    </cfRule>
  </conditionalFormatting>
  <conditionalFormatting sqref="C581">
    <cfRule type="cellIs" priority="1724" operator="greaterThan" aboveAverage="0" equalAverage="0" bottom="0" percent="0" rank="0" text="" dxfId="8">
      <formula>0</formula>
    </cfRule>
  </conditionalFormatting>
  <conditionalFormatting sqref="G581">
    <cfRule type="cellIs" priority="1725" operator="greaterThan" aboveAverage="0" equalAverage="0" bottom="0" percent="0" rank="0" text="" dxfId="8">
      <formula>0</formula>
    </cfRule>
  </conditionalFormatting>
  <conditionalFormatting sqref="H581">
    <cfRule type="cellIs" priority="1726" operator="greaterThan" aboveAverage="0" equalAverage="0" bottom="0" percent="0" rank="0" text="" dxfId="8">
      <formula>0</formula>
    </cfRule>
  </conditionalFormatting>
  <conditionalFormatting sqref="C582">
    <cfRule type="cellIs" priority="1727" operator="greaterThan" aboveAverage="0" equalAverage="0" bottom="0" percent="0" rank="0" text="" dxfId="8">
      <formula>0</formula>
    </cfRule>
  </conditionalFormatting>
  <conditionalFormatting sqref="G582">
    <cfRule type="cellIs" priority="1728" operator="greaterThan" aboveAverage="0" equalAverage="0" bottom="0" percent="0" rank="0" text="" dxfId="8">
      <formula>0</formula>
    </cfRule>
  </conditionalFormatting>
  <conditionalFormatting sqref="H582">
    <cfRule type="cellIs" priority="1729" operator="greaterThan" aboveAverage="0" equalAverage="0" bottom="0" percent="0" rank="0" text="" dxfId="8">
      <formula>0</formula>
    </cfRule>
  </conditionalFormatting>
  <conditionalFormatting sqref="C583">
    <cfRule type="cellIs" priority="1730" operator="greaterThan" aboveAverage="0" equalAverage="0" bottom="0" percent="0" rank="0" text="" dxfId="8">
      <formula>0</formula>
    </cfRule>
  </conditionalFormatting>
  <conditionalFormatting sqref="G583">
    <cfRule type="cellIs" priority="1731" operator="greaterThan" aboveAverage="0" equalAverage="0" bottom="0" percent="0" rank="0" text="" dxfId="8">
      <formula>0</formula>
    </cfRule>
  </conditionalFormatting>
  <conditionalFormatting sqref="H583">
    <cfRule type="cellIs" priority="1732" operator="greaterThan" aboveAverage="0" equalAverage="0" bottom="0" percent="0" rank="0" text="" dxfId="8">
      <formula>0</formula>
    </cfRule>
  </conditionalFormatting>
  <conditionalFormatting sqref="C584">
    <cfRule type="cellIs" priority="1733" operator="greaterThan" aboveAverage="0" equalAverage="0" bottom="0" percent="0" rank="0" text="" dxfId="8">
      <formula>0</formula>
    </cfRule>
  </conditionalFormatting>
  <conditionalFormatting sqref="G584">
    <cfRule type="cellIs" priority="1734" operator="greaterThan" aboveAverage="0" equalAverage="0" bottom="0" percent="0" rank="0" text="" dxfId="8">
      <formula>0</formula>
    </cfRule>
  </conditionalFormatting>
  <conditionalFormatting sqref="H584">
    <cfRule type="cellIs" priority="1735" operator="greaterThan" aboveAverage="0" equalAverage="0" bottom="0" percent="0" rank="0" text="" dxfId="8">
      <formula>0</formula>
    </cfRule>
  </conditionalFormatting>
  <conditionalFormatting sqref="C585">
    <cfRule type="cellIs" priority="1736" operator="greaterThan" aboveAverage="0" equalAverage="0" bottom="0" percent="0" rank="0" text="" dxfId="8">
      <formula>0</formula>
    </cfRule>
  </conditionalFormatting>
  <conditionalFormatting sqref="G585">
    <cfRule type="cellIs" priority="1737" operator="greaterThan" aboveAverage="0" equalAverage="0" bottom="0" percent="0" rank="0" text="" dxfId="8">
      <formula>0</formula>
    </cfRule>
  </conditionalFormatting>
  <conditionalFormatting sqref="H585">
    <cfRule type="cellIs" priority="1738" operator="greaterThan" aboveAverage="0" equalAverage="0" bottom="0" percent="0" rank="0" text="" dxfId="8">
      <formula>0</formula>
    </cfRule>
  </conditionalFormatting>
  <conditionalFormatting sqref="C586">
    <cfRule type="cellIs" priority="1739" operator="greaterThan" aboveAverage="0" equalAverage="0" bottom="0" percent="0" rank="0" text="" dxfId="8">
      <formula>0</formula>
    </cfRule>
  </conditionalFormatting>
  <conditionalFormatting sqref="G586">
    <cfRule type="cellIs" priority="1740" operator="greaterThan" aboveAverage="0" equalAverage="0" bottom="0" percent="0" rank="0" text="" dxfId="8">
      <formula>0</formula>
    </cfRule>
  </conditionalFormatting>
  <conditionalFormatting sqref="H586">
    <cfRule type="cellIs" priority="1741" operator="greaterThan" aboveAverage="0" equalAverage="0" bottom="0" percent="0" rank="0" text="" dxfId="8">
      <formula>0</formula>
    </cfRule>
  </conditionalFormatting>
  <conditionalFormatting sqref="C587">
    <cfRule type="cellIs" priority="1742" operator="greaterThan" aboveAverage="0" equalAverage="0" bottom="0" percent="0" rank="0" text="" dxfId="8">
      <formula>0</formula>
    </cfRule>
  </conditionalFormatting>
  <conditionalFormatting sqref="G587">
    <cfRule type="cellIs" priority="1743" operator="greaterThan" aboveAverage="0" equalAverage="0" bottom="0" percent="0" rank="0" text="" dxfId="8">
      <formula>0</formula>
    </cfRule>
  </conditionalFormatting>
  <conditionalFormatting sqref="H587">
    <cfRule type="cellIs" priority="1744" operator="greaterThan" aboveAverage="0" equalAverage="0" bottom="0" percent="0" rank="0" text="" dxfId="8">
      <formula>0</formula>
    </cfRule>
  </conditionalFormatting>
  <conditionalFormatting sqref="C588">
    <cfRule type="cellIs" priority="1745" operator="greaterThan" aboveAverage="0" equalAverage="0" bottom="0" percent="0" rank="0" text="" dxfId="8">
      <formula>0</formula>
    </cfRule>
  </conditionalFormatting>
  <conditionalFormatting sqref="G588">
    <cfRule type="cellIs" priority="1746" operator="greaterThan" aboveAverage="0" equalAverage="0" bottom="0" percent="0" rank="0" text="" dxfId="8">
      <formula>0</formula>
    </cfRule>
  </conditionalFormatting>
  <conditionalFormatting sqref="H588">
    <cfRule type="cellIs" priority="1747" operator="greaterThan" aboveAverage="0" equalAverage="0" bottom="0" percent="0" rank="0" text="" dxfId="8">
      <formula>0</formula>
    </cfRule>
  </conditionalFormatting>
  <conditionalFormatting sqref="C589">
    <cfRule type="cellIs" priority="1748" operator="greaterThan" aboveAverage="0" equalAverage="0" bottom="0" percent="0" rank="0" text="" dxfId="8">
      <formula>0</formula>
    </cfRule>
  </conditionalFormatting>
  <conditionalFormatting sqref="G589">
    <cfRule type="cellIs" priority="1749" operator="greaterThan" aboveAverage="0" equalAverage="0" bottom="0" percent="0" rank="0" text="" dxfId="8">
      <formula>0</formula>
    </cfRule>
  </conditionalFormatting>
  <conditionalFormatting sqref="H589">
    <cfRule type="cellIs" priority="1750" operator="greaterThan" aboveAverage="0" equalAverage="0" bottom="0" percent="0" rank="0" text="" dxfId="8">
      <formula>0</formula>
    </cfRule>
  </conditionalFormatting>
  <conditionalFormatting sqref="C590">
    <cfRule type="cellIs" priority="1751" operator="greaterThan" aboveAverage="0" equalAverage="0" bottom="0" percent="0" rank="0" text="" dxfId="8">
      <formula>0</formula>
    </cfRule>
  </conditionalFormatting>
  <conditionalFormatting sqref="G590">
    <cfRule type="cellIs" priority="1752" operator="greaterThan" aboveAverage="0" equalAverage="0" bottom="0" percent="0" rank="0" text="" dxfId="8">
      <formula>0</formula>
    </cfRule>
  </conditionalFormatting>
  <conditionalFormatting sqref="H590">
    <cfRule type="cellIs" priority="1753" operator="greaterThan" aboveAverage="0" equalAverage="0" bottom="0" percent="0" rank="0" text="" dxfId="8">
      <formula>0</formula>
    </cfRule>
  </conditionalFormatting>
  <conditionalFormatting sqref="C591">
    <cfRule type="cellIs" priority="1754" operator="greaterThan" aboveAverage="0" equalAverage="0" bottom="0" percent="0" rank="0" text="" dxfId="8">
      <formula>0</formula>
    </cfRule>
  </conditionalFormatting>
  <conditionalFormatting sqref="G591">
    <cfRule type="cellIs" priority="1755" operator="greaterThan" aboveAverage="0" equalAverage="0" bottom="0" percent="0" rank="0" text="" dxfId="8">
      <formula>0</formula>
    </cfRule>
  </conditionalFormatting>
  <conditionalFormatting sqref="H591">
    <cfRule type="cellIs" priority="1756" operator="greaterThan" aboveAverage="0" equalAverage="0" bottom="0" percent="0" rank="0" text="" dxfId="8">
      <formula>0</formula>
    </cfRule>
  </conditionalFormatting>
  <conditionalFormatting sqref="C592">
    <cfRule type="cellIs" priority="1757" operator="greaterThan" aboveAverage="0" equalAverage="0" bottom="0" percent="0" rank="0" text="" dxfId="8">
      <formula>0</formula>
    </cfRule>
  </conditionalFormatting>
  <conditionalFormatting sqref="G592">
    <cfRule type="cellIs" priority="1758" operator="greaterThan" aboveAverage="0" equalAverage="0" bottom="0" percent="0" rank="0" text="" dxfId="8">
      <formula>0</formula>
    </cfRule>
  </conditionalFormatting>
  <conditionalFormatting sqref="H592">
    <cfRule type="cellIs" priority="1759" operator="greaterThan" aboveAverage="0" equalAverage="0" bottom="0" percent="0" rank="0" text="" dxfId="8">
      <formula>0</formula>
    </cfRule>
  </conditionalFormatting>
  <conditionalFormatting sqref="C593">
    <cfRule type="cellIs" priority="1760" operator="greaterThan" aboveAverage="0" equalAverage="0" bottom="0" percent="0" rank="0" text="" dxfId="8">
      <formula>0</formula>
    </cfRule>
  </conditionalFormatting>
  <conditionalFormatting sqref="G593">
    <cfRule type="cellIs" priority="1761" operator="greaterThan" aboveAverage="0" equalAverage="0" bottom="0" percent="0" rank="0" text="" dxfId="8">
      <formula>0</formula>
    </cfRule>
  </conditionalFormatting>
  <conditionalFormatting sqref="H593">
    <cfRule type="cellIs" priority="1762" operator="greaterThan" aboveAverage="0" equalAverage="0" bottom="0" percent="0" rank="0" text="" dxfId="8">
      <formula>0</formula>
    </cfRule>
  </conditionalFormatting>
  <conditionalFormatting sqref="C594">
    <cfRule type="cellIs" priority="1763" operator="greaterThan" aboveAverage="0" equalAverage="0" bottom="0" percent="0" rank="0" text="" dxfId="8">
      <formula>0</formula>
    </cfRule>
  </conditionalFormatting>
  <conditionalFormatting sqref="G594">
    <cfRule type="cellIs" priority="1764" operator="greaterThan" aboveAverage="0" equalAverage="0" bottom="0" percent="0" rank="0" text="" dxfId="8">
      <formula>0</formula>
    </cfRule>
  </conditionalFormatting>
  <conditionalFormatting sqref="H594">
    <cfRule type="cellIs" priority="1765" operator="greaterThan" aboveAverage="0" equalAverage="0" bottom="0" percent="0" rank="0" text="" dxfId="8">
      <formula>0</formula>
    </cfRule>
  </conditionalFormatting>
  <conditionalFormatting sqref="C595">
    <cfRule type="cellIs" priority="1766" operator="greaterThan" aboveAverage="0" equalAverage="0" bottom="0" percent="0" rank="0" text="" dxfId="8">
      <formula>0</formula>
    </cfRule>
  </conditionalFormatting>
  <conditionalFormatting sqref="G595">
    <cfRule type="cellIs" priority="1767" operator="greaterThan" aboveAverage="0" equalAverage="0" bottom="0" percent="0" rank="0" text="" dxfId="8">
      <formula>0</formula>
    </cfRule>
  </conditionalFormatting>
  <conditionalFormatting sqref="H595">
    <cfRule type="cellIs" priority="1768" operator="greaterThan" aboveAverage="0" equalAverage="0" bottom="0" percent="0" rank="0" text="" dxfId="8">
      <formula>0</formula>
    </cfRule>
  </conditionalFormatting>
  <conditionalFormatting sqref="C596">
    <cfRule type="cellIs" priority="1769" operator="greaterThan" aboveAverage="0" equalAverage="0" bottom="0" percent="0" rank="0" text="" dxfId="8">
      <formula>0</formula>
    </cfRule>
  </conditionalFormatting>
  <conditionalFormatting sqref="G596">
    <cfRule type="cellIs" priority="1770" operator="greaterThan" aboveAverage="0" equalAverage="0" bottom="0" percent="0" rank="0" text="" dxfId="8">
      <formula>0</formula>
    </cfRule>
  </conditionalFormatting>
  <conditionalFormatting sqref="H596">
    <cfRule type="cellIs" priority="1771" operator="greaterThan" aboveAverage="0" equalAverage="0" bottom="0" percent="0" rank="0" text="" dxfId="8">
      <formula>0</formula>
    </cfRule>
  </conditionalFormatting>
  <conditionalFormatting sqref="C597">
    <cfRule type="cellIs" priority="1772" operator="greaterThan" aboveAverage="0" equalAverage="0" bottom="0" percent="0" rank="0" text="" dxfId="8">
      <formula>0</formula>
    </cfRule>
  </conditionalFormatting>
  <conditionalFormatting sqref="G597">
    <cfRule type="cellIs" priority="1773" operator="greaterThan" aboveAverage="0" equalAverage="0" bottom="0" percent="0" rank="0" text="" dxfId="8">
      <formula>0</formula>
    </cfRule>
  </conditionalFormatting>
  <conditionalFormatting sqref="H597">
    <cfRule type="cellIs" priority="1774" operator="greaterThan" aboveAverage="0" equalAverage="0" bottom="0" percent="0" rank="0" text="" dxfId="8">
      <formula>0</formula>
    </cfRule>
  </conditionalFormatting>
  <conditionalFormatting sqref="C598">
    <cfRule type="cellIs" priority="1775" operator="greaterThan" aboveAverage="0" equalAverage="0" bottom="0" percent="0" rank="0" text="" dxfId="8">
      <formula>0</formula>
    </cfRule>
  </conditionalFormatting>
  <conditionalFormatting sqref="G598">
    <cfRule type="cellIs" priority="1776" operator="greaterThan" aboveAverage="0" equalAverage="0" bottom="0" percent="0" rank="0" text="" dxfId="8">
      <formula>0</formula>
    </cfRule>
  </conditionalFormatting>
  <conditionalFormatting sqref="H598">
    <cfRule type="cellIs" priority="1777" operator="greaterThan" aboveAverage="0" equalAverage="0" bottom="0" percent="0" rank="0" text="" dxfId="8">
      <formula>0</formula>
    </cfRule>
  </conditionalFormatting>
  <conditionalFormatting sqref="C599">
    <cfRule type="cellIs" priority="1778" operator="greaterThan" aboveAverage="0" equalAverage="0" bottom="0" percent="0" rank="0" text="" dxfId="8">
      <formula>0</formula>
    </cfRule>
  </conditionalFormatting>
  <conditionalFormatting sqref="G599">
    <cfRule type="cellIs" priority="1779" operator="greaterThan" aboveAverage="0" equalAverage="0" bottom="0" percent="0" rank="0" text="" dxfId="8">
      <formula>0</formula>
    </cfRule>
  </conditionalFormatting>
  <conditionalFormatting sqref="H599">
    <cfRule type="cellIs" priority="1780" operator="greaterThan" aboveAverage="0" equalAverage="0" bottom="0" percent="0" rank="0" text="" dxfId="8">
      <formula>0</formula>
    </cfRule>
  </conditionalFormatting>
  <conditionalFormatting sqref="C600">
    <cfRule type="cellIs" priority="1781" operator="greaterThan" aboveAverage="0" equalAverage="0" bottom="0" percent="0" rank="0" text="" dxfId="8">
      <formula>0</formula>
    </cfRule>
  </conditionalFormatting>
  <conditionalFormatting sqref="G600">
    <cfRule type="cellIs" priority="1782" operator="greaterThan" aboveAverage="0" equalAverage="0" bottom="0" percent="0" rank="0" text="" dxfId="8">
      <formula>0</formula>
    </cfRule>
  </conditionalFormatting>
  <conditionalFormatting sqref="H600">
    <cfRule type="cellIs" priority="1783" operator="greaterThan" aboveAverage="0" equalAverage="0" bottom="0" percent="0" rank="0" text="" dxfId="8">
      <formula>0</formula>
    </cfRule>
  </conditionalFormatting>
  <conditionalFormatting sqref="C601">
    <cfRule type="cellIs" priority="1784" operator="greaterThan" aboveAverage="0" equalAverage="0" bottom="0" percent="0" rank="0" text="" dxfId="8">
      <formula>0</formula>
    </cfRule>
  </conditionalFormatting>
  <conditionalFormatting sqref="G601">
    <cfRule type="cellIs" priority="1785" operator="greaterThan" aboveAverage="0" equalAverage="0" bottom="0" percent="0" rank="0" text="" dxfId="8">
      <formula>0</formula>
    </cfRule>
  </conditionalFormatting>
  <conditionalFormatting sqref="H601">
    <cfRule type="cellIs" priority="1786" operator="greaterThan" aboveAverage="0" equalAverage="0" bottom="0" percent="0" rank="0" text="" dxfId="8">
      <formula>0</formula>
    </cfRule>
  </conditionalFormatting>
  <conditionalFormatting sqref="C602">
    <cfRule type="cellIs" priority="1787" operator="greaterThan" aboveAverage="0" equalAverage="0" bottom="0" percent="0" rank="0" text="" dxfId="8">
      <formula>0</formula>
    </cfRule>
  </conditionalFormatting>
  <conditionalFormatting sqref="G602">
    <cfRule type="cellIs" priority="1788" operator="greaterThan" aboveAverage="0" equalAverage="0" bottom="0" percent="0" rank="0" text="" dxfId="8">
      <formula>0</formula>
    </cfRule>
  </conditionalFormatting>
  <conditionalFormatting sqref="H602">
    <cfRule type="cellIs" priority="1789" operator="greaterThan" aboveAverage="0" equalAverage="0" bottom="0" percent="0" rank="0" text="" dxfId="8">
      <formula>0</formula>
    </cfRule>
  </conditionalFormatting>
  <conditionalFormatting sqref="C603">
    <cfRule type="cellIs" priority="1790" operator="greaterThan" aboveAverage="0" equalAverage="0" bottom="0" percent="0" rank="0" text="" dxfId="8">
      <formula>0</formula>
    </cfRule>
  </conditionalFormatting>
  <conditionalFormatting sqref="G603">
    <cfRule type="cellIs" priority="1791" operator="greaterThan" aboveAverage="0" equalAverage="0" bottom="0" percent="0" rank="0" text="" dxfId="8">
      <formula>0</formula>
    </cfRule>
  </conditionalFormatting>
  <conditionalFormatting sqref="H603">
    <cfRule type="cellIs" priority="1792" operator="greaterThan" aboveAverage="0" equalAverage="0" bottom="0" percent="0" rank="0" text="" dxfId="8">
      <formula>0</formula>
    </cfRule>
  </conditionalFormatting>
  <conditionalFormatting sqref="C604">
    <cfRule type="cellIs" priority="1793" operator="greaterThan" aboveAverage="0" equalAverage="0" bottom="0" percent="0" rank="0" text="" dxfId="8">
      <formula>0</formula>
    </cfRule>
  </conditionalFormatting>
  <conditionalFormatting sqref="G604">
    <cfRule type="cellIs" priority="1794" operator="greaterThan" aboveAverage="0" equalAverage="0" bottom="0" percent="0" rank="0" text="" dxfId="8">
      <formula>0</formula>
    </cfRule>
  </conditionalFormatting>
  <conditionalFormatting sqref="H604">
    <cfRule type="cellIs" priority="1795" operator="greaterThan" aboveAverage="0" equalAverage="0" bottom="0" percent="0" rank="0" text="" dxfId="8">
      <formula>0</formula>
    </cfRule>
  </conditionalFormatting>
  <conditionalFormatting sqref="C605">
    <cfRule type="cellIs" priority="1796" operator="greaterThan" aboveAverage="0" equalAverage="0" bottom="0" percent="0" rank="0" text="" dxfId="8">
      <formula>0</formula>
    </cfRule>
  </conditionalFormatting>
  <conditionalFormatting sqref="G605">
    <cfRule type="cellIs" priority="1797" operator="greaterThan" aboveAverage="0" equalAverage="0" bottom="0" percent="0" rank="0" text="" dxfId="8">
      <formula>0</formula>
    </cfRule>
  </conditionalFormatting>
  <conditionalFormatting sqref="H605">
    <cfRule type="cellIs" priority="1798" operator="greaterThan" aboveAverage="0" equalAverage="0" bottom="0" percent="0" rank="0" text="" dxfId="8">
      <formula>0</formula>
    </cfRule>
  </conditionalFormatting>
  <conditionalFormatting sqref="C606">
    <cfRule type="cellIs" priority="1799" operator="greaterThan" aboveAverage="0" equalAverage="0" bottom="0" percent="0" rank="0" text="" dxfId="8">
      <formula>0</formula>
    </cfRule>
  </conditionalFormatting>
  <conditionalFormatting sqref="G606">
    <cfRule type="cellIs" priority="1800" operator="greaterThan" aboveAverage="0" equalAverage="0" bottom="0" percent="0" rank="0" text="" dxfId="8">
      <formula>0</formula>
    </cfRule>
  </conditionalFormatting>
  <conditionalFormatting sqref="H606">
    <cfRule type="cellIs" priority="1801" operator="greaterThan" aboveAverage="0" equalAverage="0" bottom="0" percent="0" rank="0" text="" dxfId="8">
      <formula>0</formula>
    </cfRule>
  </conditionalFormatting>
  <conditionalFormatting sqref="C607">
    <cfRule type="cellIs" priority="1802" operator="greaterThan" aboveAverage="0" equalAverage="0" bottom="0" percent="0" rank="0" text="" dxfId="8">
      <formula>0</formula>
    </cfRule>
  </conditionalFormatting>
  <conditionalFormatting sqref="G607">
    <cfRule type="cellIs" priority="1803" operator="greaterThan" aboveAverage="0" equalAverage="0" bottom="0" percent="0" rank="0" text="" dxfId="8">
      <formula>0</formula>
    </cfRule>
  </conditionalFormatting>
  <conditionalFormatting sqref="H607">
    <cfRule type="cellIs" priority="1804" operator="greaterThan" aboveAverage="0" equalAverage="0" bottom="0" percent="0" rank="0" text="" dxfId="8">
      <formula>0</formula>
    </cfRule>
  </conditionalFormatting>
  <conditionalFormatting sqref="C608">
    <cfRule type="cellIs" priority="1805" operator="greaterThan" aboveAverage="0" equalAverage="0" bottom="0" percent="0" rank="0" text="" dxfId="8">
      <formula>0</formula>
    </cfRule>
  </conditionalFormatting>
  <conditionalFormatting sqref="G608">
    <cfRule type="cellIs" priority="1806" operator="greaterThan" aboveAverage="0" equalAverage="0" bottom="0" percent="0" rank="0" text="" dxfId="8">
      <formula>0</formula>
    </cfRule>
  </conditionalFormatting>
  <conditionalFormatting sqref="H608">
    <cfRule type="cellIs" priority="1807" operator="greaterThan" aboveAverage="0" equalAverage="0" bottom="0" percent="0" rank="0" text="" dxfId="8">
      <formula>0</formula>
    </cfRule>
  </conditionalFormatting>
  <conditionalFormatting sqref="C609">
    <cfRule type="cellIs" priority="1808" operator="greaterThan" aboveAverage="0" equalAverage="0" bottom="0" percent="0" rank="0" text="" dxfId="8">
      <formula>0</formula>
    </cfRule>
  </conditionalFormatting>
  <conditionalFormatting sqref="G609">
    <cfRule type="cellIs" priority="1809" operator="greaterThan" aboveAverage="0" equalAverage="0" bottom="0" percent="0" rank="0" text="" dxfId="8">
      <formula>0</formula>
    </cfRule>
  </conditionalFormatting>
  <conditionalFormatting sqref="H609">
    <cfRule type="cellIs" priority="1810" operator="greaterThan" aboveAverage="0" equalAverage="0" bottom="0" percent="0" rank="0" text="" dxfId="8">
      <formula>0</formula>
    </cfRule>
  </conditionalFormatting>
  <conditionalFormatting sqref="C610">
    <cfRule type="cellIs" priority="1811" operator="greaterThan" aboveAverage="0" equalAverage="0" bottom="0" percent="0" rank="0" text="" dxfId="8">
      <formula>0</formula>
    </cfRule>
  </conditionalFormatting>
  <conditionalFormatting sqref="G610">
    <cfRule type="cellIs" priority="1812" operator="greaterThan" aboveAverage="0" equalAverage="0" bottom="0" percent="0" rank="0" text="" dxfId="8">
      <formula>0</formula>
    </cfRule>
  </conditionalFormatting>
  <conditionalFormatting sqref="H610">
    <cfRule type="cellIs" priority="1813" operator="greaterThan" aboveAverage="0" equalAverage="0" bottom="0" percent="0" rank="0" text="" dxfId="8">
      <formula>0</formula>
    </cfRule>
  </conditionalFormatting>
  <conditionalFormatting sqref="C611">
    <cfRule type="cellIs" priority="1814" operator="greaterThan" aboveAverage="0" equalAverage="0" bottom="0" percent="0" rank="0" text="" dxfId="8">
      <formula>0</formula>
    </cfRule>
  </conditionalFormatting>
  <conditionalFormatting sqref="G611">
    <cfRule type="cellIs" priority="1815" operator="greaterThan" aboveAverage="0" equalAverage="0" bottom="0" percent="0" rank="0" text="" dxfId="8">
      <formula>0</formula>
    </cfRule>
  </conditionalFormatting>
  <conditionalFormatting sqref="H611">
    <cfRule type="cellIs" priority="1816" operator="greaterThan" aboveAverage="0" equalAverage="0" bottom="0" percent="0" rank="0" text="" dxfId="8">
      <formula>0</formula>
    </cfRule>
  </conditionalFormatting>
  <conditionalFormatting sqref="C612">
    <cfRule type="cellIs" priority="1817" operator="greaterThan" aboveAverage="0" equalAverage="0" bottom="0" percent="0" rank="0" text="" dxfId="8">
      <formula>0</formula>
    </cfRule>
  </conditionalFormatting>
  <conditionalFormatting sqref="G612">
    <cfRule type="cellIs" priority="1818" operator="greaterThan" aboveAverage="0" equalAverage="0" bottom="0" percent="0" rank="0" text="" dxfId="8">
      <formula>0</formula>
    </cfRule>
  </conditionalFormatting>
  <conditionalFormatting sqref="H612">
    <cfRule type="cellIs" priority="1819" operator="greaterThan" aboveAverage="0" equalAverage="0" bottom="0" percent="0" rank="0" text="" dxfId="8">
      <formula>0</formula>
    </cfRule>
  </conditionalFormatting>
  <conditionalFormatting sqref="C613">
    <cfRule type="cellIs" priority="1820" operator="greaterThan" aboveAverage="0" equalAverage="0" bottom="0" percent="0" rank="0" text="" dxfId="8">
      <formula>0</formula>
    </cfRule>
  </conditionalFormatting>
  <conditionalFormatting sqref="G613">
    <cfRule type="cellIs" priority="1821" operator="greaterThan" aboveAverage="0" equalAverage="0" bottom="0" percent="0" rank="0" text="" dxfId="8">
      <formula>0</formula>
    </cfRule>
  </conditionalFormatting>
  <conditionalFormatting sqref="H613">
    <cfRule type="cellIs" priority="1822" operator="greaterThan" aboveAverage="0" equalAverage="0" bottom="0" percent="0" rank="0" text="" dxfId="8">
      <formula>0</formula>
    </cfRule>
  </conditionalFormatting>
  <conditionalFormatting sqref="C614">
    <cfRule type="cellIs" priority="1823" operator="greaterThan" aboveAverage="0" equalAverage="0" bottom="0" percent="0" rank="0" text="" dxfId="8">
      <formula>0</formula>
    </cfRule>
  </conditionalFormatting>
  <conditionalFormatting sqref="G614">
    <cfRule type="cellIs" priority="1824" operator="greaterThan" aboveAverage="0" equalAverage="0" bottom="0" percent="0" rank="0" text="" dxfId="8">
      <formula>0</formula>
    </cfRule>
  </conditionalFormatting>
  <conditionalFormatting sqref="H614">
    <cfRule type="cellIs" priority="1825" operator="greaterThan" aboveAverage="0" equalAverage="0" bottom="0" percent="0" rank="0" text="" dxfId="8">
      <formula>0</formula>
    </cfRule>
  </conditionalFormatting>
  <conditionalFormatting sqref="C615">
    <cfRule type="cellIs" priority="1826" operator="greaterThan" aboveAverage="0" equalAverage="0" bottom="0" percent="0" rank="0" text="" dxfId="8">
      <formula>0</formula>
    </cfRule>
  </conditionalFormatting>
  <conditionalFormatting sqref="G615">
    <cfRule type="cellIs" priority="1827" operator="greaterThan" aboveAverage="0" equalAverage="0" bottom="0" percent="0" rank="0" text="" dxfId="8">
      <formula>0</formula>
    </cfRule>
  </conditionalFormatting>
  <conditionalFormatting sqref="H615">
    <cfRule type="cellIs" priority="1828" operator="greaterThan" aboveAverage="0" equalAverage="0" bottom="0" percent="0" rank="0" text="" dxfId="8">
      <formula>0</formula>
    </cfRule>
  </conditionalFormatting>
  <conditionalFormatting sqref="C616">
    <cfRule type="cellIs" priority="1829" operator="greaterThan" aboveAverage="0" equalAverage="0" bottom="0" percent="0" rank="0" text="" dxfId="8">
      <formula>0</formula>
    </cfRule>
  </conditionalFormatting>
  <conditionalFormatting sqref="G616">
    <cfRule type="cellIs" priority="1830" operator="greaterThan" aboveAverage="0" equalAverage="0" bottom="0" percent="0" rank="0" text="" dxfId="8">
      <formula>0</formula>
    </cfRule>
  </conditionalFormatting>
  <conditionalFormatting sqref="H616">
    <cfRule type="cellIs" priority="1831" operator="greaterThan" aboveAverage="0" equalAverage="0" bottom="0" percent="0" rank="0" text="" dxfId="8">
      <formula>0</formula>
    </cfRule>
  </conditionalFormatting>
  <conditionalFormatting sqref="C617">
    <cfRule type="cellIs" priority="1832" operator="greaterThan" aboveAverage="0" equalAverage="0" bottom="0" percent="0" rank="0" text="" dxfId="8">
      <formula>0</formula>
    </cfRule>
  </conditionalFormatting>
  <conditionalFormatting sqref="G617">
    <cfRule type="cellIs" priority="1833" operator="greaterThan" aboveAverage="0" equalAverage="0" bottom="0" percent="0" rank="0" text="" dxfId="8">
      <formula>0</formula>
    </cfRule>
  </conditionalFormatting>
  <conditionalFormatting sqref="H617">
    <cfRule type="cellIs" priority="1834" operator="greaterThan" aboveAverage="0" equalAverage="0" bottom="0" percent="0" rank="0" text="" dxfId="8">
      <formula>0</formula>
    </cfRule>
  </conditionalFormatting>
  <conditionalFormatting sqref="C618">
    <cfRule type="cellIs" priority="1835" operator="greaterThan" aboveAverage="0" equalAverage="0" bottom="0" percent="0" rank="0" text="" dxfId="8">
      <formula>0</formula>
    </cfRule>
  </conditionalFormatting>
  <conditionalFormatting sqref="G618">
    <cfRule type="cellIs" priority="1836" operator="greaterThan" aboveAverage="0" equalAverage="0" bottom="0" percent="0" rank="0" text="" dxfId="8">
      <formula>0</formula>
    </cfRule>
  </conditionalFormatting>
  <conditionalFormatting sqref="H618">
    <cfRule type="cellIs" priority="1837" operator="greaterThan" aboveAverage="0" equalAverage="0" bottom="0" percent="0" rank="0" text="" dxfId="8">
      <formula>0</formula>
    </cfRule>
  </conditionalFormatting>
  <conditionalFormatting sqref="C619">
    <cfRule type="cellIs" priority="1838" operator="greaterThan" aboveAverage="0" equalAverage="0" bottom="0" percent="0" rank="0" text="" dxfId="8">
      <formula>0</formula>
    </cfRule>
  </conditionalFormatting>
  <conditionalFormatting sqref="G619">
    <cfRule type="cellIs" priority="1839" operator="greaterThan" aboveAverage="0" equalAverage="0" bottom="0" percent="0" rank="0" text="" dxfId="8">
      <formula>0</formula>
    </cfRule>
  </conditionalFormatting>
  <conditionalFormatting sqref="H619">
    <cfRule type="cellIs" priority="1840" operator="greaterThan" aboveAverage="0" equalAverage="0" bottom="0" percent="0" rank="0" text="" dxfId="8">
      <formula>0</formula>
    </cfRule>
  </conditionalFormatting>
  <conditionalFormatting sqref="C620">
    <cfRule type="cellIs" priority="1841" operator="greaterThan" aboveAverage="0" equalAverage="0" bottom="0" percent="0" rank="0" text="" dxfId="8">
      <formula>0</formula>
    </cfRule>
  </conditionalFormatting>
  <conditionalFormatting sqref="G620">
    <cfRule type="cellIs" priority="1842" operator="greaterThan" aboveAverage="0" equalAverage="0" bottom="0" percent="0" rank="0" text="" dxfId="8">
      <formula>0</formula>
    </cfRule>
  </conditionalFormatting>
  <conditionalFormatting sqref="H620">
    <cfRule type="cellIs" priority="1843" operator="greaterThan" aboveAverage="0" equalAverage="0" bottom="0" percent="0" rank="0" text="" dxfId="8">
      <formula>0</formula>
    </cfRule>
  </conditionalFormatting>
  <conditionalFormatting sqref="C621">
    <cfRule type="cellIs" priority="1844" operator="greaterThan" aboveAverage="0" equalAverage="0" bottom="0" percent="0" rank="0" text="" dxfId="8">
      <formula>0</formula>
    </cfRule>
  </conditionalFormatting>
  <conditionalFormatting sqref="G621">
    <cfRule type="cellIs" priority="1845" operator="greaterThan" aboveAverage="0" equalAverage="0" bottom="0" percent="0" rank="0" text="" dxfId="8">
      <formula>0</formula>
    </cfRule>
  </conditionalFormatting>
  <conditionalFormatting sqref="H621">
    <cfRule type="cellIs" priority="1846" operator="greaterThan" aboveAverage="0" equalAverage="0" bottom="0" percent="0" rank="0" text="" dxfId="8">
      <formula>0</formula>
    </cfRule>
  </conditionalFormatting>
  <conditionalFormatting sqref="C622">
    <cfRule type="cellIs" priority="1847" operator="greaterThan" aboveAverage="0" equalAverage="0" bottom="0" percent="0" rank="0" text="" dxfId="8">
      <formula>0</formula>
    </cfRule>
  </conditionalFormatting>
  <conditionalFormatting sqref="G622">
    <cfRule type="cellIs" priority="1848" operator="greaterThan" aboveAverage="0" equalAverage="0" bottom="0" percent="0" rank="0" text="" dxfId="8">
      <formula>0</formula>
    </cfRule>
  </conditionalFormatting>
  <conditionalFormatting sqref="H622">
    <cfRule type="cellIs" priority="1849" operator="greaterThan" aboveAverage="0" equalAverage="0" bottom="0" percent="0" rank="0" text="" dxfId="8">
      <formula>0</formula>
    </cfRule>
  </conditionalFormatting>
  <conditionalFormatting sqref="C623">
    <cfRule type="cellIs" priority="1850" operator="greaterThan" aboveAverage="0" equalAverage="0" bottom="0" percent="0" rank="0" text="" dxfId="8">
      <formula>0</formula>
    </cfRule>
  </conditionalFormatting>
  <conditionalFormatting sqref="G623">
    <cfRule type="cellIs" priority="1851" operator="greaterThan" aboveAverage="0" equalAverage="0" bottom="0" percent="0" rank="0" text="" dxfId="8">
      <formula>0</formula>
    </cfRule>
  </conditionalFormatting>
  <conditionalFormatting sqref="H623">
    <cfRule type="cellIs" priority="1852" operator="greaterThan" aboveAverage="0" equalAverage="0" bottom="0" percent="0" rank="0" text="" dxfId="8">
      <formula>0</formula>
    </cfRule>
  </conditionalFormatting>
  <conditionalFormatting sqref="C624">
    <cfRule type="cellIs" priority="1853" operator="greaterThan" aboveAverage="0" equalAverage="0" bottom="0" percent="0" rank="0" text="" dxfId="8">
      <formula>0</formula>
    </cfRule>
  </conditionalFormatting>
  <conditionalFormatting sqref="G624">
    <cfRule type="cellIs" priority="1854" operator="greaterThan" aboveAverage="0" equalAverage="0" bottom="0" percent="0" rank="0" text="" dxfId="8">
      <formula>0</formula>
    </cfRule>
  </conditionalFormatting>
  <conditionalFormatting sqref="H624">
    <cfRule type="cellIs" priority="1855" operator="greaterThan" aboveAverage="0" equalAverage="0" bottom="0" percent="0" rank="0" text="" dxfId="8">
      <formula>0</formula>
    </cfRule>
  </conditionalFormatting>
  <conditionalFormatting sqref="C625">
    <cfRule type="cellIs" priority="1856" operator="greaterThan" aboveAverage="0" equalAverage="0" bottom="0" percent="0" rank="0" text="" dxfId="8">
      <formula>0</formula>
    </cfRule>
  </conditionalFormatting>
  <conditionalFormatting sqref="G625">
    <cfRule type="cellIs" priority="1857" operator="greaterThan" aboveAverage="0" equalAverage="0" bottom="0" percent="0" rank="0" text="" dxfId="8">
      <formula>0</formula>
    </cfRule>
  </conditionalFormatting>
  <conditionalFormatting sqref="H625">
    <cfRule type="cellIs" priority="1858" operator="greaterThan" aboveAverage="0" equalAverage="0" bottom="0" percent="0" rank="0" text="" dxfId="8">
      <formula>0</formula>
    </cfRule>
  </conditionalFormatting>
  <conditionalFormatting sqref="C626">
    <cfRule type="cellIs" priority="1859" operator="greaterThan" aboveAverage="0" equalAverage="0" bottom="0" percent="0" rank="0" text="" dxfId="8">
      <formula>0</formula>
    </cfRule>
  </conditionalFormatting>
  <conditionalFormatting sqref="G626">
    <cfRule type="cellIs" priority="1860" operator="greaterThan" aboveAverage="0" equalAverage="0" bottom="0" percent="0" rank="0" text="" dxfId="8">
      <formula>0</formula>
    </cfRule>
  </conditionalFormatting>
  <conditionalFormatting sqref="H626">
    <cfRule type="cellIs" priority="1861" operator="greaterThan" aboveAverage="0" equalAverage="0" bottom="0" percent="0" rank="0" text="" dxfId="8">
      <formula>0</formula>
    </cfRule>
  </conditionalFormatting>
  <conditionalFormatting sqref="C627">
    <cfRule type="cellIs" priority="1862" operator="greaterThan" aboveAverage="0" equalAverage="0" bottom="0" percent="0" rank="0" text="" dxfId="8">
      <formula>0</formula>
    </cfRule>
  </conditionalFormatting>
  <conditionalFormatting sqref="G627">
    <cfRule type="cellIs" priority="1863" operator="greaterThan" aboveAverage="0" equalAverage="0" bottom="0" percent="0" rank="0" text="" dxfId="8">
      <formula>0</formula>
    </cfRule>
  </conditionalFormatting>
  <conditionalFormatting sqref="H627">
    <cfRule type="cellIs" priority="1864" operator="greaterThan" aboveAverage="0" equalAverage="0" bottom="0" percent="0" rank="0" text="" dxfId="8">
      <formula>0</formula>
    </cfRule>
  </conditionalFormatting>
  <conditionalFormatting sqref="C628">
    <cfRule type="cellIs" priority="1865" operator="greaterThan" aboveAverage="0" equalAverage="0" bottom="0" percent="0" rank="0" text="" dxfId="8">
      <formula>0</formula>
    </cfRule>
  </conditionalFormatting>
  <conditionalFormatting sqref="G628">
    <cfRule type="cellIs" priority="1866" operator="greaterThan" aboveAverage="0" equalAverage="0" bottom="0" percent="0" rank="0" text="" dxfId="8">
      <formula>0</formula>
    </cfRule>
  </conditionalFormatting>
  <conditionalFormatting sqref="H628">
    <cfRule type="cellIs" priority="1867" operator="greaterThan" aboveAverage="0" equalAverage="0" bottom="0" percent="0" rank="0" text="" dxfId="8">
      <formula>0</formula>
    </cfRule>
  </conditionalFormatting>
  <conditionalFormatting sqref="C629">
    <cfRule type="cellIs" priority="1868" operator="greaterThan" aboveAverage="0" equalAverage="0" bottom="0" percent="0" rank="0" text="" dxfId="8">
      <formula>0</formula>
    </cfRule>
  </conditionalFormatting>
  <conditionalFormatting sqref="G629">
    <cfRule type="cellIs" priority="1869" operator="greaterThan" aboveAverage="0" equalAverage="0" bottom="0" percent="0" rank="0" text="" dxfId="8">
      <formula>0</formula>
    </cfRule>
  </conditionalFormatting>
  <conditionalFormatting sqref="H629">
    <cfRule type="cellIs" priority="1870" operator="greaterThan" aboveAverage="0" equalAverage="0" bottom="0" percent="0" rank="0" text="" dxfId="8">
      <formula>0</formula>
    </cfRule>
  </conditionalFormatting>
  <conditionalFormatting sqref="C630">
    <cfRule type="cellIs" priority="1871" operator="greaterThan" aboveAverage="0" equalAverage="0" bottom="0" percent="0" rank="0" text="" dxfId="8">
      <formula>0</formula>
    </cfRule>
  </conditionalFormatting>
  <conditionalFormatting sqref="G630">
    <cfRule type="cellIs" priority="1872" operator="greaterThan" aboveAverage="0" equalAverage="0" bottom="0" percent="0" rank="0" text="" dxfId="8">
      <formula>0</formula>
    </cfRule>
  </conditionalFormatting>
  <conditionalFormatting sqref="H630">
    <cfRule type="cellIs" priority="1873" operator="greaterThan" aboveAverage="0" equalAverage="0" bottom="0" percent="0" rank="0" text="" dxfId="8">
      <formula>0</formula>
    </cfRule>
  </conditionalFormatting>
  <conditionalFormatting sqref="C631">
    <cfRule type="cellIs" priority="1874" operator="greaterThan" aboveAverage="0" equalAverage="0" bottom="0" percent="0" rank="0" text="" dxfId="8">
      <formula>0</formula>
    </cfRule>
  </conditionalFormatting>
  <conditionalFormatting sqref="G631">
    <cfRule type="cellIs" priority="1875" operator="greaterThan" aboveAverage="0" equalAverage="0" bottom="0" percent="0" rank="0" text="" dxfId="8">
      <formula>0</formula>
    </cfRule>
  </conditionalFormatting>
  <conditionalFormatting sqref="H631">
    <cfRule type="cellIs" priority="1876" operator="greaterThan" aboveAverage="0" equalAverage="0" bottom="0" percent="0" rank="0" text="" dxfId="8">
      <formula>0</formula>
    </cfRule>
  </conditionalFormatting>
  <conditionalFormatting sqref="C632">
    <cfRule type="cellIs" priority="1877" operator="greaterThan" aboveAverage="0" equalAverage="0" bottom="0" percent="0" rank="0" text="" dxfId="8">
      <formula>0</formula>
    </cfRule>
  </conditionalFormatting>
  <conditionalFormatting sqref="G632">
    <cfRule type="cellIs" priority="1878" operator="greaterThan" aboveAverage="0" equalAverage="0" bottom="0" percent="0" rank="0" text="" dxfId="8">
      <formula>0</formula>
    </cfRule>
  </conditionalFormatting>
  <conditionalFormatting sqref="H632">
    <cfRule type="cellIs" priority="1879" operator="greaterThan" aboveAverage="0" equalAverage="0" bottom="0" percent="0" rank="0" text="" dxfId="8">
      <formula>0</formula>
    </cfRule>
  </conditionalFormatting>
  <conditionalFormatting sqref="C633">
    <cfRule type="cellIs" priority="1880" operator="greaterThan" aboveAverage="0" equalAverage="0" bottom="0" percent="0" rank="0" text="" dxfId="8">
      <formula>0</formula>
    </cfRule>
  </conditionalFormatting>
  <conditionalFormatting sqref="G633">
    <cfRule type="cellIs" priority="1881" operator="greaterThan" aboveAverage="0" equalAverage="0" bottom="0" percent="0" rank="0" text="" dxfId="8">
      <formula>0</formula>
    </cfRule>
  </conditionalFormatting>
  <conditionalFormatting sqref="H633">
    <cfRule type="cellIs" priority="1882" operator="greaterThan" aboveAverage="0" equalAverage="0" bottom="0" percent="0" rank="0" text="" dxfId="8">
      <formula>0</formula>
    </cfRule>
  </conditionalFormatting>
  <conditionalFormatting sqref="C634">
    <cfRule type="cellIs" priority="1883" operator="greaterThan" aboveAverage="0" equalAverage="0" bottom="0" percent="0" rank="0" text="" dxfId="8">
      <formula>0</formula>
    </cfRule>
  </conditionalFormatting>
  <conditionalFormatting sqref="G634">
    <cfRule type="cellIs" priority="1884" operator="greaterThan" aboveAverage="0" equalAverage="0" bottom="0" percent="0" rank="0" text="" dxfId="8">
      <formula>0</formula>
    </cfRule>
  </conditionalFormatting>
  <conditionalFormatting sqref="H634">
    <cfRule type="cellIs" priority="1885" operator="greaterThan" aboveAverage="0" equalAverage="0" bottom="0" percent="0" rank="0" text="" dxfId="8">
      <formula>0</formula>
    </cfRule>
  </conditionalFormatting>
  <conditionalFormatting sqref="C635">
    <cfRule type="cellIs" priority="1886" operator="greaterThan" aboveAverage="0" equalAverage="0" bottom="0" percent="0" rank="0" text="" dxfId="8">
      <formula>0</formula>
    </cfRule>
  </conditionalFormatting>
  <conditionalFormatting sqref="G635">
    <cfRule type="cellIs" priority="1887" operator="greaterThan" aboveAverage="0" equalAverage="0" bottom="0" percent="0" rank="0" text="" dxfId="8">
      <formula>0</formula>
    </cfRule>
  </conditionalFormatting>
  <conditionalFormatting sqref="H635">
    <cfRule type="cellIs" priority="1888" operator="greaterThan" aboveAverage="0" equalAverage="0" bottom="0" percent="0" rank="0" text="" dxfId="8">
      <formula>0</formula>
    </cfRule>
  </conditionalFormatting>
  <conditionalFormatting sqref="C636">
    <cfRule type="cellIs" priority="1889" operator="greaterThan" aboveAverage="0" equalAverage="0" bottom="0" percent="0" rank="0" text="" dxfId="8">
      <formula>0</formula>
    </cfRule>
  </conditionalFormatting>
  <conditionalFormatting sqref="G636">
    <cfRule type="cellIs" priority="1890" operator="greaterThan" aboveAverage="0" equalAverage="0" bottom="0" percent="0" rank="0" text="" dxfId="8">
      <formula>0</formula>
    </cfRule>
  </conditionalFormatting>
  <conditionalFormatting sqref="H636">
    <cfRule type="cellIs" priority="1891" operator="greaterThan" aboveAverage="0" equalAverage="0" bottom="0" percent="0" rank="0" text="" dxfId="8">
      <formula>0</formula>
    </cfRule>
  </conditionalFormatting>
  <conditionalFormatting sqref="C637">
    <cfRule type="cellIs" priority="1892" operator="greaterThan" aboveAverage="0" equalAverage="0" bottom="0" percent="0" rank="0" text="" dxfId="8">
      <formula>0</formula>
    </cfRule>
  </conditionalFormatting>
  <conditionalFormatting sqref="G637">
    <cfRule type="cellIs" priority="1893" operator="greaterThan" aboveAverage="0" equalAverage="0" bottom="0" percent="0" rank="0" text="" dxfId="8">
      <formula>0</formula>
    </cfRule>
  </conditionalFormatting>
  <conditionalFormatting sqref="H637">
    <cfRule type="cellIs" priority="1894" operator="greaterThan" aboveAverage="0" equalAverage="0" bottom="0" percent="0" rank="0" text="" dxfId="8">
      <formula>0</formula>
    </cfRule>
  </conditionalFormatting>
  <conditionalFormatting sqref="C638">
    <cfRule type="cellIs" priority="1895" operator="greaterThan" aboveAverage="0" equalAverage="0" bottom="0" percent="0" rank="0" text="" dxfId="8">
      <formula>0</formula>
    </cfRule>
  </conditionalFormatting>
  <conditionalFormatting sqref="G638">
    <cfRule type="cellIs" priority="1896" operator="greaterThan" aboveAverage="0" equalAverage="0" bottom="0" percent="0" rank="0" text="" dxfId="8">
      <formula>0</formula>
    </cfRule>
  </conditionalFormatting>
  <conditionalFormatting sqref="H638">
    <cfRule type="cellIs" priority="1897" operator="greaterThan" aboveAverage="0" equalAverage="0" bottom="0" percent="0" rank="0" text="" dxfId="8">
      <formula>0</formula>
    </cfRule>
  </conditionalFormatting>
  <conditionalFormatting sqref="C639">
    <cfRule type="cellIs" priority="1898" operator="greaterThan" aboveAverage="0" equalAverage="0" bottom="0" percent="0" rank="0" text="" dxfId="8">
      <formula>0</formula>
    </cfRule>
  </conditionalFormatting>
  <conditionalFormatting sqref="G639">
    <cfRule type="cellIs" priority="1899" operator="greaterThan" aboveAverage="0" equalAverage="0" bottom="0" percent="0" rank="0" text="" dxfId="8">
      <formula>0</formula>
    </cfRule>
  </conditionalFormatting>
  <conditionalFormatting sqref="H639">
    <cfRule type="cellIs" priority="1900" operator="greaterThan" aboveAverage="0" equalAverage="0" bottom="0" percent="0" rank="0" text="" dxfId="8">
      <formula>0</formula>
    </cfRule>
  </conditionalFormatting>
  <conditionalFormatting sqref="C640">
    <cfRule type="cellIs" priority="1901" operator="greaterThan" aboveAverage="0" equalAverage="0" bottom="0" percent="0" rank="0" text="" dxfId="8">
      <formula>0</formula>
    </cfRule>
  </conditionalFormatting>
  <conditionalFormatting sqref="G640">
    <cfRule type="cellIs" priority="1902" operator="greaterThan" aboveAverage="0" equalAverage="0" bottom="0" percent="0" rank="0" text="" dxfId="8">
      <formula>0</formula>
    </cfRule>
  </conditionalFormatting>
  <conditionalFormatting sqref="H640">
    <cfRule type="cellIs" priority="1903" operator="greaterThan" aboveAverage="0" equalAverage="0" bottom="0" percent="0" rank="0" text="" dxfId="8">
      <formula>0</formula>
    </cfRule>
  </conditionalFormatting>
  <conditionalFormatting sqref="C641">
    <cfRule type="cellIs" priority="1904" operator="greaterThan" aboveAverage="0" equalAverage="0" bottom="0" percent="0" rank="0" text="" dxfId="8">
      <formula>0</formula>
    </cfRule>
  </conditionalFormatting>
  <conditionalFormatting sqref="G641">
    <cfRule type="cellIs" priority="1905" operator="greaterThan" aboveAverage="0" equalAverage="0" bottom="0" percent="0" rank="0" text="" dxfId="8">
      <formula>0</formula>
    </cfRule>
  </conditionalFormatting>
  <conditionalFormatting sqref="H641">
    <cfRule type="cellIs" priority="1906" operator="greaterThan" aboveAverage="0" equalAverage="0" bottom="0" percent="0" rank="0" text="" dxfId="8">
      <formula>0</formula>
    </cfRule>
  </conditionalFormatting>
  <conditionalFormatting sqref="C642">
    <cfRule type="cellIs" priority="1907" operator="greaterThan" aboveAverage="0" equalAverage="0" bottom="0" percent="0" rank="0" text="" dxfId="8">
      <formula>0</formula>
    </cfRule>
  </conditionalFormatting>
  <conditionalFormatting sqref="G642">
    <cfRule type="cellIs" priority="1908" operator="greaterThan" aboveAverage="0" equalAverage="0" bottom="0" percent="0" rank="0" text="" dxfId="8">
      <formula>0</formula>
    </cfRule>
  </conditionalFormatting>
  <conditionalFormatting sqref="H642">
    <cfRule type="cellIs" priority="1909" operator="greaterThan" aboveAverage="0" equalAverage="0" bottom="0" percent="0" rank="0" text="" dxfId="8">
      <formula>0</formula>
    </cfRule>
  </conditionalFormatting>
  <conditionalFormatting sqref="C643">
    <cfRule type="cellIs" priority="1910" operator="greaterThan" aboveAverage="0" equalAverage="0" bottom="0" percent="0" rank="0" text="" dxfId="8">
      <formula>0</formula>
    </cfRule>
  </conditionalFormatting>
  <conditionalFormatting sqref="G643">
    <cfRule type="cellIs" priority="1911" operator="greaterThan" aboveAverage="0" equalAverage="0" bottom="0" percent="0" rank="0" text="" dxfId="8">
      <formula>0</formula>
    </cfRule>
  </conditionalFormatting>
  <conditionalFormatting sqref="H643">
    <cfRule type="cellIs" priority="1912" operator="greaterThan" aboveAverage="0" equalAverage="0" bottom="0" percent="0" rank="0" text="" dxfId="8">
      <formula>0</formula>
    </cfRule>
  </conditionalFormatting>
  <conditionalFormatting sqref="C644">
    <cfRule type="cellIs" priority="1913" operator="greaterThan" aboveAverage="0" equalAverage="0" bottom="0" percent="0" rank="0" text="" dxfId="8">
      <formula>0</formula>
    </cfRule>
  </conditionalFormatting>
  <conditionalFormatting sqref="G644">
    <cfRule type="cellIs" priority="1914" operator="greaterThan" aboveAverage="0" equalAverage="0" bottom="0" percent="0" rank="0" text="" dxfId="8">
      <formula>0</formula>
    </cfRule>
  </conditionalFormatting>
  <conditionalFormatting sqref="H644">
    <cfRule type="cellIs" priority="1915" operator="greaterThan" aboveAverage="0" equalAverage="0" bottom="0" percent="0" rank="0" text="" dxfId="8">
      <formula>0</formula>
    </cfRule>
  </conditionalFormatting>
  <conditionalFormatting sqref="C645">
    <cfRule type="cellIs" priority="1916" operator="greaterThan" aboveAverage="0" equalAverage="0" bottom="0" percent="0" rank="0" text="" dxfId="8">
      <formula>0</formula>
    </cfRule>
  </conditionalFormatting>
  <conditionalFormatting sqref="G645">
    <cfRule type="cellIs" priority="1917" operator="greaterThan" aboveAverage="0" equalAverage="0" bottom="0" percent="0" rank="0" text="" dxfId="8">
      <formula>0</formula>
    </cfRule>
  </conditionalFormatting>
  <conditionalFormatting sqref="H645">
    <cfRule type="cellIs" priority="1918" operator="greaterThan" aboveAverage="0" equalAverage="0" bottom="0" percent="0" rank="0" text="" dxfId="8">
      <formula>0</formula>
    </cfRule>
  </conditionalFormatting>
  <conditionalFormatting sqref="C646">
    <cfRule type="cellIs" priority="1919" operator="greaterThan" aboveAverage="0" equalAverage="0" bottom="0" percent="0" rank="0" text="" dxfId="8">
      <formula>0</formula>
    </cfRule>
  </conditionalFormatting>
  <conditionalFormatting sqref="G646">
    <cfRule type="cellIs" priority="1920" operator="greaterThan" aboveAverage="0" equalAverage="0" bottom="0" percent="0" rank="0" text="" dxfId="8">
      <formula>0</formula>
    </cfRule>
  </conditionalFormatting>
  <conditionalFormatting sqref="H646">
    <cfRule type="cellIs" priority="1921" operator="greaterThan" aboveAverage="0" equalAverage="0" bottom="0" percent="0" rank="0" text="" dxfId="8">
      <formula>0</formula>
    </cfRule>
  </conditionalFormatting>
  <conditionalFormatting sqref="C647">
    <cfRule type="cellIs" priority="1922" operator="greaterThan" aboveAverage="0" equalAverage="0" bottom="0" percent="0" rank="0" text="" dxfId="8">
      <formula>0</formula>
    </cfRule>
  </conditionalFormatting>
  <conditionalFormatting sqref="G647">
    <cfRule type="cellIs" priority="1923" operator="greaterThan" aboveAverage="0" equalAverage="0" bottom="0" percent="0" rank="0" text="" dxfId="8">
      <formula>0</formula>
    </cfRule>
  </conditionalFormatting>
  <conditionalFormatting sqref="H647">
    <cfRule type="cellIs" priority="1924" operator="greaterThan" aboveAverage="0" equalAverage="0" bottom="0" percent="0" rank="0" text="" dxfId="8">
      <formula>0</formula>
    </cfRule>
  </conditionalFormatting>
  <conditionalFormatting sqref="C648">
    <cfRule type="cellIs" priority="1925" operator="greaterThan" aboveAverage="0" equalAverage="0" bottom="0" percent="0" rank="0" text="" dxfId="8">
      <formula>0</formula>
    </cfRule>
  </conditionalFormatting>
  <conditionalFormatting sqref="G648">
    <cfRule type="cellIs" priority="1926" operator="greaterThan" aboveAverage="0" equalAverage="0" bottom="0" percent="0" rank="0" text="" dxfId="8">
      <formula>0</formula>
    </cfRule>
  </conditionalFormatting>
  <conditionalFormatting sqref="H648">
    <cfRule type="cellIs" priority="1927" operator="greaterThan" aboveAverage="0" equalAverage="0" bottom="0" percent="0" rank="0" text="" dxfId="8">
      <formula>0</formula>
    </cfRule>
  </conditionalFormatting>
  <conditionalFormatting sqref="C649">
    <cfRule type="cellIs" priority="1928" operator="greaterThan" aboveAverage="0" equalAverage="0" bottom="0" percent="0" rank="0" text="" dxfId="8">
      <formula>0</formula>
    </cfRule>
  </conditionalFormatting>
  <conditionalFormatting sqref="G649">
    <cfRule type="cellIs" priority="1929" operator="greaterThan" aboveAverage="0" equalAverage="0" bottom="0" percent="0" rank="0" text="" dxfId="8">
      <formula>0</formula>
    </cfRule>
  </conditionalFormatting>
  <conditionalFormatting sqref="H649">
    <cfRule type="cellIs" priority="1930" operator="greaterThan" aboveAverage="0" equalAverage="0" bottom="0" percent="0" rank="0" text="" dxfId="8">
      <formula>0</formula>
    </cfRule>
  </conditionalFormatting>
  <conditionalFormatting sqref="C650">
    <cfRule type="cellIs" priority="1931" operator="greaterThan" aboveAverage="0" equalAverage="0" bottom="0" percent="0" rank="0" text="" dxfId="8">
      <formula>0</formula>
    </cfRule>
  </conditionalFormatting>
  <conditionalFormatting sqref="G650">
    <cfRule type="cellIs" priority="1932" operator="greaterThan" aboveAverage="0" equalAverage="0" bottom="0" percent="0" rank="0" text="" dxfId="8">
      <formula>0</formula>
    </cfRule>
  </conditionalFormatting>
  <conditionalFormatting sqref="H650">
    <cfRule type="cellIs" priority="1933" operator="greaterThan" aboveAverage="0" equalAverage="0" bottom="0" percent="0" rank="0" text="" dxfId="8">
      <formula>0</formula>
    </cfRule>
  </conditionalFormatting>
  <conditionalFormatting sqref="C651">
    <cfRule type="cellIs" priority="1934" operator="greaterThan" aboveAverage="0" equalAverage="0" bottom="0" percent="0" rank="0" text="" dxfId="8">
      <formula>0</formula>
    </cfRule>
  </conditionalFormatting>
  <conditionalFormatting sqref="G651">
    <cfRule type="cellIs" priority="1935" operator="greaterThan" aboveAverage="0" equalAverage="0" bottom="0" percent="0" rank="0" text="" dxfId="8">
      <formula>0</formula>
    </cfRule>
  </conditionalFormatting>
  <conditionalFormatting sqref="H651">
    <cfRule type="cellIs" priority="1936" operator="greaterThan" aboveAverage="0" equalAverage="0" bottom="0" percent="0" rank="0" text="" dxfId="8">
      <formula>0</formula>
    </cfRule>
  </conditionalFormatting>
  <conditionalFormatting sqref="C652">
    <cfRule type="cellIs" priority="1937" operator="greaterThan" aboveAverage="0" equalAverage="0" bottom="0" percent="0" rank="0" text="" dxfId="8">
      <formula>0</formula>
    </cfRule>
  </conditionalFormatting>
  <conditionalFormatting sqref="G652">
    <cfRule type="cellIs" priority="1938" operator="greaterThan" aboveAverage="0" equalAverage="0" bottom="0" percent="0" rank="0" text="" dxfId="8">
      <formula>0</formula>
    </cfRule>
  </conditionalFormatting>
  <conditionalFormatting sqref="H652">
    <cfRule type="cellIs" priority="1939" operator="greaterThan" aboveAverage="0" equalAverage="0" bottom="0" percent="0" rank="0" text="" dxfId="8">
      <formula>0</formula>
    </cfRule>
  </conditionalFormatting>
  <conditionalFormatting sqref="C653">
    <cfRule type="cellIs" priority="1940" operator="greaterThan" aboveAverage="0" equalAverage="0" bottom="0" percent="0" rank="0" text="" dxfId="8">
      <formula>0</formula>
    </cfRule>
  </conditionalFormatting>
  <conditionalFormatting sqref="G653">
    <cfRule type="cellIs" priority="1941" operator="greaterThan" aboveAverage="0" equalAverage="0" bottom="0" percent="0" rank="0" text="" dxfId="8">
      <formula>0</formula>
    </cfRule>
  </conditionalFormatting>
  <conditionalFormatting sqref="H653">
    <cfRule type="cellIs" priority="1942" operator="greaterThan" aboveAverage="0" equalAverage="0" bottom="0" percent="0" rank="0" text="" dxfId="8">
      <formula>0</formula>
    </cfRule>
  </conditionalFormatting>
  <conditionalFormatting sqref="C654">
    <cfRule type="cellIs" priority="1943" operator="greaterThan" aboveAverage="0" equalAverage="0" bottom="0" percent="0" rank="0" text="" dxfId="8">
      <formula>0</formula>
    </cfRule>
  </conditionalFormatting>
  <conditionalFormatting sqref="G654">
    <cfRule type="cellIs" priority="1944" operator="greaterThan" aboveAverage="0" equalAverage="0" bottom="0" percent="0" rank="0" text="" dxfId="8">
      <formula>0</formula>
    </cfRule>
  </conditionalFormatting>
  <conditionalFormatting sqref="H654">
    <cfRule type="cellIs" priority="1945" operator="greaterThan" aboveAverage="0" equalAverage="0" bottom="0" percent="0" rank="0" text="" dxfId="8">
      <formula>0</formula>
    </cfRule>
  </conditionalFormatting>
  <conditionalFormatting sqref="C655">
    <cfRule type="cellIs" priority="1946" operator="greaterThan" aboveAverage="0" equalAverage="0" bottom="0" percent="0" rank="0" text="" dxfId="8">
      <formula>0</formula>
    </cfRule>
  </conditionalFormatting>
  <conditionalFormatting sqref="G655">
    <cfRule type="cellIs" priority="1947" operator="greaterThan" aboveAverage="0" equalAverage="0" bottom="0" percent="0" rank="0" text="" dxfId="8">
      <formula>0</formula>
    </cfRule>
  </conditionalFormatting>
  <conditionalFormatting sqref="H655">
    <cfRule type="cellIs" priority="1948" operator="greaterThan" aboveAverage="0" equalAverage="0" bottom="0" percent="0" rank="0" text="" dxfId="8">
      <formula>0</formula>
    </cfRule>
  </conditionalFormatting>
  <conditionalFormatting sqref="C656">
    <cfRule type="cellIs" priority="1949" operator="greaterThan" aboveAverage="0" equalAverage="0" bottom="0" percent="0" rank="0" text="" dxfId="8">
      <formula>0</formula>
    </cfRule>
  </conditionalFormatting>
  <conditionalFormatting sqref="G656">
    <cfRule type="cellIs" priority="1950" operator="greaterThan" aboveAverage="0" equalAverage="0" bottom="0" percent="0" rank="0" text="" dxfId="8">
      <formula>0</formula>
    </cfRule>
  </conditionalFormatting>
  <conditionalFormatting sqref="H656">
    <cfRule type="cellIs" priority="1951" operator="greaterThan" aboveAverage="0" equalAverage="0" bottom="0" percent="0" rank="0" text="" dxfId="8">
      <formula>0</formula>
    </cfRule>
  </conditionalFormatting>
  <conditionalFormatting sqref="C657">
    <cfRule type="cellIs" priority="1952" operator="greaterThan" aboveAverage="0" equalAverage="0" bottom="0" percent="0" rank="0" text="" dxfId="8">
      <formula>0</formula>
    </cfRule>
  </conditionalFormatting>
  <conditionalFormatting sqref="G657">
    <cfRule type="cellIs" priority="1953" operator="greaterThan" aboveAverage="0" equalAverage="0" bottom="0" percent="0" rank="0" text="" dxfId="8">
      <formula>0</formula>
    </cfRule>
  </conditionalFormatting>
  <conditionalFormatting sqref="H657">
    <cfRule type="cellIs" priority="1954" operator="greaterThan" aboveAverage="0" equalAverage="0" bottom="0" percent="0" rank="0" text="" dxfId="8">
      <formula>0</formula>
    </cfRule>
  </conditionalFormatting>
  <conditionalFormatting sqref="C658">
    <cfRule type="cellIs" priority="1955" operator="greaterThan" aboveAverage="0" equalAverage="0" bottom="0" percent="0" rank="0" text="" dxfId="8">
      <formula>0</formula>
    </cfRule>
  </conditionalFormatting>
  <conditionalFormatting sqref="G658">
    <cfRule type="cellIs" priority="1956" operator="greaterThan" aboveAverage="0" equalAverage="0" bottom="0" percent="0" rank="0" text="" dxfId="8">
      <formula>0</formula>
    </cfRule>
  </conditionalFormatting>
  <conditionalFormatting sqref="H658">
    <cfRule type="cellIs" priority="1957" operator="greaterThan" aboveAverage="0" equalAverage="0" bottom="0" percent="0" rank="0" text="" dxfId="8">
      <formula>0</formula>
    </cfRule>
  </conditionalFormatting>
  <conditionalFormatting sqref="C659">
    <cfRule type="cellIs" priority="1958" operator="greaterThan" aboveAverage="0" equalAverage="0" bottom="0" percent="0" rank="0" text="" dxfId="8">
      <formula>0</formula>
    </cfRule>
  </conditionalFormatting>
  <conditionalFormatting sqref="G659">
    <cfRule type="cellIs" priority="1959" operator="greaterThan" aboveAverage="0" equalAverage="0" bottom="0" percent="0" rank="0" text="" dxfId="8">
      <formula>0</formula>
    </cfRule>
  </conditionalFormatting>
  <conditionalFormatting sqref="H659">
    <cfRule type="cellIs" priority="1960" operator="greaterThan" aboveAverage="0" equalAverage="0" bottom="0" percent="0" rank="0" text="" dxfId="8">
      <formula>0</formula>
    </cfRule>
  </conditionalFormatting>
  <conditionalFormatting sqref="C660">
    <cfRule type="cellIs" priority="1961" operator="greaterThan" aboveAverage="0" equalAverage="0" bottom="0" percent="0" rank="0" text="" dxfId="8">
      <formula>0</formula>
    </cfRule>
  </conditionalFormatting>
  <conditionalFormatting sqref="G660">
    <cfRule type="cellIs" priority="1962" operator="greaterThan" aboveAverage="0" equalAverage="0" bottom="0" percent="0" rank="0" text="" dxfId="8">
      <formula>0</formula>
    </cfRule>
  </conditionalFormatting>
  <conditionalFormatting sqref="H660">
    <cfRule type="cellIs" priority="1963" operator="greaterThan" aboveAverage="0" equalAverage="0" bottom="0" percent="0" rank="0" text="" dxfId="8">
      <formula>0</formula>
    </cfRule>
  </conditionalFormatting>
  <conditionalFormatting sqref="C661">
    <cfRule type="cellIs" priority="1964" operator="greaterThan" aboveAverage="0" equalAverage="0" bottom="0" percent="0" rank="0" text="" dxfId="8">
      <formula>0</formula>
    </cfRule>
  </conditionalFormatting>
  <conditionalFormatting sqref="G661">
    <cfRule type="cellIs" priority="1965" operator="greaterThan" aboveAverage="0" equalAverage="0" bottom="0" percent="0" rank="0" text="" dxfId="8">
      <formula>0</formula>
    </cfRule>
  </conditionalFormatting>
  <conditionalFormatting sqref="H661">
    <cfRule type="cellIs" priority="1966" operator="greaterThan" aboveAverage="0" equalAverage="0" bottom="0" percent="0" rank="0" text="" dxfId="8">
      <formula>0</formula>
    </cfRule>
  </conditionalFormatting>
  <conditionalFormatting sqref="C662">
    <cfRule type="cellIs" priority="1967" operator="greaterThan" aboveAverage="0" equalAverage="0" bottom="0" percent="0" rank="0" text="" dxfId="8">
      <formula>0</formula>
    </cfRule>
  </conditionalFormatting>
  <conditionalFormatting sqref="G662">
    <cfRule type="cellIs" priority="1968" operator="greaterThan" aboveAverage="0" equalAverage="0" bottom="0" percent="0" rank="0" text="" dxfId="8">
      <formula>0</formula>
    </cfRule>
  </conditionalFormatting>
  <conditionalFormatting sqref="H662">
    <cfRule type="cellIs" priority="1969" operator="greaterThan" aboveAverage="0" equalAverage="0" bottom="0" percent="0" rank="0" text="" dxfId="8">
      <formula>0</formula>
    </cfRule>
  </conditionalFormatting>
  <conditionalFormatting sqref="C663">
    <cfRule type="cellIs" priority="1970" operator="greaterThan" aboveAverage="0" equalAverage="0" bottom="0" percent="0" rank="0" text="" dxfId="8">
      <formula>0</formula>
    </cfRule>
  </conditionalFormatting>
  <conditionalFormatting sqref="G663">
    <cfRule type="cellIs" priority="1971" operator="greaterThan" aboveAverage="0" equalAverage="0" bottom="0" percent="0" rank="0" text="" dxfId="8">
      <formula>0</formula>
    </cfRule>
  </conditionalFormatting>
  <conditionalFormatting sqref="H663">
    <cfRule type="cellIs" priority="1972" operator="greaterThan" aboveAverage="0" equalAverage="0" bottom="0" percent="0" rank="0" text="" dxfId="8">
      <formula>0</formula>
    </cfRule>
  </conditionalFormatting>
  <conditionalFormatting sqref="C664">
    <cfRule type="cellIs" priority="1973" operator="greaterThan" aboveAverage="0" equalAverage="0" bottom="0" percent="0" rank="0" text="" dxfId="8">
      <formula>0</formula>
    </cfRule>
  </conditionalFormatting>
  <conditionalFormatting sqref="G664">
    <cfRule type="cellIs" priority="1974" operator="greaterThan" aboveAverage="0" equalAverage="0" bottom="0" percent="0" rank="0" text="" dxfId="8">
      <formula>0</formula>
    </cfRule>
  </conditionalFormatting>
  <conditionalFormatting sqref="H664">
    <cfRule type="cellIs" priority="1975" operator="greaterThan" aboveAverage="0" equalAverage="0" bottom="0" percent="0" rank="0" text="" dxfId="8">
      <formula>0</formula>
    </cfRule>
  </conditionalFormatting>
  <conditionalFormatting sqref="C665">
    <cfRule type="cellIs" priority="1976" operator="greaterThan" aboveAverage="0" equalAverage="0" bottom="0" percent="0" rank="0" text="" dxfId="8">
      <formula>0</formula>
    </cfRule>
  </conditionalFormatting>
  <conditionalFormatting sqref="G665">
    <cfRule type="cellIs" priority="1977" operator="greaterThan" aboveAverage="0" equalAverage="0" bottom="0" percent="0" rank="0" text="" dxfId="8">
      <formula>0</formula>
    </cfRule>
  </conditionalFormatting>
  <conditionalFormatting sqref="H665">
    <cfRule type="cellIs" priority="1978" operator="greaterThan" aboveAverage="0" equalAverage="0" bottom="0" percent="0" rank="0" text="" dxfId="8">
      <formula>0</formula>
    </cfRule>
  </conditionalFormatting>
  <conditionalFormatting sqref="C666">
    <cfRule type="cellIs" priority="1979" operator="greaterThan" aboveAverage="0" equalAverage="0" bottom="0" percent="0" rank="0" text="" dxfId="8">
      <formula>0</formula>
    </cfRule>
  </conditionalFormatting>
  <conditionalFormatting sqref="G666">
    <cfRule type="cellIs" priority="1980" operator="greaterThan" aboveAverage="0" equalAverage="0" bottom="0" percent="0" rank="0" text="" dxfId="8">
      <formula>0</formula>
    </cfRule>
  </conditionalFormatting>
  <conditionalFormatting sqref="H666">
    <cfRule type="cellIs" priority="1981" operator="greaterThan" aboveAverage="0" equalAverage="0" bottom="0" percent="0" rank="0" text="" dxfId="8">
      <formula>0</formula>
    </cfRule>
  </conditionalFormatting>
  <conditionalFormatting sqref="C667">
    <cfRule type="cellIs" priority="1982" operator="greaterThan" aboveAverage="0" equalAverage="0" bottom="0" percent="0" rank="0" text="" dxfId="8">
      <formula>0</formula>
    </cfRule>
  </conditionalFormatting>
  <conditionalFormatting sqref="G667">
    <cfRule type="cellIs" priority="1983" operator="greaterThan" aboveAverage="0" equalAverage="0" bottom="0" percent="0" rank="0" text="" dxfId="8">
      <formula>0</formula>
    </cfRule>
  </conditionalFormatting>
  <conditionalFormatting sqref="H667">
    <cfRule type="cellIs" priority="1984" operator="greaterThan" aboveAverage="0" equalAverage="0" bottom="0" percent="0" rank="0" text="" dxfId="8">
      <formula>0</formula>
    </cfRule>
  </conditionalFormatting>
  <conditionalFormatting sqref="C668">
    <cfRule type="cellIs" priority="1985" operator="greaterThan" aboveAverage="0" equalAverage="0" bottom="0" percent="0" rank="0" text="" dxfId="8">
      <formula>0</formula>
    </cfRule>
  </conditionalFormatting>
  <conditionalFormatting sqref="G668">
    <cfRule type="cellIs" priority="1986" operator="greaterThan" aboveAverage="0" equalAverage="0" bottom="0" percent="0" rank="0" text="" dxfId="8">
      <formula>0</formula>
    </cfRule>
  </conditionalFormatting>
  <conditionalFormatting sqref="H668">
    <cfRule type="cellIs" priority="1987" operator="greaterThan" aboveAverage="0" equalAverage="0" bottom="0" percent="0" rank="0" text="" dxfId="8">
      <formula>0</formula>
    </cfRule>
  </conditionalFormatting>
  <conditionalFormatting sqref="C669">
    <cfRule type="cellIs" priority="1988" operator="greaterThan" aboveAverage="0" equalAverage="0" bottom="0" percent="0" rank="0" text="" dxfId="8">
      <formula>0</formula>
    </cfRule>
  </conditionalFormatting>
  <conditionalFormatting sqref="G669">
    <cfRule type="cellIs" priority="1989" operator="greaterThan" aboveAverage="0" equalAverage="0" bottom="0" percent="0" rank="0" text="" dxfId="8">
      <formula>0</formula>
    </cfRule>
  </conditionalFormatting>
  <conditionalFormatting sqref="H669">
    <cfRule type="cellIs" priority="1990" operator="greaterThan" aboveAverage="0" equalAverage="0" bottom="0" percent="0" rank="0" text="" dxfId="8">
      <formula>0</formula>
    </cfRule>
  </conditionalFormatting>
  <conditionalFormatting sqref="C670">
    <cfRule type="cellIs" priority="1991" operator="greaterThan" aboveAverage="0" equalAverage="0" bottom="0" percent="0" rank="0" text="" dxfId="8">
      <formula>0</formula>
    </cfRule>
  </conditionalFormatting>
  <conditionalFormatting sqref="G670">
    <cfRule type="cellIs" priority="1992" operator="greaterThan" aboveAverage="0" equalAverage="0" bottom="0" percent="0" rank="0" text="" dxfId="8">
      <formula>0</formula>
    </cfRule>
  </conditionalFormatting>
  <conditionalFormatting sqref="H670">
    <cfRule type="cellIs" priority="1993" operator="greaterThan" aboveAverage="0" equalAverage="0" bottom="0" percent="0" rank="0" text="" dxfId="8">
      <formula>0</formula>
    </cfRule>
  </conditionalFormatting>
  <conditionalFormatting sqref="C671">
    <cfRule type="cellIs" priority="1994" operator="greaterThan" aboveAverage="0" equalAverage="0" bottom="0" percent="0" rank="0" text="" dxfId="8">
      <formula>0</formula>
    </cfRule>
  </conditionalFormatting>
  <conditionalFormatting sqref="G671">
    <cfRule type="cellIs" priority="1995" operator="greaterThan" aboveAverage="0" equalAverage="0" bottom="0" percent="0" rank="0" text="" dxfId="8">
      <formula>0</formula>
    </cfRule>
  </conditionalFormatting>
  <conditionalFormatting sqref="H671">
    <cfRule type="cellIs" priority="1996" operator="greaterThan" aboveAverage="0" equalAverage="0" bottom="0" percent="0" rank="0" text="" dxfId="8">
      <formula>0</formula>
    </cfRule>
  </conditionalFormatting>
  <conditionalFormatting sqref="C672">
    <cfRule type="cellIs" priority="1997" operator="greaterThan" aboveAverage="0" equalAverage="0" bottom="0" percent="0" rank="0" text="" dxfId="8">
      <formula>0</formula>
    </cfRule>
  </conditionalFormatting>
  <conditionalFormatting sqref="G672">
    <cfRule type="cellIs" priority="1998" operator="greaterThan" aboveAverage="0" equalAverage="0" bottom="0" percent="0" rank="0" text="" dxfId="8">
      <formula>0</formula>
    </cfRule>
  </conditionalFormatting>
  <conditionalFormatting sqref="H672">
    <cfRule type="cellIs" priority="1999" operator="greaterThan" aboveAverage="0" equalAverage="0" bottom="0" percent="0" rank="0" text="" dxfId="8">
      <formula>0</formula>
    </cfRule>
  </conditionalFormatting>
  <conditionalFormatting sqref="C673">
    <cfRule type="cellIs" priority="2000" operator="greaterThan" aboveAverage="0" equalAverage="0" bottom="0" percent="0" rank="0" text="" dxfId="8">
      <formula>0</formula>
    </cfRule>
  </conditionalFormatting>
  <conditionalFormatting sqref="G673">
    <cfRule type="cellIs" priority="2001" operator="greaterThan" aboveAverage="0" equalAverage="0" bottom="0" percent="0" rank="0" text="" dxfId="8">
      <formula>0</formula>
    </cfRule>
  </conditionalFormatting>
  <conditionalFormatting sqref="H673">
    <cfRule type="cellIs" priority="2002" operator="greaterThan" aboveAverage="0" equalAverage="0" bottom="0" percent="0" rank="0" text="" dxfId="8">
      <formula>0</formula>
    </cfRule>
  </conditionalFormatting>
  <conditionalFormatting sqref="C674">
    <cfRule type="cellIs" priority="2003" operator="greaterThan" aboveAverage="0" equalAverage="0" bottom="0" percent="0" rank="0" text="" dxfId="8">
      <formula>0</formula>
    </cfRule>
  </conditionalFormatting>
  <conditionalFormatting sqref="G674">
    <cfRule type="cellIs" priority="2004" operator="greaterThan" aboveAverage="0" equalAverage="0" bottom="0" percent="0" rank="0" text="" dxfId="8">
      <formula>0</formula>
    </cfRule>
  </conditionalFormatting>
  <conditionalFormatting sqref="H674">
    <cfRule type="cellIs" priority="2005" operator="greaterThan" aboveAverage="0" equalAverage="0" bottom="0" percent="0" rank="0" text="" dxfId="8">
      <formula>0</formula>
    </cfRule>
  </conditionalFormatting>
  <conditionalFormatting sqref="C675">
    <cfRule type="cellIs" priority="2006" operator="greaterThan" aboveAverage="0" equalAverage="0" bottom="0" percent="0" rank="0" text="" dxfId="8">
      <formula>0</formula>
    </cfRule>
  </conditionalFormatting>
  <conditionalFormatting sqref="G675">
    <cfRule type="cellIs" priority="2007" operator="greaterThan" aboveAverage="0" equalAverage="0" bottom="0" percent="0" rank="0" text="" dxfId="8">
      <formula>0</formula>
    </cfRule>
  </conditionalFormatting>
  <conditionalFormatting sqref="H675">
    <cfRule type="cellIs" priority="2008" operator="greaterThan" aboveAverage="0" equalAverage="0" bottom="0" percent="0" rank="0" text="" dxfId="8">
      <formula>0</formula>
    </cfRule>
  </conditionalFormatting>
  <conditionalFormatting sqref="C676">
    <cfRule type="cellIs" priority="2009" operator="greaterThan" aboveAverage="0" equalAverage="0" bottom="0" percent="0" rank="0" text="" dxfId="8">
      <formula>0</formula>
    </cfRule>
  </conditionalFormatting>
  <conditionalFormatting sqref="G676">
    <cfRule type="cellIs" priority="2010" operator="greaterThan" aboveAverage="0" equalAverage="0" bottom="0" percent="0" rank="0" text="" dxfId="8">
      <formula>0</formula>
    </cfRule>
  </conditionalFormatting>
  <conditionalFormatting sqref="H676">
    <cfRule type="cellIs" priority="2011" operator="greaterThan" aboveAverage="0" equalAverage="0" bottom="0" percent="0" rank="0" text="" dxfId="8">
      <formula>0</formula>
    </cfRule>
  </conditionalFormatting>
  <conditionalFormatting sqref="C677">
    <cfRule type="cellIs" priority="2012" operator="greaterThan" aboveAverage="0" equalAverage="0" bottom="0" percent="0" rank="0" text="" dxfId="8">
      <formula>0</formula>
    </cfRule>
  </conditionalFormatting>
  <conditionalFormatting sqref="G677">
    <cfRule type="cellIs" priority="2013" operator="greaterThan" aboveAverage="0" equalAverage="0" bottom="0" percent="0" rank="0" text="" dxfId="8">
      <formula>0</formula>
    </cfRule>
  </conditionalFormatting>
  <conditionalFormatting sqref="H677">
    <cfRule type="cellIs" priority="2014" operator="greaterThan" aboveAverage="0" equalAverage="0" bottom="0" percent="0" rank="0" text="" dxfId="8">
      <formula>0</formula>
    </cfRule>
  </conditionalFormatting>
  <conditionalFormatting sqref="C678">
    <cfRule type="cellIs" priority="2015" operator="greaterThan" aboveAverage="0" equalAverage="0" bottom="0" percent="0" rank="0" text="" dxfId="8">
      <formula>0</formula>
    </cfRule>
  </conditionalFormatting>
  <conditionalFormatting sqref="G678">
    <cfRule type="cellIs" priority="2016" operator="greaterThan" aboveAverage="0" equalAverage="0" bottom="0" percent="0" rank="0" text="" dxfId="8">
      <formula>0</formula>
    </cfRule>
  </conditionalFormatting>
  <conditionalFormatting sqref="H678">
    <cfRule type="cellIs" priority="2017" operator="greaterThan" aboveAverage="0" equalAverage="0" bottom="0" percent="0" rank="0" text="" dxfId="8">
      <formula>0</formula>
    </cfRule>
  </conditionalFormatting>
  <conditionalFormatting sqref="C679">
    <cfRule type="cellIs" priority="2018" operator="greaterThan" aboveAverage="0" equalAverage="0" bottom="0" percent="0" rank="0" text="" dxfId="8">
      <formula>0</formula>
    </cfRule>
  </conditionalFormatting>
  <conditionalFormatting sqref="G679">
    <cfRule type="cellIs" priority="2019" operator="greaterThan" aboveAverage="0" equalAverage="0" bottom="0" percent="0" rank="0" text="" dxfId="8">
      <formula>0</formula>
    </cfRule>
  </conditionalFormatting>
  <conditionalFormatting sqref="H679">
    <cfRule type="cellIs" priority="2020" operator="greaterThan" aboveAverage="0" equalAverage="0" bottom="0" percent="0" rank="0" text="" dxfId="8">
      <formula>0</formula>
    </cfRule>
  </conditionalFormatting>
  <conditionalFormatting sqref="C680">
    <cfRule type="cellIs" priority="2021" operator="greaterThan" aboveAverage="0" equalAverage="0" bottom="0" percent="0" rank="0" text="" dxfId="8">
      <formula>0</formula>
    </cfRule>
  </conditionalFormatting>
  <conditionalFormatting sqref="G680">
    <cfRule type="cellIs" priority="2022" operator="greaterThan" aboveAverage="0" equalAverage="0" bottom="0" percent="0" rank="0" text="" dxfId="8">
      <formula>0</formula>
    </cfRule>
  </conditionalFormatting>
  <conditionalFormatting sqref="H680">
    <cfRule type="cellIs" priority="2023" operator="greaterThan" aboveAverage="0" equalAverage="0" bottom="0" percent="0" rank="0" text="" dxfId="8">
      <formula>0</formula>
    </cfRule>
  </conditionalFormatting>
  <conditionalFormatting sqref="C681">
    <cfRule type="cellIs" priority="2024" operator="greaterThan" aboveAverage="0" equalAverage="0" bottom="0" percent="0" rank="0" text="" dxfId="8">
      <formula>0</formula>
    </cfRule>
  </conditionalFormatting>
  <conditionalFormatting sqref="G681">
    <cfRule type="cellIs" priority="2025" operator="greaterThan" aboveAverage="0" equalAverage="0" bottom="0" percent="0" rank="0" text="" dxfId="8">
      <formula>0</formula>
    </cfRule>
  </conditionalFormatting>
  <conditionalFormatting sqref="H681">
    <cfRule type="cellIs" priority="2026" operator="greaterThan" aboveAverage="0" equalAverage="0" bottom="0" percent="0" rank="0" text="" dxfId="8">
      <formula>0</formula>
    </cfRule>
  </conditionalFormatting>
  <conditionalFormatting sqref="C682">
    <cfRule type="cellIs" priority="2027" operator="greaterThan" aboveAverage="0" equalAverage="0" bottom="0" percent="0" rank="0" text="" dxfId="8">
      <formula>0</formula>
    </cfRule>
  </conditionalFormatting>
  <conditionalFormatting sqref="G682">
    <cfRule type="cellIs" priority="2028" operator="greaterThan" aboveAverage="0" equalAverage="0" bottom="0" percent="0" rank="0" text="" dxfId="8">
      <formula>0</formula>
    </cfRule>
  </conditionalFormatting>
  <conditionalFormatting sqref="H682">
    <cfRule type="cellIs" priority="2029" operator="greaterThan" aboveAverage="0" equalAverage="0" bottom="0" percent="0" rank="0" text="" dxfId="8">
      <formula>0</formula>
    </cfRule>
  </conditionalFormatting>
  <conditionalFormatting sqref="C683">
    <cfRule type="cellIs" priority="2030" operator="greaterThan" aboveAverage="0" equalAverage="0" bottom="0" percent="0" rank="0" text="" dxfId="8">
      <formula>0</formula>
    </cfRule>
  </conditionalFormatting>
  <conditionalFormatting sqref="G683">
    <cfRule type="cellIs" priority="2031" operator="greaterThan" aboveAverage="0" equalAverage="0" bottom="0" percent="0" rank="0" text="" dxfId="8">
      <formula>0</formula>
    </cfRule>
  </conditionalFormatting>
  <conditionalFormatting sqref="H683">
    <cfRule type="cellIs" priority="2032" operator="greaterThan" aboveAverage="0" equalAverage="0" bottom="0" percent="0" rank="0" text="" dxfId="8">
      <formula>0</formula>
    </cfRule>
  </conditionalFormatting>
  <conditionalFormatting sqref="C684">
    <cfRule type="cellIs" priority="2033" operator="greaterThan" aboveAverage="0" equalAverage="0" bottom="0" percent="0" rank="0" text="" dxfId="8">
      <formula>0</formula>
    </cfRule>
  </conditionalFormatting>
  <conditionalFormatting sqref="G684">
    <cfRule type="cellIs" priority="2034" operator="greaterThan" aboveAverage="0" equalAverage="0" bottom="0" percent="0" rank="0" text="" dxfId="8">
      <formula>0</formula>
    </cfRule>
  </conditionalFormatting>
  <conditionalFormatting sqref="H684">
    <cfRule type="cellIs" priority="2035" operator="greaterThan" aboveAverage="0" equalAverage="0" bottom="0" percent="0" rank="0" text="" dxfId="8">
      <formula>0</formula>
    </cfRule>
  </conditionalFormatting>
  <conditionalFormatting sqref="C685">
    <cfRule type="cellIs" priority="2036" operator="greaterThan" aboveAverage="0" equalAverage="0" bottom="0" percent="0" rank="0" text="" dxfId="8">
      <formula>0</formula>
    </cfRule>
  </conditionalFormatting>
  <conditionalFormatting sqref="G685">
    <cfRule type="cellIs" priority="2037" operator="greaterThan" aboveAverage="0" equalAverage="0" bottom="0" percent="0" rank="0" text="" dxfId="8">
      <formula>0</formula>
    </cfRule>
  </conditionalFormatting>
  <conditionalFormatting sqref="H685">
    <cfRule type="cellIs" priority="2038" operator="greaterThan" aboveAverage="0" equalAverage="0" bottom="0" percent="0" rank="0" text="" dxfId="8">
      <formula>0</formula>
    </cfRule>
  </conditionalFormatting>
  <conditionalFormatting sqref="C686">
    <cfRule type="cellIs" priority="2039" operator="greaterThan" aboveAverage="0" equalAverage="0" bottom="0" percent="0" rank="0" text="" dxfId="8">
      <formula>0</formula>
    </cfRule>
  </conditionalFormatting>
  <conditionalFormatting sqref="G686">
    <cfRule type="cellIs" priority="2040" operator="greaterThan" aboveAverage="0" equalAverage="0" bottom="0" percent="0" rank="0" text="" dxfId="8">
      <formula>0</formula>
    </cfRule>
  </conditionalFormatting>
  <conditionalFormatting sqref="H686">
    <cfRule type="cellIs" priority="2041" operator="greaterThan" aboveAverage="0" equalAverage="0" bottom="0" percent="0" rank="0" text="" dxfId="8">
      <formula>0</formula>
    </cfRule>
  </conditionalFormatting>
  <conditionalFormatting sqref="C687">
    <cfRule type="cellIs" priority="2042" operator="greaterThan" aboveAverage="0" equalAverage="0" bottom="0" percent="0" rank="0" text="" dxfId="8">
      <formula>0</formula>
    </cfRule>
  </conditionalFormatting>
  <conditionalFormatting sqref="G687">
    <cfRule type="cellIs" priority="2043" operator="greaterThan" aboveAverage="0" equalAverage="0" bottom="0" percent="0" rank="0" text="" dxfId="8">
      <formula>0</formula>
    </cfRule>
  </conditionalFormatting>
  <conditionalFormatting sqref="H687">
    <cfRule type="cellIs" priority="2044" operator="greaterThan" aboveAverage="0" equalAverage="0" bottom="0" percent="0" rank="0" text="" dxfId="8">
      <formula>0</formula>
    </cfRule>
  </conditionalFormatting>
  <conditionalFormatting sqref="C688">
    <cfRule type="cellIs" priority="2045" operator="greaterThan" aboveAverage="0" equalAverage="0" bottom="0" percent="0" rank="0" text="" dxfId="8">
      <formula>0</formula>
    </cfRule>
  </conditionalFormatting>
  <conditionalFormatting sqref="G688">
    <cfRule type="cellIs" priority="2046" operator="greaterThan" aboveAverage="0" equalAverage="0" bottom="0" percent="0" rank="0" text="" dxfId="8">
      <formula>0</formula>
    </cfRule>
  </conditionalFormatting>
  <conditionalFormatting sqref="H688">
    <cfRule type="cellIs" priority="2047" operator="greaterThan" aboveAverage="0" equalAverage="0" bottom="0" percent="0" rank="0" text="" dxfId="8">
      <formula>0</formula>
    </cfRule>
  </conditionalFormatting>
  <conditionalFormatting sqref="C689">
    <cfRule type="cellIs" priority="2048" operator="greaterThan" aboveAverage="0" equalAverage="0" bottom="0" percent="0" rank="0" text="" dxfId="8">
      <formula>0</formula>
    </cfRule>
  </conditionalFormatting>
  <conditionalFormatting sqref="G689">
    <cfRule type="cellIs" priority="2049" operator="greaterThan" aboveAverage="0" equalAverage="0" bottom="0" percent="0" rank="0" text="" dxfId="8">
      <formula>0</formula>
    </cfRule>
  </conditionalFormatting>
  <conditionalFormatting sqref="H689">
    <cfRule type="cellIs" priority="2050" operator="greaterThan" aboveAverage="0" equalAverage="0" bottom="0" percent="0" rank="0" text="" dxfId="8">
      <formula>0</formula>
    </cfRule>
  </conditionalFormatting>
  <conditionalFormatting sqref="C690">
    <cfRule type="cellIs" priority="2051" operator="greaterThan" aboveAverage="0" equalAverage="0" bottom="0" percent="0" rank="0" text="" dxfId="8">
      <formula>0</formula>
    </cfRule>
  </conditionalFormatting>
  <conditionalFormatting sqref="G690">
    <cfRule type="cellIs" priority="2052" operator="greaterThan" aboveAverage="0" equalAverage="0" bottom="0" percent="0" rank="0" text="" dxfId="8">
      <formula>0</formula>
    </cfRule>
  </conditionalFormatting>
  <conditionalFormatting sqref="H690">
    <cfRule type="cellIs" priority="2053" operator="greaterThan" aboveAverage="0" equalAverage="0" bottom="0" percent="0" rank="0" text="" dxfId="8">
      <formula>0</formula>
    </cfRule>
  </conditionalFormatting>
  <conditionalFormatting sqref="C691">
    <cfRule type="cellIs" priority="2054" operator="greaterThan" aboveAverage="0" equalAverage="0" bottom="0" percent="0" rank="0" text="" dxfId="8">
      <formula>0</formula>
    </cfRule>
  </conditionalFormatting>
  <conditionalFormatting sqref="G691">
    <cfRule type="cellIs" priority="2055" operator="greaterThan" aboveAverage="0" equalAverage="0" bottom="0" percent="0" rank="0" text="" dxfId="8">
      <formula>0</formula>
    </cfRule>
  </conditionalFormatting>
  <conditionalFormatting sqref="H691">
    <cfRule type="cellIs" priority="2056" operator="greaterThan" aboveAverage="0" equalAverage="0" bottom="0" percent="0" rank="0" text="" dxfId="8">
      <formula>0</formula>
    </cfRule>
  </conditionalFormatting>
  <conditionalFormatting sqref="C692">
    <cfRule type="cellIs" priority="2057" operator="greaterThan" aboveAverage="0" equalAverage="0" bottom="0" percent="0" rank="0" text="" dxfId="8">
      <formula>0</formula>
    </cfRule>
  </conditionalFormatting>
  <conditionalFormatting sqref="G692">
    <cfRule type="cellIs" priority="2058" operator="greaterThan" aboveAverage="0" equalAverage="0" bottom="0" percent="0" rank="0" text="" dxfId="8">
      <formula>0</formula>
    </cfRule>
  </conditionalFormatting>
  <conditionalFormatting sqref="H692">
    <cfRule type="cellIs" priority="2059" operator="greaterThan" aboveAverage="0" equalAverage="0" bottom="0" percent="0" rank="0" text="" dxfId="8">
      <formula>0</formula>
    </cfRule>
  </conditionalFormatting>
  <conditionalFormatting sqref="C693">
    <cfRule type="cellIs" priority="2060" operator="greaterThan" aboveAverage="0" equalAverage="0" bottom="0" percent="0" rank="0" text="" dxfId="8">
      <formula>0</formula>
    </cfRule>
  </conditionalFormatting>
  <conditionalFormatting sqref="G693">
    <cfRule type="cellIs" priority="2061" operator="greaterThan" aboveAverage="0" equalAverage="0" bottom="0" percent="0" rank="0" text="" dxfId="8">
      <formula>0</formula>
    </cfRule>
  </conditionalFormatting>
  <conditionalFormatting sqref="H693">
    <cfRule type="cellIs" priority="2062" operator="greaterThan" aboveAverage="0" equalAverage="0" bottom="0" percent="0" rank="0" text="" dxfId="8">
      <formula>0</formula>
    </cfRule>
  </conditionalFormatting>
  <conditionalFormatting sqref="C694">
    <cfRule type="cellIs" priority="2063" operator="greaterThan" aboveAverage="0" equalAverage="0" bottom="0" percent="0" rank="0" text="" dxfId="8">
      <formula>0</formula>
    </cfRule>
  </conditionalFormatting>
  <conditionalFormatting sqref="G694">
    <cfRule type="cellIs" priority="2064" operator="greaterThan" aboveAverage="0" equalAverage="0" bottom="0" percent="0" rank="0" text="" dxfId="8">
      <formula>0</formula>
    </cfRule>
  </conditionalFormatting>
  <conditionalFormatting sqref="H694">
    <cfRule type="cellIs" priority="2065" operator="greaterThan" aboveAverage="0" equalAverage="0" bottom="0" percent="0" rank="0" text="" dxfId="8">
      <formula>0</formula>
    </cfRule>
  </conditionalFormatting>
  <conditionalFormatting sqref="C695">
    <cfRule type="cellIs" priority="2066" operator="greaterThan" aboveAverage="0" equalAverage="0" bottom="0" percent="0" rank="0" text="" dxfId="8">
      <formula>0</formula>
    </cfRule>
  </conditionalFormatting>
  <conditionalFormatting sqref="G695">
    <cfRule type="cellIs" priority="2067" operator="greaterThan" aboveAverage="0" equalAverage="0" bottom="0" percent="0" rank="0" text="" dxfId="8">
      <formula>0</formula>
    </cfRule>
  </conditionalFormatting>
  <conditionalFormatting sqref="H695">
    <cfRule type="cellIs" priority="2068" operator="greaterThan" aboveAverage="0" equalAverage="0" bottom="0" percent="0" rank="0" text="" dxfId="8">
      <formula>0</formula>
    </cfRule>
  </conditionalFormatting>
  <conditionalFormatting sqref="C696">
    <cfRule type="cellIs" priority="2069" operator="greaterThan" aboveAverage="0" equalAverage="0" bottom="0" percent="0" rank="0" text="" dxfId="8">
      <formula>0</formula>
    </cfRule>
  </conditionalFormatting>
  <conditionalFormatting sqref="G696">
    <cfRule type="cellIs" priority="2070" operator="greaterThan" aboveAverage="0" equalAverage="0" bottom="0" percent="0" rank="0" text="" dxfId="8">
      <formula>0</formula>
    </cfRule>
  </conditionalFormatting>
  <conditionalFormatting sqref="H696">
    <cfRule type="cellIs" priority="2071" operator="greaterThan" aboveAverage="0" equalAverage="0" bottom="0" percent="0" rank="0" text="" dxfId="8">
      <formula>0</formula>
    </cfRule>
  </conditionalFormatting>
  <conditionalFormatting sqref="C697">
    <cfRule type="cellIs" priority="2072" operator="greaterThan" aboveAverage="0" equalAverage="0" bottom="0" percent="0" rank="0" text="" dxfId="8">
      <formula>0</formula>
    </cfRule>
  </conditionalFormatting>
  <conditionalFormatting sqref="G697">
    <cfRule type="cellIs" priority="2073" operator="greaterThan" aboveAverage="0" equalAverage="0" bottom="0" percent="0" rank="0" text="" dxfId="8">
      <formula>0</formula>
    </cfRule>
  </conditionalFormatting>
  <conditionalFormatting sqref="H697">
    <cfRule type="cellIs" priority="2074" operator="greaterThan" aboveAverage="0" equalAverage="0" bottom="0" percent="0" rank="0" text="" dxfId="8">
      <formula>0</formula>
    </cfRule>
  </conditionalFormatting>
  <conditionalFormatting sqref="C698">
    <cfRule type="cellIs" priority="2075" operator="greaterThan" aboveAverage="0" equalAverage="0" bottom="0" percent="0" rank="0" text="" dxfId="8">
      <formula>0</formula>
    </cfRule>
  </conditionalFormatting>
  <conditionalFormatting sqref="G698">
    <cfRule type="cellIs" priority="2076" operator="greaterThan" aboveAverage="0" equalAverage="0" bottom="0" percent="0" rank="0" text="" dxfId="8">
      <formula>0</formula>
    </cfRule>
  </conditionalFormatting>
  <conditionalFormatting sqref="H698">
    <cfRule type="cellIs" priority="2077" operator="greaterThan" aboveAverage="0" equalAverage="0" bottom="0" percent="0" rank="0" text="" dxfId="8">
      <formula>0</formula>
    </cfRule>
  </conditionalFormatting>
  <conditionalFormatting sqref="C699">
    <cfRule type="cellIs" priority="2078" operator="greaterThan" aboveAverage="0" equalAverage="0" bottom="0" percent="0" rank="0" text="" dxfId="8">
      <formula>0</formula>
    </cfRule>
  </conditionalFormatting>
  <conditionalFormatting sqref="G699">
    <cfRule type="cellIs" priority="2079" operator="greaterThan" aboveAverage="0" equalAverage="0" bottom="0" percent="0" rank="0" text="" dxfId="8">
      <formula>0</formula>
    </cfRule>
  </conditionalFormatting>
  <conditionalFormatting sqref="H699">
    <cfRule type="cellIs" priority="2080" operator="greaterThan" aboveAverage="0" equalAverage="0" bottom="0" percent="0" rank="0" text="" dxfId="8">
      <formula>0</formula>
    </cfRule>
  </conditionalFormatting>
  <conditionalFormatting sqref="C700">
    <cfRule type="cellIs" priority="2081" operator="greaterThan" aboveAverage="0" equalAverage="0" bottom="0" percent="0" rank="0" text="" dxfId="8">
      <formula>0</formula>
    </cfRule>
  </conditionalFormatting>
  <conditionalFormatting sqref="G700">
    <cfRule type="cellIs" priority="2082" operator="greaterThan" aboveAverage="0" equalAverage="0" bottom="0" percent="0" rank="0" text="" dxfId="8">
      <formula>0</formula>
    </cfRule>
  </conditionalFormatting>
  <conditionalFormatting sqref="H700">
    <cfRule type="cellIs" priority="2083" operator="greaterThan" aboveAverage="0" equalAverage="0" bottom="0" percent="0" rank="0" text="" dxfId="8">
      <formula>0</formula>
    </cfRule>
  </conditionalFormatting>
  <conditionalFormatting sqref="C701">
    <cfRule type="cellIs" priority="2084" operator="greaterThan" aboveAverage="0" equalAverage="0" bottom="0" percent="0" rank="0" text="" dxfId="8">
      <formula>0</formula>
    </cfRule>
  </conditionalFormatting>
  <conditionalFormatting sqref="G701">
    <cfRule type="cellIs" priority="2085" operator="greaterThan" aboveAverage="0" equalAverage="0" bottom="0" percent="0" rank="0" text="" dxfId="8">
      <formula>0</formula>
    </cfRule>
  </conditionalFormatting>
  <conditionalFormatting sqref="H701">
    <cfRule type="cellIs" priority="2086" operator="greaterThan" aboveAverage="0" equalAverage="0" bottom="0" percent="0" rank="0" text="" dxfId="8">
      <formula>0</formula>
    </cfRule>
  </conditionalFormatting>
  <conditionalFormatting sqref="C702">
    <cfRule type="cellIs" priority="2087" operator="greaterThan" aboveAverage="0" equalAverage="0" bottom="0" percent="0" rank="0" text="" dxfId="8">
      <formula>0</formula>
    </cfRule>
  </conditionalFormatting>
  <conditionalFormatting sqref="G702">
    <cfRule type="cellIs" priority="2088" operator="greaterThan" aboveAverage="0" equalAverage="0" bottom="0" percent="0" rank="0" text="" dxfId="8">
      <formula>0</formula>
    </cfRule>
  </conditionalFormatting>
  <conditionalFormatting sqref="H702">
    <cfRule type="cellIs" priority="2089" operator="greaterThan" aboveAverage="0" equalAverage="0" bottom="0" percent="0" rank="0" text="" dxfId="8">
      <formula>0</formula>
    </cfRule>
  </conditionalFormatting>
  <conditionalFormatting sqref="C703">
    <cfRule type="cellIs" priority="2090" operator="greaterThan" aboveAverage="0" equalAverage="0" bottom="0" percent="0" rank="0" text="" dxfId="8">
      <formula>0</formula>
    </cfRule>
  </conditionalFormatting>
  <conditionalFormatting sqref="G703">
    <cfRule type="cellIs" priority="2091" operator="greaterThan" aboveAverage="0" equalAverage="0" bottom="0" percent="0" rank="0" text="" dxfId="8">
      <formula>0</formula>
    </cfRule>
  </conditionalFormatting>
  <conditionalFormatting sqref="H703">
    <cfRule type="cellIs" priority="2092" operator="greaterThan" aboveAverage="0" equalAverage="0" bottom="0" percent="0" rank="0" text="" dxfId="8">
      <formula>0</formula>
    </cfRule>
  </conditionalFormatting>
  <conditionalFormatting sqref="C704">
    <cfRule type="cellIs" priority="2093" operator="greaterThan" aboveAverage="0" equalAverage="0" bottom="0" percent="0" rank="0" text="" dxfId="8">
      <formula>0</formula>
    </cfRule>
  </conditionalFormatting>
  <conditionalFormatting sqref="G704">
    <cfRule type="cellIs" priority="2094" operator="greaterThan" aboveAverage="0" equalAverage="0" bottom="0" percent="0" rank="0" text="" dxfId="8">
      <formula>0</formula>
    </cfRule>
  </conditionalFormatting>
  <conditionalFormatting sqref="H704">
    <cfRule type="cellIs" priority="2095" operator="greaterThan" aboveAverage="0" equalAverage="0" bottom="0" percent="0" rank="0" text="" dxfId="8">
      <formula>0</formula>
    </cfRule>
  </conditionalFormatting>
  <conditionalFormatting sqref="C705">
    <cfRule type="cellIs" priority="2096" operator="greaterThan" aboveAverage="0" equalAverage="0" bottom="0" percent="0" rank="0" text="" dxfId="8">
      <formula>0</formula>
    </cfRule>
  </conditionalFormatting>
  <conditionalFormatting sqref="G705">
    <cfRule type="cellIs" priority="2097" operator="greaterThan" aboveAverage="0" equalAverage="0" bottom="0" percent="0" rank="0" text="" dxfId="8">
      <formula>0</formula>
    </cfRule>
  </conditionalFormatting>
  <conditionalFormatting sqref="H705">
    <cfRule type="cellIs" priority="2098" operator="greaterThan" aboveAverage="0" equalAverage="0" bottom="0" percent="0" rank="0" text="" dxfId="8">
      <formula>0</formula>
    </cfRule>
  </conditionalFormatting>
  <conditionalFormatting sqref="C706">
    <cfRule type="cellIs" priority="2099" operator="greaterThan" aboveAverage="0" equalAverage="0" bottom="0" percent="0" rank="0" text="" dxfId="8">
      <formula>0</formula>
    </cfRule>
  </conditionalFormatting>
  <conditionalFormatting sqref="G706">
    <cfRule type="cellIs" priority="2100" operator="greaterThan" aboveAverage="0" equalAverage="0" bottom="0" percent="0" rank="0" text="" dxfId="8">
      <formula>0</formula>
    </cfRule>
  </conditionalFormatting>
  <conditionalFormatting sqref="H706">
    <cfRule type="cellIs" priority="2101" operator="greaterThan" aboveAverage="0" equalAverage="0" bottom="0" percent="0" rank="0" text="" dxfId="8">
      <formula>0</formula>
    </cfRule>
  </conditionalFormatting>
  <conditionalFormatting sqref="C707">
    <cfRule type="cellIs" priority="2102" operator="greaterThan" aboveAverage="0" equalAverage="0" bottom="0" percent="0" rank="0" text="" dxfId="8">
      <formula>0</formula>
    </cfRule>
  </conditionalFormatting>
  <conditionalFormatting sqref="G707">
    <cfRule type="cellIs" priority="2103" operator="greaterThan" aboveAverage="0" equalAverage="0" bottom="0" percent="0" rank="0" text="" dxfId="8">
      <formula>0</formula>
    </cfRule>
  </conditionalFormatting>
  <conditionalFormatting sqref="H707">
    <cfRule type="cellIs" priority="2104" operator="greaterThan" aboveAverage="0" equalAverage="0" bottom="0" percent="0" rank="0" text="" dxfId="8">
      <formula>0</formula>
    </cfRule>
  </conditionalFormatting>
  <conditionalFormatting sqref="C708">
    <cfRule type="cellIs" priority="2105" operator="greaterThan" aboveAverage="0" equalAverage="0" bottom="0" percent="0" rank="0" text="" dxfId="8">
      <formula>0</formula>
    </cfRule>
  </conditionalFormatting>
  <conditionalFormatting sqref="G708">
    <cfRule type="cellIs" priority="2106" operator="greaterThan" aboveAverage="0" equalAverage="0" bottom="0" percent="0" rank="0" text="" dxfId="8">
      <formula>0</formula>
    </cfRule>
  </conditionalFormatting>
  <conditionalFormatting sqref="H708">
    <cfRule type="cellIs" priority="2107" operator="greaterThan" aboveAverage="0" equalAverage="0" bottom="0" percent="0" rank="0" text="" dxfId="8">
      <formula>0</formula>
    </cfRule>
  </conditionalFormatting>
  <conditionalFormatting sqref="C709">
    <cfRule type="cellIs" priority="2108" operator="greaterThan" aboveAverage="0" equalAverage="0" bottom="0" percent="0" rank="0" text="" dxfId="8">
      <formula>0</formula>
    </cfRule>
  </conditionalFormatting>
  <conditionalFormatting sqref="G709">
    <cfRule type="cellIs" priority="2109" operator="greaterThan" aboveAverage="0" equalAverage="0" bottom="0" percent="0" rank="0" text="" dxfId="8">
      <formula>0</formula>
    </cfRule>
  </conditionalFormatting>
  <conditionalFormatting sqref="H709">
    <cfRule type="cellIs" priority="2110" operator="greaterThan" aboveAverage="0" equalAverage="0" bottom="0" percent="0" rank="0" text="" dxfId="8">
      <formula>0</formula>
    </cfRule>
  </conditionalFormatting>
  <conditionalFormatting sqref="C710">
    <cfRule type="cellIs" priority="2111" operator="greaterThan" aboveAverage="0" equalAverage="0" bottom="0" percent="0" rank="0" text="" dxfId="8">
      <formula>0</formula>
    </cfRule>
  </conditionalFormatting>
  <conditionalFormatting sqref="G710">
    <cfRule type="cellIs" priority="2112" operator="greaterThan" aboveAverage="0" equalAverage="0" bottom="0" percent="0" rank="0" text="" dxfId="8">
      <formula>0</formula>
    </cfRule>
  </conditionalFormatting>
  <conditionalFormatting sqref="H710">
    <cfRule type="cellIs" priority="2113" operator="greaterThan" aboveAverage="0" equalAverage="0" bottom="0" percent="0" rank="0" text="" dxfId="8">
      <formula>0</formula>
    </cfRule>
  </conditionalFormatting>
  <conditionalFormatting sqref="C711">
    <cfRule type="cellIs" priority="2114" operator="greaterThan" aboveAverage="0" equalAverage="0" bottom="0" percent="0" rank="0" text="" dxfId="8">
      <formula>0</formula>
    </cfRule>
  </conditionalFormatting>
  <conditionalFormatting sqref="G711">
    <cfRule type="cellIs" priority="2115" operator="greaterThan" aboveAverage="0" equalAverage="0" bottom="0" percent="0" rank="0" text="" dxfId="8">
      <formula>0</formula>
    </cfRule>
  </conditionalFormatting>
  <conditionalFormatting sqref="H711">
    <cfRule type="cellIs" priority="2116" operator="greaterThan" aboveAverage="0" equalAverage="0" bottom="0" percent="0" rank="0" text="" dxfId="8">
      <formula>0</formula>
    </cfRule>
  </conditionalFormatting>
  <conditionalFormatting sqref="C712">
    <cfRule type="cellIs" priority="2117" operator="greaterThan" aboveAverage="0" equalAverage="0" bottom="0" percent="0" rank="0" text="" dxfId="8">
      <formula>0</formula>
    </cfRule>
  </conditionalFormatting>
  <conditionalFormatting sqref="G712">
    <cfRule type="cellIs" priority="2118" operator="greaterThan" aboveAverage="0" equalAverage="0" bottom="0" percent="0" rank="0" text="" dxfId="8">
      <formula>0</formula>
    </cfRule>
  </conditionalFormatting>
  <conditionalFormatting sqref="H712">
    <cfRule type="cellIs" priority="2119" operator="greaterThan" aboveAverage="0" equalAverage="0" bottom="0" percent="0" rank="0" text="" dxfId="8">
      <formula>0</formula>
    </cfRule>
  </conditionalFormatting>
  <conditionalFormatting sqref="C713">
    <cfRule type="cellIs" priority="2120" operator="greaterThan" aboveAverage="0" equalAverage="0" bottom="0" percent="0" rank="0" text="" dxfId="8">
      <formula>0</formula>
    </cfRule>
  </conditionalFormatting>
  <conditionalFormatting sqref="G713">
    <cfRule type="cellIs" priority="2121" operator="greaterThan" aboveAverage="0" equalAverage="0" bottom="0" percent="0" rank="0" text="" dxfId="8">
      <formula>0</formula>
    </cfRule>
  </conditionalFormatting>
  <conditionalFormatting sqref="H713">
    <cfRule type="cellIs" priority="2122" operator="greaterThan" aboveAverage="0" equalAverage="0" bottom="0" percent="0" rank="0" text="" dxfId="8">
      <formula>0</formula>
    </cfRule>
  </conditionalFormatting>
  <conditionalFormatting sqref="C714">
    <cfRule type="cellIs" priority="2123" operator="greaterThan" aboveAverage="0" equalAverage="0" bottom="0" percent="0" rank="0" text="" dxfId="8">
      <formula>0</formula>
    </cfRule>
  </conditionalFormatting>
  <conditionalFormatting sqref="G714">
    <cfRule type="cellIs" priority="2124" operator="greaterThan" aboveAverage="0" equalAverage="0" bottom="0" percent="0" rank="0" text="" dxfId="8">
      <formula>0</formula>
    </cfRule>
  </conditionalFormatting>
  <conditionalFormatting sqref="H714">
    <cfRule type="cellIs" priority="2125" operator="greaterThan" aboveAverage="0" equalAverage="0" bottom="0" percent="0" rank="0" text="" dxfId="8">
      <formula>0</formula>
    </cfRule>
  </conditionalFormatting>
  <conditionalFormatting sqref="C715">
    <cfRule type="cellIs" priority="2126" operator="greaterThan" aboveAverage="0" equalAverage="0" bottom="0" percent="0" rank="0" text="" dxfId="8">
      <formula>0</formula>
    </cfRule>
  </conditionalFormatting>
  <conditionalFormatting sqref="G715">
    <cfRule type="cellIs" priority="2127" operator="greaterThan" aboveAverage="0" equalAverage="0" bottom="0" percent="0" rank="0" text="" dxfId="8">
      <formula>0</formula>
    </cfRule>
  </conditionalFormatting>
  <conditionalFormatting sqref="H715">
    <cfRule type="cellIs" priority="2128" operator="greaterThan" aboveAverage="0" equalAverage="0" bottom="0" percent="0" rank="0" text="" dxfId="8">
      <formula>0</formula>
    </cfRule>
  </conditionalFormatting>
  <conditionalFormatting sqref="C716">
    <cfRule type="cellIs" priority="2129" operator="greaterThan" aboveAverage="0" equalAverage="0" bottom="0" percent="0" rank="0" text="" dxfId="8">
      <formula>0</formula>
    </cfRule>
  </conditionalFormatting>
  <conditionalFormatting sqref="G716">
    <cfRule type="cellIs" priority="2130" operator="greaterThan" aboveAverage="0" equalAverage="0" bottom="0" percent="0" rank="0" text="" dxfId="8">
      <formula>0</formula>
    </cfRule>
  </conditionalFormatting>
  <conditionalFormatting sqref="H716">
    <cfRule type="cellIs" priority="2131" operator="greaterThan" aboveAverage="0" equalAverage="0" bottom="0" percent="0" rank="0" text="" dxfId="8">
      <formula>0</formula>
    </cfRule>
  </conditionalFormatting>
  <conditionalFormatting sqref="C717">
    <cfRule type="cellIs" priority="2132" operator="greaterThan" aboveAverage="0" equalAverage="0" bottom="0" percent="0" rank="0" text="" dxfId="8">
      <formula>0</formula>
    </cfRule>
  </conditionalFormatting>
  <conditionalFormatting sqref="G717">
    <cfRule type="cellIs" priority="2133" operator="greaterThan" aboveAverage="0" equalAverage="0" bottom="0" percent="0" rank="0" text="" dxfId="8">
      <formula>0</formula>
    </cfRule>
  </conditionalFormatting>
  <conditionalFormatting sqref="H717">
    <cfRule type="cellIs" priority="2134" operator="greaterThan" aboveAverage="0" equalAverage="0" bottom="0" percent="0" rank="0" text="" dxfId="8">
      <formula>0</formula>
    </cfRule>
  </conditionalFormatting>
  <conditionalFormatting sqref="C718">
    <cfRule type="cellIs" priority="2135" operator="greaterThan" aboveAverage="0" equalAverage="0" bottom="0" percent="0" rank="0" text="" dxfId="8">
      <formula>0</formula>
    </cfRule>
  </conditionalFormatting>
  <conditionalFormatting sqref="G718">
    <cfRule type="cellIs" priority="2136" operator="greaterThan" aboveAverage="0" equalAverage="0" bottom="0" percent="0" rank="0" text="" dxfId="8">
      <formula>0</formula>
    </cfRule>
  </conditionalFormatting>
  <conditionalFormatting sqref="H718">
    <cfRule type="cellIs" priority="2137" operator="greaterThan" aboveAverage="0" equalAverage="0" bottom="0" percent="0" rank="0" text="" dxfId="8">
      <formula>0</formula>
    </cfRule>
  </conditionalFormatting>
  <conditionalFormatting sqref="C719">
    <cfRule type="cellIs" priority="2138" operator="greaterThan" aboveAverage="0" equalAverage="0" bottom="0" percent="0" rank="0" text="" dxfId="8">
      <formula>0</formula>
    </cfRule>
  </conditionalFormatting>
  <conditionalFormatting sqref="G719">
    <cfRule type="cellIs" priority="2139" operator="greaterThan" aboveAverage="0" equalAverage="0" bottom="0" percent="0" rank="0" text="" dxfId="8">
      <formula>0</formula>
    </cfRule>
  </conditionalFormatting>
  <conditionalFormatting sqref="H719">
    <cfRule type="cellIs" priority="2140" operator="greaterThan" aboveAverage="0" equalAverage="0" bottom="0" percent="0" rank="0" text="" dxfId="8">
      <formula>0</formula>
    </cfRule>
  </conditionalFormatting>
  <conditionalFormatting sqref="C720">
    <cfRule type="cellIs" priority="2141" operator="greaterThan" aboveAverage="0" equalAverage="0" bottom="0" percent="0" rank="0" text="" dxfId="8">
      <formula>0</formula>
    </cfRule>
  </conditionalFormatting>
  <conditionalFormatting sqref="G720">
    <cfRule type="cellIs" priority="2142" operator="greaterThan" aboveAverage="0" equalAverage="0" bottom="0" percent="0" rank="0" text="" dxfId="8">
      <formula>0</formula>
    </cfRule>
  </conditionalFormatting>
  <conditionalFormatting sqref="H720">
    <cfRule type="cellIs" priority="2143" operator="greaterThan" aboveAverage="0" equalAverage="0" bottom="0" percent="0" rank="0" text="" dxfId="8">
      <formula>0</formula>
    </cfRule>
  </conditionalFormatting>
  <conditionalFormatting sqref="C721">
    <cfRule type="cellIs" priority="2144" operator="greaterThan" aboveAverage="0" equalAverage="0" bottom="0" percent="0" rank="0" text="" dxfId="8">
      <formula>0</formula>
    </cfRule>
  </conditionalFormatting>
  <conditionalFormatting sqref="G721">
    <cfRule type="cellIs" priority="2145" operator="greaterThan" aboveAverage="0" equalAverage="0" bottom="0" percent="0" rank="0" text="" dxfId="8">
      <formula>0</formula>
    </cfRule>
  </conditionalFormatting>
  <conditionalFormatting sqref="H721">
    <cfRule type="cellIs" priority="2146" operator="greaterThan" aboveAverage="0" equalAverage="0" bottom="0" percent="0" rank="0" text="" dxfId="8">
      <formula>0</formula>
    </cfRule>
  </conditionalFormatting>
  <conditionalFormatting sqref="C722">
    <cfRule type="cellIs" priority="2147" operator="greaterThan" aboveAverage="0" equalAverage="0" bottom="0" percent="0" rank="0" text="" dxfId="8">
      <formula>0</formula>
    </cfRule>
  </conditionalFormatting>
  <conditionalFormatting sqref="G722">
    <cfRule type="cellIs" priority="2148" operator="greaterThan" aboveAverage="0" equalAverage="0" bottom="0" percent="0" rank="0" text="" dxfId="8">
      <formula>0</formula>
    </cfRule>
  </conditionalFormatting>
  <conditionalFormatting sqref="H722">
    <cfRule type="cellIs" priority="2149" operator="greaterThan" aboveAverage="0" equalAverage="0" bottom="0" percent="0" rank="0" text="" dxfId="8">
      <formula>0</formula>
    </cfRule>
  </conditionalFormatting>
  <conditionalFormatting sqref="C723">
    <cfRule type="cellIs" priority="2150" operator="greaterThan" aboveAverage="0" equalAverage="0" bottom="0" percent="0" rank="0" text="" dxfId="8">
      <formula>0</formula>
    </cfRule>
  </conditionalFormatting>
  <conditionalFormatting sqref="G723">
    <cfRule type="cellIs" priority="2151" operator="greaterThan" aboveAverage="0" equalAverage="0" bottom="0" percent="0" rank="0" text="" dxfId="8">
      <formula>0</formula>
    </cfRule>
  </conditionalFormatting>
  <conditionalFormatting sqref="H723">
    <cfRule type="cellIs" priority="2152" operator="greaterThan" aboveAverage="0" equalAverage="0" bottom="0" percent="0" rank="0" text="" dxfId="8">
      <formula>0</formula>
    </cfRule>
  </conditionalFormatting>
  <conditionalFormatting sqref="C724">
    <cfRule type="cellIs" priority="2153" operator="greaterThan" aboveAverage="0" equalAverage="0" bottom="0" percent="0" rank="0" text="" dxfId="8">
      <formula>0</formula>
    </cfRule>
  </conditionalFormatting>
  <conditionalFormatting sqref="G724">
    <cfRule type="cellIs" priority="2154" operator="greaterThan" aboveAverage="0" equalAverage="0" bottom="0" percent="0" rank="0" text="" dxfId="8">
      <formula>0</formula>
    </cfRule>
  </conditionalFormatting>
  <conditionalFormatting sqref="H724">
    <cfRule type="cellIs" priority="2155" operator="greaterThan" aboveAverage="0" equalAverage="0" bottom="0" percent="0" rank="0" text="" dxfId="8">
      <formula>0</formula>
    </cfRule>
  </conditionalFormatting>
  <conditionalFormatting sqref="C725">
    <cfRule type="cellIs" priority="2156" operator="greaterThan" aboveAverage="0" equalAverage="0" bottom="0" percent="0" rank="0" text="" dxfId="8">
      <formula>0</formula>
    </cfRule>
  </conditionalFormatting>
  <conditionalFormatting sqref="G725">
    <cfRule type="cellIs" priority="2157" operator="greaterThan" aboveAverage="0" equalAverage="0" bottom="0" percent="0" rank="0" text="" dxfId="8">
      <formula>0</formula>
    </cfRule>
  </conditionalFormatting>
  <conditionalFormatting sqref="H725">
    <cfRule type="cellIs" priority="2158" operator="greaterThan" aboveAverage="0" equalAverage="0" bottom="0" percent="0" rank="0" text="" dxfId="8">
      <formula>0</formula>
    </cfRule>
  </conditionalFormatting>
  <conditionalFormatting sqref="C726">
    <cfRule type="cellIs" priority="2159" operator="greaterThan" aboveAverage="0" equalAverage="0" bottom="0" percent="0" rank="0" text="" dxfId="8">
      <formula>0</formula>
    </cfRule>
  </conditionalFormatting>
  <conditionalFormatting sqref="G726">
    <cfRule type="cellIs" priority="2160" operator="greaterThan" aboveAverage="0" equalAverage="0" bottom="0" percent="0" rank="0" text="" dxfId="8">
      <formula>0</formula>
    </cfRule>
  </conditionalFormatting>
  <conditionalFormatting sqref="H726">
    <cfRule type="cellIs" priority="2161" operator="greaterThan" aboveAverage="0" equalAverage="0" bottom="0" percent="0" rank="0" text="" dxfId="8">
      <formula>0</formula>
    </cfRule>
  </conditionalFormatting>
  <conditionalFormatting sqref="C727">
    <cfRule type="cellIs" priority="2162" operator="greaterThan" aboveAverage="0" equalAverage="0" bottom="0" percent="0" rank="0" text="" dxfId="8">
      <formula>0</formula>
    </cfRule>
  </conditionalFormatting>
  <conditionalFormatting sqref="G727">
    <cfRule type="cellIs" priority="2163" operator="greaterThan" aboveAverage="0" equalAverage="0" bottom="0" percent="0" rank="0" text="" dxfId="8">
      <formula>0</formula>
    </cfRule>
  </conditionalFormatting>
  <conditionalFormatting sqref="H727">
    <cfRule type="cellIs" priority="2164" operator="greaterThan" aboveAverage="0" equalAverage="0" bottom="0" percent="0" rank="0" text="" dxfId="8">
      <formula>0</formula>
    </cfRule>
  </conditionalFormatting>
  <conditionalFormatting sqref="C728">
    <cfRule type="cellIs" priority="2165" operator="greaterThan" aboveAverage="0" equalAverage="0" bottom="0" percent="0" rank="0" text="" dxfId="8">
      <formula>0</formula>
    </cfRule>
  </conditionalFormatting>
  <conditionalFormatting sqref="G728">
    <cfRule type="cellIs" priority="2166" operator="greaterThan" aboveAverage="0" equalAverage="0" bottom="0" percent="0" rank="0" text="" dxfId="8">
      <formula>0</formula>
    </cfRule>
  </conditionalFormatting>
  <conditionalFormatting sqref="H728">
    <cfRule type="cellIs" priority="2167" operator="greaterThan" aboveAverage="0" equalAverage="0" bottom="0" percent="0" rank="0" text="" dxfId="8">
      <formula>0</formula>
    </cfRule>
  </conditionalFormatting>
  <conditionalFormatting sqref="C729">
    <cfRule type="cellIs" priority="2168" operator="greaterThan" aboveAverage="0" equalAverage="0" bottom="0" percent="0" rank="0" text="" dxfId="8">
      <formula>0</formula>
    </cfRule>
  </conditionalFormatting>
  <conditionalFormatting sqref="G729">
    <cfRule type="cellIs" priority="2169" operator="greaterThan" aboveAverage="0" equalAverage="0" bottom="0" percent="0" rank="0" text="" dxfId="8">
      <formula>0</formula>
    </cfRule>
  </conditionalFormatting>
  <conditionalFormatting sqref="H729">
    <cfRule type="cellIs" priority="2170" operator="greaterThan" aboveAverage="0" equalAverage="0" bottom="0" percent="0" rank="0" text="" dxfId="8">
      <formula>0</formula>
    </cfRule>
  </conditionalFormatting>
  <conditionalFormatting sqref="C730">
    <cfRule type="cellIs" priority="2171" operator="greaterThan" aboveAverage="0" equalAverage="0" bottom="0" percent="0" rank="0" text="" dxfId="8">
      <formula>0</formula>
    </cfRule>
  </conditionalFormatting>
  <conditionalFormatting sqref="G730">
    <cfRule type="cellIs" priority="2172" operator="greaterThan" aboveAverage="0" equalAverage="0" bottom="0" percent="0" rank="0" text="" dxfId="8">
      <formula>0</formula>
    </cfRule>
  </conditionalFormatting>
  <conditionalFormatting sqref="H730">
    <cfRule type="cellIs" priority="2173" operator="greaterThan" aboveAverage="0" equalAverage="0" bottom="0" percent="0" rank="0" text="" dxfId="8">
      <formula>0</formula>
    </cfRule>
  </conditionalFormatting>
  <conditionalFormatting sqref="C731">
    <cfRule type="cellIs" priority="2174" operator="greaterThan" aboveAverage="0" equalAverage="0" bottom="0" percent="0" rank="0" text="" dxfId="8">
      <formula>0</formula>
    </cfRule>
  </conditionalFormatting>
  <conditionalFormatting sqref="G731">
    <cfRule type="cellIs" priority="2175" operator="greaterThan" aboveAverage="0" equalAverage="0" bottom="0" percent="0" rank="0" text="" dxfId="8">
      <formula>0</formula>
    </cfRule>
  </conditionalFormatting>
  <conditionalFormatting sqref="H731">
    <cfRule type="cellIs" priority="2176" operator="greaterThan" aboveAverage="0" equalAverage="0" bottom="0" percent="0" rank="0" text="" dxfId="8">
      <formula>0</formula>
    </cfRule>
  </conditionalFormatting>
  <conditionalFormatting sqref="C732">
    <cfRule type="cellIs" priority="2177" operator="greaterThan" aboveAverage="0" equalAverage="0" bottom="0" percent="0" rank="0" text="" dxfId="8">
      <formula>0</formula>
    </cfRule>
  </conditionalFormatting>
  <conditionalFormatting sqref="G732">
    <cfRule type="cellIs" priority="2178" operator="greaterThan" aboveAverage="0" equalAverage="0" bottom="0" percent="0" rank="0" text="" dxfId="8">
      <formula>0</formula>
    </cfRule>
  </conditionalFormatting>
  <conditionalFormatting sqref="H732">
    <cfRule type="cellIs" priority="2179" operator="greaterThan" aboveAverage="0" equalAverage="0" bottom="0" percent="0" rank="0" text="" dxfId="8">
      <formula>0</formula>
    </cfRule>
  </conditionalFormatting>
  <conditionalFormatting sqref="C733">
    <cfRule type="cellIs" priority="2180" operator="greaterThan" aboveAverage="0" equalAverage="0" bottom="0" percent="0" rank="0" text="" dxfId="8">
      <formula>0</formula>
    </cfRule>
  </conditionalFormatting>
  <conditionalFormatting sqref="G733">
    <cfRule type="cellIs" priority="2181" operator="greaterThan" aboveAverage="0" equalAverage="0" bottom="0" percent="0" rank="0" text="" dxfId="8">
      <formula>0</formula>
    </cfRule>
  </conditionalFormatting>
  <conditionalFormatting sqref="H733">
    <cfRule type="cellIs" priority="2182" operator="greaterThan" aboveAverage="0" equalAverage="0" bottom="0" percent="0" rank="0" text="" dxfId="8">
      <formula>0</formula>
    </cfRule>
  </conditionalFormatting>
  <conditionalFormatting sqref="C734">
    <cfRule type="cellIs" priority="2183" operator="greaterThan" aboveAverage="0" equalAverage="0" bottom="0" percent="0" rank="0" text="" dxfId="8">
      <formula>0</formula>
    </cfRule>
  </conditionalFormatting>
  <conditionalFormatting sqref="G734">
    <cfRule type="cellIs" priority="2184" operator="greaterThan" aboveAverage="0" equalAverage="0" bottom="0" percent="0" rank="0" text="" dxfId="8">
      <formula>0</formula>
    </cfRule>
  </conditionalFormatting>
  <conditionalFormatting sqref="H734">
    <cfRule type="cellIs" priority="2185" operator="greaterThan" aboveAverage="0" equalAverage="0" bottom="0" percent="0" rank="0" text="" dxfId="8">
      <formula>0</formula>
    </cfRule>
  </conditionalFormatting>
  <conditionalFormatting sqref="C735">
    <cfRule type="cellIs" priority="2186" operator="greaterThan" aboveAverage="0" equalAverage="0" bottom="0" percent="0" rank="0" text="" dxfId="8">
      <formula>0</formula>
    </cfRule>
  </conditionalFormatting>
  <conditionalFormatting sqref="G735">
    <cfRule type="cellIs" priority="2187" operator="greaterThan" aboveAverage="0" equalAverage="0" bottom="0" percent="0" rank="0" text="" dxfId="8">
      <formula>0</formula>
    </cfRule>
  </conditionalFormatting>
  <conditionalFormatting sqref="H735">
    <cfRule type="cellIs" priority="2188" operator="greaterThan" aboveAverage="0" equalAverage="0" bottom="0" percent="0" rank="0" text="" dxfId="8">
      <formula>0</formula>
    </cfRule>
  </conditionalFormatting>
  <conditionalFormatting sqref="C736">
    <cfRule type="cellIs" priority="2189" operator="greaterThan" aboveAverage="0" equalAverage="0" bottom="0" percent="0" rank="0" text="" dxfId="8">
      <formula>0</formula>
    </cfRule>
  </conditionalFormatting>
  <conditionalFormatting sqref="G736">
    <cfRule type="cellIs" priority="2190" operator="greaterThan" aboveAverage="0" equalAverage="0" bottom="0" percent="0" rank="0" text="" dxfId="8">
      <formula>0</formula>
    </cfRule>
  </conditionalFormatting>
  <conditionalFormatting sqref="H736">
    <cfRule type="cellIs" priority="2191" operator="greaterThan" aboveAverage="0" equalAverage="0" bottom="0" percent="0" rank="0" text="" dxfId="8">
      <formula>0</formula>
    </cfRule>
  </conditionalFormatting>
  <conditionalFormatting sqref="C737">
    <cfRule type="cellIs" priority="2192" operator="greaterThan" aboveAverage="0" equalAverage="0" bottom="0" percent="0" rank="0" text="" dxfId="8">
      <formula>0</formula>
    </cfRule>
  </conditionalFormatting>
  <conditionalFormatting sqref="G737">
    <cfRule type="cellIs" priority="2193" operator="greaterThan" aboveAverage="0" equalAverage="0" bottom="0" percent="0" rank="0" text="" dxfId="8">
      <formula>0</formula>
    </cfRule>
  </conditionalFormatting>
  <conditionalFormatting sqref="H737">
    <cfRule type="cellIs" priority="2194" operator="greaterThan" aboveAverage="0" equalAverage="0" bottom="0" percent="0" rank="0" text="" dxfId="8">
      <formula>0</formula>
    </cfRule>
  </conditionalFormatting>
  <conditionalFormatting sqref="C738">
    <cfRule type="cellIs" priority="2195" operator="greaterThan" aboveAverage="0" equalAverage="0" bottom="0" percent="0" rank="0" text="" dxfId="8">
      <formula>0</formula>
    </cfRule>
  </conditionalFormatting>
  <conditionalFormatting sqref="G738">
    <cfRule type="cellIs" priority="2196" operator="greaterThan" aboveAverage="0" equalAverage="0" bottom="0" percent="0" rank="0" text="" dxfId="8">
      <formula>0</formula>
    </cfRule>
  </conditionalFormatting>
  <conditionalFormatting sqref="H738">
    <cfRule type="cellIs" priority="2197" operator="greaterThan" aboveAverage="0" equalAverage="0" bottom="0" percent="0" rank="0" text="" dxfId="8">
      <formula>0</formula>
    </cfRule>
  </conditionalFormatting>
  <conditionalFormatting sqref="C739">
    <cfRule type="cellIs" priority="2198" operator="greaterThan" aboveAverage="0" equalAverage="0" bottom="0" percent="0" rank="0" text="" dxfId="8">
      <formula>0</formula>
    </cfRule>
  </conditionalFormatting>
  <conditionalFormatting sqref="G739">
    <cfRule type="cellIs" priority="2199" operator="greaterThan" aboveAverage="0" equalAverage="0" bottom="0" percent="0" rank="0" text="" dxfId="8">
      <formula>0</formula>
    </cfRule>
  </conditionalFormatting>
  <conditionalFormatting sqref="H739">
    <cfRule type="cellIs" priority="2200" operator="greaterThan" aboveAverage="0" equalAverage="0" bottom="0" percent="0" rank="0" text="" dxfId="8">
      <formula>0</formula>
    </cfRule>
  </conditionalFormatting>
  <conditionalFormatting sqref="C740">
    <cfRule type="cellIs" priority="2201" operator="greaterThan" aboveAverage="0" equalAverage="0" bottom="0" percent="0" rank="0" text="" dxfId="8">
      <formula>0</formula>
    </cfRule>
  </conditionalFormatting>
  <conditionalFormatting sqref="G740">
    <cfRule type="cellIs" priority="2202" operator="greaterThan" aboveAverage="0" equalAverage="0" bottom="0" percent="0" rank="0" text="" dxfId="8">
      <formula>0</formula>
    </cfRule>
  </conditionalFormatting>
  <conditionalFormatting sqref="H740">
    <cfRule type="cellIs" priority="2203" operator="greaterThan" aboveAverage="0" equalAverage="0" bottom="0" percent="0" rank="0" text="" dxfId="8">
      <formula>0</formula>
    </cfRule>
  </conditionalFormatting>
  <conditionalFormatting sqref="C741">
    <cfRule type="cellIs" priority="2204" operator="greaterThan" aboveAverage="0" equalAverage="0" bottom="0" percent="0" rank="0" text="" dxfId="8">
      <formula>0</formula>
    </cfRule>
  </conditionalFormatting>
  <conditionalFormatting sqref="G741">
    <cfRule type="cellIs" priority="2205" operator="greaterThan" aboveAverage="0" equalAverage="0" bottom="0" percent="0" rank="0" text="" dxfId="8">
      <formula>0</formula>
    </cfRule>
  </conditionalFormatting>
  <conditionalFormatting sqref="H741">
    <cfRule type="cellIs" priority="2206" operator="greaterThan" aboveAverage="0" equalAverage="0" bottom="0" percent="0" rank="0" text="" dxfId="8">
      <formula>0</formula>
    </cfRule>
  </conditionalFormatting>
  <conditionalFormatting sqref="C742">
    <cfRule type="cellIs" priority="2207" operator="greaterThan" aboveAverage="0" equalAverage="0" bottom="0" percent="0" rank="0" text="" dxfId="8">
      <formula>0</formula>
    </cfRule>
  </conditionalFormatting>
  <conditionalFormatting sqref="G742">
    <cfRule type="cellIs" priority="2208" operator="greaterThan" aboveAverage="0" equalAverage="0" bottom="0" percent="0" rank="0" text="" dxfId="8">
      <formula>0</formula>
    </cfRule>
  </conditionalFormatting>
  <conditionalFormatting sqref="H742">
    <cfRule type="cellIs" priority="2209" operator="greaterThan" aboveAverage="0" equalAverage="0" bottom="0" percent="0" rank="0" text="" dxfId="8">
      <formula>0</formula>
    </cfRule>
  </conditionalFormatting>
  <conditionalFormatting sqref="C743">
    <cfRule type="cellIs" priority="2210" operator="greaterThan" aboveAverage="0" equalAverage="0" bottom="0" percent="0" rank="0" text="" dxfId="8">
      <formula>0</formula>
    </cfRule>
  </conditionalFormatting>
  <conditionalFormatting sqref="G743">
    <cfRule type="cellIs" priority="2211" operator="greaterThan" aboveAverage="0" equalAverage="0" bottom="0" percent="0" rank="0" text="" dxfId="8">
      <formula>0</formula>
    </cfRule>
  </conditionalFormatting>
  <conditionalFormatting sqref="H743">
    <cfRule type="cellIs" priority="2212" operator="greaterThan" aboveAverage="0" equalAverage="0" bottom="0" percent="0" rank="0" text="" dxfId="8">
      <formula>0</formula>
    </cfRule>
  </conditionalFormatting>
  <conditionalFormatting sqref="C744">
    <cfRule type="cellIs" priority="2213" operator="greaterThan" aboveAverage="0" equalAverage="0" bottom="0" percent="0" rank="0" text="" dxfId="8">
      <formula>0</formula>
    </cfRule>
  </conditionalFormatting>
  <conditionalFormatting sqref="G744">
    <cfRule type="cellIs" priority="2214" operator="greaterThan" aboveAverage="0" equalAverage="0" bottom="0" percent="0" rank="0" text="" dxfId="8">
      <formula>0</formula>
    </cfRule>
  </conditionalFormatting>
  <conditionalFormatting sqref="H744">
    <cfRule type="cellIs" priority="2215" operator="greaterThan" aboveAverage="0" equalAverage="0" bottom="0" percent="0" rank="0" text="" dxfId="8">
      <formula>0</formula>
    </cfRule>
  </conditionalFormatting>
  <conditionalFormatting sqref="C745">
    <cfRule type="cellIs" priority="2216" operator="greaterThan" aboveAverage="0" equalAverage="0" bottom="0" percent="0" rank="0" text="" dxfId="8">
      <formula>0</formula>
    </cfRule>
  </conditionalFormatting>
  <conditionalFormatting sqref="G745">
    <cfRule type="cellIs" priority="2217" operator="greaterThan" aboveAverage="0" equalAverage="0" bottom="0" percent="0" rank="0" text="" dxfId="8">
      <formula>0</formula>
    </cfRule>
  </conditionalFormatting>
  <conditionalFormatting sqref="H745">
    <cfRule type="cellIs" priority="2218" operator="greaterThan" aboveAverage="0" equalAverage="0" bottom="0" percent="0" rank="0" text="" dxfId="8">
      <formula>0</formula>
    </cfRule>
  </conditionalFormatting>
  <conditionalFormatting sqref="C746">
    <cfRule type="cellIs" priority="2219" operator="greaterThan" aboveAverage="0" equalAverage="0" bottom="0" percent="0" rank="0" text="" dxfId="8">
      <formula>0</formula>
    </cfRule>
  </conditionalFormatting>
  <conditionalFormatting sqref="G746">
    <cfRule type="cellIs" priority="2220" operator="greaterThan" aboveAverage="0" equalAverage="0" bottom="0" percent="0" rank="0" text="" dxfId="8">
      <formula>0</formula>
    </cfRule>
  </conditionalFormatting>
  <conditionalFormatting sqref="H746">
    <cfRule type="cellIs" priority="2221" operator="greaterThan" aboveAverage="0" equalAverage="0" bottom="0" percent="0" rank="0" text="" dxfId="8">
      <formula>0</formula>
    </cfRule>
  </conditionalFormatting>
  <conditionalFormatting sqref="C747">
    <cfRule type="cellIs" priority="2222" operator="greaterThan" aboveAverage="0" equalAverage="0" bottom="0" percent="0" rank="0" text="" dxfId="8">
      <formula>0</formula>
    </cfRule>
  </conditionalFormatting>
  <conditionalFormatting sqref="G747">
    <cfRule type="cellIs" priority="2223" operator="greaterThan" aboveAverage="0" equalAverage="0" bottom="0" percent="0" rank="0" text="" dxfId="8">
      <formula>0</formula>
    </cfRule>
  </conditionalFormatting>
  <conditionalFormatting sqref="H747">
    <cfRule type="cellIs" priority="2224" operator="greaterThan" aboveAverage="0" equalAverage="0" bottom="0" percent="0" rank="0" text="" dxfId="8">
      <formula>0</formula>
    </cfRule>
  </conditionalFormatting>
  <conditionalFormatting sqref="C748">
    <cfRule type="cellIs" priority="2225" operator="greaterThan" aboveAverage="0" equalAverage="0" bottom="0" percent="0" rank="0" text="" dxfId="8">
      <formula>0</formula>
    </cfRule>
  </conditionalFormatting>
  <conditionalFormatting sqref="G748">
    <cfRule type="cellIs" priority="2226" operator="greaterThan" aboveAverage="0" equalAverage="0" bottom="0" percent="0" rank="0" text="" dxfId="8">
      <formula>0</formula>
    </cfRule>
  </conditionalFormatting>
  <conditionalFormatting sqref="H748">
    <cfRule type="cellIs" priority="2227" operator="greaterThan" aboveAverage="0" equalAverage="0" bottom="0" percent="0" rank="0" text="" dxfId="8">
      <formula>0</formula>
    </cfRule>
  </conditionalFormatting>
  <conditionalFormatting sqref="C749">
    <cfRule type="cellIs" priority="2228" operator="greaterThan" aboveAverage="0" equalAverage="0" bottom="0" percent="0" rank="0" text="" dxfId="8">
      <formula>0</formula>
    </cfRule>
  </conditionalFormatting>
  <conditionalFormatting sqref="G749">
    <cfRule type="cellIs" priority="2229" operator="greaterThan" aboveAverage="0" equalAverage="0" bottom="0" percent="0" rank="0" text="" dxfId="8">
      <formula>0</formula>
    </cfRule>
  </conditionalFormatting>
  <conditionalFormatting sqref="H749">
    <cfRule type="cellIs" priority="2230" operator="greaterThan" aboveAverage="0" equalAverage="0" bottom="0" percent="0" rank="0" text="" dxfId="8">
      <formula>0</formula>
    </cfRule>
  </conditionalFormatting>
  <conditionalFormatting sqref="C750">
    <cfRule type="cellIs" priority="2231" operator="greaterThan" aboveAverage="0" equalAverage="0" bottom="0" percent="0" rank="0" text="" dxfId="8">
      <formula>0</formula>
    </cfRule>
  </conditionalFormatting>
  <conditionalFormatting sqref="G750">
    <cfRule type="cellIs" priority="2232" operator="greaterThan" aboveAverage="0" equalAverage="0" bottom="0" percent="0" rank="0" text="" dxfId="8">
      <formula>0</formula>
    </cfRule>
  </conditionalFormatting>
  <conditionalFormatting sqref="H750">
    <cfRule type="cellIs" priority="2233" operator="greaterThan" aboveAverage="0" equalAverage="0" bottom="0" percent="0" rank="0" text="" dxfId="8">
      <formula>0</formula>
    </cfRule>
  </conditionalFormatting>
  <conditionalFormatting sqref="C751">
    <cfRule type="cellIs" priority="2234" operator="greaterThan" aboveAverage="0" equalAverage="0" bottom="0" percent="0" rank="0" text="" dxfId="8">
      <formula>0</formula>
    </cfRule>
  </conditionalFormatting>
  <conditionalFormatting sqref="G751">
    <cfRule type="cellIs" priority="2235" operator="greaterThan" aboveAverage="0" equalAverage="0" bottom="0" percent="0" rank="0" text="" dxfId="8">
      <formula>0</formula>
    </cfRule>
  </conditionalFormatting>
  <conditionalFormatting sqref="H751">
    <cfRule type="cellIs" priority="2236" operator="greaterThan" aboveAverage="0" equalAverage="0" bottom="0" percent="0" rank="0" text="" dxfId="8">
      <formula>0</formula>
    </cfRule>
  </conditionalFormatting>
  <conditionalFormatting sqref="C752">
    <cfRule type="cellIs" priority="2237" operator="greaterThan" aboveAverage="0" equalAverage="0" bottom="0" percent="0" rank="0" text="" dxfId="8">
      <formula>0</formula>
    </cfRule>
  </conditionalFormatting>
  <conditionalFormatting sqref="G752">
    <cfRule type="cellIs" priority="2238" operator="greaterThan" aboveAverage="0" equalAverage="0" bottom="0" percent="0" rank="0" text="" dxfId="8">
      <formula>0</formula>
    </cfRule>
  </conditionalFormatting>
  <conditionalFormatting sqref="H752">
    <cfRule type="cellIs" priority="2239" operator="greaterThan" aboveAverage="0" equalAverage="0" bottom="0" percent="0" rank="0" text="" dxfId="8">
      <formula>0</formula>
    </cfRule>
  </conditionalFormatting>
  <conditionalFormatting sqref="C753">
    <cfRule type="cellIs" priority="2240" operator="greaterThan" aboveAverage="0" equalAverage="0" bottom="0" percent="0" rank="0" text="" dxfId="8">
      <formula>0</formula>
    </cfRule>
  </conditionalFormatting>
  <conditionalFormatting sqref="G753">
    <cfRule type="cellIs" priority="2241" operator="greaterThan" aboveAverage="0" equalAverage="0" bottom="0" percent="0" rank="0" text="" dxfId="8">
      <formula>0</formula>
    </cfRule>
  </conditionalFormatting>
  <conditionalFormatting sqref="H753">
    <cfRule type="cellIs" priority="2242" operator="greaterThan" aboveAverage="0" equalAverage="0" bottom="0" percent="0" rank="0" text="" dxfId="8">
      <formula>0</formula>
    </cfRule>
  </conditionalFormatting>
  <conditionalFormatting sqref="C754">
    <cfRule type="cellIs" priority="2243" operator="greaterThan" aboveAverage="0" equalAverage="0" bottom="0" percent="0" rank="0" text="" dxfId="8">
      <formula>0</formula>
    </cfRule>
  </conditionalFormatting>
  <conditionalFormatting sqref="G754">
    <cfRule type="cellIs" priority="2244" operator="greaterThan" aboveAverage="0" equalAverage="0" bottom="0" percent="0" rank="0" text="" dxfId="8">
      <formula>0</formula>
    </cfRule>
  </conditionalFormatting>
  <conditionalFormatting sqref="H754">
    <cfRule type="cellIs" priority="2245" operator="greaterThan" aboveAverage="0" equalAverage="0" bottom="0" percent="0" rank="0" text="" dxfId="8">
      <formula>0</formula>
    </cfRule>
  </conditionalFormatting>
  <conditionalFormatting sqref="C755">
    <cfRule type="cellIs" priority="2246" operator="greaterThan" aboveAverage="0" equalAverage="0" bottom="0" percent="0" rank="0" text="" dxfId="8">
      <formula>0</formula>
    </cfRule>
  </conditionalFormatting>
  <conditionalFormatting sqref="G755">
    <cfRule type="cellIs" priority="2247" operator="greaterThan" aboveAverage="0" equalAverage="0" bottom="0" percent="0" rank="0" text="" dxfId="8">
      <formula>0</formula>
    </cfRule>
  </conditionalFormatting>
  <conditionalFormatting sqref="H755">
    <cfRule type="cellIs" priority="2248" operator="greaterThan" aboveAverage="0" equalAverage="0" bottom="0" percent="0" rank="0" text="" dxfId="8">
      <formula>0</formula>
    </cfRule>
  </conditionalFormatting>
  <conditionalFormatting sqref="C756">
    <cfRule type="cellIs" priority="2249" operator="greaterThan" aboveAverage="0" equalAverage="0" bottom="0" percent="0" rank="0" text="" dxfId="8">
      <formula>0</formula>
    </cfRule>
  </conditionalFormatting>
  <conditionalFormatting sqref="G756">
    <cfRule type="cellIs" priority="2250" operator="greaterThan" aboveAverage="0" equalAverage="0" bottom="0" percent="0" rank="0" text="" dxfId="8">
      <formula>0</formula>
    </cfRule>
  </conditionalFormatting>
  <conditionalFormatting sqref="H756">
    <cfRule type="cellIs" priority="2251" operator="greaterThan" aboveAverage="0" equalAverage="0" bottom="0" percent="0" rank="0" text="" dxfId="8">
      <formula>0</formula>
    </cfRule>
  </conditionalFormatting>
  <conditionalFormatting sqref="C757">
    <cfRule type="cellIs" priority="2252" operator="greaterThan" aboveAverage="0" equalAverage="0" bottom="0" percent="0" rank="0" text="" dxfId="8">
      <formula>0</formula>
    </cfRule>
  </conditionalFormatting>
  <conditionalFormatting sqref="G757">
    <cfRule type="cellIs" priority="2253" operator="greaterThan" aboveAverage="0" equalAverage="0" bottom="0" percent="0" rank="0" text="" dxfId="8">
      <formula>0</formula>
    </cfRule>
  </conditionalFormatting>
  <conditionalFormatting sqref="H757">
    <cfRule type="cellIs" priority="2254" operator="greaterThan" aboveAverage="0" equalAverage="0" bottom="0" percent="0" rank="0" text="" dxfId="8">
      <formula>0</formula>
    </cfRule>
  </conditionalFormatting>
  <conditionalFormatting sqref="C758">
    <cfRule type="cellIs" priority="2255" operator="greaterThan" aboveAverage="0" equalAverage="0" bottom="0" percent="0" rank="0" text="" dxfId="8">
      <formula>0</formula>
    </cfRule>
  </conditionalFormatting>
  <conditionalFormatting sqref="G758">
    <cfRule type="cellIs" priority="2256" operator="greaterThan" aboveAverage="0" equalAverage="0" bottom="0" percent="0" rank="0" text="" dxfId="8">
      <formula>0</formula>
    </cfRule>
  </conditionalFormatting>
  <conditionalFormatting sqref="H758">
    <cfRule type="cellIs" priority="2257" operator="greaterThan" aboveAverage="0" equalAverage="0" bottom="0" percent="0" rank="0" text="" dxfId="8">
      <formula>0</formula>
    </cfRule>
  </conditionalFormatting>
  <conditionalFormatting sqref="C759">
    <cfRule type="cellIs" priority="2258" operator="greaterThan" aboveAverage="0" equalAverage="0" bottom="0" percent="0" rank="0" text="" dxfId="8">
      <formula>0</formula>
    </cfRule>
  </conditionalFormatting>
  <conditionalFormatting sqref="G759">
    <cfRule type="cellIs" priority="2259" operator="greaterThan" aboveAverage="0" equalAverage="0" bottom="0" percent="0" rank="0" text="" dxfId="8">
      <formula>0</formula>
    </cfRule>
  </conditionalFormatting>
  <conditionalFormatting sqref="H759">
    <cfRule type="cellIs" priority="2260" operator="greaterThan" aboveAverage="0" equalAverage="0" bottom="0" percent="0" rank="0" text="" dxfId="8">
      <formula>0</formula>
    </cfRule>
  </conditionalFormatting>
  <conditionalFormatting sqref="C760">
    <cfRule type="cellIs" priority="2261" operator="greaterThan" aboveAverage="0" equalAverage="0" bottom="0" percent="0" rank="0" text="" dxfId="8">
      <formula>0</formula>
    </cfRule>
  </conditionalFormatting>
  <conditionalFormatting sqref="G760">
    <cfRule type="cellIs" priority="2262" operator="greaterThan" aboveAverage="0" equalAverage="0" bottom="0" percent="0" rank="0" text="" dxfId="8">
      <formula>0</formula>
    </cfRule>
  </conditionalFormatting>
  <conditionalFormatting sqref="H760">
    <cfRule type="cellIs" priority="2263" operator="greaterThan" aboveAverage="0" equalAverage="0" bottom="0" percent="0" rank="0" text="" dxfId="8">
      <formula>0</formula>
    </cfRule>
  </conditionalFormatting>
  <conditionalFormatting sqref="C761">
    <cfRule type="cellIs" priority="2264" operator="greaterThan" aboveAverage="0" equalAverage="0" bottom="0" percent="0" rank="0" text="" dxfId="8">
      <formula>0</formula>
    </cfRule>
  </conditionalFormatting>
  <conditionalFormatting sqref="G761">
    <cfRule type="cellIs" priority="2265" operator="greaterThan" aboveAverage="0" equalAverage="0" bottom="0" percent="0" rank="0" text="" dxfId="8">
      <formula>0</formula>
    </cfRule>
  </conditionalFormatting>
  <conditionalFormatting sqref="H761">
    <cfRule type="cellIs" priority="2266" operator="greaterThan" aboveAverage="0" equalAverage="0" bottom="0" percent="0" rank="0" text="" dxfId="8">
      <formula>0</formula>
    </cfRule>
  </conditionalFormatting>
  <conditionalFormatting sqref="C762">
    <cfRule type="cellIs" priority="2267" operator="greaterThan" aboveAverage="0" equalAverage="0" bottom="0" percent="0" rank="0" text="" dxfId="8">
      <formula>0</formula>
    </cfRule>
  </conditionalFormatting>
  <conditionalFormatting sqref="G762">
    <cfRule type="cellIs" priority="2268" operator="greaterThan" aboveAverage="0" equalAverage="0" bottom="0" percent="0" rank="0" text="" dxfId="8">
      <formula>0</formula>
    </cfRule>
  </conditionalFormatting>
  <conditionalFormatting sqref="H762">
    <cfRule type="cellIs" priority="2269" operator="greaterThan" aboveAverage="0" equalAverage="0" bottom="0" percent="0" rank="0" text="" dxfId="8">
      <formula>0</formula>
    </cfRule>
  </conditionalFormatting>
  <conditionalFormatting sqref="C763">
    <cfRule type="cellIs" priority="2270" operator="greaterThan" aboveAverage="0" equalAverage="0" bottom="0" percent="0" rank="0" text="" dxfId="8">
      <formula>0</formula>
    </cfRule>
  </conditionalFormatting>
  <conditionalFormatting sqref="G763">
    <cfRule type="cellIs" priority="2271" operator="greaterThan" aboveAverage="0" equalAverage="0" bottom="0" percent="0" rank="0" text="" dxfId="8">
      <formula>0</formula>
    </cfRule>
  </conditionalFormatting>
  <conditionalFormatting sqref="H763">
    <cfRule type="cellIs" priority="2272" operator="greaterThan" aboveAverage="0" equalAverage="0" bottom="0" percent="0" rank="0" text="" dxfId="8">
      <formula>0</formula>
    </cfRule>
  </conditionalFormatting>
  <conditionalFormatting sqref="C764">
    <cfRule type="cellIs" priority="2273" operator="greaterThan" aboveAverage="0" equalAverage="0" bottom="0" percent="0" rank="0" text="" dxfId="8">
      <formula>0</formula>
    </cfRule>
  </conditionalFormatting>
  <conditionalFormatting sqref="G764">
    <cfRule type="cellIs" priority="2274" operator="greaterThan" aboveAverage="0" equalAverage="0" bottom="0" percent="0" rank="0" text="" dxfId="8">
      <formula>0</formula>
    </cfRule>
  </conditionalFormatting>
  <conditionalFormatting sqref="H764">
    <cfRule type="cellIs" priority="2275" operator="greaterThan" aboveAverage="0" equalAverage="0" bottom="0" percent="0" rank="0" text="" dxfId="8">
      <formula>0</formula>
    </cfRule>
  </conditionalFormatting>
  <conditionalFormatting sqref="C765">
    <cfRule type="cellIs" priority="2276" operator="greaterThan" aboveAverage="0" equalAverage="0" bottom="0" percent="0" rank="0" text="" dxfId="8">
      <formula>0</formula>
    </cfRule>
  </conditionalFormatting>
  <conditionalFormatting sqref="G765">
    <cfRule type="cellIs" priority="2277" operator="greaterThan" aboveAverage="0" equalAverage="0" bottom="0" percent="0" rank="0" text="" dxfId="8">
      <formula>0</formula>
    </cfRule>
  </conditionalFormatting>
  <conditionalFormatting sqref="H765">
    <cfRule type="cellIs" priority="2278" operator="greaterThan" aboveAverage="0" equalAverage="0" bottom="0" percent="0" rank="0" text="" dxfId="8">
      <formula>0</formula>
    </cfRule>
  </conditionalFormatting>
  <conditionalFormatting sqref="C766">
    <cfRule type="cellIs" priority="2279" operator="greaterThan" aboveAverage="0" equalAverage="0" bottom="0" percent="0" rank="0" text="" dxfId="8">
      <formula>0</formula>
    </cfRule>
  </conditionalFormatting>
  <conditionalFormatting sqref="G766">
    <cfRule type="cellIs" priority="2280" operator="greaterThan" aboveAverage="0" equalAverage="0" bottom="0" percent="0" rank="0" text="" dxfId="8">
      <formula>0</formula>
    </cfRule>
  </conditionalFormatting>
  <conditionalFormatting sqref="H766">
    <cfRule type="cellIs" priority="2281" operator="greaterThan" aboveAverage="0" equalAverage="0" bottom="0" percent="0" rank="0" text="" dxfId="8">
      <formula>0</formula>
    </cfRule>
  </conditionalFormatting>
  <conditionalFormatting sqref="C767">
    <cfRule type="cellIs" priority="2282" operator="greaterThan" aboveAverage="0" equalAverage="0" bottom="0" percent="0" rank="0" text="" dxfId="8">
      <formula>0</formula>
    </cfRule>
  </conditionalFormatting>
  <conditionalFormatting sqref="G767">
    <cfRule type="cellIs" priority="2283" operator="greaterThan" aboveAverage="0" equalAverage="0" bottom="0" percent="0" rank="0" text="" dxfId="8">
      <formula>0</formula>
    </cfRule>
  </conditionalFormatting>
  <conditionalFormatting sqref="H767">
    <cfRule type="cellIs" priority="2284" operator="greaterThan" aboveAverage="0" equalAverage="0" bottom="0" percent="0" rank="0" text="" dxfId="8">
      <formula>0</formula>
    </cfRule>
  </conditionalFormatting>
  <conditionalFormatting sqref="C768">
    <cfRule type="cellIs" priority="2285" operator="greaterThan" aboveAverage="0" equalAverage="0" bottom="0" percent="0" rank="0" text="" dxfId="8">
      <formula>0</formula>
    </cfRule>
  </conditionalFormatting>
  <conditionalFormatting sqref="G768">
    <cfRule type="cellIs" priority="2286" operator="greaterThan" aboveAverage="0" equalAverage="0" bottom="0" percent="0" rank="0" text="" dxfId="8">
      <formula>0</formula>
    </cfRule>
  </conditionalFormatting>
  <conditionalFormatting sqref="H768">
    <cfRule type="cellIs" priority="2287" operator="greaterThan" aboveAverage="0" equalAverage="0" bottom="0" percent="0" rank="0" text="" dxfId="8">
      <formula>0</formula>
    </cfRule>
  </conditionalFormatting>
  <conditionalFormatting sqref="C769">
    <cfRule type="cellIs" priority="2288" operator="greaterThan" aboveAverage="0" equalAverage="0" bottom="0" percent="0" rank="0" text="" dxfId="8">
      <formula>0</formula>
    </cfRule>
  </conditionalFormatting>
  <conditionalFormatting sqref="G769">
    <cfRule type="cellIs" priority="2289" operator="greaterThan" aboveAverage="0" equalAverage="0" bottom="0" percent="0" rank="0" text="" dxfId="8">
      <formula>0</formula>
    </cfRule>
  </conditionalFormatting>
  <conditionalFormatting sqref="H769">
    <cfRule type="cellIs" priority="2290" operator="greaterThan" aboveAverage="0" equalAverage="0" bottom="0" percent="0" rank="0" text="" dxfId="8">
      <formula>0</formula>
    </cfRule>
  </conditionalFormatting>
  <conditionalFormatting sqref="C770">
    <cfRule type="cellIs" priority="2291" operator="greaterThan" aboveAverage="0" equalAverage="0" bottom="0" percent="0" rank="0" text="" dxfId="8">
      <formula>0</formula>
    </cfRule>
  </conditionalFormatting>
  <conditionalFormatting sqref="G770">
    <cfRule type="cellIs" priority="2292" operator="greaterThan" aboveAverage="0" equalAverage="0" bottom="0" percent="0" rank="0" text="" dxfId="8">
      <formula>0</formula>
    </cfRule>
  </conditionalFormatting>
  <conditionalFormatting sqref="H770">
    <cfRule type="cellIs" priority="2293" operator="greaterThan" aboveAverage="0" equalAverage="0" bottom="0" percent="0" rank="0" text="" dxfId="8">
      <formula>0</formula>
    </cfRule>
  </conditionalFormatting>
  <conditionalFormatting sqref="C771">
    <cfRule type="cellIs" priority="2294" operator="greaterThan" aboveAverage="0" equalAverage="0" bottom="0" percent="0" rank="0" text="" dxfId="8">
      <formula>0</formula>
    </cfRule>
  </conditionalFormatting>
  <conditionalFormatting sqref="G771">
    <cfRule type="cellIs" priority="2295" operator="greaterThan" aboveAverage="0" equalAverage="0" bottom="0" percent="0" rank="0" text="" dxfId="8">
      <formula>0</formula>
    </cfRule>
  </conditionalFormatting>
  <conditionalFormatting sqref="H771">
    <cfRule type="cellIs" priority="2296" operator="greaterThan" aboveAverage="0" equalAverage="0" bottom="0" percent="0" rank="0" text="" dxfId="8">
      <formula>0</formula>
    </cfRule>
  </conditionalFormatting>
  <conditionalFormatting sqref="C772">
    <cfRule type="cellIs" priority="2297" operator="greaterThan" aboveAverage="0" equalAverage="0" bottom="0" percent="0" rank="0" text="" dxfId="8">
      <formula>0</formula>
    </cfRule>
  </conditionalFormatting>
  <conditionalFormatting sqref="G772">
    <cfRule type="cellIs" priority="2298" operator="greaterThan" aboveAverage="0" equalAverage="0" bottom="0" percent="0" rank="0" text="" dxfId="8">
      <formula>0</formula>
    </cfRule>
  </conditionalFormatting>
  <conditionalFormatting sqref="H772">
    <cfRule type="cellIs" priority="2299" operator="greaterThan" aboveAverage="0" equalAverage="0" bottom="0" percent="0" rank="0" text="" dxfId="8">
      <formula>0</formula>
    </cfRule>
  </conditionalFormatting>
  <conditionalFormatting sqref="C773">
    <cfRule type="cellIs" priority="2300" operator="greaterThan" aboveAverage="0" equalAverage="0" bottom="0" percent="0" rank="0" text="" dxfId="8">
      <formula>0</formula>
    </cfRule>
  </conditionalFormatting>
  <conditionalFormatting sqref="G773">
    <cfRule type="cellIs" priority="2301" operator="greaterThan" aboveAverage="0" equalAverage="0" bottom="0" percent="0" rank="0" text="" dxfId="8">
      <formula>0</formula>
    </cfRule>
  </conditionalFormatting>
  <conditionalFormatting sqref="H773">
    <cfRule type="cellIs" priority="2302" operator="greaterThan" aboveAverage="0" equalAverage="0" bottom="0" percent="0" rank="0" text="" dxfId="8">
      <formula>0</formula>
    </cfRule>
  </conditionalFormatting>
  <conditionalFormatting sqref="C774">
    <cfRule type="cellIs" priority="2303" operator="greaterThan" aboveAverage="0" equalAverage="0" bottom="0" percent="0" rank="0" text="" dxfId="8">
      <formula>0</formula>
    </cfRule>
  </conditionalFormatting>
  <conditionalFormatting sqref="G774">
    <cfRule type="cellIs" priority="2304" operator="greaterThan" aboveAverage="0" equalAverage="0" bottom="0" percent="0" rank="0" text="" dxfId="8">
      <formula>0</formula>
    </cfRule>
  </conditionalFormatting>
  <conditionalFormatting sqref="H774">
    <cfRule type="cellIs" priority="2305" operator="greaterThan" aboveAverage="0" equalAverage="0" bottom="0" percent="0" rank="0" text="" dxfId="8">
      <formula>0</formula>
    </cfRule>
  </conditionalFormatting>
  <conditionalFormatting sqref="C775">
    <cfRule type="cellIs" priority="2306" operator="greaterThan" aboveAverage="0" equalAverage="0" bottom="0" percent="0" rank="0" text="" dxfId="8">
      <formula>0</formula>
    </cfRule>
  </conditionalFormatting>
  <conditionalFormatting sqref="G775">
    <cfRule type="cellIs" priority="2307" operator="greaterThan" aboveAverage="0" equalAverage="0" bottom="0" percent="0" rank="0" text="" dxfId="8">
      <formula>0</formula>
    </cfRule>
  </conditionalFormatting>
  <conditionalFormatting sqref="H775">
    <cfRule type="cellIs" priority="2308" operator="greaterThan" aboveAverage="0" equalAverage="0" bottom="0" percent="0" rank="0" text="" dxfId="8">
      <formula>0</formula>
    </cfRule>
  </conditionalFormatting>
  <conditionalFormatting sqref="C776">
    <cfRule type="cellIs" priority="2309" operator="greaterThan" aboveAverage="0" equalAverage="0" bottom="0" percent="0" rank="0" text="" dxfId="8">
      <formula>0</formula>
    </cfRule>
  </conditionalFormatting>
  <conditionalFormatting sqref="G776">
    <cfRule type="cellIs" priority="2310" operator="greaterThan" aboveAverage="0" equalAverage="0" bottom="0" percent="0" rank="0" text="" dxfId="8">
      <formula>0</formula>
    </cfRule>
  </conditionalFormatting>
  <conditionalFormatting sqref="H776">
    <cfRule type="cellIs" priority="2311" operator="greaterThan" aboveAverage="0" equalAverage="0" bottom="0" percent="0" rank="0" text="" dxfId="8">
      <formula>0</formula>
    </cfRule>
  </conditionalFormatting>
  <conditionalFormatting sqref="C777">
    <cfRule type="cellIs" priority="2312" operator="greaterThan" aboveAverage="0" equalAverage="0" bottom="0" percent="0" rank="0" text="" dxfId="8">
      <formula>0</formula>
    </cfRule>
  </conditionalFormatting>
  <conditionalFormatting sqref="G777">
    <cfRule type="cellIs" priority="2313" operator="greaterThan" aboveAverage="0" equalAverage="0" bottom="0" percent="0" rank="0" text="" dxfId="8">
      <formula>0</formula>
    </cfRule>
  </conditionalFormatting>
  <conditionalFormatting sqref="H777">
    <cfRule type="cellIs" priority="2314" operator="greaterThan" aboveAverage="0" equalAverage="0" bottom="0" percent="0" rank="0" text="" dxfId="8">
      <formula>0</formula>
    </cfRule>
  </conditionalFormatting>
  <conditionalFormatting sqref="C778">
    <cfRule type="cellIs" priority="2315" operator="greaterThan" aboveAverage="0" equalAverage="0" bottom="0" percent="0" rank="0" text="" dxfId="8">
      <formula>0</formula>
    </cfRule>
  </conditionalFormatting>
  <conditionalFormatting sqref="G778">
    <cfRule type="cellIs" priority="2316" operator="greaterThan" aboveAverage="0" equalAverage="0" bottom="0" percent="0" rank="0" text="" dxfId="8">
      <formula>0</formula>
    </cfRule>
  </conditionalFormatting>
  <conditionalFormatting sqref="H778">
    <cfRule type="cellIs" priority="2317" operator="greaterThan" aboveAverage="0" equalAverage="0" bottom="0" percent="0" rank="0" text="" dxfId="8">
      <formula>0</formula>
    </cfRule>
  </conditionalFormatting>
  <conditionalFormatting sqref="C779">
    <cfRule type="cellIs" priority="2318" operator="greaterThan" aboveAverage="0" equalAverage="0" bottom="0" percent="0" rank="0" text="" dxfId="8">
      <formula>0</formula>
    </cfRule>
  </conditionalFormatting>
  <conditionalFormatting sqref="G779">
    <cfRule type="cellIs" priority="2319" operator="greaterThan" aboveAverage="0" equalAverage="0" bottom="0" percent="0" rank="0" text="" dxfId="8">
      <formula>0</formula>
    </cfRule>
  </conditionalFormatting>
  <conditionalFormatting sqref="H779">
    <cfRule type="cellIs" priority="2320" operator="greaterThan" aboveAverage="0" equalAverage="0" bottom="0" percent="0" rank="0" text="" dxfId="8">
      <formula>0</formula>
    </cfRule>
  </conditionalFormatting>
  <conditionalFormatting sqref="C780">
    <cfRule type="cellIs" priority="2321" operator="greaterThan" aboveAverage="0" equalAverage="0" bottom="0" percent="0" rank="0" text="" dxfId="8">
      <formula>0</formula>
    </cfRule>
  </conditionalFormatting>
  <conditionalFormatting sqref="G780">
    <cfRule type="cellIs" priority="2322" operator="greaterThan" aboveAverage="0" equalAverage="0" bottom="0" percent="0" rank="0" text="" dxfId="8">
      <formula>0</formula>
    </cfRule>
  </conditionalFormatting>
  <conditionalFormatting sqref="H780">
    <cfRule type="cellIs" priority="2323" operator="greaterThan" aboveAverage="0" equalAverage="0" bottom="0" percent="0" rank="0" text="" dxfId="8">
      <formula>0</formula>
    </cfRule>
  </conditionalFormatting>
  <conditionalFormatting sqref="C781">
    <cfRule type="cellIs" priority="2324" operator="greaterThan" aboveAverage="0" equalAverage="0" bottom="0" percent="0" rank="0" text="" dxfId="8">
      <formula>0</formula>
    </cfRule>
  </conditionalFormatting>
  <conditionalFormatting sqref="G781">
    <cfRule type="cellIs" priority="2325" operator="greaterThan" aboveAverage="0" equalAverage="0" bottom="0" percent="0" rank="0" text="" dxfId="8">
      <formula>0</formula>
    </cfRule>
  </conditionalFormatting>
  <conditionalFormatting sqref="H781">
    <cfRule type="cellIs" priority="2326" operator="greaterThan" aboveAverage="0" equalAverage="0" bottom="0" percent="0" rank="0" text="" dxfId="8">
      <formula>0</formula>
    </cfRule>
  </conditionalFormatting>
  <conditionalFormatting sqref="C782">
    <cfRule type="cellIs" priority="2327" operator="greaterThan" aboveAverage="0" equalAverage="0" bottom="0" percent="0" rank="0" text="" dxfId="8">
      <formula>0</formula>
    </cfRule>
  </conditionalFormatting>
  <conditionalFormatting sqref="G782">
    <cfRule type="cellIs" priority="2328" operator="greaterThan" aboveAverage="0" equalAverage="0" bottom="0" percent="0" rank="0" text="" dxfId="8">
      <formula>0</formula>
    </cfRule>
  </conditionalFormatting>
  <conditionalFormatting sqref="H782">
    <cfRule type="cellIs" priority="2329" operator="greaterThan" aboveAverage="0" equalAverage="0" bottom="0" percent="0" rank="0" text="" dxfId="8">
      <formula>0</formula>
    </cfRule>
  </conditionalFormatting>
  <conditionalFormatting sqref="C783">
    <cfRule type="cellIs" priority="2330" operator="greaterThan" aboveAverage="0" equalAverage="0" bottom="0" percent="0" rank="0" text="" dxfId="8">
      <formula>0</formula>
    </cfRule>
  </conditionalFormatting>
  <conditionalFormatting sqref="G783">
    <cfRule type="cellIs" priority="2331" operator="greaterThan" aboveAverage="0" equalAverage="0" bottom="0" percent="0" rank="0" text="" dxfId="8">
      <formula>0</formula>
    </cfRule>
  </conditionalFormatting>
  <conditionalFormatting sqref="H783">
    <cfRule type="cellIs" priority="2332" operator="greaterThan" aboveAverage="0" equalAverage="0" bottom="0" percent="0" rank="0" text="" dxfId="8">
      <formula>0</formula>
    </cfRule>
  </conditionalFormatting>
  <conditionalFormatting sqref="C784">
    <cfRule type="cellIs" priority="2333" operator="greaterThan" aboveAverage="0" equalAverage="0" bottom="0" percent="0" rank="0" text="" dxfId="8">
      <formula>0</formula>
    </cfRule>
  </conditionalFormatting>
  <conditionalFormatting sqref="G784">
    <cfRule type="cellIs" priority="2334" operator="greaterThan" aboveAverage="0" equalAverage="0" bottom="0" percent="0" rank="0" text="" dxfId="8">
      <formula>0</formula>
    </cfRule>
  </conditionalFormatting>
  <conditionalFormatting sqref="H784">
    <cfRule type="cellIs" priority="2335" operator="greaterThan" aboveAverage="0" equalAverage="0" bottom="0" percent="0" rank="0" text="" dxfId="8">
      <formula>0</formula>
    </cfRule>
  </conditionalFormatting>
  <conditionalFormatting sqref="C785">
    <cfRule type="cellIs" priority="2336" operator="greaterThan" aboveAverage="0" equalAverage="0" bottom="0" percent="0" rank="0" text="" dxfId="8">
      <formula>0</formula>
    </cfRule>
  </conditionalFormatting>
  <conditionalFormatting sqref="G785">
    <cfRule type="cellIs" priority="2337" operator="greaterThan" aboveAverage="0" equalAverage="0" bottom="0" percent="0" rank="0" text="" dxfId="8">
      <formula>0</formula>
    </cfRule>
  </conditionalFormatting>
  <conditionalFormatting sqref="H785">
    <cfRule type="cellIs" priority="2338" operator="greaterThan" aboveAverage="0" equalAverage="0" bottom="0" percent="0" rank="0" text="" dxfId="8">
      <formula>0</formula>
    </cfRule>
  </conditionalFormatting>
  <conditionalFormatting sqref="C786">
    <cfRule type="cellIs" priority="2339" operator="greaterThan" aboveAverage="0" equalAverage="0" bottom="0" percent="0" rank="0" text="" dxfId="8">
      <formula>0</formula>
    </cfRule>
  </conditionalFormatting>
  <conditionalFormatting sqref="G786">
    <cfRule type="cellIs" priority="2340" operator="greaterThan" aboveAverage="0" equalAverage="0" bottom="0" percent="0" rank="0" text="" dxfId="8">
      <formula>0</formula>
    </cfRule>
  </conditionalFormatting>
  <conditionalFormatting sqref="H786">
    <cfRule type="cellIs" priority="2341" operator="greaterThan" aboveAverage="0" equalAverage="0" bottom="0" percent="0" rank="0" text="" dxfId="8">
      <formula>0</formula>
    </cfRule>
  </conditionalFormatting>
  <conditionalFormatting sqref="C787">
    <cfRule type="cellIs" priority="2342" operator="greaterThan" aboveAverage="0" equalAverage="0" bottom="0" percent="0" rank="0" text="" dxfId="8">
      <formula>0</formula>
    </cfRule>
  </conditionalFormatting>
  <conditionalFormatting sqref="G787">
    <cfRule type="cellIs" priority="2343" operator="greaterThan" aboveAverage="0" equalAverage="0" bottom="0" percent="0" rank="0" text="" dxfId="8">
      <formula>0</formula>
    </cfRule>
  </conditionalFormatting>
  <conditionalFormatting sqref="H787">
    <cfRule type="cellIs" priority="2344" operator="greaterThan" aboveAverage="0" equalAverage="0" bottom="0" percent="0" rank="0" text="" dxfId="8">
      <formula>0</formula>
    </cfRule>
  </conditionalFormatting>
  <conditionalFormatting sqref="C788">
    <cfRule type="cellIs" priority="2345" operator="greaterThan" aboveAverage="0" equalAverage="0" bottom="0" percent="0" rank="0" text="" dxfId="8">
      <formula>0</formula>
    </cfRule>
  </conditionalFormatting>
  <conditionalFormatting sqref="G788">
    <cfRule type="cellIs" priority="2346" operator="greaterThan" aboveAverage="0" equalAverage="0" bottom="0" percent="0" rank="0" text="" dxfId="8">
      <formula>0</formula>
    </cfRule>
  </conditionalFormatting>
  <conditionalFormatting sqref="H788">
    <cfRule type="cellIs" priority="2347" operator="greaterThan" aboveAverage="0" equalAverage="0" bottom="0" percent="0" rank="0" text="" dxfId="8">
      <formula>0</formula>
    </cfRule>
  </conditionalFormatting>
  <conditionalFormatting sqref="C789">
    <cfRule type="cellIs" priority="2348" operator="greaterThan" aboveAverage="0" equalAverage="0" bottom="0" percent="0" rank="0" text="" dxfId="8">
      <formula>0</formula>
    </cfRule>
  </conditionalFormatting>
  <conditionalFormatting sqref="G789">
    <cfRule type="cellIs" priority="2349" operator="greaterThan" aboveAverage="0" equalAverage="0" bottom="0" percent="0" rank="0" text="" dxfId="8">
      <formula>0</formula>
    </cfRule>
  </conditionalFormatting>
  <conditionalFormatting sqref="H789">
    <cfRule type="cellIs" priority="2350" operator="greaterThan" aboveAverage="0" equalAverage="0" bottom="0" percent="0" rank="0" text="" dxfId="8">
      <formula>0</formula>
    </cfRule>
  </conditionalFormatting>
  <conditionalFormatting sqref="C790">
    <cfRule type="cellIs" priority="2351" operator="greaterThan" aboveAverage="0" equalAverage="0" bottom="0" percent="0" rank="0" text="" dxfId="8">
      <formula>0</formula>
    </cfRule>
  </conditionalFormatting>
  <conditionalFormatting sqref="G790">
    <cfRule type="cellIs" priority="2352" operator="greaterThan" aboveAverage="0" equalAverage="0" bottom="0" percent="0" rank="0" text="" dxfId="8">
      <formula>0</formula>
    </cfRule>
  </conditionalFormatting>
  <conditionalFormatting sqref="H790">
    <cfRule type="cellIs" priority="2353" operator="greaterThan" aboveAverage="0" equalAverage="0" bottom="0" percent="0" rank="0" text="" dxfId="8">
      <formula>0</formula>
    </cfRule>
  </conditionalFormatting>
  <conditionalFormatting sqref="C791">
    <cfRule type="cellIs" priority="2354" operator="greaterThan" aboveAverage="0" equalAverage="0" bottom="0" percent="0" rank="0" text="" dxfId="8">
      <formula>0</formula>
    </cfRule>
  </conditionalFormatting>
  <conditionalFormatting sqref="G791">
    <cfRule type="cellIs" priority="2355" operator="greaterThan" aboveAverage="0" equalAverage="0" bottom="0" percent="0" rank="0" text="" dxfId="8">
      <formula>0</formula>
    </cfRule>
  </conditionalFormatting>
  <conditionalFormatting sqref="H791">
    <cfRule type="cellIs" priority="2356" operator="greaterThan" aboveAverage="0" equalAverage="0" bottom="0" percent="0" rank="0" text="" dxfId="8">
      <formula>0</formula>
    </cfRule>
  </conditionalFormatting>
  <conditionalFormatting sqref="C792">
    <cfRule type="cellIs" priority="2357" operator="greaterThan" aboveAverage="0" equalAverage="0" bottom="0" percent="0" rank="0" text="" dxfId="8">
      <formula>0</formula>
    </cfRule>
  </conditionalFormatting>
  <conditionalFormatting sqref="G792">
    <cfRule type="cellIs" priority="2358" operator="greaterThan" aboveAverage="0" equalAverage="0" bottom="0" percent="0" rank="0" text="" dxfId="8">
      <formula>0</formula>
    </cfRule>
  </conditionalFormatting>
  <conditionalFormatting sqref="H792">
    <cfRule type="cellIs" priority="2359" operator="greaterThan" aboveAverage="0" equalAverage="0" bottom="0" percent="0" rank="0" text="" dxfId="8">
      <formula>0</formula>
    </cfRule>
  </conditionalFormatting>
  <conditionalFormatting sqref="C793">
    <cfRule type="cellIs" priority="2360" operator="greaterThan" aboveAverage="0" equalAverage="0" bottom="0" percent="0" rank="0" text="" dxfId="8">
      <formula>0</formula>
    </cfRule>
  </conditionalFormatting>
  <conditionalFormatting sqref="G793">
    <cfRule type="cellIs" priority="2361" operator="greaterThan" aboveAverage="0" equalAverage="0" bottom="0" percent="0" rank="0" text="" dxfId="8">
      <formula>0</formula>
    </cfRule>
  </conditionalFormatting>
  <conditionalFormatting sqref="H793">
    <cfRule type="cellIs" priority="2362" operator="greaterThan" aboveAverage="0" equalAverage="0" bottom="0" percent="0" rank="0" text="" dxfId="8">
      <formula>0</formula>
    </cfRule>
  </conditionalFormatting>
  <conditionalFormatting sqref="C794">
    <cfRule type="cellIs" priority="2363" operator="greaterThan" aboveAverage="0" equalAverage="0" bottom="0" percent="0" rank="0" text="" dxfId="8">
      <formula>0</formula>
    </cfRule>
  </conditionalFormatting>
  <conditionalFormatting sqref="G794">
    <cfRule type="cellIs" priority="2364" operator="greaterThan" aboveAverage="0" equalAverage="0" bottom="0" percent="0" rank="0" text="" dxfId="8">
      <formula>0</formula>
    </cfRule>
  </conditionalFormatting>
  <conditionalFormatting sqref="H794">
    <cfRule type="cellIs" priority="2365" operator="greaterThan" aboveAverage="0" equalAverage="0" bottom="0" percent="0" rank="0" text="" dxfId="8">
      <formula>0</formula>
    </cfRule>
  </conditionalFormatting>
  <conditionalFormatting sqref="C795">
    <cfRule type="cellIs" priority="2366" operator="greaterThan" aboveAverage="0" equalAverage="0" bottom="0" percent="0" rank="0" text="" dxfId="8">
      <formula>0</formula>
    </cfRule>
  </conditionalFormatting>
  <conditionalFormatting sqref="G795">
    <cfRule type="cellIs" priority="2367" operator="greaterThan" aboveAverage="0" equalAverage="0" bottom="0" percent="0" rank="0" text="" dxfId="8">
      <formula>0</formula>
    </cfRule>
  </conditionalFormatting>
  <conditionalFormatting sqref="H795">
    <cfRule type="cellIs" priority="2368" operator="greaterThan" aboveAverage="0" equalAverage="0" bottom="0" percent="0" rank="0" text="" dxfId="8">
      <formula>0</formula>
    </cfRule>
  </conditionalFormatting>
  <conditionalFormatting sqref="C796">
    <cfRule type="cellIs" priority="2369" operator="greaterThan" aboveAverage="0" equalAverage="0" bottom="0" percent="0" rank="0" text="" dxfId="8">
      <formula>0</formula>
    </cfRule>
  </conditionalFormatting>
  <conditionalFormatting sqref="G796">
    <cfRule type="cellIs" priority="2370" operator="greaterThan" aboveAverage="0" equalAverage="0" bottom="0" percent="0" rank="0" text="" dxfId="8">
      <formula>0</formula>
    </cfRule>
  </conditionalFormatting>
  <conditionalFormatting sqref="H796">
    <cfRule type="cellIs" priority="2371" operator="greaterThan" aboveAverage="0" equalAverage="0" bottom="0" percent="0" rank="0" text="" dxfId="8">
      <formula>0</formula>
    </cfRule>
  </conditionalFormatting>
  <conditionalFormatting sqref="C797">
    <cfRule type="cellIs" priority="2372" operator="greaterThan" aboveAverage="0" equalAverage="0" bottom="0" percent="0" rank="0" text="" dxfId="8">
      <formula>0</formula>
    </cfRule>
  </conditionalFormatting>
  <conditionalFormatting sqref="G797">
    <cfRule type="cellIs" priority="2373" operator="greaterThan" aboveAverage="0" equalAverage="0" bottom="0" percent="0" rank="0" text="" dxfId="8">
      <formula>0</formula>
    </cfRule>
  </conditionalFormatting>
  <conditionalFormatting sqref="H797">
    <cfRule type="cellIs" priority="2374" operator="greaterThan" aboveAverage="0" equalAverage="0" bottom="0" percent="0" rank="0" text="" dxfId="8">
      <formula>0</formula>
    </cfRule>
  </conditionalFormatting>
  <conditionalFormatting sqref="C798">
    <cfRule type="cellIs" priority="2375" operator="greaterThan" aboveAverage="0" equalAverage="0" bottom="0" percent="0" rank="0" text="" dxfId="8">
      <formula>0</formula>
    </cfRule>
  </conditionalFormatting>
  <conditionalFormatting sqref="G798">
    <cfRule type="cellIs" priority="2376" operator="greaterThan" aboveAverage="0" equalAverage="0" bottom="0" percent="0" rank="0" text="" dxfId="8">
      <formula>0</formula>
    </cfRule>
  </conditionalFormatting>
  <conditionalFormatting sqref="H798">
    <cfRule type="cellIs" priority="2377" operator="greaterThan" aboveAverage="0" equalAverage="0" bottom="0" percent="0" rank="0" text="" dxfId="8">
      <formula>0</formula>
    </cfRule>
  </conditionalFormatting>
  <conditionalFormatting sqref="C799">
    <cfRule type="cellIs" priority="2378" operator="greaterThan" aboveAverage="0" equalAverage="0" bottom="0" percent="0" rank="0" text="" dxfId="8">
      <formula>0</formula>
    </cfRule>
  </conditionalFormatting>
  <conditionalFormatting sqref="G799">
    <cfRule type="cellIs" priority="2379" operator="greaterThan" aboveAverage="0" equalAverage="0" bottom="0" percent="0" rank="0" text="" dxfId="8">
      <formula>0</formula>
    </cfRule>
  </conditionalFormatting>
  <conditionalFormatting sqref="H799">
    <cfRule type="cellIs" priority="2380" operator="greaterThan" aboveAverage="0" equalAverage="0" bottom="0" percent="0" rank="0" text="" dxfId="8">
      <formula>0</formula>
    </cfRule>
  </conditionalFormatting>
  <conditionalFormatting sqref="C800">
    <cfRule type="cellIs" priority="2381" operator="greaterThan" aboveAverage="0" equalAverage="0" bottom="0" percent="0" rank="0" text="" dxfId="8">
      <formula>0</formula>
    </cfRule>
  </conditionalFormatting>
  <conditionalFormatting sqref="G800">
    <cfRule type="cellIs" priority="2382" operator="greaterThan" aboveAverage="0" equalAverage="0" bottom="0" percent="0" rank="0" text="" dxfId="8">
      <formula>0</formula>
    </cfRule>
  </conditionalFormatting>
  <conditionalFormatting sqref="H800">
    <cfRule type="cellIs" priority="2383" operator="greaterThan" aboveAverage="0" equalAverage="0" bottom="0" percent="0" rank="0" text="" dxfId="8">
      <formula>0</formula>
    </cfRule>
  </conditionalFormatting>
  <conditionalFormatting sqref="C801">
    <cfRule type="cellIs" priority="2384" operator="greaterThan" aboveAverage="0" equalAverage="0" bottom="0" percent="0" rank="0" text="" dxfId="8">
      <formula>0</formula>
    </cfRule>
  </conditionalFormatting>
  <conditionalFormatting sqref="G801">
    <cfRule type="cellIs" priority="2385" operator="greaterThan" aboveAverage="0" equalAverage="0" bottom="0" percent="0" rank="0" text="" dxfId="8">
      <formula>0</formula>
    </cfRule>
  </conditionalFormatting>
  <conditionalFormatting sqref="H801">
    <cfRule type="cellIs" priority="2386" operator="greaterThan" aboveAverage="0" equalAverage="0" bottom="0" percent="0" rank="0" text="" dxfId="8">
      <formula>0</formula>
    </cfRule>
  </conditionalFormatting>
  <conditionalFormatting sqref="C802">
    <cfRule type="cellIs" priority="2387" operator="greaterThan" aboveAverage="0" equalAverage="0" bottom="0" percent="0" rank="0" text="" dxfId="8">
      <formula>0</formula>
    </cfRule>
  </conditionalFormatting>
  <conditionalFormatting sqref="G802">
    <cfRule type="cellIs" priority="2388" operator="greaterThan" aboveAverage="0" equalAverage="0" bottom="0" percent="0" rank="0" text="" dxfId="8">
      <formula>0</formula>
    </cfRule>
  </conditionalFormatting>
  <conditionalFormatting sqref="H802">
    <cfRule type="cellIs" priority="2389" operator="greaterThan" aboveAverage="0" equalAverage="0" bottom="0" percent="0" rank="0" text="" dxfId="8">
      <formula>0</formula>
    </cfRule>
  </conditionalFormatting>
  <conditionalFormatting sqref="C803">
    <cfRule type="cellIs" priority="2390" operator="greaterThan" aboveAverage="0" equalAverage="0" bottom="0" percent="0" rank="0" text="" dxfId="8">
      <formula>0</formula>
    </cfRule>
  </conditionalFormatting>
  <conditionalFormatting sqref="G803">
    <cfRule type="cellIs" priority="2391" operator="greaterThan" aboveAverage="0" equalAverage="0" bottom="0" percent="0" rank="0" text="" dxfId="8">
      <formula>0</formula>
    </cfRule>
  </conditionalFormatting>
  <conditionalFormatting sqref="H803">
    <cfRule type="cellIs" priority="2392" operator="greaterThan" aboveAverage="0" equalAverage="0" bottom="0" percent="0" rank="0" text="" dxfId="8">
      <formula>0</formula>
    </cfRule>
  </conditionalFormatting>
  <conditionalFormatting sqref="C804">
    <cfRule type="cellIs" priority="2393" operator="greaterThan" aboveAverage="0" equalAverage="0" bottom="0" percent="0" rank="0" text="" dxfId="8">
      <formula>0</formula>
    </cfRule>
  </conditionalFormatting>
  <conditionalFormatting sqref="G804">
    <cfRule type="cellIs" priority="2394" operator="greaterThan" aboveAverage="0" equalAverage="0" bottom="0" percent="0" rank="0" text="" dxfId="8">
      <formula>0</formula>
    </cfRule>
  </conditionalFormatting>
  <conditionalFormatting sqref="H804">
    <cfRule type="cellIs" priority="2395" operator="greaterThan" aboveAverage="0" equalAverage="0" bottom="0" percent="0" rank="0" text="" dxfId="8">
      <formula>0</formula>
    </cfRule>
  </conditionalFormatting>
  <conditionalFormatting sqref="C805">
    <cfRule type="cellIs" priority="2396" operator="greaterThan" aboveAverage="0" equalAverage="0" bottom="0" percent="0" rank="0" text="" dxfId="8">
      <formula>0</formula>
    </cfRule>
  </conditionalFormatting>
  <conditionalFormatting sqref="G805">
    <cfRule type="cellIs" priority="2397" operator="greaterThan" aboveAverage="0" equalAverage="0" bottom="0" percent="0" rank="0" text="" dxfId="8">
      <formula>0</formula>
    </cfRule>
  </conditionalFormatting>
  <conditionalFormatting sqref="H805">
    <cfRule type="cellIs" priority="2398" operator="greaterThan" aboveAverage="0" equalAverage="0" bottom="0" percent="0" rank="0" text="" dxfId="8">
      <formula>0</formula>
    </cfRule>
  </conditionalFormatting>
  <conditionalFormatting sqref="C806">
    <cfRule type="cellIs" priority="2399" operator="greaterThan" aboveAverage="0" equalAverage="0" bottom="0" percent="0" rank="0" text="" dxfId="8">
      <formula>0</formula>
    </cfRule>
  </conditionalFormatting>
  <conditionalFormatting sqref="G806">
    <cfRule type="cellIs" priority="2400" operator="greaterThan" aboveAverage="0" equalAverage="0" bottom="0" percent="0" rank="0" text="" dxfId="8">
      <formula>0</formula>
    </cfRule>
  </conditionalFormatting>
  <conditionalFormatting sqref="H806">
    <cfRule type="cellIs" priority="2401" operator="greaterThan" aboveAverage="0" equalAverage="0" bottom="0" percent="0" rank="0" text="" dxfId="8">
      <formula>0</formula>
    </cfRule>
  </conditionalFormatting>
  <conditionalFormatting sqref="C807">
    <cfRule type="cellIs" priority="2402" operator="greaterThan" aboveAverage="0" equalAverage="0" bottom="0" percent="0" rank="0" text="" dxfId="8">
      <formula>0</formula>
    </cfRule>
  </conditionalFormatting>
  <conditionalFormatting sqref="G807">
    <cfRule type="cellIs" priority="2403" operator="greaterThan" aboveAverage="0" equalAverage="0" bottom="0" percent="0" rank="0" text="" dxfId="8">
      <formula>0</formula>
    </cfRule>
  </conditionalFormatting>
  <conditionalFormatting sqref="H807">
    <cfRule type="cellIs" priority="2404" operator="greaterThan" aboveAverage="0" equalAverage="0" bottom="0" percent="0" rank="0" text="" dxfId="8">
      <formula>0</formula>
    </cfRule>
  </conditionalFormatting>
  <conditionalFormatting sqref="C808">
    <cfRule type="cellIs" priority="2405" operator="greaterThan" aboveAverage="0" equalAverage="0" bottom="0" percent="0" rank="0" text="" dxfId="8">
      <formula>0</formula>
    </cfRule>
  </conditionalFormatting>
  <conditionalFormatting sqref="G808">
    <cfRule type="cellIs" priority="2406" operator="greaterThan" aboveAverage="0" equalAverage="0" bottom="0" percent="0" rank="0" text="" dxfId="8">
      <formula>0</formula>
    </cfRule>
  </conditionalFormatting>
  <conditionalFormatting sqref="H808">
    <cfRule type="cellIs" priority="2407" operator="greaterThan" aboveAverage="0" equalAverage="0" bottom="0" percent="0" rank="0" text="" dxfId="8">
      <formula>0</formula>
    </cfRule>
  </conditionalFormatting>
  <conditionalFormatting sqref="C809">
    <cfRule type="cellIs" priority="2408" operator="greaterThan" aboveAverage="0" equalAverage="0" bottom="0" percent="0" rank="0" text="" dxfId="8">
      <formula>0</formula>
    </cfRule>
  </conditionalFormatting>
  <conditionalFormatting sqref="G809">
    <cfRule type="cellIs" priority="2409" operator="greaterThan" aboveAverage="0" equalAverage="0" bottom="0" percent="0" rank="0" text="" dxfId="8">
      <formula>0</formula>
    </cfRule>
  </conditionalFormatting>
  <conditionalFormatting sqref="H809">
    <cfRule type="cellIs" priority="2410" operator="greaterThan" aboveAverage="0" equalAverage="0" bottom="0" percent="0" rank="0" text="" dxfId="8">
      <formula>0</formula>
    </cfRule>
  </conditionalFormatting>
  <conditionalFormatting sqref="C810">
    <cfRule type="cellIs" priority="2411" operator="greaterThan" aboveAverage="0" equalAverage="0" bottom="0" percent="0" rank="0" text="" dxfId="8">
      <formula>0</formula>
    </cfRule>
  </conditionalFormatting>
  <conditionalFormatting sqref="G810">
    <cfRule type="cellIs" priority="2412" operator="greaterThan" aboveAverage="0" equalAverage="0" bottom="0" percent="0" rank="0" text="" dxfId="8">
      <formula>0</formula>
    </cfRule>
  </conditionalFormatting>
  <conditionalFormatting sqref="H810">
    <cfRule type="cellIs" priority="2413" operator="greaterThan" aboveAverage="0" equalAverage="0" bottom="0" percent="0" rank="0" text="" dxfId="8">
      <formula>0</formula>
    </cfRule>
  </conditionalFormatting>
  <conditionalFormatting sqref="C811">
    <cfRule type="cellIs" priority="2414" operator="greaterThan" aboveAverage="0" equalAverage="0" bottom="0" percent="0" rank="0" text="" dxfId="8">
      <formula>0</formula>
    </cfRule>
  </conditionalFormatting>
  <conditionalFormatting sqref="G811">
    <cfRule type="cellIs" priority="2415" operator="greaterThan" aboveAverage="0" equalAverage="0" bottom="0" percent="0" rank="0" text="" dxfId="8">
      <formula>0</formula>
    </cfRule>
  </conditionalFormatting>
  <conditionalFormatting sqref="H811">
    <cfRule type="cellIs" priority="2416" operator="greaterThan" aboveAverage="0" equalAverage="0" bottom="0" percent="0" rank="0" text="" dxfId="8">
      <formula>0</formula>
    </cfRule>
  </conditionalFormatting>
  <conditionalFormatting sqref="C812">
    <cfRule type="cellIs" priority="2417" operator="greaterThan" aboveAverage="0" equalAverage="0" bottom="0" percent="0" rank="0" text="" dxfId="8">
      <formula>0</formula>
    </cfRule>
  </conditionalFormatting>
  <conditionalFormatting sqref="G812">
    <cfRule type="cellIs" priority="2418" operator="greaterThan" aboveAverage="0" equalAverage="0" bottom="0" percent="0" rank="0" text="" dxfId="8">
      <formula>0</formula>
    </cfRule>
  </conditionalFormatting>
  <conditionalFormatting sqref="H812">
    <cfRule type="cellIs" priority="2419" operator="greaterThan" aboveAverage="0" equalAverage="0" bottom="0" percent="0" rank="0" text="" dxfId="8">
      <formula>0</formula>
    </cfRule>
  </conditionalFormatting>
  <conditionalFormatting sqref="C813">
    <cfRule type="cellIs" priority="2420" operator="greaterThan" aboveAverage="0" equalAverage="0" bottom="0" percent="0" rank="0" text="" dxfId="8">
      <formula>0</formula>
    </cfRule>
  </conditionalFormatting>
  <conditionalFormatting sqref="G813">
    <cfRule type="cellIs" priority="2421" operator="greaterThan" aboveAverage="0" equalAverage="0" bottom="0" percent="0" rank="0" text="" dxfId="8">
      <formula>0</formula>
    </cfRule>
  </conditionalFormatting>
  <conditionalFormatting sqref="H813">
    <cfRule type="cellIs" priority="2422" operator="greaterThan" aboveAverage="0" equalAverage="0" bottom="0" percent="0" rank="0" text="" dxfId="8">
      <formula>0</formula>
    </cfRule>
  </conditionalFormatting>
  <conditionalFormatting sqref="C814">
    <cfRule type="cellIs" priority="2423" operator="greaterThan" aboveAverage="0" equalAverage="0" bottom="0" percent="0" rank="0" text="" dxfId="8">
      <formula>0</formula>
    </cfRule>
  </conditionalFormatting>
  <conditionalFormatting sqref="G814">
    <cfRule type="cellIs" priority="2424" operator="greaterThan" aboveAverage="0" equalAverage="0" bottom="0" percent="0" rank="0" text="" dxfId="8">
      <formula>0</formula>
    </cfRule>
  </conditionalFormatting>
  <conditionalFormatting sqref="H814">
    <cfRule type="cellIs" priority="2425" operator="greaterThan" aboveAverage="0" equalAverage="0" bottom="0" percent="0" rank="0" text="" dxfId="8">
      <formula>0</formula>
    </cfRule>
  </conditionalFormatting>
  <conditionalFormatting sqref="C815">
    <cfRule type="cellIs" priority="2426" operator="greaterThan" aboveAverage="0" equalAverage="0" bottom="0" percent="0" rank="0" text="" dxfId="8">
      <formula>0</formula>
    </cfRule>
  </conditionalFormatting>
  <conditionalFormatting sqref="G815">
    <cfRule type="cellIs" priority="2427" operator="greaterThan" aboveAverage="0" equalAverage="0" bottom="0" percent="0" rank="0" text="" dxfId="8">
      <formula>0</formula>
    </cfRule>
  </conditionalFormatting>
  <conditionalFormatting sqref="H815">
    <cfRule type="cellIs" priority="2428" operator="greaterThan" aboveAverage="0" equalAverage="0" bottom="0" percent="0" rank="0" text="" dxfId="8">
      <formula>0</formula>
    </cfRule>
  </conditionalFormatting>
  <conditionalFormatting sqref="C816">
    <cfRule type="cellIs" priority="2429" operator="greaterThan" aboveAverage="0" equalAverage="0" bottom="0" percent="0" rank="0" text="" dxfId="8">
      <formula>0</formula>
    </cfRule>
  </conditionalFormatting>
  <conditionalFormatting sqref="G816">
    <cfRule type="cellIs" priority="2430" operator="greaterThan" aboveAverage="0" equalAverage="0" bottom="0" percent="0" rank="0" text="" dxfId="8">
      <formula>0</formula>
    </cfRule>
  </conditionalFormatting>
  <conditionalFormatting sqref="H816">
    <cfRule type="cellIs" priority="2431" operator="greaterThan" aboveAverage="0" equalAverage="0" bottom="0" percent="0" rank="0" text="" dxfId="8">
      <formula>0</formula>
    </cfRule>
  </conditionalFormatting>
  <conditionalFormatting sqref="C817">
    <cfRule type="cellIs" priority="2432" operator="greaterThan" aboveAverage="0" equalAverage="0" bottom="0" percent="0" rank="0" text="" dxfId="8">
      <formula>0</formula>
    </cfRule>
  </conditionalFormatting>
  <conditionalFormatting sqref="G817">
    <cfRule type="cellIs" priority="2433" operator="greaterThan" aboveAverage="0" equalAverage="0" bottom="0" percent="0" rank="0" text="" dxfId="8">
      <formula>0</formula>
    </cfRule>
  </conditionalFormatting>
  <conditionalFormatting sqref="H817">
    <cfRule type="cellIs" priority="2434" operator="greaterThan" aboveAverage="0" equalAverage="0" bottom="0" percent="0" rank="0" text="" dxfId="8">
      <formula>0</formula>
    </cfRule>
  </conditionalFormatting>
  <conditionalFormatting sqref="C818">
    <cfRule type="cellIs" priority="2435" operator="greaterThan" aboveAverage="0" equalAverage="0" bottom="0" percent="0" rank="0" text="" dxfId="8">
      <formula>0</formula>
    </cfRule>
  </conditionalFormatting>
  <conditionalFormatting sqref="G818">
    <cfRule type="cellIs" priority="2436" operator="greaterThan" aboveAverage="0" equalAverage="0" bottom="0" percent="0" rank="0" text="" dxfId="8">
      <formula>0</formula>
    </cfRule>
  </conditionalFormatting>
  <conditionalFormatting sqref="H818">
    <cfRule type="cellIs" priority="2437" operator="greaterThan" aboveAverage="0" equalAverage="0" bottom="0" percent="0" rank="0" text="" dxfId="8">
      <formula>0</formula>
    </cfRule>
  </conditionalFormatting>
  <conditionalFormatting sqref="C819">
    <cfRule type="cellIs" priority="2438" operator="greaterThan" aboveAverage="0" equalAverage="0" bottom="0" percent="0" rank="0" text="" dxfId="8">
      <formula>0</formula>
    </cfRule>
  </conditionalFormatting>
  <conditionalFormatting sqref="G819">
    <cfRule type="cellIs" priority="2439" operator="greaterThan" aboveAverage="0" equalAverage="0" bottom="0" percent="0" rank="0" text="" dxfId="8">
      <formula>0</formula>
    </cfRule>
  </conditionalFormatting>
  <conditionalFormatting sqref="H819">
    <cfRule type="cellIs" priority="2440" operator="greaterThan" aboveAverage="0" equalAverage="0" bottom="0" percent="0" rank="0" text="" dxfId="8">
      <formula>0</formula>
    </cfRule>
  </conditionalFormatting>
  <conditionalFormatting sqref="C820">
    <cfRule type="cellIs" priority="2441" operator="greaterThan" aboveAverage="0" equalAverage="0" bottom="0" percent="0" rank="0" text="" dxfId="8">
      <formula>0</formula>
    </cfRule>
  </conditionalFormatting>
  <conditionalFormatting sqref="G820">
    <cfRule type="cellIs" priority="2442" operator="greaterThan" aboveAverage="0" equalAverage="0" bottom="0" percent="0" rank="0" text="" dxfId="8">
      <formula>0</formula>
    </cfRule>
  </conditionalFormatting>
  <conditionalFormatting sqref="H820">
    <cfRule type="cellIs" priority="2443" operator="greaterThan" aboveAverage="0" equalAverage="0" bottom="0" percent="0" rank="0" text="" dxfId="8">
      <formula>0</formula>
    </cfRule>
  </conditionalFormatting>
  <conditionalFormatting sqref="C821">
    <cfRule type="cellIs" priority="2444" operator="greaterThan" aboveAverage="0" equalAverage="0" bottom="0" percent="0" rank="0" text="" dxfId="8">
      <formula>0</formula>
    </cfRule>
  </conditionalFormatting>
  <conditionalFormatting sqref="G821">
    <cfRule type="cellIs" priority="2445" operator="greaterThan" aboveAverage="0" equalAverage="0" bottom="0" percent="0" rank="0" text="" dxfId="8">
      <formula>0</formula>
    </cfRule>
  </conditionalFormatting>
  <conditionalFormatting sqref="H821">
    <cfRule type="cellIs" priority="2446" operator="greaterThan" aboveAverage="0" equalAverage="0" bottom="0" percent="0" rank="0" text="" dxfId="8">
      <formula>0</formula>
    </cfRule>
  </conditionalFormatting>
  <conditionalFormatting sqref="C822">
    <cfRule type="cellIs" priority="2447" operator="greaterThan" aboveAverage="0" equalAverage="0" bottom="0" percent="0" rank="0" text="" dxfId="8">
      <formula>0</formula>
    </cfRule>
  </conditionalFormatting>
  <conditionalFormatting sqref="G822">
    <cfRule type="cellIs" priority="2448" operator="greaterThan" aboveAverage="0" equalAverage="0" bottom="0" percent="0" rank="0" text="" dxfId="8">
      <formula>0</formula>
    </cfRule>
  </conditionalFormatting>
  <conditionalFormatting sqref="H822">
    <cfRule type="cellIs" priority="2449" operator="greaterThan" aboveAverage="0" equalAverage="0" bottom="0" percent="0" rank="0" text="" dxfId="8">
      <formula>0</formula>
    </cfRule>
  </conditionalFormatting>
  <conditionalFormatting sqref="C823">
    <cfRule type="cellIs" priority="2450" operator="greaterThan" aboveAverage="0" equalAverage="0" bottom="0" percent="0" rank="0" text="" dxfId="8">
      <formula>0</formula>
    </cfRule>
  </conditionalFormatting>
  <conditionalFormatting sqref="G823">
    <cfRule type="cellIs" priority="2451" operator="greaterThan" aboveAverage="0" equalAverage="0" bottom="0" percent="0" rank="0" text="" dxfId="8">
      <formula>0</formula>
    </cfRule>
  </conditionalFormatting>
  <conditionalFormatting sqref="H823">
    <cfRule type="cellIs" priority="2452" operator="greaterThan" aboveAverage="0" equalAverage="0" bottom="0" percent="0" rank="0" text="" dxfId="8">
      <formula>0</formula>
    </cfRule>
  </conditionalFormatting>
  <conditionalFormatting sqref="C824">
    <cfRule type="cellIs" priority="2453" operator="greaterThan" aboveAverage="0" equalAverage="0" bottom="0" percent="0" rank="0" text="" dxfId="8">
      <formula>0</formula>
    </cfRule>
  </conditionalFormatting>
  <conditionalFormatting sqref="G824">
    <cfRule type="cellIs" priority="2454" operator="greaterThan" aboveAverage="0" equalAverage="0" bottom="0" percent="0" rank="0" text="" dxfId="8">
      <formula>0</formula>
    </cfRule>
  </conditionalFormatting>
  <conditionalFormatting sqref="H824">
    <cfRule type="cellIs" priority="2455" operator="greaterThan" aboveAverage="0" equalAverage="0" bottom="0" percent="0" rank="0" text="" dxfId="8">
      <formula>0</formula>
    </cfRule>
  </conditionalFormatting>
  <conditionalFormatting sqref="C825">
    <cfRule type="cellIs" priority="2456" operator="greaterThan" aboveAverage="0" equalAverage="0" bottom="0" percent="0" rank="0" text="" dxfId="8">
      <formula>0</formula>
    </cfRule>
  </conditionalFormatting>
  <conditionalFormatting sqref="G825">
    <cfRule type="cellIs" priority="2457" operator="greaterThan" aboveAverage="0" equalAverage="0" bottom="0" percent="0" rank="0" text="" dxfId="8">
      <formula>0</formula>
    </cfRule>
  </conditionalFormatting>
  <conditionalFormatting sqref="H825">
    <cfRule type="cellIs" priority="2458" operator="greaterThan" aboveAverage="0" equalAverage="0" bottom="0" percent="0" rank="0" text="" dxfId="8">
      <formula>0</formula>
    </cfRule>
  </conditionalFormatting>
  <conditionalFormatting sqref="C826">
    <cfRule type="cellIs" priority="2459" operator="greaterThan" aboveAverage="0" equalAverage="0" bottom="0" percent="0" rank="0" text="" dxfId="8">
      <formula>0</formula>
    </cfRule>
  </conditionalFormatting>
  <conditionalFormatting sqref="G826">
    <cfRule type="cellIs" priority="2460" operator="greaterThan" aboveAverage="0" equalAverage="0" bottom="0" percent="0" rank="0" text="" dxfId="8">
      <formula>0</formula>
    </cfRule>
  </conditionalFormatting>
  <conditionalFormatting sqref="H826">
    <cfRule type="cellIs" priority="2461" operator="greaterThan" aboveAverage="0" equalAverage="0" bottom="0" percent="0" rank="0" text="" dxfId="8">
      <formula>0</formula>
    </cfRule>
  </conditionalFormatting>
  <conditionalFormatting sqref="C827">
    <cfRule type="cellIs" priority="2462" operator="greaterThan" aboveAverage="0" equalAverage="0" bottom="0" percent="0" rank="0" text="" dxfId="8">
      <formula>0</formula>
    </cfRule>
  </conditionalFormatting>
  <conditionalFormatting sqref="G827">
    <cfRule type="cellIs" priority="2463" operator="greaterThan" aboveAverage="0" equalAverage="0" bottom="0" percent="0" rank="0" text="" dxfId="8">
      <formula>0</formula>
    </cfRule>
  </conditionalFormatting>
  <conditionalFormatting sqref="H827">
    <cfRule type="cellIs" priority="2464" operator="greaterThan" aboveAverage="0" equalAverage="0" bottom="0" percent="0" rank="0" text="" dxfId="8">
      <formula>0</formula>
    </cfRule>
  </conditionalFormatting>
  <conditionalFormatting sqref="C828">
    <cfRule type="cellIs" priority="2465" operator="greaterThan" aboveAverage="0" equalAverage="0" bottom="0" percent="0" rank="0" text="" dxfId="8">
      <formula>0</formula>
    </cfRule>
  </conditionalFormatting>
  <conditionalFormatting sqref="G828">
    <cfRule type="cellIs" priority="2466" operator="greaterThan" aboveAverage="0" equalAverage="0" bottom="0" percent="0" rank="0" text="" dxfId="8">
      <formula>0</formula>
    </cfRule>
  </conditionalFormatting>
  <conditionalFormatting sqref="H828">
    <cfRule type="cellIs" priority="2467" operator="greaterThan" aboveAverage="0" equalAverage="0" bottom="0" percent="0" rank="0" text="" dxfId="8">
      <formula>0</formula>
    </cfRule>
  </conditionalFormatting>
  <conditionalFormatting sqref="C829">
    <cfRule type="cellIs" priority="2468" operator="greaterThan" aboveAverage="0" equalAverage="0" bottom="0" percent="0" rank="0" text="" dxfId="8">
      <formula>0</formula>
    </cfRule>
  </conditionalFormatting>
  <conditionalFormatting sqref="G829">
    <cfRule type="cellIs" priority="2469" operator="greaterThan" aboveAverage="0" equalAverage="0" bottom="0" percent="0" rank="0" text="" dxfId="8">
      <formula>0</formula>
    </cfRule>
  </conditionalFormatting>
  <conditionalFormatting sqref="H829">
    <cfRule type="cellIs" priority="2470" operator="greaterThan" aboveAverage="0" equalAverage="0" bottom="0" percent="0" rank="0" text="" dxfId="8">
      <formula>0</formula>
    </cfRule>
  </conditionalFormatting>
  <conditionalFormatting sqref="C830">
    <cfRule type="cellIs" priority="2471" operator="greaterThan" aboveAverage="0" equalAverage="0" bottom="0" percent="0" rank="0" text="" dxfId="8">
      <formula>0</formula>
    </cfRule>
  </conditionalFormatting>
  <conditionalFormatting sqref="G830">
    <cfRule type="cellIs" priority="2472" operator="greaterThan" aboveAverage="0" equalAverage="0" bottom="0" percent="0" rank="0" text="" dxfId="8">
      <formula>0</formula>
    </cfRule>
  </conditionalFormatting>
  <conditionalFormatting sqref="H830">
    <cfRule type="cellIs" priority="2473" operator="greaterThan" aboveAverage="0" equalAverage="0" bottom="0" percent="0" rank="0" text="" dxfId="8">
      <formula>0</formula>
    </cfRule>
  </conditionalFormatting>
  <conditionalFormatting sqref="C831">
    <cfRule type="cellIs" priority="2474" operator="greaterThan" aboveAverage="0" equalAverage="0" bottom="0" percent="0" rank="0" text="" dxfId="8">
      <formula>0</formula>
    </cfRule>
  </conditionalFormatting>
  <conditionalFormatting sqref="G831">
    <cfRule type="cellIs" priority="2475" operator="greaterThan" aboveAverage="0" equalAverage="0" bottom="0" percent="0" rank="0" text="" dxfId="8">
      <formula>0</formula>
    </cfRule>
  </conditionalFormatting>
  <conditionalFormatting sqref="H831">
    <cfRule type="cellIs" priority="2476" operator="greaterThan" aboveAverage="0" equalAverage="0" bottom="0" percent="0" rank="0" text="" dxfId="8">
      <formula>0</formula>
    </cfRule>
  </conditionalFormatting>
  <conditionalFormatting sqref="C832">
    <cfRule type="cellIs" priority="2477" operator="greaterThan" aboveAverage="0" equalAverage="0" bottom="0" percent="0" rank="0" text="" dxfId="8">
      <formula>0</formula>
    </cfRule>
  </conditionalFormatting>
  <conditionalFormatting sqref="G832">
    <cfRule type="cellIs" priority="2478" operator="greaterThan" aboveAverage="0" equalAverage="0" bottom="0" percent="0" rank="0" text="" dxfId="8">
      <formula>0</formula>
    </cfRule>
  </conditionalFormatting>
  <conditionalFormatting sqref="H832">
    <cfRule type="cellIs" priority="2479" operator="greaterThan" aboveAverage="0" equalAverage="0" bottom="0" percent="0" rank="0" text="" dxfId="8">
      <formula>0</formula>
    </cfRule>
  </conditionalFormatting>
  <conditionalFormatting sqref="C833">
    <cfRule type="cellIs" priority="2480" operator="greaterThan" aboveAverage="0" equalAverage="0" bottom="0" percent="0" rank="0" text="" dxfId="8">
      <formula>0</formula>
    </cfRule>
  </conditionalFormatting>
  <conditionalFormatting sqref="G833">
    <cfRule type="cellIs" priority="2481" operator="greaterThan" aboveAverage="0" equalAverage="0" bottom="0" percent="0" rank="0" text="" dxfId="8">
      <formula>0</formula>
    </cfRule>
  </conditionalFormatting>
  <conditionalFormatting sqref="H833">
    <cfRule type="cellIs" priority="2482" operator="greaterThan" aboveAverage="0" equalAverage="0" bottom="0" percent="0" rank="0" text="" dxfId="8">
      <formula>0</formula>
    </cfRule>
  </conditionalFormatting>
  <conditionalFormatting sqref="C834">
    <cfRule type="cellIs" priority="2483" operator="greaterThan" aboveAverage="0" equalAverage="0" bottom="0" percent="0" rank="0" text="" dxfId="8">
      <formula>0</formula>
    </cfRule>
  </conditionalFormatting>
  <conditionalFormatting sqref="G834">
    <cfRule type="cellIs" priority="2484" operator="greaterThan" aboveAverage="0" equalAverage="0" bottom="0" percent="0" rank="0" text="" dxfId="8">
      <formula>0</formula>
    </cfRule>
  </conditionalFormatting>
  <conditionalFormatting sqref="H834">
    <cfRule type="cellIs" priority="2485" operator="greaterThan" aboveAverage="0" equalAverage="0" bottom="0" percent="0" rank="0" text="" dxfId="8">
      <formula>0</formula>
    </cfRule>
  </conditionalFormatting>
  <conditionalFormatting sqref="C835">
    <cfRule type="cellIs" priority="2486" operator="greaterThan" aboveAverage="0" equalAverage="0" bottom="0" percent="0" rank="0" text="" dxfId="8">
      <formula>0</formula>
    </cfRule>
  </conditionalFormatting>
  <conditionalFormatting sqref="G835">
    <cfRule type="cellIs" priority="2487" operator="greaterThan" aboveAverage="0" equalAverage="0" bottom="0" percent="0" rank="0" text="" dxfId="8">
      <formula>0</formula>
    </cfRule>
  </conditionalFormatting>
  <conditionalFormatting sqref="H835">
    <cfRule type="cellIs" priority="2488" operator="greaterThan" aboveAverage="0" equalAverage="0" bottom="0" percent="0" rank="0" text="" dxfId="8">
      <formula>0</formula>
    </cfRule>
  </conditionalFormatting>
  <conditionalFormatting sqref="C836">
    <cfRule type="cellIs" priority="2489" operator="greaterThan" aboveAverage="0" equalAverage="0" bottom="0" percent="0" rank="0" text="" dxfId="8">
      <formula>0</formula>
    </cfRule>
  </conditionalFormatting>
  <conditionalFormatting sqref="G836">
    <cfRule type="cellIs" priority="2490" operator="greaterThan" aboveAverage="0" equalAverage="0" bottom="0" percent="0" rank="0" text="" dxfId="8">
      <formula>0</formula>
    </cfRule>
  </conditionalFormatting>
  <conditionalFormatting sqref="H836">
    <cfRule type="cellIs" priority="2491" operator="greaterThan" aboveAverage="0" equalAverage="0" bottom="0" percent="0" rank="0" text="" dxfId="8">
      <formula>0</formula>
    </cfRule>
  </conditionalFormatting>
  <conditionalFormatting sqref="C837">
    <cfRule type="cellIs" priority="2492" operator="greaterThan" aboveAverage="0" equalAverage="0" bottom="0" percent="0" rank="0" text="" dxfId="8">
      <formula>0</formula>
    </cfRule>
  </conditionalFormatting>
  <conditionalFormatting sqref="G837">
    <cfRule type="cellIs" priority="2493" operator="greaterThan" aboveAverage="0" equalAverage="0" bottom="0" percent="0" rank="0" text="" dxfId="8">
      <formula>0</formula>
    </cfRule>
  </conditionalFormatting>
  <conditionalFormatting sqref="H837">
    <cfRule type="cellIs" priority="2494" operator="greaterThan" aboveAverage="0" equalAverage="0" bottom="0" percent="0" rank="0" text="" dxfId="8">
      <formula>0</formula>
    </cfRule>
  </conditionalFormatting>
  <conditionalFormatting sqref="C838">
    <cfRule type="cellIs" priority="2495" operator="greaterThan" aboveAverage="0" equalAverage="0" bottom="0" percent="0" rank="0" text="" dxfId="8">
      <formula>0</formula>
    </cfRule>
  </conditionalFormatting>
  <conditionalFormatting sqref="G838">
    <cfRule type="cellIs" priority="2496" operator="greaterThan" aboveAverage="0" equalAverage="0" bottom="0" percent="0" rank="0" text="" dxfId="8">
      <formula>0</formula>
    </cfRule>
  </conditionalFormatting>
  <conditionalFormatting sqref="H838">
    <cfRule type="cellIs" priority="2497" operator="greaterThan" aboveAverage="0" equalAverage="0" bottom="0" percent="0" rank="0" text="" dxfId="8">
      <formula>0</formula>
    </cfRule>
  </conditionalFormatting>
  <conditionalFormatting sqref="C839">
    <cfRule type="cellIs" priority="2498" operator="greaterThan" aboveAverage="0" equalAverage="0" bottom="0" percent="0" rank="0" text="" dxfId="8">
      <formula>0</formula>
    </cfRule>
  </conditionalFormatting>
  <conditionalFormatting sqref="G839">
    <cfRule type="cellIs" priority="2499" operator="greaterThan" aboveAverage="0" equalAverage="0" bottom="0" percent="0" rank="0" text="" dxfId="8">
      <formula>0</formula>
    </cfRule>
  </conditionalFormatting>
  <conditionalFormatting sqref="H839">
    <cfRule type="cellIs" priority="2500" operator="greaterThan" aboveAverage="0" equalAverage="0" bottom="0" percent="0" rank="0" text="" dxfId="8">
      <formula>0</formula>
    </cfRule>
  </conditionalFormatting>
  <conditionalFormatting sqref="C840">
    <cfRule type="cellIs" priority="2501" operator="greaterThan" aboveAverage="0" equalAverage="0" bottom="0" percent="0" rank="0" text="" dxfId="8">
      <formula>0</formula>
    </cfRule>
  </conditionalFormatting>
  <conditionalFormatting sqref="G840">
    <cfRule type="cellIs" priority="2502" operator="greaterThan" aboveAverage="0" equalAverage="0" bottom="0" percent="0" rank="0" text="" dxfId="8">
      <formula>0</formula>
    </cfRule>
  </conditionalFormatting>
  <conditionalFormatting sqref="H840">
    <cfRule type="cellIs" priority="2503" operator="greaterThan" aboveAverage="0" equalAverage="0" bottom="0" percent="0" rank="0" text="" dxfId="8">
      <formula>0</formula>
    </cfRule>
  </conditionalFormatting>
  <conditionalFormatting sqref="C841">
    <cfRule type="cellIs" priority="2504" operator="greaterThan" aboveAverage="0" equalAverage="0" bottom="0" percent="0" rank="0" text="" dxfId="8">
      <formula>0</formula>
    </cfRule>
  </conditionalFormatting>
  <conditionalFormatting sqref="G841">
    <cfRule type="cellIs" priority="2505" operator="greaterThan" aboveAverage="0" equalAverage="0" bottom="0" percent="0" rank="0" text="" dxfId="8">
      <formula>0</formula>
    </cfRule>
  </conditionalFormatting>
  <conditionalFormatting sqref="H841">
    <cfRule type="cellIs" priority="2506" operator="greaterThan" aboveAverage="0" equalAverage="0" bottom="0" percent="0" rank="0" text="" dxfId="8">
      <formula>0</formula>
    </cfRule>
  </conditionalFormatting>
  <conditionalFormatting sqref="C842">
    <cfRule type="cellIs" priority="2507" operator="greaterThan" aboveAverage="0" equalAverage="0" bottom="0" percent="0" rank="0" text="" dxfId="8">
      <formula>0</formula>
    </cfRule>
  </conditionalFormatting>
  <conditionalFormatting sqref="G842">
    <cfRule type="cellIs" priority="2508" operator="greaterThan" aboveAverage="0" equalAverage="0" bottom="0" percent="0" rank="0" text="" dxfId="8">
      <formula>0</formula>
    </cfRule>
  </conditionalFormatting>
  <conditionalFormatting sqref="H842">
    <cfRule type="cellIs" priority="2509" operator="greaterThan" aboveAverage="0" equalAverage="0" bottom="0" percent="0" rank="0" text="" dxfId="8">
      <formula>0</formula>
    </cfRule>
  </conditionalFormatting>
  <conditionalFormatting sqref="C843">
    <cfRule type="cellIs" priority="2510" operator="greaterThan" aboveAverage="0" equalAverage="0" bottom="0" percent="0" rank="0" text="" dxfId="8">
      <formula>0</formula>
    </cfRule>
  </conditionalFormatting>
  <conditionalFormatting sqref="G843">
    <cfRule type="cellIs" priority="2511" operator="greaterThan" aboveAverage="0" equalAverage="0" bottom="0" percent="0" rank="0" text="" dxfId="8">
      <formula>0</formula>
    </cfRule>
  </conditionalFormatting>
  <conditionalFormatting sqref="H843">
    <cfRule type="cellIs" priority="2512" operator="greaterThan" aboveAverage="0" equalAverage="0" bottom="0" percent="0" rank="0" text="" dxfId="8">
      <formula>0</formula>
    </cfRule>
  </conditionalFormatting>
  <conditionalFormatting sqref="C844">
    <cfRule type="cellIs" priority="2513" operator="greaterThan" aboveAverage="0" equalAverage="0" bottom="0" percent="0" rank="0" text="" dxfId="8">
      <formula>0</formula>
    </cfRule>
  </conditionalFormatting>
  <conditionalFormatting sqref="G844">
    <cfRule type="cellIs" priority="2514" operator="greaterThan" aboveAverage="0" equalAverage="0" bottom="0" percent="0" rank="0" text="" dxfId="8">
      <formula>0</formula>
    </cfRule>
  </conditionalFormatting>
  <conditionalFormatting sqref="H844">
    <cfRule type="cellIs" priority="2515" operator="greaterThan" aboveAverage="0" equalAverage="0" bottom="0" percent="0" rank="0" text="" dxfId="8">
      <formula>0</formula>
    </cfRule>
  </conditionalFormatting>
  <conditionalFormatting sqref="C845">
    <cfRule type="cellIs" priority="2516" operator="greaterThan" aboveAverage="0" equalAverage="0" bottom="0" percent="0" rank="0" text="" dxfId="8">
      <formula>0</formula>
    </cfRule>
  </conditionalFormatting>
  <conditionalFormatting sqref="G845">
    <cfRule type="cellIs" priority="2517" operator="greaterThan" aboveAverage="0" equalAverage="0" bottom="0" percent="0" rank="0" text="" dxfId="8">
      <formula>0</formula>
    </cfRule>
  </conditionalFormatting>
  <conditionalFormatting sqref="H845">
    <cfRule type="cellIs" priority="2518" operator="greaterThan" aboveAverage="0" equalAverage="0" bottom="0" percent="0" rank="0" text="" dxfId="8">
      <formula>0</formula>
    </cfRule>
  </conditionalFormatting>
  <conditionalFormatting sqref="C846">
    <cfRule type="cellIs" priority="2519" operator="greaterThan" aboveAverage="0" equalAverage="0" bottom="0" percent="0" rank="0" text="" dxfId="8">
      <formula>0</formula>
    </cfRule>
  </conditionalFormatting>
  <conditionalFormatting sqref="G846">
    <cfRule type="cellIs" priority="2520" operator="greaterThan" aboveAverage="0" equalAverage="0" bottom="0" percent="0" rank="0" text="" dxfId="8">
      <formula>0</formula>
    </cfRule>
  </conditionalFormatting>
  <conditionalFormatting sqref="H846">
    <cfRule type="cellIs" priority="2521" operator="greaterThan" aboveAverage="0" equalAverage="0" bottom="0" percent="0" rank="0" text="" dxfId="8">
      <formula>0</formula>
    </cfRule>
  </conditionalFormatting>
  <conditionalFormatting sqref="C847">
    <cfRule type="cellIs" priority="2522" operator="greaterThan" aboveAverage="0" equalAverage="0" bottom="0" percent="0" rank="0" text="" dxfId="8">
      <formula>0</formula>
    </cfRule>
  </conditionalFormatting>
  <conditionalFormatting sqref="G847">
    <cfRule type="cellIs" priority="2523" operator="greaterThan" aboveAverage="0" equalAverage="0" bottom="0" percent="0" rank="0" text="" dxfId="8">
      <formula>0</formula>
    </cfRule>
  </conditionalFormatting>
  <conditionalFormatting sqref="H847">
    <cfRule type="cellIs" priority="2524" operator="greaterThan" aboveAverage="0" equalAverage="0" bottom="0" percent="0" rank="0" text="" dxfId="8">
      <formula>0</formula>
    </cfRule>
  </conditionalFormatting>
  <conditionalFormatting sqref="C848">
    <cfRule type="cellIs" priority="2525" operator="greaterThan" aboveAverage="0" equalAverage="0" bottom="0" percent="0" rank="0" text="" dxfId="8">
      <formula>0</formula>
    </cfRule>
  </conditionalFormatting>
  <conditionalFormatting sqref="G848">
    <cfRule type="cellIs" priority="2526" operator="greaterThan" aboveAverage="0" equalAverage="0" bottom="0" percent="0" rank="0" text="" dxfId="8">
      <formula>0</formula>
    </cfRule>
  </conditionalFormatting>
  <conditionalFormatting sqref="H848">
    <cfRule type="cellIs" priority="2527" operator="greaterThan" aboveAverage="0" equalAverage="0" bottom="0" percent="0" rank="0" text="" dxfId="8">
      <formula>0</formula>
    </cfRule>
  </conditionalFormatting>
  <conditionalFormatting sqref="C849">
    <cfRule type="cellIs" priority="2528" operator="greaterThan" aboveAverage="0" equalAverage="0" bottom="0" percent="0" rank="0" text="" dxfId="8">
      <formula>0</formula>
    </cfRule>
  </conditionalFormatting>
  <conditionalFormatting sqref="G849">
    <cfRule type="cellIs" priority="2529" operator="greaterThan" aboveAverage="0" equalAverage="0" bottom="0" percent="0" rank="0" text="" dxfId="8">
      <formula>0</formula>
    </cfRule>
  </conditionalFormatting>
  <conditionalFormatting sqref="H849">
    <cfRule type="cellIs" priority="2530" operator="greaterThan" aboveAverage="0" equalAverage="0" bottom="0" percent="0" rank="0" text="" dxfId="8">
      <formula>0</formula>
    </cfRule>
  </conditionalFormatting>
  <conditionalFormatting sqref="C850">
    <cfRule type="cellIs" priority="2531" operator="greaterThan" aboveAverage="0" equalAverage="0" bottom="0" percent="0" rank="0" text="" dxfId="8">
      <formula>0</formula>
    </cfRule>
  </conditionalFormatting>
  <conditionalFormatting sqref="G850">
    <cfRule type="cellIs" priority="2532" operator="greaterThan" aboveAverage="0" equalAverage="0" bottom="0" percent="0" rank="0" text="" dxfId="8">
      <formula>0</formula>
    </cfRule>
  </conditionalFormatting>
  <conditionalFormatting sqref="H850">
    <cfRule type="cellIs" priority="2533" operator="greaterThan" aboveAverage="0" equalAverage="0" bottom="0" percent="0" rank="0" text="" dxfId="8">
      <formula>0</formula>
    </cfRule>
  </conditionalFormatting>
  <conditionalFormatting sqref="C851">
    <cfRule type="cellIs" priority="2534" operator="greaterThan" aboveAverage="0" equalAverage="0" bottom="0" percent="0" rank="0" text="" dxfId="8">
      <formula>0</formula>
    </cfRule>
  </conditionalFormatting>
  <conditionalFormatting sqref="G851">
    <cfRule type="cellIs" priority="2535" operator="greaterThan" aboveAverage="0" equalAverage="0" bottom="0" percent="0" rank="0" text="" dxfId="8">
      <formula>0</formula>
    </cfRule>
  </conditionalFormatting>
  <conditionalFormatting sqref="H851">
    <cfRule type="cellIs" priority="2536" operator="greaterThan" aboveAverage="0" equalAverage="0" bottom="0" percent="0" rank="0" text="" dxfId="8">
      <formula>0</formula>
    </cfRule>
  </conditionalFormatting>
  <conditionalFormatting sqref="C852">
    <cfRule type="cellIs" priority="2537" operator="greaterThan" aboveAverage="0" equalAverage="0" bottom="0" percent="0" rank="0" text="" dxfId="8">
      <formula>0</formula>
    </cfRule>
  </conditionalFormatting>
  <conditionalFormatting sqref="G852">
    <cfRule type="cellIs" priority="2538" operator="greaterThan" aboveAverage="0" equalAverage="0" bottom="0" percent="0" rank="0" text="" dxfId="8">
      <formula>0</formula>
    </cfRule>
  </conditionalFormatting>
  <conditionalFormatting sqref="H852">
    <cfRule type="cellIs" priority="2539" operator="greaterThan" aboveAverage="0" equalAverage="0" bottom="0" percent="0" rank="0" text="" dxfId="8">
      <formula>0</formula>
    </cfRule>
  </conditionalFormatting>
  <conditionalFormatting sqref="C853">
    <cfRule type="cellIs" priority="2540" operator="greaterThan" aboveAverage="0" equalAverage="0" bottom="0" percent="0" rank="0" text="" dxfId="8">
      <formula>0</formula>
    </cfRule>
  </conditionalFormatting>
  <conditionalFormatting sqref="G853">
    <cfRule type="cellIs" priority="2541" operator="greaterThan" aboveAverage="0" equalAverage="0" bottom="0" percent="0" rank="0" text="" dxfId="8">
      <formula>0</formula>
    </cfRule>
  </conditionalFormatting>
  <conditionalFormatting sqref="H853">
    <cfRule type="cellIs" priority="2542" operator="greaterThan" aboveAverage="0" equalAverage="0" bottom="0" percent="0" rank="0" text="" dxfId="8">
      <formula>0</formula>
    </cfRule>
  </conditionalFormatting>
  <conditionalFormatting sqref="C854">
    <cfRule type="cellIs" priority="2543" operator="greaterThan" aboveAverage="0" equalAverage="0" bottom="0" percent="0" rank="0" text="" dxfId="8">
      <formula>0</formula>
    </cfRule>
  </conditionalFormatting>
  <conditionalFormatting sqref="G854">
    <cfRule type="cellIs" priority="2544" operator="greaterThan" aboveAverage="0" equalAverage="0" bottom="0" percent="0" rank="0" text="" dxfId="8">
      <formula>0</formula>
    </cfRule>
  </conditionalFormatting>
  <conditionalFormatting sqref="H854">
    <cfRule type="cellIs" priority="2545" operator="greaterThan" aboveAverage="0" equalAverage="0" bottom="0" percent="0" rank="0" text="" dxfId="8">
      <formula>0</formula>
    </cfRule>
  </conditionalFormatting>
  <conditionalFormatting sqref="C855">
    <cfRule type="cellIs" priority="2546" operator="greaterThan" aboveAverage="0" equalAverage="0" bottom="0" percent="0" rank="0" text="" dxfId="8">
      <formula>0</formula>
    </cfRule>
  </conditionalFormatting>
  <conditionalFormatting sqref="G855">
    <cfRule type="cellIs" priority="2547" operator="greaterThan" aboveAverage="0" equalAverage="0" bottom="0" percent="0" rank="0" text="" dxfId="8">
      <formula>0</formula>
    </cfRule>
  </conditionalFormatting>
  <conditionalFormatting sqref="H855">
    <cfRule type="cellIs" priority="2548" operator="greaterThan" aboveAverage="0" equalAverage="0" bottom="0" percent="0" rank="0" text="" dxfId="8">
      <formula>0</formula>
    </cfRule>
  </conditionalFormatting>
  <conditionalFormatting sqref="C856">
    <cfRule type="cellIs" priority="2549" operator="greaterThan" aboveAverage="0" equalAverage="0" bottom="0" percent="0" rank="0" text="" dxfId="8">
      <formula>0</formula>
    </cfRule>
  </conditionalFormatting>
  <conditionalFormatting sqref="G856">
    <cfRule type="cellIs" priority="2550" operator="greaterThan" aboveAverage="0" equalAverage="0" bottom="0" percent="0" rank="0" text="" dxfId="8">
      <formula>0</formula>
    </cfRule>
  </conditionalFormatting>
  <conditionalFormatting sqref="H856">
    <cfRule type="cellIs" priority="2551" operator="greaterThan" aboveAverage="0" equalAverage="0" bottom="0" percent="0" rank="0" text="" dxfId="8">
      <formula>0</formula>
    </cfRule>
  </conditionalFormatting>
  <conditionalFormatting sqref="C857">
    <cfRule type="cellIs" priority="2552" operator="greaterThan" aboveAverage="0" equalAverage="0" bottom="0" percent="0" rank="0" text="" dxfId="8">
      <formula>0</formula>
    </cfRule>
  </conditionalFormatting>
  <conditionalFormatting sqref="G857">
    <cfRule type="cellIs" priority="2553" operator="greaterThan" aboveAverage="0" equalAverage="0" bottom="0" percent="0" rank="0" text="" dxfId="8">
      <formula>0</formula>
    </cfRule>
  </conditionalFormatting>
  <conditionalFormatting sqref="H857">
    <cfRule type="cellIs" priority="2554" operator="greaterThan" aboveAverage="0" equalAverage="0" bottom="0" percent="0" rank="0" text="" dxfId="8">
      <formula>0</formula>
    </cfRule>
  </conditionalFormatting>
  <conditionalFormatting sqref="C858">
    <cfRule type="cellIs" priority="2555" operator="greaterThan" aboveAverage="0" equalAverage="0" bottom="0" percent="0" rank="0" text="" dxfId="8">
      <formula>0</formula>
    </cfRule>
  </conditionalFormatting>
  <conditionalFormatting sqref="G858">
    <cfRule type="cellIs" priority="2556" operator="greaterThan" aboveAverage="0" equalAverage="0" bottom="0" percent="0" rank="0" text="" dxfId="8">
      <formula>0</formula>
    </cfRule>
  </conditionalFormatting>
  <conditionalFormatting sqref="H858">
    <cfRule type="cellIs" priority="2557" operator="greaterThan" aboveAverage="0" equalAverage="0" bottom="0" percent="0" rank="0" text="" dxfId="8">
      <formula>0</formula>
    </cfRule>
  </conditionalFormatting>
  <conditionalFormatting sqref="C859">
    <cfRule type="cellIs" priority="2558" operator="greaterThan" aboveAverage="0" equalAverage="0" bottom="0" percent="0" rank="0" text="" dxfId="8">
      <formula>0</formula>
    </cfRule>
  </conditionalFormatting>
  <conditionalFormatting sqref="G859">
    <cfRule type="cellIs" priority="2559" operator="greaterThan" aboveAverage="0" equalAverage="0" bottom="0" percent="0" rank="0" text="" dxfId="8">
      <formula>0</formula>
    </cfRule>
  </conditionalFormatting>
  <conditionalFormatting sqref="H859">
    <cfRule type="cellIs" priority="2560" operator="greaterThan" aboveAverage="0" equalAverage="0" bottom="0" percent="0" rank="0" text="" dxfId="8">
      <formula>0</formula>
    </cfRule>
  </conditionalFormatting>
  <conditionalFormatting sqref="C860">
    <cfRule type="cellIs" priority="2561" operator="greaterThan" aboveAverage="0" equalAverage="0" bottom="0" percent="0" rank="0" text="" dxfId="8">
      <formula>0</formula>
    </cfRule>
  </conditionalFormatting>
  <conditionalFormatting sqref="G860">
    <cfRule type="cellIs" priority="2562" operator="greaterThan" aboveAverage="0" equalAverage="0" bottom="0" percent="0" rank="0" text="" dxfId="8">
      <formula>0</formula>
    </cfRule>
  </conditionalFormatting>
  <conditionalFormatting sqref="H860">
    <cfRule type="cellIs" priority="2563" operator="greaterThan" aboveAverage="0" equalAverage="0" bottom="0" percent="0" rank="0" text="" dxfId="8">
      <formula>0</formula>
    </cfRule>
  </conditionalFormatting>
  <conditionalFormatting sqref="C861">
    <cfRule type="cellIs" priority="2564" operator="greaterThan" aboveAverage="0" equalAverage="0" bottom="0" percent="0" rank="0" text="" dxfId="8">
      <formula>0</formula>
    </cfRule>
  </conditionalFormatting>
  <conditionalFormatting sqref="G861">
    <cfRule type="cellIs" priority="2565" operator="greaterThan" aboveAverage="0" equalAverage="0" bottom="0" percent="0" rank="0" text="" dxfId="8">
      <formula>0</formula>
    </cfRule>
  </conditionalFormatting>
  <conditionalFormatting sqref="H861">
    <cfRule type="cellIs" priority="2566" operator="greaterThan" aboveAverage="0" equalAverage="0" bottom="0" percent="0" rank="0" text="" dxfId="8">
      <formula>0</formula>
    </cfRule>
  </conditionalFormatting>
  <conditionalFormatting sqref="C862">
    <cfRule type="cellIs" priority="2567" operator="greaterThan" aboveAverage="0" equalAverage="0" bottom="0" percent="0" rank="0" text="" dxfId="8">
      <formula>0</formula>
    </cfRule>
  </conditionalFormatting>
  <conditionalFormatting sqref="G862">
    <cfRule type="cellIs" priority="2568" operator="greaterThan" aboveAverage="0" equalAverage="0" bottom="0" percent="0" rank="0" text="" dxfId="8">
      <formula>0</formula>
    </cfRule>
  </conditionalFormatting>
  <conditionalFormatting sqref="H862">
    <cfRule type="cellIs" priority="2569" operator="greaterThan" aboveAverage="0" equalAverage="0" bottom="0" percent="0" rank="0" text="" dxfId="8">
      <formula>0</formula>
    </cfRule>
  </conditionalFormatting>
  <conditionalFormatting sqref="C863">
    <cfRule type="cellIs" priority="2570" operator="greaterThan" aboveAverage="0" equalAverage="0" bottom="0" percent="0" rank="0" text="" dxfId="8">
      <formula>0</formula>
    </cfRule>
  </conditionalFormatting>
  <conditionalFormatting sqref="G863">
    <cfRule type="cellIs" priority="2571" operator="greaterThan" aboveAverage="0" equalAverage="0" bottom="0" percent="0" rank="0" text="" dxfId="8">
      <formula>0</formula>
    </cfRule>
  </conditionalFormatting>
  <conditionalFormatting sqref="H863">
    <cfRule type="cellIs" priority="2572" operator="greaterThan" aboveAverage="0" equalAverage="0" bottom="0" percent="0" rank="0" text="" dxfId="8">
      <formula>0</formula>
    </cfRule>
  </conditionalFormatting>
  <conditionalFormatting sqref="C864">
    <cfRule type="cellIs" priority="2573" operator="greaterThan" aboveAverage="0" equalAverage="0" bottom="0" percent="0" rank="0" text="" dxfId="8">
      <formula>0</formula>
    </cfRule>
  </conditionalFormatting>
  <conditionalFormatting sqref="G864">
    <cfRule type="cellIs" priority="2574" operator="greaterThan" aboveAverage="0" equalAverage="0" bottom="0" percent="0" rank="0" text="" dxfId="8">
      <formula>0</formula>
    </cfRule>
  </conditionalFormatting>
  <conditionalFormatting sqref="H864">
    <cfRule type="cellIs" priority="2575" operator="greaterThan" aboveAverage="0" equalAverage="0" bottom="0" percent="0" rank="0" text="" dxfId="8">
      <formula>0</formula>
    </cfRule>
  </conditionalFormatting>
  <conditionalFormatting sqref="C865">
    <cfRule type="cellIs" priority="2576" operator="greaterThan" aboveAverage="0" equalAverage="0" bottom="0" percent="0" rank="0" text="" dxfId="8">
      <formula>0</formula>
    </cfRule>
  </conditionalFormatting>
  <conditionalFormatting sqref="G865">
    <cfRule type="cellIs" priority="2577" operator="greaterThan" aboveAverage="0" equalAverage="0" bottom="0" percent="0" rank="0" text="" dxfId="8">
      <formula>0</formula>
    </cfRule>
  </conditionalFormatting>
  <conditionalFormatting sqref="H865">
    <cfRule type="cellIs" priority="2578" operator="greaterThan" aboveAverage="0" equalAverage="0" bottom="0" percent="0" rank="0" text="" dxfId="8">
      <formula>0</formula>
    </cfRule>
  </conditionalFormatting>
  <conditionalFormatting sqref="C866">
    <cfRule type="cellIs" priority="2579" operator="greaterThan" aboveAverage="0" equalAverage="0" bottom="0" percent="0" rank="0" text="" dxfId="8">
      <formula>0</formula>
    </cfRule>
  </conditionalFormatting>
  <conditionalFormatting sqref="G866">
    <cfRule type="cellIs" priority="2580" operator="greaterThan" aboveAverage="0" equalAverage="0" bottom="0" percent="0" rank="0" text="" dxfId="8">
      <formula>0</formula>
    </cfRule>
  </conditionalFormatting>
  <conditionalFormatting sqref="H866">
    <cfRule type="cellIs" priority="2581" operator="greaterThan" aboveAverage="0" equalAverage="0" bottom="0" percent="0" rank="0" text="" dxfId="8">
      <formula>0</formula>
    </cfRule>
  </conditionalFormatting>
  <conditionalFormatting sqref="C867">
    <cfRule type="cellIs" priority="2582" operator="greaterThan" aboveAverage="0" equalAverage="0" bottom="0" percent="0" rank="0" text="" dxfId="8">
      <formula>0</formula>
    </cfRule>
  </conditionalFormatting>
  <conditionalFormatting sqref="G867">
    <cfRule type="cellIs" priority="2583" operator="greaterThan" aboveAverage="0" equalAverage="0" bottom="0" percent="0" rank="0" text="" dxfId="8">
      <formula>0</formula>
    </cfRule>
  </conditionalFormatting>
  <conditionalFormatting sqref="H867">
    <cfRule type="cellIs" priority="2584" operator="greaterThan" aboveAverage="0" equalAverage="0" bottom="0" percent="0" rank="0" text="" dxfId="8">
      <formula>0</formula>
    </cfRule>
  </conditionalFormatting>
  <conditionalFormatting sqref="C868">
    <cfRule type="cellIs" priority="2585" operator="greaterThan" aboveAverage="0" equalAverage="0" bottom="0" percent="0" rank="0" text="" dxfId="8">
      <formula>0</formula>
    </cfRule>
  </conditionalFormatting>
  <conditionalFormatting sqref="G868">
    <cfRule type="cellIs" priority="2586" operator="greaterThan" aboveAverage="0" equalAverage="0" bottom="0" percent="0" rank="0" text="" dxfId="8">
      <formula>0</formula>
    </cfRule>
  </conditionalFormatting>
  <conditionalFormatting sqref="H868">
    <cfRule type="cellIs" priority="2587" operator="greaterThan" aboveAverage="0" equalAverage="0" bottom="0" percent="0" rank="0" text="" dxfId="8">
      <formula>0</formula>
    </cfRule>
  </conditionalFormatting>
  <conditionalFormatting sqref="C869">
    <cfRule type="cellIs" priority="2588" operator="greaterThan" aboveAverage="0" equalAverage="0" bottom="0" percent="0" rank="0" text="" dxfId="8">
      <formula>0</formula>
    </cfRule>
  </conditionalFormatting>
  <conditionalFormatting sqref="G869">
    <cfRule type="cellIs" priority="2589" operator="greaterThan" aboveAverage="0" equalAverage="0" bottom="0" percent="0" rank="0" text="" dxfId="8">
      <formula>0</formula>
    </cfRule>
  </conditionalFormatting>
  <conditionalFormatting sqref="H869">
    <cfRule type="cellIs" priority="2590" operator="greaterThan" aboveAverage="0" equalAverage="0" bottom="0" percent="0" rank="0" text="" dxfId="8">
      <formula>0</formula>
    </cfRule>
  </conditionalFormatting>
  <conditionalFormatting sqref="C870">
    <cfRule type="cellIs" priority="2591" operator="greaterThan" aboveAverage="0" equalAverage="0" bottom="0" percent="0" rank="0" text="" dxfId="8">
      <formula>0</formula>
    </cfRule>
  </conditionalFormatting>
  <conditionalFormatting sqref="G870">
    <cfRule type="cellIs" priority="2592" operator="greaterThan" aboveAverage="0" equalAverage="0" bottom="0" percent="0" rank="0" text="" dxfId="8">
      <formula>0</formula>
    </cfRule>
  </conditionalFormatting>
  <conditionalFormatting sqref="H870">
    <cfRule type="cellIs" priority="2593" operator="greaterThan" aboveAverage="0" equalAverage="0" bottom="0" percent="0" rank="0" text="" dxfId="8">
      <formula>0</formula>
    </cfRule>
  </conditionalFormatting>
  <conditionalFormatting sqref="C871">
    <cfRule type="cellIs" priority="2594" operator="greaterThan" aboveAverage="0" equalAverage="0" bottom="0" percent="0" rank="0" text="" dxfId="8">
      <formula>0</formula>
    </cfRule>
  </conditionalFormatting>
  <conditionalFormatting sqref="G871">
    <cfRule type="cellIs" priority="2595" operator="greaterThan" aboveAverage="0" equalAverage="0" bottom="0" percent="0" rank="0" text="" dxfId="8">
      <formula>0</formula>
    </cfRule>
  </conditionalFormatting>
  <conditionalFormatting sqref="H871">
    <cfRule type="cellIs" priority="2596" operator="greaterThan" aboveAverage="0" equalAverage="0" bottom="0" percent="0" rank="0" text="" dxfId="8">
      <formula>0</formula>
    </cfRule>
  </conditionalFormatting>
  <conditionalFormatting sqref="C872">
    <cfRule type="cellIs" priority="2597" operator="greaterThan" aboveAverage="0" equalAverage="0" bottom="0" percent="0" rank="0" text="" dxfId="8">
      <formula>0</formula>
    </cfRule>
  </conditionalFormatting>
  <conditionalFormatting sqref="G872">
    <cfRule type="cellIs" priority="2598" operator="greaterThan" aboveAverage="0" equalAverage="0" bottom="0" percent="0" rank="0" text="" dxfId="8">
      <formula>0</formula>
    </cfRule>
  </conditionalFormatting>
  <conditionalFormatting sqref="H872">
    <cfRule type="cellIs" priority="2599" operator="greaterThan" aboveAverage="0" equalAverage="0" bottom="0" percent="0" rank="0" text="" dxfId="8">
      <formula>0</formula>
    </cfRule>
  </conditionalFormatting>
  <conditionalFormatting sqref="C873">
    <cfRule type="cellIs" priority="2600" operator="greaterThan" aboveAverage="0" equalAverage="0" bottom="0" percent="0" rank="0" text="" dxfId="8">
      <formula>0</formula>
    </cfRule>
  </conditionalFormatting>
  <conditionalFormatting sqref="G873">
    <cfRule type="cellIs" priority="2601" operator="greaterThan" aboveAverage="0" equalAverage="0" bottom="0" percent="0" rank="0" text="" dxfId="8">
      <formula>0</formula>
    </cfRule>
  </conditionalFormatting>
  <conditionalFormatting sqref="H873">
    <cfRule type="cellIs" priority="2602" operator="greaterThan" aboveAverage="0" equalAverage="0" bottom="0" percent="0" rank="0" text="" dxfId="8">
      <formula>0</formula>
    </cfRule>
  </conditionalFormatting>
  <conditionalFormatting sqref="C874">
    <cfRule type="cellIs" priority="2603" operator="greaterThan" aboveAverage="0" equalAverage="0" bottom="0" percent="0" rank="0" text="" dxfId="8">
      <formula>0</formula>
    </cfRule>
  </conditionalFormatting>
  <conditionalFormatting sqref="G874">
    <cfRule type="cellIs" priority="2604" operator="greaterThan" aboveAverage="0" equalAverage="0" bottom="0" percent="0" rank="0" text="" dxfId="8">
      <formula>0</formula>
    </cfRule>
  </conditionalFormatting>
  <conditionalFormatting sqref="H874">
    <cfRule type="cellIs" priority="2605" operator="greaterThan" aboveAverage="0" equalAverage="0" bottom="0" percent="0" rank="0" text="" dxfId="8">
      <formula>0</formula>
    </cfRule>
  </conditionalFormatting>
  <conditionalFormatting sqref="C875">
    <cfRule type="cellIs" priority="2606" operator="greaterThan" aboveAverage="0" equalAverage="0" bottom="0" percent="0" rank="0" text="" dxfId="8">
      <formula>0</formula>
    </cfRule>
  </conditionalFormatting>
  <conditionalFormatting sqref="G875">
    <cfRule type="cellIs" priority="2607" operator="greaterThan" aboveAverage="0" equalAverage="0" bottom="0" percent="0" rank="0" text="" dxfId="8">
      <formula>0</formula>
    </cfRule>
  </conditionalFormatting>
  <conditionalFormatting sqref="H875">
    <cfRule type="cellIs" priority="2608" operator="greaterThan" aboveAverage="0" equalAverage="0" bottom="0" percent="0" rank="0" text="" dxfId="8">
      <formula>0</formula>
    </cfRule>
  </conditionalFormatting>
  <conditionalFormatting sqref="C876">
    <cfRule type="cellIs" priority="2609" operator="greaterThan" aboveAverage="0" equalAverage="0" bottom="0" percent="0" rank="0" text="" dxfId="8">
      <formula>0</formula>
    </cfRule>
  </conditionalFormatting>
  <conditionalFormatting sqref="G876">
    <cfRule type="cellIs" priority="2610" operator="greaterThan" aboveAverage="0" equalAverage="0" bottom="0" percent="0" rank="0" text="" dxfId="8">
      <formula>0</formula>
    </cfRule>
  </conditionalFormatting>
  <conditionalFormatting sqref="H876">
    <cfRule type="cellIs" priority="2611" operator="greaterThan" aboveAverage="0" equalAverage="0" bottom="0" percent="0" rank="0" text="" dxfId="8">
      <formula>0</formula>
    </cfRule>
  </conditionalFormatting>
  <conditionalFormatting sqref="C877">
    <cfRule type="cellIs" priority="2612" operator="greaterThan" aboveAverage="0" equalAverage="0" bottom="0" percent="0" rank="0" text="" dxfId="8">
      <formula>0</formula>
    </cfRule>
  </conditionalFormatting>
  <conditionalFormatting sqref="G877">
    <cfRule type="cellIs" priority="2613" operator="greaterThan" aboveAverage="0" equalAverage="0" bottom="0" percent="0" rank="0" text="" dxfId="8">
      <formula>0</formula>
    </cfRule>
  </conditionalFormatting>
  <conditionalFormatting sqref="H877">
    <cfRule type="cellIs" priority="2614" operator="greaterThan" aboveAverage="0" equalAverage="0" bottom="0" percent="0" rank="0" text="" dxfId="8">
      <formula>0</formula>
    </cfRule>
  </conditionalFormatting>
  <conditionalFormatting sqref="C878">
    <cfRule type="cellIs" priority="2615" operator="greaterThan" aboveAverage="0" equalAverage="0" bottom="0" percent="0" rank="0" text="" dxfId="8">
      <formula>0</formula>
    </cfRule>
  </conditionalFormatting>
  <conditionalFormatting sqref="G878">
    <cfRule type="cellIs" priority="2616" operator="greaterThan" aboveAverage="0" equalAverage="0" bottom="0" percent="0" rank="0" text="" dxfId="8">
      <formula>0</formula>
    </cfRule>
  </conditionalFormatting>
  <conditionalFormatting sqref="H878">
    <cfRule type="cellIs" priority="2617" operator="greaterThan" aboveAverage="0" equalAverage="0" bottom="0" percent="0" rank="0" text="" dxfId="8">
      <formula>0</formula>
    </cfRule>
  </conditionalFormatting>
  <conditionalFormatting sqref="C879">
    <cfRule type="cellIs" priority="2618" operator="greaterThan" aboveAverage="0" equalAverage="0" bottom="0" percent="0" rank="0" text="" dxfId="8">
      <formula>0</formula>
    </cfRule>
  </conditionalFormatting>
  <conditionalFormatting sqref="G879">
    <cfRule type="cellIs" priority="2619" operator="greaterThan" aboveAverage="0" equalAverage="0" bottom="0" percent="0" rank="0" text="" dxfId="8">
      <formula>0</formula>
    </cfRule>
  </conditionalFormatting>
  <conditionalFormatting sqref="H879">
    <cfRule type="cellIs" priority="2620" operator="greaterThan" aboveAverage="0" equalAverage="0" bottom="0" percent="0" rank="0" text="" dxfId="8">
      <formula>0</formula>
    </cfRule>
  </conditionalFormatting>
  <conditionalFormatting sqref="C880">
    <cfRule type="cellIs" priority="2621" operator="greaterThan" aboveAverage="0" equalAverage="0" bottom="0" percent="0" rank="0" text="" dxfId="8">
      <formula>0</formula>
    </cfRule>
  </conditionalFormatting>
  <conditionalFormatting sqref="G880">
    <cfRule type="cellIs" priority="2622" operator="greaterThan" aboveAverage="0" equalAverage="0" bottom="0" percent="0" rank="0" text="" dxfId="8">
      <formula>0</formula>
    </cfRule>
  </conditionalFormatting>
  <conditionalFormatting sqref="H880">
    <cfRule type="cellIs" priority="2623" operator="greaterThan" aboveAverage="0" equalAverage="0" bottom="0" percent="0" rank="0" text="" dxfId="8">
      <formula>0</formula>
    </cfRule>
  </conditionalFormatting>
  <conditionalFormatting sqref="C881">
    <cfRule type="cellIs" priority="2624" operator="greaterThan" aboveAverage="0" equalAverage="0" bottom="0" percent="0" rank="0" text="" dxfId="8">
      <formula>0</formula>
    </cfRule>
  </conditionalFormatting>
  <conditionalFormatting sqref="G881">
    <cfRule type="cellIs" priority="2625" operator="greaterThan" aboveAverage="0" equalAverage="0" bottom="0" percent="0" rank="0" text="" dxfId="8">
      <formula>0</formula>
    </cfRule>
  </conditionalFormatting>
  <conditionalFormatting sqref="H881">
    <cfRule type="cellIs" priority="2626" operator="greaterThan" aboveAverage="0" equalAverage="0" bottom="0" percent="0" rank="0" text="" dxfId="8">
      <formula>0</formula>
    </cfRule>
  </conditionalFormatting>
  <conditionalFormatting sqref="C882">
    <cfRule type="cellIs" priority="2627" operator="greaterThan" aboveAverage="0" equalAverage="0" bottom="0" percent="0" rank="0" text="" dxfId="8">
      <formula>0</formula>
    </cfRule>
  </conditionalFormatting>
  <conditionalFormatting sqref="G882">
    <cfRule type="cellIs" priority="2628" operator="greaterThan" aboveAverage="0" equalAverage="0" bottom="0" percent="0" rank="0" text="" dxfId="8">
      <formula>0</formula>
    </cfRule>
  </conditionalFormatting>
  <conditionalFormatting sqref="H882">
    <cfRule type="cellIs" priority="2629" operator="greaterThan" aboveAverage="0" equalAverage="0" bottom="0" percent="0" rank="0" text="" dxfId="8">
      <formula>0</formula>
    </cfRule>
  </conditionalFormatting>
  <conditionalFormatting sqref="C883">
    <cfRule type="cellIs" priority="2630" operator="greaterThan" aboveAverage="0" equalAverage="0" bottom="0" percent="0" rank="0" text="" dxfId="8">
      <formula>0</formula>
    </cfRule>
  </conditionalFormatting>
  <conditionalFormatting sqref="G883">
    <cfRule type="cellIs" priority="2631" operator="greaterThan" aboveAverage="0" equalAverage="0" bottom="0" percent="0" rank="0" text="" dxfId="8">
      <formula>0</formula>
    </cfRule>
  </conditionalFormatting>
  <conditionalFormatting sqref="H883">
    <cfRule type="cellIs" priority="2632" operator="greaterThan" aboveAverage="0" equalAverage="0" bottom="0" percent="0" rank="0" text="" dxfId="8">
      <formula>0</formula>
    </cfRule>
  </conditionalFormatting>
  <conditionalFormatting sqref="C884">
    <cfRule type="cellIs" priority="2633" operator="greaterThan" aboveAverage="0" equalAverage="0" bottom="0" percent="0" rank="0" text="" dxfId="8">
      <formula>0</formula>
    </cfRule>
  </conditionalFormatting>
  <conditionalFormatting sqref="G884">
    <cfRule type="cellIs" priority="2634" operator="greaterThan" aboveAverage="0" equalAverage="0" bottom="0" percent="0" rank="0" text="" dxfId="8">
      <formula>0</formula>
    </cfRule>
  </conditionalFormatting>
  <conditionalFormatting sqref="H884">
    <cfRule type="cellIs" priority="2635" operator="greaterThan" aboveAverage="0" equalAverage="0" bottom="0" percent="0" rank="0" text="" dxfId="8">
      <formula>0</formula>
    </cfRule>
  </conditionalFormatting>
  <conditionalFormatting sqref="C885">
    <cfRule type="cellIs" priority="2636" operator="greaterThan" aboveAverage="0" equalAverage="0" bottom="0" percent="0" rank="0" text="" dxfId="8">
      <formula>0</formula>
    </cfRule>
  </conditionalFormatting>
  <conditionalFormatting sqref="G885">
    <cfRule type="cellIs" priority="2637" operator="greaterThan" aboveAverage="0" equalAverage="0" bottom="0" percent="0" rank="0" text="" dxfId="8">
      <formula>0</formula>
    </cfRule>
  </conditionalFormatting>
  <conditionalFormatting sqref="H885">
    <cfRule type="cellIs" priority="2638" operator="greaterThan" aboveAverage="0" equalAverage="0" bottom="0" percent="0" rank="0" text="" dxfId="8">
      <formula>0</formula>
    </cfRule>
  </conditionalFormatting>
  <conditionalFormatting sqref="C886">
    <cfRule type="cellIs" priority="2639" operator="greaterThan" aboveAverage="0" equalAverage="0" bottom="0" percent="0" rank="0" text="" dxfId="8">
      <formula>0</formula>
    </cfRule>
  </conditionalFormatting>
  <conditionalFormatting sqref="G886">
    <cfRule type="cellIs" priority="2640" operator="greaterThan" aboveAverage="0" equalAverage="0" bottom="0" percent="0" rank="0" text="" dxfId="8">
      <formula>0</formula>
    </cfRule>
  </conditionalFormatting>
  <conditionalFormatting sqref="H886">
    <cfRule type="cellIs" priority="2641" operator="greaterThan" aboveAverage="0" equalAverage="0" bottom="0" percent="0" rank="0" text="" dxfId="8">
      <formula>0</formula>
    </cfRule>
  </conditionalFormatting>
  <conditionalFormatting sqref="C887">
    <cfRule type="cellIs" priority="2642" operator="greaterThan" aboveAverage="0" equalAverage="0" bottom="0" percent="0" rank="0" text="" dxfId="8">
      <formula>0</formula>
    </cfRule>
  </conditionalFormatting>
  <conditionalFormatting sqref="G887">
    <cfRule type="cellIs" priority="2643" operator="greaterThan" aboveAverage="0" equalAverage="0" bottom="0" percent="0" rank="0" text="" dxfId="8">
      <formula>0</formula>
    </cfRule>
  </conditionalFormatting>
  <conditionalFormatting sqref="H887">
    <cfRule type="cellIs" priority="2644" operator="greaterThan" aboveAverage="0" equalAverage="0" bottom="0" percent="0" rank="0" text="" dxfId="8">
      <formula>0</formula>
    </cfRule>
  </conditionalFormatting>
  <conditionalFormatting sqref="C888">
    <cfRule type="cellIs" priority="2645" operator="greaterThan" aboveAverage="0" equalAverage="0" bottom="0" percent="0" rank="0" text="" dxfId="8">
      <formula>0</formula>
    </cfRule>
  </conditionalFormatting>
  <conditionalFormatting sqref="G888">
    <cfRule type="cellIs" priority="2646" operator="greaterThan" aboveAverage="0" equalAverage="0" bottom="0" percent="0" rank="0" text="" dxfId="8">
      <formula>0</formula>
    </cfRule>
  </conditionalFormatting>
  <conditionalFormatting sqref="H888">
    <cfRule type="cellIs" priority="2647" operator="greaterThan" aboveAverage="0" equalAverage="0" bottom="0" percent="0" rank="0" text="" dxfId="8">
      <formula>0</formula>
    </cfRule>
  </conditionalFormatting>
  <conditionalFormatting sqref="C889">
    <cfRule type="cellIs" priority="2648" operator="greaterThan" aboveAverage="0" equalAverage="0" bottom="0" percent="0" rank="0" text="" dxfId="8">
      <formula>0</formula>
    </cfRule>
  </conditionalFormatting>
  <conditionalFormatting sqref="G889">
    <cfRule type="cellIs" priority="2649" operator="greaterThan" aboveAverage="0" equalAverage="0" bottom="0" percent="0" rank="0" text="" dxfId="8">
      <formula>0</formula>
    </cfRule>
  </conditionalFormatting>
  <conditionalFormatting sqref="H889">
    <cfRule type="cellIs" priority="2650" operator="greaterThan" aboveAverage="0" equalAverage="0" bottom="0" percent="0" rank="0" text="" dxfId="8">
      <formula>0</formula>
    </cfRule>
  </conditionalFormatting>
  <conditionalFormatting sqref="C890">
    <cfRule type="cellIs" priority="2651" operator="greaterThan" aboveAverage="0" equalAverage="0" bottom="0" percent="0" rank="0" text="" dxfId="8">
      <formula>0</formula>
    </cfRule>
  </conditionalFormatting>
  <conditionalFormatting sqref="G890">
    <cfRule type="cellIs" priority="2652" operator="greaterThan" aboveAverage="0" equalAverage="0" bottom="0" percent="0" rank="0" text="" dxfId="8">
      <formula>0</formula>
    </cfRule>
  </conditionalFormatting>
  <conditionalFormatting sqref="H890">
    <cfRule type="cellIs" priority="2653" operator="greaterThan" aboveAverage="0" equalAverage="0" bottom="0" percent="0" rank="0" text="" dxfId="8">
      <formula>0</formula>
    </cfRule>
  </conditionalFormatting>
  <conditionalFormatting sqref="C891">
    <cfRule type="cellIs" priority="2654" operator="greaterThan" aboveAverage="0" equalAverage="0" bottom="0" percent="0" rank="0" text="" dxfId="8">
      <formula>0</formula>
    </cfRule>
  </conditionalFormatting>
  <conditionalFormatting sqref="G891">
    <cfRule type="cellIs" priority="2655" operator="greaterThan" aboveAverage="0" equalAverage="0" bottom="0" percent="0" rank="0" text="" dxfId="8">
      <formula>0</formula>
    </cfRule>
  </conditionalFormatting>
  <conditionalFormatting sqref="H891">
    <cfRule type="cellIs" priority="2656" operator="greaterThan" aboveAverage="0" equalAverage="0" bottom="0" percent="0" rank="0" text="" dxfId="8">
      <formula>0</formula>
    </cfRule>
  </conditionalFormatting>
  <conditionalFormatting sqref="C892">
    <cfRule type="cellIs" priority="2657" operator="greaterThan" aboveAverage="0" equalAverage="0" bottom="0" percent="0" rank="0" text="" dxfId="8">
      <formula>0</formula>
    </cfRule>
  </conditionalFormatting>
  <conditionalFormatting sqref="G892">
    <cfRule type="cellIs" priority="2658" operator="greaterThan" aboveAverage="0" equalAverage="0" bottom="0" percent="0" rank="0" text="" dxfId="8">
      <formula>0</formula>
    </cfRule>
  </conditionalFormatting>
  <conditionalFormatting sqref="H892">
    <cfRule type="cellIs" priority="2659" operator="greaterThan" aboveAverage="0" equalAverage="0" bottom="0" percent="0" rank="0" text="" dxfId="8">
      <formula>0</formula>
    </cfRule>
  </conditionalFormatting>
  <conditionalFormatting sqref="C893">
    <cfRule type="cellIs" priority="2660" operator="greaterThan" aboveAverage="0" equalAverage="0" bottom="0" percent="0" rank="0" text="" dxfId="8">
      <formula>0</formula>
    </cfRule>
  </conditionalFormatting>
  <conditionalFormatting sqref="G893">
    <cfRule type="cellIs" priority="2661" operator="greaterThan" aboveAverage="0" equalAverage="0" bottom="0" percent="0" rank="0" text="" dxfId="8">
      <formula>0</formula>
    </cfRule>
  </conditionalFormatting>
  <conditionalFormatting sqref="H893">
    <cfRule type="cellIs" priority="2662" operator="greaterThan" aboveAverage="0" equalAverage="0" bottom="0" percent="0" rank="0" text="" dxfId="8">
      <formula>0</formula>
    </cfRule>
  </conditionalFormatting>
  <conditionalFormatting sqref="C894">
    <cfRule type="cellIs" priority="2663" operator="greaterThan" aboveAverage="0" equalAverage="0" bottom="0" percent="0" rank="0" text="" dxfId="8">
      <formula>0</formula>
    </cfRule>
  </conditionalFormatting>
  <conditionalFormatting sqref="G894">
    <cfRule type="cellIs" priority="2664" operator="greaterThan" aboveAverage="0" equalAverage="0" bottom="0" percent="0" rank="0" text="" dxfId="8">
      <formula>0</formula>
    </cfRule>
  </conditionalFormatting>
  <conditionalFormatting sqref="H894">
    <cfRule type="cellIs" priority="2665" operator="greaterThan" aboveAverage="0" equalAverage="0" bottom="0" percent="0" rank="0" text="" dxfId="8">
      <formula>0</formula>
    </cfRule>
  </conditionalFormatting>
  <conditionalFormatting sqref="C895">
    <cfRule type="cellIs" priority="2666" operator="greaterThan" aboveAverage="0" equalAverage="0" bottom="0" percent="0" rank="0" text="" dxfId="8">
      <formula>0</formula>
    </cfRule>
  </conditionalFormatting>
  <conditionalFormatting sqref="G895">
    <cfRule type="cellIs" priority="2667" operator="greaterThan" aboveAverage="0" equalAverage="0" bottom="0" percent="0" rank="0" text="" dxfId="8">
      <formula>0</formula>
    </cfRule>
  </conditionalFormatting>
  <conditionalFormatting sqref="H895">
    <cfRule type="cellIs" priority="2668" operator="greaterThan" aboveAverage="0" equalAverage="0" bottom="0" percent="0" rank="0" text="" dxfId="8">
      <formula>0</formula>
    </cfRule>
  </conditionalFormatting>
  <conditionalFormatting sqref="C896">
    <cfRule type="cellIs" priority="2669" operator="greaterThan" aboveAverage="0" equalAverage="0" bottom="0" percent="0" rank="0" text="" dxfId="8">
      <formula>0</formula>
    </cfRule>
  </conditionalFormatting>
  <conditionalFormatting sqref="G896">
    <cfRule type="cellIs" priority="2670" operator="greaterThan" aboveAverage="0" equalAverage="0" bottom="0" percent="0" rank="0" text="" dxfId="8">
      <formula>0</formula>
    </cfRule>
  </conditionalFormatting>
  <conditionalFormatting sqref="H896">
    <cfRule type="cellIs" priority="2671" operator="greaterThan" aboveAverage="0" equalAverage="0" bottom="0" percent="0" rank="0" text="" dxfId="8">
      <formula>0</formula>
    </cfRule>
  </conditionalFormatting>
  <conditionalFormatting sqref="C897">
    <cfRule type="cellIs" priority="2672" operator="greaterThan" aboveAverage="0" equalAverage="0" bottom="0" percent="0" rank="0" text="" dxfId="8">
      <formula>0</formula>
    </cfRule>
  </conditionalFormatting>
  <conditionalFormatting sqref="G897">
    <cfRule type="cellIs" priority="2673" operator="greaterThan" aboveAverage="0" equalAverage="0" bottom="0" percent="0" rank="0" text="" dxfId="8">
      <formula>0</formula>
    </cfRule>
  </conditionalFormatting>
  <conditionalFormatting sqref="H897">
    <cfRule type="cellIs" priority="2674" operator="greaterThan" aboveAverage="0" equalAverage="0" bottom="0" percent="0" rank="0" text="" dxfId="8">
      <formula>0</formula>
    </cfRule>
  </conditionalFormatting>
  <conditionalFormatting sqref="C898">
    <cfRule type="cellIs" priority="2675" operator="greaterThan" aboveAverage="0" equalAverage="0" bottom="0" percent="0" rank="0" text="" dxfId="8">
      <formula>0</formula>
    </cfRule>
  </conditionalFormatting>
  <conditionalFormatting sqref="G898">
    <cfRule type="cellIs" priority="2676" operator="greaterThan" aboveAverage="0" equalAverage="0" bottom="0" percent="0" rank="0" text="" dxfId="8">
      <formula>0</formula>
    </cfRule>
  </conditionalFormatting>
  <conditionalFormatting sqref="H898">
    <cfRule type="cellIs" priority="2677" operator="greaterThan" aboveAverage="0" equalAverage="0" bottom="0" percent="0" rank="0" text="" dxfId="8">
      <formula>0</formula>
    </cfRule>
  </conditionalFormatting>
  <conditionalFormatting sqref="C899">
    <cfRule type="cellIs" priority="2678" operator="greaterThan" aboveAverage="0" equalAverage="0" bottom="0" percent="0" rank="0" text="" dxfId="8">
      <formula>0</formula>
    </cfRule>
  </conditionalFormatting>
  <conditionalFormatting sqref="G899">
    <cfRule type="cellIs" priority="2679" operator="greaterThan" aboveAverage="0" equalAverage="0" bottom="0" percent="0" rank="0" text="" dxfId="8">
      <formula>0</formula>
    </cfRule>
  </conditionalFormatting>
  <conditionalFormatting sqref="H899">
    <cfRule type="cellIs" priority="2680" operator="greaterThan" aboveAverage="0" equalAverage="0" bottom="0" percent="0" rank="0" text="" dxfId="8">
      <formula>0</formula>
    </cfRule>
  </conditionalFormatting>
  <conditionalFormatting sqref="C900">
    <cfRule type="cellIs" priority="2681" operator="greaterThan" aboveAverage="0" equalAverage="0" bottom="0" percent="0" rank="0" text="" dxfId="8">
      <formula>0</formula>
    </cfRule>
  </conditionalFormatting>
  <conditionalFormatting sqref="G900">
    <cfRule type="cellIs" priority="2682" operator="greaterThan" aboveAverage="0" equalAverage="0" bottom="0" percent="0" rank="0" text="" dxfId="8">
      <formula>0</formula>
    </cfRule>
  </conditionalFormatting>
  <conditionalFormatting sqref="H900">
    <cfRule type="cellIs" priority="2683" operator="greaterThan" aboveAverage="0" equalAverage="0" bottom="0" percent="0" rank="0" text="" dxfId="8">
      <formula>0</formula>
    </cfRule>
  </conditionalFormatting>
  <conditionalFormatting sqref="C901">
    <cfRule type="cellIs" priority="2684" operator="greaterThan" aboveAverage="0" equalAverage="0" bottom="0" percent="0" rank="0" text="" dxfId="8">
      <formula>0</formula>
    </cfRule>
  </conditionalFormatting>
  <conditionalFormatting sqref="G901">
    <cfRule type="cellIs" priority="2685" operator="greaterThan" aboveAverage="0" equalAverage="0" bottom="0" percent="0" rank="0" text="" dxfId="8">
      <formula>0</formula>
    </cfRule>
  </conditionalFormatting>
  <conditionalFormatting sqref="H901">
    <cfRule type="cellIs" priority="2686" operator="greaterThan" aboveAverage="0" equalAverage="0" bottom="0" percent="0" rank="0" text="" dxfId="8">
      <formula>0</formula>
    </cfRule>
  </conditionalFormatting>
  <conditionalFormatting sqref="C902">
    <cfRule type="cellIs" priority="2687" operator="greaterThan" aboveAverage="0" equalAverage="0" bottom="0" percent="0" rank="0" text="" dxfId="8">
      <formula>0</formula>
    </cfRule>
  </conditionalFormatting>
  <conditionalFormatting sqref="G902">
    <cfRule type="cellIs" priority="2688" operator="greaterThan" aboveAverage="0" equalAverage="0" bottom="0" percent="0" rank="0" text="" dxfId="8">
      <formula>0</formula>
    </cfRule>
  </conditionalFormatting>
  <conditionalFormatting sqref="H902">
    <cfRule type="cellIs" priority="2689" operator="greaterThan" aboveAverage="0" equalAverage="0" bottom="0" percent="0" rank="0" text="" dxfId="8">
      <formula>0</formula>
    </cfRule>
  </conditionalFormatting>
  <conditionalFormatting sqref="C903">
    <cfRule type="cellIs" priority="2690" operator="greaterThan" aboveAverage="0" equalAverage="0" bottom="0" percent="0" rank="0" text="" dxfId="8">
      <formula>0</formula>
    </cfRule>
  </conditionalFormatting>
  <conditionalFormatting sqref="G903">
    <cfRule type="cellIs" priority="2691" operator="greaterThan" aboveAverage="0" equalAverage="0" bottom="0" percent="0" rank="0" text="" dxfId="8">
      <formula>0</formula>
    </cfRule>
  </conditionalFormatting>
  <conditionalFormatting sqref="H903">
    <cfRule type="cellIs" priority="2692" operator="greaterThan" aboveAverage="0" equalAverage="0" bottom="0" percent="0" rank="0" text="" dxfId="8">
      <formula>0</formula>
    </cfRule>
  </conditionalFormatting>
  <conditionalFormatting sqref="C904">
    <cfRule type="cellIs" priority="2693" operator="greaterThan" aboveAverage="0" equalAverage="0" bottom="0" percent="0" rank="0" text="" dxfId="8">
      <formula>0</formula>
    </cfRule>
  </conditionalFormatting>
  <conditionalFormatting sqref="G904">
    <cfRule type="cellIs" priority="2694" operator="greaterThan" aboveAverage="0" equalAverage="0" bottom="0" percent="0" rank="0" text="" dxfId="8">
      <formula>0</formula>
    </cfRule>
  </conditionalFormatting>
  <conditionalFormatting sqref="H904">
    <cfRule type="cellIs" priority="2695" operator="greaterThan" aboveAverage="0" equalAverage="0" bottom="0" percent="0" rank="0" text="" dxfId="8">
      <formula>0</formula>
    </cfRule>
  </conditionalFormatting>
  <conditionalFormatting sqref="C905">
    <cfRule type="cellIs" priority="2696" operator="greaterThan" aboveAverage="0" equalAverage="0" bottom="0" percent="0" rank="0" text="" dxfId="8">
      <formula>0</formula>
    </cfRule>
  </conditionalFormatting>
  <conditionalFormatting sqref="G905">
    <cfRule type="cellIs" priority="2697" operator="greaterThan" aboveAverage="0" equalAverage="0" bottom="0" percent="0" rank="0" text="" dxfId="8">
      <formula>0</formula>
    </cfRule>
  </conditionalFormatting>
  <conditionalFormatting sqref="H905">
    <cfRule type="cellIs" priority="2698" operator="greaterThan" aboveAverage="0" equalAverage="0" bottom="0" percent="0" rank="0" text="" dxfId="8">
      <formula>0</formula>
    </cfRule>
  </conditionalFormatting>
  <conditionalFormatting sqref="C906">
    <cfRule type="cellIs" priority="2699" operator="greaterThan" aboveAverage="0" equalAverage="0" bottom="0" percent="0" rank="0" text="" dxfId="8">
      <formula>0</formula>
    </cfRule>
  </conditionalFormatting>
  <conditionalFormatting sqref="G906">
    <cfRule type="cellIs" priority="2700" operator="greaterThan" aboveAverage="0" equalAverage="0" bottom="0" percent="0" rank="0" text="" dxfId="8">
      <formula>0</formula>
    </cfRule>
  </conditionalFormatting>
  <conditionalFormatting sqref="H906">
    <cfRule type="cellIs" priority="2701" operator="greaterThan" aboveAverage="0" equalAverage="0" bottom="0" percent="0" rank="0" text="" dxfId="8">
      <formula>0</formula>
    </cfRule>
  </conditionalFormatting>
  <conditionalFormatting sqref="C907">
    <cfRule type="cellIs" priority="2702" operator="greaterThan" aboveAverage="0" equalAverage="0" bottom="0" percent="0" rank="0" text="" dxfId="8">
      <formula>0</formula>
    </cfRule>
  </conditionalFormatting>
  <conditionalFormatting sqref="G907">
    <cfRule type="cellIs" priority="2703" operator="greaterThan" aboveAverage="0" equalAverage="0" bottom="0" percent="0" rank="0" text="" dxfId="8">
      <formula>0</formula>
    </cfRule>
  </conditionalFormatting>
  <conditionalFormatting sqref="H907">
    <cfRule type="cellIs" priority="2704" operator="greaterThan" aboveAverage="0" equalAverage="0" bottom="0" percent="0" rank="0" text="" dxfId="8">
      <formula>0</formula>
    </cfRule>
  </conditionalFormatting>
  <conditionalFormatting sqref="C908">
    <cfRule type="cellIs" priority="2705" operator="greaterThan" aboveAverage="0" equalAverage="0" bottom="0" percent="0" rank="0" text="" dxfId="8">
      <formula>0</formula>
    </cfRule>
  </conditionalFormatting>
  <conditionalFormatting sqref="G908">
    <cfRule type="cellIs" priority="2706" operator="greaterThan" aboveAverage="0" equalAverage="0" bottom="0" percent="0" rank="0" text="" dxfId="8">
      <formula>0</formula>
    </cfRule>
  </conditionalFormatting>
  <conditionalFormatting sqref="H908">
    <cfRule type="cellIs" priority="2707" operator="greaterThan" aboveAverage="0" equalAverage="0" bottom="0" percent="0" rank="0" text="" dxfId="8">
      <formula>0</formula>
    </cfRule>
  </conditionalFormatting>
  <conditionalFormatting sqref="C909">
    <cfRule type="cellIs" priority="2708" operator="greaterThan" aboveAverage="0" equalAverage="0" bottom="0" percent="0" rank="0" text="" dxfId="8">
      <formula>0</formula>
    </cfRule>
  </conditionalFormatting>
  <conditionalFormatting sqref="G909">
    <cfRule type="cellIs" priority="2709" operator="greaterThan" aboveAverage="0" equalAverage="0" bottom="0" percent="0" rank="0" text="" dxfId="8">
      <formula>0</formula>
    </cfRule>
  </conditionalFormatting>
  <conditionalFormatting sqref="H909">
    <cfRule type="cellIs" priority="2710" operator="greaterThan" aboveAverage="0" equalAverage="0" bottom="0" percent="0" rank="0" text="" dxfId="8">
      <formula>0</formula>
    </cfRule>
  </conditionalFormatting>
  <conditionalFormatting sqref="C910">
    <cfRule type="cellIs" priority="2711" operator="greaterThan" aboveAverage="0" equalAverage="0" bottom="0" percent="0" rank="0" text="" dxfId="8">
      <formula>0</formula>
    </cfRule>
  </conditionalFormatting>
  <conditionalFormatting sqref="G910">
    <cfRule type="cellIs" priority="2712" operator="greaterThan" aboveAverage="0" equalAverage="0" bottom="0" percent="0" rank="0" text="" dxfId="8">
      <formula>0</formula>
    </cfRule>
  </conditionalFormatting>
  <conditionalFormatting sqref="H910">
    <cfRule type="cellIs" priority="2713" operator="greaterThan" aboveAverage="0" equalAverage="0" bottom="0" percent="0" rank="0" text="" dxfId="8">
      <formula>0</formula>
    </cfRule>
  </conditionalFormatting>
  <conditionalFormatting sqref="C911">
    <cfRule type="cellIs" priority="2714" operator="greaterThan" aboveAverage="0" equalAverage="0" bottom="0" percent="0" rank="0" text="" dxfId="8">
      <formula>0</formula>
    </cfRule>
  </conditionalFormatting>
  <conditionalFormatting sqref="G911">
    <cfRule type="cellIs" priority="2715" operator="greaterThan" aboveAverage="0" equalAverage="0" bottom="0" percent="0" rank="0" text="" dxfId="8">
      <formula>0</formula>
    </cfRule>
  </conditionalFormatting>
  <conditionalFormatting sqref="H911">
    <cfRule type="cellIs" priority="2716" operator="greaterThan" aboveAverage="0" equalAverage="0" bottom="0" percent="0" rank="0" text="" dxfId="8">
      <formula>0</formula>
    </cfRule>
  </conditionalFormatting>
  <conditionalFormatting sqref="C912">
    <cfRule type="cellIs" priority="2717" operator="greaterThan" aboveAverage="0" equalAverage="0" bottom="0" percent="0" rank="0" text="" dxfId="8">
      <formula>0</formula>
    </cfRule>
  </conditionalFormatting>
  <conditionalFormatting sqref="G912">
    <cfRule type="cellIs" priority="2718" operator="greaterThan" aboveAverage="0" equalAverage="0" bottom="0" percent="0" rank="0" text="" dxfId="8">
      <formula>0</formula>
    </cfRule>
  </conditionalFormatting>
  <conditionalFormatting sqref="H912">
    <cfRule type="cellIs" priority="2719" operator="greaterThan" aboveAverage="0" equalAverage="0" bottom="0" percent="0" rank="0" text="" dxfId="8">
      <formula>0</formula>
    </cfRule>
  </conditionalFormatting>
  <conditionalFormatting sqref="C913">
    <cfRule type="cellIs" priority="2720" operator="greaterThan" aboveAverage="0" equalAverage="0" bottom="0" percent="0" rank="0" text="" dxfId="8">
      <formula>0</formula>
    </cfRule>
  </conditionalFormatting>
  <conditionalFormatting sqref="G913">
    <cfRule type="cellIs" priority="2721" operator="greaterThan" aboveAverage="0" equalAverage="0" bottom="0" percent="0" rank="0" text="" dxfId="8">
      <formula>0</formula>
    </cfRule>
  </conditionalFormatting>
  <conditionalFormatting sqref="H913">
    <cfRule type="cellIs" priority="2722" operator="greaterThan" aboveAverage="0" equalAverage="0" bottom="0" percent="0" rank="0" text="" dxfId="8">
      <formula>0</formula>
    </cfRule>
  </conditionalFormatting>
  <conditionalFormatting sqref="C914">
    <cfRule type="cellIs" priority="2723" operator="greaterThan" aboveAverage="0" equalAverage="0" bottom="0" percent="0" rank="0" text="" dxfId="8">
      <formula>0</formula>
    </cfRule>
  </conditionalFormatting>
  <conditionalFormatting sqref="G914">
    <cfRule type="cellIs" priority="2724" operator="greaterThan" aboveAverage="0" equalAverage="0" bottom="0" percent="0" rank="0" text="" dxfId="8">
      <formula>0</formula>
    </cfRule>
  </conditionalFormatting>
  <conditionalFormatting sqref="H914">
    <cfRule type="cellIs" priority="2725" operator="greaterThan" aboveAverage="0" equalAverage="0" bottom="0" percent="0" rank="0" text="" dxfId="8">
      <formula>0</formula>
    </cfRule>
  </conditionalFormatting>
  <conditionalFormatting sqref="C915">
    <cfRule type="cellIs" priority="2726" operator="greaterThan" aboveAverage="0" equalAverage="0" bottom="0" percent="0" rank="0" text="" dxfId="8">
      <formula>0</formula>
    </cfRule>
  </conditionalFormatting>
  <conditionalFormatting sqref="G915">
    <cfRule type="cellIs" priority="2727" operator="greaterThan" aboveAverage="0" equalAverage="0" bottom="0" percent="0" rank="0" text="" dxfId="8">
      <formula>0</formula>
    </cfRule>
  </conditionalFormatting>
  <conditionalFormatting sqref="H915">
    <cfRule type="cellIs" priority="2728" operator="greaterThan" aboveAverage="0" equalAverage="0" bottom="0" percent="0" rank="0" text="" dxfId="8">
      <formula>0</formula>
    </cfRule>
  </conditionalFormatting>
  <conditionalFormatting sqref="C916">
    <cfRule type="cellIs" priority="2729" operator="greaterThan" aboveAverage="0" equalAverage="0" bottom="0" percent="0" rank="0" text="" dxfId="8">
      <formula>0</formula>
    </cfRule>
  </conditionalFormatting>
  <conditionalFormatting sqref="G916">
    <cfRule type="cellIs" priority="2730" operator="greaterThan" aboveAverage="0" equalAverage="0" bottom="0" percent="0" rank="0" text="" dxfId="8">
      <formula>0</formula>
    </cfRule>
  </conditionalFormatting>
  <conditionalFormatting sqref="H916">
    <cfRule type="cellIs" priority="2731" operator="greaterThan" aboveAverage="0" equalAverage="0" bottom="0" percent="0" rank="0" text="" dxfId="8">
      <formula>0</formula>
    </cfRule>
  </conditionalFormatting>
  <conditionalFormatting sqref="C917">
    <cfRule type="cellIs" priority="2732" operator="greaterThan" aboveAverage="0" equalAverage="0" bottom="0" percent="0" rank="0" text="" dxfId="8">
      <formula>0</formula>
    </cfRule>
  </conditionalFormatting>
  <conditionalFormatting sqref="G917">
    <cfRule type="cellIs" priority="2733" operator="greaterThan" aboveAverage="0" equalAverage="0" bottom="0" percent="0" rank="0" text="" dxfId="8">
      <formula>0</formula>
    </cfRule>
  </conditionalFormatting>
  <conditionalFormatting sqref="H917">
    <cfRule type="cellIs" priority="2734" operator="greaterThan" aboveAverage="0" equalAverage="0" bottom="0" percent="0" rank="0" text="" dxfId="8">
      <formula>0</formula>
    </cfRule>
  </conditionalFormatting>
  <conditionalFormatting sqref="C918">
    <cfRule type="cellIs" priority="2735" operator="greaterThan" aboveAverage="0" equalAverage="0" bottom="0" percent="0" rank="0" text="" dxfId="8">
      <formula>0</formula>
    </cfRule>
  </conditionalFormatting>
  <conditionalFormatting sqref="G918">
    <cfRule type="cellIs" priority="2736" operator="greaterThan" aboveAverage="0" equalAverage="0" bottom="0" percent="0" rank="0" text="" dxfId="8">
      <formula>0</formula>
    </cfRule>
  </conditionalFormatting>
  <conditionalFormatting sqref="H918">
    <cfRule type="cellIs" priority="2737" operator="greaterThan" aboveAverage="0" equalAverage="0" bottom="0" percent="0" rank="0" text="" dxfId="8">
      <formula>0</formula>
    </cfRule>
  </conditionalFormatting>
  <conditionalFormatting sqref="C919">
    <cfRule type="cellIs" priority="2738" operator="greaterThan" aboveAverage="0" equalAverage="0" bottom="0" percent="0" rank="0" text="" dxfId="8">
      <formula>0</formula>
    </cfRule>
  </conditionalFormatting>
  <conditionalFormatting sqref="G919">
    <cfRule type="cellIs" priority="2739" operator="greaterThan" aboveAverage="0" equalAverage="0" bottom="0" percent="0" rank="0" text="" dxfId="8">
      <formula>0</formula>
    </cfRule>
  </conditionalFormatting>
  <conditionalFormatting sqref="H919">
    <cfRule type="cellIs" priority="2740" operator="greaterThan" aboveAverage="0" equalAverage="0" bottom="0" percent="0" rank="0" text="" dxfId="8">
      <formula>0</formula>
    </cfRule>
  </conditionalFormatting>
  <conditionalFormatting sqref="C920">
    <cfRule type="cellIs" priority="2741" operator="greaterThan" aboveAverage="0" equalAverage="0" bottom="0" percent="0" rank="0" text="" dxfId="8">
      <formula>0</formula>
    </cfRule>
  </conditionalFormatting>
  <conditionalFormatting sqref="G920">
    <cfRule type="cellIs" priority="2742" operator="greaterThan" aboveAverage="0" equalAverage="0" bottom="0" percent="0" rank="0" text="" dxfId="8">
      <formula>0</formula>
    </cfRule>
  </conditionalFormatting>
  <conditionalFormatting sqref="H920">
    <cfRule type="cellIs" priority="2743" operator="greaterThan" aboveAverage="0" equalAverage="0" bottom="0" percent="0" rank="0" text="" dxfId="8">
      <formula>0</formula>
    </cfRule>
  </conditionalFormatting>
  <conditionalFormatting sqref="C921">
    <cfRule type="cellIs" priority="2744" operator="greaterThan" aboveAverage="0" equalAverage="0" bottom="0" percent="0" rank="0" text="" dxfId="8">
      <formula>0</formula>
    </cfRule>
  </conditionalFormatting>
  <conditionalFormatting sqref="G921">
    <cfRule type="cellIs" priority="2745" operator="greaterThan" aboveAverage="0" equalAverage="0" bottom="0" percent="0" rank="0" text="" dxfId="8">
      <formula>0</formula>
    </cfRule>
  </conditionalFormatting>
  <conditionalFormatting sqref="H921">
    <cfRule type="cellIs" priority="2746" operator="greaterThan" aboveAverage="0" equalAverage="0" bottom="0" percent="0" rank="0" text="" dxfId="8">
      <formula>0</formula>
    </cfRule>
  </conditionalFormatting>
  <conditionalFormatting sqref="C922">
    <cfRule type="cellIs" priority="2747" operator="greaterThan" aboveAverage="0" equalAverage="0" bottom="0" percent="0" rank="0" text="" dxfId="8">
      <formula>0</formula>
    </cfRule>
  </conditionalFormatting>
  <conditionalFormatting sqref="G922">
    <cfRule type="cellIs" priority="2748" operator="greaterThan" aboveAverage="0" equalAverage="0" bottom="0" percent="0" rank="0" text="" dxfId="8">
      <formula>0</formula>
    </cfRule>
  </conditionalFormatting>
  <conditionalFormatting sqref="H922">
    <cfRule type="cellIs" priority="2749" operator="greaterThan" aboveAverage="0" equalAverage="0" bottom="0" percent="0" rank="0" text="" dxfId="8">
      <formula>0</formula>
    </cfRule>
  </conditionalFormatting>
  <conditionalFormatting sqref="C923">
    <cfRule type="cellIs" priority="2750" operator="greaterThan" aboveAverage="0" equalAverage="0" bottom="0" percent="0" rank="0" text="" dxfId="8">
      <formula>0</formula>
    </cfRule>
  </conditionalFormatting>
  <conditionalFormatting sqref="G923">
    <cfRule type="cellIs" priority="2751" operator="greaterThan" aboveAverage="0" equalAverage="0" bottom="0" percent="0" rank="0" text="" dxfId="8">
      <formula>0</formula>
    </cfRule>
  </conditionalFormatting>
  <conditionalFormatting sqref="H923">
    <cfRule type="cellIs" priority="2752" operator="greaterThan" aboveAverage="0" equalAverage="0" bottom="0" percent="0" rank="0" text="" dxfId="8">
      <formula>0</formula>
    </cfRule>
  </conditionalFormatting>
  <conditionalFormatting sqref="C924">
    <cfRule type="cellIs" priority="2753" operator="greaterThan" aboveAverage="0" equalAverage="0" bottom="0" percent="0" rank="0" text="" dxfId="8">
      <formula>0</formula>
    </cfRule>
  </conditionalFormatting>
  <conditionalFormatting sqref="G924">
    <cfRule type="cellIs" priority="2754" operator="greaterThan" aboveAverage="0" equalAverage="0" bottom="0" percent="0" rank="0" text="" dxfId="8">
      <formula>0</formula>
    </cfRule>
  </conditionalFormatting>
  <conditionalFormatting sqref="H924">
    <cfRule type="cellIs" priority="2755" operator="greaterThan" aboveAverage="0" equalAverage="0" bottom="0" percent="0" rank="0" text="" dxfId="8">
      <formula>0</formula>
    </cfRule>
  </conditionalFormatting>
  <conditionalFormatting sqref="C925">
    <cfRule type="cellIs" priority="2756" operator="greaterThan" aboveAverage="0" equalAverage="0" bottom="0" percent="0" rank="0" text="" dxfId="8">
      <formula>0</formula>
    </cfRule>
  </conditionalFormatting>
  <conditionalFormatting sqref="G925">
    <cfRule type="cellIs" priority="2757" operator="greaterThan" aboveAverage="0" equalAverage="0" bottom="0" percent="0" rank="0" text="" dxfId="8">
      <formula>0</formula>
    </cfRule>
  </conditionalFormatting>
  <conditionalFormatting sqref="H925">
    <cfRule type="cellIs" priority="2758" operator="greaterThan" aboveAverage="0" equalAverage="0" bottom="0" percent="0" rank="0" text="" dxfId="8">
      <formula>0</formula>
    </cfRule>
  </conditionalFormatting>
  <conditionalFormatting sqref="C926">
    <cfRule type="cellIs" priority="2759" operator="greaterThan" aboveAverage="0" equalAverage="0" bottom="0" percent="0" rank="0" text="" dxfId="8">
      <formula>0</formula>
    </cfRule>
  </conditionalFormatting>
  <conditionalFormatting sqref="G926">
    <cfRule type="cellIs" priority="2760" operator="greaterThan" aboveAverage="0" equalAverage="0" bottom="0" percent="0" rank="0" text="" dxfId="8">
      <formula>0</formula>
    </cfRule>
  </conditionalFormatting>
  <conditionalFormatting sqref="H926">
    <cfRule type="cellIs" priority="2761" operator="greaterThan" aboveAverage="0" equalAverage="0" bottom="0" percent="0" rank="0" text="" dxfId="8">
      <formula>0</formula>
    </cfRule>
  </conditionalFormatting>
  <conditionalFormatting sqref="C927">
    <cfRule type="cellIs" priority="2762" operator="greaterThan" aboveAverage="0" equalAverage="0" bottom="0" percent="0" rank="0" text="" dxfId="8">
      <formula>0</formula>
    </cfRule>
  </conditionalFormatting>
  <conditionalFormatting sqref="G927">
    <cfRule type="cellIs" priority="2763" operator="greaterThan" aboveAverage="0" equalAverage="0" bottom="0" percent="0" rank="0" text="" dxfId="8">
      <formula>0</formula>
    </cfRule>
  </conditionalFormatting>
  <conditionalFormatting sqref="H927">
    <cfRule type="cellIs" priority="2764" operator="greaterThan" aboveAverage="0" equalAverage="0" bottom="0" percent="0" rank="0" text="" dxfId="8">
      <formula>0</formula>
    </cfRule>
  </conditionalFormatting>
  <conditionalFormatting sqref="C928">
    <cfRule type="cellIs" priority="2765" operator="greaterThan" aboveAverage="0" equalAverage="0" bottom="0" percent="0" rank="0" text="" dxfId="8">
      <formula>0</formula>
    </cfRule>
  </conditionalFormatting>
  <conditionalFormatting sqref="G928">
    <cfRule type="cellIs" priority="2766" operator="greaterThan" aboveAverage="0" equalAverage="0" bottom="0" percent="0" rank="0" text="" dxfId="8">
      <formula>0</formula>
    </cfRule>
  </conditionalFormatting>
  <conditionalFormatting sqref="H928">
    <cfRule type="cellIs" priority="2767" operator="greaterThan" aboveAverage="0" equalAverage="0" bottom="0" percent="0" rank="0" text="" dxfId="8">
      <formula>0</formula>
    </cfRule>
  </conditionalFormatting>
  <conditionalFormatting sqref="C929">
    <cfRule type="cellIs" priority="2768" operator="greaterThan" aboveAverage="0" equalAverage="0" bottom="0" percent="0" rank="0" text="" dxfId="8">
      <formula>0</formula>
    </cfRule>
  </conditionalFormatting>
  <conditionalFormatting sqref="G929">
    <cfRule type="cellIs" priority="2769" operator="greaterThan" aboveAverage="0" equalAverage="0" bottom="0" percent="0" rank="0" text="" dxfId="8">
      <formula>0</formula>
    </cfRule>
  </conditionalFormatting>
  <conditionalFormatting sqref="H929">
    <cfRule type="cellIs" priority="2770" operator="greaterThan" aboveAverage="0" equalAverage="0" bottom="0" percent="0" rank="0" text="" dxfId="8">
      <formula>0</formula>
    </cfRule>
  </conditionalFormatting>
  <conditionalFormatting sqref="C930">
    <cfRule type="cellIs" priority="2771" operator="greaterThan" aboveAverage="0" equalAverage="0" bottom="0" percent="0" rank="0" text="" dxfId="8">
      <formula>0</formula>
    </cfRule>
  </conditionalFormatting>
  <conditionalFormatting sqref="G930">
    <cfRule type="cellIs" priority="2772" operator="greaterThan" aboveAverage="0" equalAverage="0" bottom="0" percent="0" rank="0" text="" dxfId="8">
      <formula>0</formula>
    </cfRule>
  </conditionalFormatting>
  <conditionalFormatting sqref="H930">
    <cfRule type="cellIs" priority="2773" operator="greaterThan" aboveAverage="0" equalAverage="0" bottom="0" percent="0" rank="0" text="" dxfId="8">
      <formula>0</formula>
    </cfRule>
  </conditionalFormatting>
  <conditionalFormatting sqref="C931">
    <cfRule type="cellIs" priority="2774" operator="greaterThan" aboveAverage="0" equalAverage="0" bottom="0" percent="0" rank="0" text="" dxfId="8">
      <formula>0</formula>
    </cfRule>
  </conditionalFormatting>
  <conditionalFormatting sqref="G931">
    <cfRule type="cellIs" priority="2775" operator="greaterThan" aboveAverage="0" equalAverage="0" bottom="0" percent="0" rank="0" text="" dxfId="8">
      <formula>0</formula>
    </cfRule>
  </conditionalFormatting>
  <conditionalFormatting sqref="H931">
    <cfRule type="cellIs" priority="2776" operator="greaterThan" aboveAverage="0" equalAverage="0" bottom="0" percent="0" rank="0" text="" dxfId="8">
      <formula>0</formula>
    </cfRule>
  </conditionalFormatting>
  <conditionalFormatting sqref="C932">
    <cfRule type="cellIs" priority="2777" operator="greaterThan" aboveAverage="0" equalAverage="0" bottom="0" percent="0" rank="0" text="" dxfId="8">
      <formula>0</formula>
    </cfRule>
  </conditionalFormatting>
  <conditionalFormatting sqref="G932">
    <cfRule type="cellIs" priority="2778" operator="greaterThan" aboveAverage="0" equalAverage="0" bottom="0" percent="0" rank="0" text="" dxfId="8">
      <formula>0</formula>
    </cfRule>
  </conditionalFormatting>
  <conditionalFormatting sqref="H932">
    <cfRule type="cellIs" priority="2779" operator="greaterThan" aboveAverage="0" equalAverage="0" bottom="0" percent="0" rank="0" text="" dxfId="8">
      <formula>0</formula>
    </cfRule>
  </conditionalFormatting>
  <conditionalFormatting sqref="C933">
    <cfRule type="cellIs" priority="2780" operator="greaterThan" aboveAverage="0" equalAverage="0" bottom="0" percent="0" rank="0" text="" dxfId="8">
      <formula>0</formula>
    </cfRule>
  </conditionalFormatting>
  <conditionalFormatting sqref="G933">
    <cfRule type="cellIs" priority="2781" operator="greaterThan" aboveAverage="0" equalAverage="0" bottom="0" percent="0" rank="0" text="" dxfId="8">
      <formula>0</formula>
    </cfRule>
  </conditionalFormatting>
  <conditionalFormatting sqref="H933">
    <cfRule type="cellIs" priority="2782" operator="greaterThan" aboveAverage="0" equalAverage="0" bottom="0" percent="0" rank="0" text="" dxfId="8">
      <formula>0</formula>
    </cfRule>
  </conditionalFormatting>
  <conditionalFormatting sqref="C934">
    <cfRule type="cellIs" priority="2783" operator="greaterThan" aboveAverage="0" equalAverage="0" bottom="0" percent="0" rank="0" text="" dxfId="8">
      <formula>0</formula>
    </cfRule>
  </conditionalFormatting>
  <conditionalFormatting sqref="G934">
    <cfRule type="cellIs" priority="2784" operator="greaterThan" aboveAverage="0" equalAverage="0" bottom="0" percent="0" rank="0" text="" dxfId="8">
      <formula>0</formula>
    </cfRule>
  </conditionalFormatting>
  <conditionalFormatting sqref="H934">
    <cfRule type="cellIs" priority="2785" operator="greaterThan" aboveAverage="0" equalAverage="0" bottom="0" percent="0" rank="0" text="" dxfId="8">
      <formula>0</formula>
    </cfRule>
  </conditionalFormatting>
  <conditionalFormatting sqref="C935">
    <cfRule type="cellIs" priority="2786" operator="greaterThan" aboveAverage="0" equalAverage="0" bottom="0" percent="0" rank="0" text="" dxfId="8">
      <formula>0</formula>
    </cfRule>
  </conditionalFormatting>
  <conditionalFormatting sqref="G935">
    <cfRule type="cellIs" priority="2787" operator="greaterThan" aboveAverage="0" equalAverage="0" bottom="0" percent="0" rank="0" text="" dxfId="8">
      <formula>0</formula>
    </cfRule>
  </conditionalFormatting>
  <conditionalFormatting sqref="H935">
    <cfRule type="cellIs" priority="2788" operator="greaterThan" aboveAverage="0" equalAverage="0" bottom="0" percent="0" rank="0" text="" dxfId="8">
      <formula>0</formula>
    </cfRule>
  </conditionalFormatting>
  <conditionalFormatting sqref="C936">
    <cfRule type="cellIs" priority="2789" operator="greaterThan" aboveAverage="0" equalAverage="0" bottom="0" percent="0" rank="0" text="" dxfId="8">
      <formula>0</formula>
    </cfRule>
  </conditionalFormatting>
  <conditionalFormatting sqref="G936">
    <cfRule type="cellIs" priority="2790" operator="greaterThan" aboveAverage="0" equalAverage="0" bottom="0" percent="0" rank="0" text="" dxfId="8">
      <formula>0</formula>
    </cfRule>
  </conditionalFormatting>
  <conditionalFormatting sqref="H936">
    <cfRule type="cellIs" priority="2791" operator="greaterThan" aboveAverage="0" equalAverage="0" bottom="0" percent="0" rank="0" text="" dxfId="8">
      <formula>0</formula>
    </cfRule>
  </conditionalFormatting>
  <conditionalFormatting sqref="C937">
    <cfRule type="cellIs" priority="2792" operator="greaterThan" aboveAverage="0" equalAverage="0" bottom="0" percent="0" rank="0" text="" dxfId="8">
      <formula>0</formula>
    </cfRule>
  </conditionalFormatting>
  <conditionalFormatting sqref="G937">
    <cfRule type="cellIs" priority="2793" operator="greaterThan" aboveAverage="0" equalAverage="0" bottom="0" percent="0" rank="0" text="" dxfId="8">
      <formula>0</formula>
    </cfRule>
  </conditionalFormatting>
  <conditionalFormatting sqref="H937">
    <cfRule type="cellIs" priority="2794" operator="greaterThan" aboveAverage="0" equalAverage="0" bottom="0" percent="0" rank="0" text="" dxfId="8">
      <formula>0</formula>
    </cfRule>
  </conditionalFormatting>
  <conditionalFormatting sqref="C938">
    <cfRule type="cellIs" priority="2795" operator="greaterThan" aboveAverage="0" equalAverage="0" bottom="0" percent="0" rank="0" text="" dxfId="8">
      <formula>0</formula>
    </cfRule>
  </conditionalFormatting>
  <conditionalFormatting sqref="G938">
    <cfRule type="cellIs" priority="2796" operator="greaterThan" aboveAverage="0" equalAverage="0" bottom="0" percent="0" rank="0" text="" dxfId="8">
      <formula>0</formula>
    </cfRule>
  </conditionalFormatting>
  <conditionalFormatting sqref="H938">
    <cfRule type="cellIs" priority="2797" operator="greaterThan" aboveAverage="0" equalAverage="0" bottom="0" percent="0" rank="0" text="" dxfId="8">
      <formula>0</formula>
    </cfRule>
  </conditionalFormatting>
  <conditionalFormatting sqref="C939">
    <cfRule type="cellIs" priority="2798" operator="greaterThan" aboveAverage="0" equalAverage="0" bottom="0" percent="0" rank="0" text="" dxfId="8">
      <formula>0</formula>
    </cfRule>
  </conditionalFormatting>
  <conditionalFormatting sqref="G939">
    <cfRule type="cellIs" priority="2799" operator="greaterThan" aboveAverage="0" equalAverage="0" bottom="0" percent="0" rank="0" text="" dxfId="8">
      <formula>0</formula>
    </cfRule>
  </conditionalFormatting>
  <conditionalFormatting sqref="H939">
    <cfRule type="cellIs" priority="2800" operator="greaterThan" aboveAverage="0" equalAverage="0" bottom="0" percent="0" rank="0" text="" dxfId="8">
      <formula>0</formula>
    </cfRule>
  </conditionalFormatting>
  <conditionalFormatting sqref="C940">
    <cfRule type="cellIs" priority="2801" operator="greaterThan" aboveAverage="0" equalAverage="0" bottom="0" percent="0" rank="0" text="" dxfId="8">
      <formula>0</formula>
    </cfRule>
  </conditionalFormatting>
  <conditionalFormatting sqref="G940">
    <cfRule type="cellIs" priority="2802" operator="greaterThan" aboveAverage="0" equalAverage="0" bottom="0" percent="0" rank="0" text="" dxfId="8">
      <formula>0</formula>
    </cfRule>
  </conditionalFormatting>
  <conditionalFormatting sqref="H940">
    <cfRule type="cellIs" priority="2803" operator="greaterThan" aboveAverage="0" equalAverage="0" bottom="0" percent="0" rank="0" text="" dxfId="8">
      <formula>0</formula>
    </cfRule>
  </conditionalFormatting>
  <conditionalFormatting sqref="C941">
    <cfRule type="cellIs" priority="2804" operator="greaterThan" aboveAverage="0" equalAverage="0" bottom="0" percent="0" rank="0" text="" dxfId="8">
      <formula>0</formula>
    </cfRule>
  </conditionalFormatting>
  <conditionalFormatting sqref="G941">
    <cfRule type="cellIs" priority="2805" operator="greaterThan" aboveAverage="0" equalAverage="0" bottom="0" percent="0" rank="0" text="" dxfId="8">
      <formula>0</formula>
    </cfRule>
  </conditionalFormatting>
  <conditionalFormatting sqref="H941">
    <cfRule type="cellIs" priority="2806" operator="greaterThan" aboveAverage="0" equalAverage="0" bottom="0" percent="0" rank="0" text="" dxfId="8">
      <formula>0</formula>
    </cfRule>
  </conditionalFormatting>
  <conditionalFormatting sqref="C942">
    <cfRule type="cellIs" priority="2807" operator="greaterThan" aboveAverage="0" equalAverage="0" bottom="0" percent="0" rank="0" text="" dxfId="8">
      <formula>0</formula>
    </cfRule>
  </conditionalFormatting>
  <conditionalFormatting sqref="G942">
    <cfRule type="cellIs" priority="2808" operator="greaterThan" aboveAverage="0" equalAverage="0" bottom="0" percent="0" rank="0" text="" dxfId="8">
      <formula>0</formula>
    </cfRule>
  </conditionalFormatting>
  <conditionalFormatting sqref="H942">
    <cfRule type="cellIs" priority="2809" operator="greaterThan" aboveAverage="0" equalAverage="0" bottom="0" percent="0" rank="0" text="" dxfId="8">
      <formula>0</formula>
    </cfRule>
  </conditionalFormatting>
  <conditionalFormatting sqref="C943">
    <cfRule type="cellIs" priority="2810" operator="greaterThan" aboveAverage="0" equalAverage="0" bottom="0" percent="0" rank="0" text="" dxfId="8">
      <formula>0</formula>
    </cfRule>
  </conditionalFormatting>
  <conditionalFormatting sqref="G943">
    <cfRule type="cellIs" priority="2811" operator="greaterThan" aboveAverage="0" equalAverage="0" bottom="0" percent="0" rank="0" text="" dxfId="8">
      <formula>0</formula>
    </cfRule>
  </conditionalFormatting>
  <conditionalFormatting sqref="H943">
    <cfRule type="cellIs" priority="2812" operator="greaterThan" aboveAverage="0" equalAverage="0" bottom="0" percent="0" rank="0" text="" dxfId="8">
      <formula>0</formula>
    </cfRule>
  </conditionalFormatting>
  <conditionalFormatting sqref="C944">
    <cfRule type="cellIs" priority="2813" operator="greaterThan" aboveAverage="0" equalAverage="0" bottom="0" percent="0" rank="0" text="" dxfId="8">
      <formula>0</formula>
    </cfRule>
  </conditionalFormatting>
  <conditionalFormatting sqref="G944">
    <cfRule type="cellIs" priority="2814" operator="greaterThan" aboveAverage="0" equalAverage="0" bottom="0" percent="0" rank="0" text="" dxfId="8">
      <formula>0</formula>
    </cfRule>
  </conditionalFormatting>
  <conditionalFormatting sqref="H944">
    <cfRule type="cellIs" priority="2815" operator="greaterThan" aboveAverage="0" equalAverage="0" bottom="0" percent="0" rank="0" text="" dxfId="8">
      <formula>0</formula>
    </cfRule>
  </conditionalFormatting>
  <conditionalFormatting sqref="C945">
    <cfRule type="cellIs" priority="2816" operator="greaterThan" aboveAverage="0" equalAverage="0" bottom="0" percent="0" rank="0" text="" dxfId="8">
      <formula>0</formula>
    </cfRule>
  </conditionalFormatting>
  <conditionalFormatting sqref="G945">
    <cfRule type="cellIs" priority="2817" operator="greaterThan" aboveAverage="0" equalAverage="0" bottom="0" percent="0" rank="0" text="" dxfId="8">
      <formula>0</formula>
    </cfRule>
  </conditionalFormatting>
  <conditionalFormatting sqref="H945">
    <cfRule type="cellIs" priority="2818" operator="greaterThan" aboveAverage="0" equalAverage="0" bottom="0" percent="0" rank="0" text="" dxfId="8">
      <formula>0</formula>
    </cfRule>
  </conditionalFormatting>
  <conditionalFormatting sqref="C946">
    <cfRule type="cellIs" priority="2819" operator="greaterThan" aboveAverage="0" equalAverage="0" bottom="0" percent="0" rank="0" text="" dxfId="8">
      <formula>0</formula>
    </cfRule>
  </conditionalFormatting>
  <conditionalFormatting sqref="G946">
    <cfRule type="cellIs" priority="2820" operator="greaterThan" aboveAverage="0" equalAverage="0" bottom="0" percent="0" rank="0" text="" dxfId="8">
      <formula>0</formula>
    </cfRule>
  </conditionalFormatting>
  <conditionalFormatting sqref="H946">
    <cfRule type="cellIs" priority="2821" operator="greaterThan" aboveAverage="0" equalAverage="0" bottom="0" percent="0" rank="0" text="" dxfId="8">
      <formula>0</formula>
    </cfRule>
  </conditionalFormatting>
  <conditionalFormatting sqref="C947">
    <cfRule type="cellIs" priority="2822" operator="greaterThan" aboveAverage="0" equalAverage="0" bottom="0" percent="0" rank="0" text="" dxfId="8">
      <formula>0</formula>
    </cfRule>
  </conditionalFormatting>
  <conditionalFormatting sqref="G947">
    <cfRule type="cellIs" priority="2823" operator="greaterThan" aboveAverage="0" equalAverage="0" bottom="0" percent="0" rank="0" text="" dxfId="8">
      <formula>0</formula>
    </cfRule>
  </conditionalFormatting>
  <conditionalFormatting sqref="H947">
    <cfRule type="cellIs" priority="2824" operator="greaterThan" aboveAverage="0" equalAverage="0" bottom="0" percent="0" rank="0" text="" dxfId="8">
      <formula>0</formula>
    </cfRule>
  </conditionalFormatting>
  <conditionalFormatting sqref="C948">
    <cfRule type="cellIs" priority="2825" operator="greaterThan" aboveAverage="0" equalAverage="0" bottom="0" percent="0" rank="0" text="" dxfId="8">
      <formula>0</formula>
    </cfRule>
  </conditionalFormatting>
  <conditionalFormatting sqref="G948">
    <cfRule type="cellIs" priority="2826" operator="greaterThan" aboveAverage="0" equalAverage="0" bottom="0" percent="0" rank="0" text="" dxfId="8">
      <formula>0</formula>
    </cfRule>
  </conditionalFormatting>
  <conditionalFormatting sqref="H948">
    <cfRule type="cellIs" priority="2827" operator="greaterThan" aboveAverage="0" equalAverage="0" bottom="0" percent="0" rank="0" text="" dxfId="8">
      <formula>0</formula>
    </cfRule>
  </conditionalFormatting>
  <conditionalFormatting sqref="C949">
    <cfRule type="cellIs" priority="2828" operator="greaterThan" aboveAverage="0" equalAverage="0" bottom="0" percent="0" rank="0" text="" dxfId="8">
      <formula>0</formula>
    </cfRule>
  </conditionalFormatting>
  <conditionalFormatting sqref="G949">
    <cfRule type="cellIs" priority="2829" operator="greaterThan" aboveAverage="0" equalAverage="0" bottom="0" percent="0" rank="0" text="" dxfId="8">
      <formula>0</formula>
    </cfRule>
  </conditionalFormatting>
  <conditionalFormatting sqref="H949">
    <cfRule type="cellIs" priority="2830" operator="greaterThan" aboveAverage="0" equalAverage="0" bottom="0" percent="0" rank="0" text="" dxfId="8">
      <formula>0</formula>
    </cfRule>
  </conditionalFormatting>
  <conditionalFormatting sqref="C950">
    <cfRule type="cellIs" priority="2831" operator="greaterThan" aboveAverage="0" equalAverage="0" bottom="0" percent="0" rank="0" text="" dxfId="8">
      <formula>0</formula>
    </cfRule>
  </conditionalFormatting>
  <conditionalFormatting sqref="G950">
    <cfRule type="cellIs" priority="2832" operator="greaterThan" aboveAverage="0" equalAverage="0" bottom="0" percent="0" rank="0" text="" dxfId="8">
      <formula>0</formula>
    </cfRule>
  </conditionalFormatting>
  <conditionalFormatting sqref="H950">
    <cfRule type="cellIs" priority="2833" operator="greaterThan" aboveAverage="0" equalAverage="0" bottom="0" percent="0" rank="0" text="" dxfId="8">
      <formula>0</formula>
    </cfRule>
  </conditionalFormatting>
  <conditionalFormatting sqref="C951">
    <cfRule type="cellIs" priority="2834" operator="greaterThan" aboveAverage="0" equalAverage="0" bottom="0" percent="0" rank="0" text="" dxfId="8">
      <formula>0</formula>
    </cfRule>
  </conditionalFormatting>
  <conditionalFormatting sqref="G951">
    <cfRule type="cellIs" priority="2835" operator="greaterThan" aboveAverage="0" equalAverage="0" bottom="0" percent="0" rank="0" text="" dxfId="8">
      <formula>0</formula>
    </cfRule>
  </conditionalFormatting>
  <conditionalFormatting sqref="H951">
    <cfRule type="cellIs" priority="2836" operator="greaterThan" aboveAverage="0" equalAverage="0" bottom="0" percent="0" rank="0" text="" dxfId="8">
      <formula>0</formula>
    </cfRule>
  </conditionalFormatting>
  <conditionalFormatting sqref="C952">
    <cfRule type="cellIs" priority="2837" operator="greaterThan" aboveAverage="0" equalAverage="0" bottom="0" percent="0" rank="0" text="" dxfId="8">
      <formula>0</formula>
    </cfRule>
  </conditionalFormatting>
  <conditionalFormatting sqref="G952">
    <cfRule type="cellIs" priority="2838" operator="greaterThan" aboveAverage="0" equalAverage="0" bottom="0" percent="0" rank="0" text="" dxfId="8">
      <formula>0</formula>
    </cfRule>
  </conditionalFormatting>
  <conditionalFormatting sqref="H952">
    <cfRule type="cellIs" priority="2839" operator="greaterThan" aboveAverage="0" equalAverage="0" bottom="0" percent="0" rank="0" text="" dxfId="8">
      <formula>0</formula>
    </cfRule>
  </conditionalFormatting>
  <conditionalFormatting sqref="C953">
    <cfRule type="cellIs" priority="2840" operator="greaterThan" aboveAverage="0" equalAverage="0" bottom="0" percent="0" rank="0" text="" dxfId="8">
      <formula>0</formula>
    </cfRule>
  </conditionalFormatting>
  <conditionalFormatting sqref="G953">
    <cfRule type="cellIs" priority="2841" operator="greaterThan" aboveAverage="0" equalAverage="0" bottom="0" percent="0" rank="0" text="" dxfId="8">
      <formula>0</formula>
    </cfRule>
  </conditionalFormatting>
  <conditionalFormatting sqref="H953">
    <cfRule type="cellIs" priority="2842" operator="greaterThan" aboveAverage="0" equalAverage="0" bottom="0" percent="0" rank="0" text="" dxfId="8">
      <formula>0</formula>
    </cfRule>
  </conditionalFormatting>
  <conditionalFormatting sqref="C954">
    <cfRule type="cellIs" priority="2843" operator="greaterThan" aboveAverage="0" equalAverage="0" bottom="0" percent="0" rank="0" text="" dxfId="8">
      <formula>0</formula>
    </cfRule>
  </conditionalFormatting>
  <conditionalFormatting sqref="G954">
    <cfRule type="cellIs" priority="2844" operator="greaterThan" aboveAverage="0" equalAverage="0" bottom="0" percent="0" rank="0" text="" dxfId="8">
      <formula>0</formula>
    </cfRule>
  </conditionalFormatting>
  <conditionalFormatting sqref="H954">
    <cfRule type="cellIs" priority="2845" operator="greaterThan" aboveAverage="0" equalAverage="0" bottom="0" percent="0" rank="0" text="" dxfId="8">
      <formula>0</formula>
    </cfRule>
  </conditionalFormatting>
  <conditionalFormatting sqref="C955">
    <cfRule type="cellIs" priority="2846" operator="greaterThan" aboveAverage="0" equalAverage="0" bottom="0" percent="0" rank="0" text="" dxfId="8">
      <formula>0</formula>
    </cfRule>
  </conditionalFormatting>
  <conditionalFormatting sqref="G955">
    <cfRule type="cellIs" priority="2847" operator="greaterThan" aboveAverage="0" equalAverage="0" bottom="0" percent="0" rank="0" text="" dxfId="8">
      <formula>0</formula>
    </cfRule>
  </conditionalFormatting>
  <conditionalFormatting sqref="H955">
    <cfRule type="cellIs" priority="2848" operator="greaterThan" aboveAverage="0" equalAverage="0" bottom="0" percent="0" rank="0" text="" dxfId="8">
      <formula>0</formula>
    </cfRule>
  </conditionalFormatting>
  <conditionalFormatting sqref="C956">
    <cfRule type="cellIs" priority="2849" operator="greaterThan" aboveAverage="0" equalAverage="0" bottom="0" percent="0" rank="0" text="" dxfId="8">
      <formula>0</formula>
    </cfRule>
  </conditionalFormatting>
  <conditionalFormatting sqref="G956">
    <cfRule type="cellIs" priority="2850" operator="greaterThan" aboveAverage="0" equalAverage="0" bottom="0" percent="0" rank="0" text="" dxfId="8">
      <formula>0</formula>
    </cfRule>
  </conditionalFormatting>
  <conditionalFormatting sqref="H956">
    <cfRule type="cellIs" priority="2851" operator="greaterThan" aboveAverage="0" equalAverage="0" bottom="0" percent="0" rank="0" text="" dxfId="8">
      <formula>0</formula>
    </cfRule>
  </conditionalFormatting>
  <conditionalFormatting sqref="C957">
    <cfRule type="cellIs" priority="2852" operator="greaterThan" aboveAverage="0" equalAverage="0" bottom="0" percent="0" rank="0" text="" dxfId="8">
      <formula>0</formula>
    </cfRule>
  </conditionalFormatting>
  <conditionalFormatting sqref="G957">
    <cfRule type="cellIs" priority="2853" operator="greaterThan" aboveAverage="0" equalAverage="0" bottom="0" percent="0" rank="0" text="" dxfId="8">
      <formula>0</formula>
    </cfRule>
  </conditionalFormatting>
  <conditionalFormatting sqref="H957">
    <cfRule type="cellIs" priority="2854" operator="greaterThan" aboveAverage="0" equalAverage="0" bottom="0" percent="0" rank="0" text="" dxfId="8">
      <formula>0</formula>
    </cfRule>
  </conditionalFormatting>
  <conditionalFormatting sqref="C958">
    <cfRule type="cellIs" priority="2855" operator="greaterThan" aboveAverage="0" equalAverage="0" bottom="0" percent="0" rank="0" text="" dxfId="8">
      <formula>0</formula>
    </cfRule>
  </conditionalFormatting>
  <conditionalFormatting sqref="G958">
    <cfRule type="cellIs" priority="2856" operator="greaterThan" aboveAverage="0" equalAverage="0" bottom="0" percent="0" rank="0" text="" dxfId="8">
      <formula>0</formula>
    </cfRule>
  </conditionalFormatting>
  <conditionalFormatting sqref="H958">
    <cfRule type="cellIs" priority="2857" operator="greaterThan" aboveAverage="0" equalAverage="0" bottom="0" percent="0" rank="0" text="" dxfId="8">
      <formula>0</formula>
    </cfRule>
  </conditionalFormatting>
  <conditionalFormatting sqref="C959">
    <cfRule type="cellIs" priority="2858" operator="greaterThan" aboveAverage="0" equalAverage="0" bottom="0" percent="0" rank="0" text="" dxfId="8">
      <formula>0</formula>
    </cfRule>
  </conditionalFormatting>
  <conditionalFormatting sqref="G959">
    <cfRule type="cellIs" priority="2859" operator="greaterThan" aboveAverage="0" equalAverage="0" bottom="0" percent="0" rank="0" text="" dxfId="8">
      <formula>0</formula>
    </cfRule>
  </conditionalFormatting>
  <conditionalFormatting sqref="H959">
    <cfRule type="cellIs" priority="2860" operator="greaterThan" aboveAverage="0" equalAverage="0" bottom="0" percent="0" rank="0" text="" dxfId="8">
      <formula>0</formula>
    </cfRule>
  </conditionalFormatting>
  <conditionalFormatting sqref="C960">
    <cfRule type="cellIs" priority="2861" operator="greaterThan" aboveAverage="0" equalAverage="0" bottom="0" percent="0" rank="0" text="" dxfId="8">
      <formula>0</formula>
    </cfRule>
  </conditionalFormatting>
  <conditionalFormatting sqref="G960">
    <cfRule type="cellIs" priority="2862" operator="greaterThan" aboveAverage="0" equalAverage="0" bottom="0" percent="0" rank="0" text="" dxfId="8">
      <formula>0</formula>
    </cfRule>
  </conditionalFormatting>
  <conditionalFormatting sqref="H960">
    <cfRule type="cellIs" priority="2863" operator="greaterThan" aboveAverage="0" equalAverage="0" bottom="0" percent="0" rank="0" text="" dxfId="8">
      <formula>0</formula>
    </cfRule>
  </conditionalFormatting>
  <conditionalFormatting sqref="C961">
    <cfRule type="cellIs" priority="2864" operator="greaterThan" aboveAverage="0" equalAverage="0" bottom="0" percent="0" rank="0" text="" dxfId="8">
      <formula>0</formula>
    </cfRule>
  </conditionalFormatting>
  <conditionalFormatting sqref="G961">
    <cfRule type="cellIs" priority="2865" operator="greaterThan" aboveAverage="0" equalAverage="0" bottom="0" percent="0" rank="0" text="" dxfId="8">
      <formula>0</formula>
    </cfRule>
  </conditionalFormatting>
  <conditionalFormatting sqref="H961">
    <cfRule type="cellIs" priority="2866" operator="greaterThan" aboveAverage="0" equalAverage="0" bottom="0" percent="0" rank="0" text="" dxfId="8">
      <formula>0</formula>
    </cfRule>
  </conditionalFormatting>
  <conditionalFormatting sqref="C962">
    <cfRule type="cellIs" priority="2867" operator="greaterThan" aboveAverage="0" equalAverage="0" bottom="0" percent="0" rank="0" text="" dxfId="8">
      <formula>0</formula>
    </cfRule>
  </conditionalFormatting>
  <conditionalFormatting sqref="G962">
    <cfRule type="cellIs" priority="2868" operator="greaterThan" aboveAverage="0" equalAverage="0" bottom="0" percent="0" rank="0" text="" dxfId="8">
      <formula>0</formula>
    </cfRule>
  </conditionalFormatting>
  <conditionalFormatting sqref="H962">
    <cfRule type="cellIs" priority="2869" operator="greaterThan" aboveAverage="0" equalAverage="0" bottom="0" percent="0" rank="0" text="" dxfId="8">
      <formula>0</formula>
    </cfRule>
  </conditionalFormatting>
  <conditionalFormatting sqref="C963">
    <cfRule type="cellIs" priority="2870" operator="greaterThan" aboveAverage="0" equalAverage="0" bottom="0" percent="0" rank="0" text="" dxfId="8">
      <formula>0</formula>
    </cfRule>
  </conditionalFormatting>
  <conditionalFormatting sqref="G963">
    <cfRule type="cellIs" priority="2871" operator="greaterThan" aboveAverage="0" equalAverage="0" bottom="0" percent="0" rank="0" text="" dxfId="8">
      <formula>0</formula>
    </cfRule>
  </conditionalFormatting>
  <conditionalFormatting sqref="H963">
    <cfRule type="cellIs" priority="2872" operator="greaterThan" aboveAverage="0" equalAverage="0" bottom="0" percent="0" rank="0" text="" dxfId="8">
      <formula>0</formula>
    </cfRule>
  </conditionalFormatting>
  <conditionalFormatting sqref="C964">
    <cfRule type="cellIs" priority="2873" operator="greaterThan" aboveAverage="0" equalAverage="0" bottom="0" percent="0" rank="0" text="" dxfId="8">
      <formula>0</formula>
    </cfRule>
  </conditionalFormatting>
  <conditionalFormatting sqref="G964">
    <cfRule type="cellIs" priority="2874" operator="greaterThan" aboveAverage="0" equalAverage="0" bottom="0" percent="0" rank="0" text="" dxfId="8">
      <formula>0</formula>
    </cfRule>
  </conditionalFormatting>
  <conditionalFormatting sqref="H964">
    <cfRule type="cellIs" priority="2875" operator="greaterThan" aboveAverage="0" equalAverage="0" bottom="0" percent="0" rank="0" text="" dxfId="8">
      <formula>0</formula>
    </cfRule>
  </conditionalFormatting>
  <conditionalFormatting sqref="C965">
    <cfRule type="cellIs" priority="2876" operator="greaterThan" aboveAverage="0" equalAverage="0" bottom="0" percent="0" rank="0" text="" dxfId="8">
      <formula>0</formula>
    </cfRule>
  </conditionalFormatting>
  <conditionalFormatting sqref="G965">
    <cfRule type="cellIs" priority="2877" operator="greaterThan" aboveAverage="0" equalAverage="0" bottom="0" percent="0" rank="0" text="" dxfId="8">
      <formula>0</formula>
    </cfRule>
  </conditionalFormatting>
  <conditionalFormatting sqref="H965">
    <cfRule type="cellIs" priority="2878" operator="greaterThan" aboveAverage="0" equalAverage="0" bottom="0" percent="0" rank="0" text="" dxfId="8">
      <formula>0</formula>
    </cfRule>
  </conditionalFormatting>
  <conditionalFormatting sqref="C966">
    <cfRule type="cellIs" priority="2879" operator="greaterThan" aboveAverage="0" equalAverage="0" bottom="0" percent="0" rank="0" text="" dxfId="8">
      <formula>0</formula>
    </cfRule>
  </conditionalFormatting>
  <conditionalFormatting sqref="G966">
    <cfRule type="cellIs" priority="2880" operator="greaterThan" aboveAverage="0" equalAverage="0" bottom="0" percent="0" rank="0" text="" dxfId="8">
      <formula>0</formula>
    </cfRule>
  </conditionalFormatting>
  <conditionalFormatting sqref="H966">
    <cfRule type="cellIs" priority="2881" operator="greaterThan" aboveAverage="0" equalAverage="0" bottom="0" percent="0" rank="0" text="" dxfId="8">
      <formula>0</formula>
    </cfRule>
  </conditionalFormatting>
  <conditionalFormatting sqref="C967">
    <cfRule type="cellIs" priority="2882" operator="greaterThan" aboveAverage="0" equalAverage="0" bottom="0" percent="0" rank="0" text="" dxfId="8">
      <formula>0</formula>
    </cfRule>
  </conditionalFormatting>
  <conditionalFormatting sqref="G967">
    <cfRule type="cellIs" priority="2883" operator="greaterThan" aboveAverage="0" equalAverage="0" bottom="0" percent="0" rank="0" text="" dxfId="8">
      <formula>0</formula>
    </cfRule>
  </conditionalFormatting>
  <conditionalFormatting sqref="H967">
    <cfRule type="cellIs" priority="2884" operator="greaterThan" aboveAverage="0" equalAverage="0" bottom="0" percent="0" rank="0" text="" dxfId="8">
      <formula>0</formula>
    </cfRule>
  </conditionalFormatting>
  <conditionalFormatting sqref="C968">
    <cfRule type="cellIs" priority="2885" operator="greaterThan" aboveAverage="0" equalAverage="0" bottom="0" percent="0" rank="0" text="" dxfId="8">
      <formula>0</formula>
    </cfRule>
  </conditionalFormatting>
  <conditionalFormatting sqref="G968">
    <cfRule type="cellIs" priority="2886" operator="greaterThan" aboveAverage="0" equalAverage="0" bottom="0" percent="0" rank="0" text="" dxfId="8">
      <formula>0</formula>
    </cfRule>
  </conditionalFormatting>
  <conditionalFormatting sqref="H968">
    <cfRule type="cellIs" priority="2887" operator="greaterThan" aboveAverage="0" equalAverage="0" bottom="0" percent="0" rank="0" text="" dxfId="8">
      <formula>0</formula>
    </cfRule>
  </conditionalFormatting>
  <conditionalFormatting sqref="C969">
    <cfRule type="cellIs" priority="2888" operator="greaterThan" aboveAverage="0" equalAverage="0" bottom="0" percent="0" rank="0" text="" dxfId="8">
      <formula>0</formula>
    </cfRule>
  </conditionalFormatting>
  <conditionalFormatting sqref="G969">
    <cfRule type="cellIs" priority="2889" operator="greaterThan" aboveAverage="0" equalAverage="0" bottom="0" percent="0" rank="0" text="" dxfId="8">
      <formula>0</formula>
    </cfRule>
  </conditionalFormatting>
  <conditionalFormatting sqref="H969">
    <cfRule type="cellIs" priority="2890" operator="greaterThan" aboveAverage="0" equalAverage="0" bottom="0" percent="0" rank="0" text="" dxfId="8">
      <formula>0</formula>
    </cfRule>
  </conditionalFormatting>
  <conditionalFormatting sqref="C970">
    <cfRule type="cellIs" priority="2891" operator="greaterThan" aboveAverage="0" equalAverage="0" bottom="0" percent="0" rank="0" text="" dxfId="8">
      <formula>0</formula>
    </cfRule>
  </conditionalFormatting>
  <conditionalFormatting sqref="G970">
    <cfRule type="cellIs" priority="2892" operator="greaterThan" aboveAverage="0" equalAverage="0" bottom="0" percent="0" rank="0" text="" dxfId="8">
      <formula>0</formula>
    </cfRule>
  </conditionalFormatting>
  <conditionalFormatting sqref="H970">
    <cfRule type="cellIs" priority="2893" operator="greaterThan" aboveAverage="0" equalAverage="0" bottom="0" percent="0" rank="0" text="" dxfId="8">
      <formula>0</formula>
    </cfRule>
  </conditionalFormatting>
  <conditionalFormatting sqref="C971">
    <cfRule type="cellIs" priority="2894" operator="greaterThan" aboveAverage="0" equalAverage="0" bottom="0" percent="0" rank="0" text="" dxfId="8">
      <formula>0</formula>
    </cfRule>
  </conditionalFormatting>
  <conditionalFormatting sqref="G971">
    <cfRule type="cellIs" priority="2895" operator="greaterThan" aboveAverage="0" equalAverage="0" bottom="0" percent="0" rank="0" text="" dxfId="8">
      <formula>0</formula>
    </cfRule>
  </conditionalFormatting>
  <conditionalFormatting sqref="H971">
    <cfRule type="cellIs" priority="2896" operator="greaterThan" aboveAverage="0" equalAverage="0" bottom="0" percent="0" rank="0" text="" dxfId="8">
      <formula>0</formula>
    </cfRule>
  </conditionalFormatting>
  <conditionalFormatting sqref="C972">
    <cfRule type="cellIs" priority="2897" operator="greaterThan" aboveAverage="0" equalAverage="0" bottom="0" percent="0" rank="0" text="" dxfId="8">
      <formula>0</formula>
    </cfRule>
  </conditionalFormatting>
  <conditionalFormatting sqref="G972">
    <cfRule type="cellIs" priority="2898" operator="greaterThan" aboveAverage="0" equalAverage="0" bottom="0" percent="0" rank="0" text="" dxfId="8">
      <formula>0</formula>
    </cfRule>
  </conditionalFormatting>
  <conditionalFormatting sqref="H972">
    <cfRule type="cellIs" priority="2899" operator="greaterThan" aboveAverage="0" equalAverage="0" bottom="0" percent="0" rank="0" text="" dxfId="8">
      <formula>0</formula>
    </cfRule>
  </conditionalFormatting>
  <conditionalFormatting sqref="C973">
    <cfRule type="cellIs" priority="2900" operator="greaterThan" aboveAverage="0" equalAverage="0" bottom="0" percent="0" rank="0" text="" dxfId="8">
      <formula>0</formula>
    </cfRule>
  </conditionalFormatting>
  <conditionalFormatting sqref="G973">
    <cfRule type="cellIs" priority="2901" operator="greaterThan" aboveAverage="0" equalAverage="0" bottom="0" percent="0" rank="0" text="" dxfId="8">
      <formula>0</formula>
    </cfRule>
  </conditionalFormatting>
  <conditionalFormatting sqref="H973">
    <cfRule type="cellIs" priority="2902" operator="greaterThan" aboveAverage="0" equalAverage="0" bottom="0" percent="0" rank="0" text="" dxfId="8">
      <formula>0</formula>
    </cfRule>
  </conditionalFormatting>
  <conditionalFormatting sqref="C974">
    <cfRule type="cellIs" priority="2903" operator="greaterThan" aboveAverage="0" equalAverage="0" bottom="0" percent="0" rank="0" text="" dxfId="8">
      <formula>0</formula>
    </cfRule>
  </conditionalFormatting>
  <conditionalFormatting sqref="G974">
    <cfRule type="cellIs" priority="2904" operator="greaterThan" aboveAverage="0" equalAverage="0" bottom="0" percent="0" rank="0" text="" dxfId="8">
      <formula>0</formula>
    </cfRule>
  </conditionalFormatting>
  <conditionalFormatting sqref="H974">
    <cfRule type="cellIs" priority="2905" operator="greaterThan" aboveAverage="0" equalAverage="0" bottom="0" percent="0" rank="0" text="" dxfId="8">
      <formula>0</formula>
    </cfRule>
  </conditionalFormatting>
  <conditionalFormatting sqref="C975">
    <cfRule type="cellIs" priority="2906" operator="greaterThan" aboveAverage="0" equalAverage="0" bottom="0" percent="0" rank="0" text="" dxfId="8">
      <formula>0</formula>
    </cfRule>
  </conditionalFormatting>
  <conditionalFormatting sqref="G975">
    <cfRule type="cellIs" priority="2907" operator="greaterThan" aboveAverage="0" equalAverage="0" bottom="0" percent="0" rank="0" text="" dxfId="8">
      <formula>0</formula>
    </cfRule>
  </conditionalFormatting>
  <conditionalFormatting sqref="H975">
    <cfRule type="cellIs" priority="2908" operator="greaterThan" aboveAverage="0" equalAverage="0" bottom="0" percent="0" rank="0" text="" dxfId="8">
      <formula>0</formula>
    </cfRule>
  </conditionalFormatting>
  <conditionalFormatting sqref="C976">
    <cfRule type="cellIs" priority="2909" operator="greaterThan" aboveAverage="0" equalAverage="0" bottom="0" percent="0" rank="0" text="" dxfId="8">
      <formula>0</formula>
    </cfRule>
  </conditionalFormatting>
  <conditionalFormatting sqref="G976">
    <cfRule type="cellIs" priority="2910" operator="greaterThan" aboveAverage="0" equalAverage="0" bottom="0" percent="0" rank="0" text="" dxfId="8">
      <formula>0</formula>
    </cfRule>
  </conditionalFormatting>
  <conditionalFormatting sqref="H976">
    <cfRule type="cellIs" priority="2911" operator="greaterThan" aboveAverage="0" equalAverage="0" bottom="0" percent="0" rank="0" text="" dxfId="8">
      <formula>0</formula>
    </cfRule>
  </conditionalFormatting>
  <conditionalFormatting sqref="C977">
    <cfRule type="cellIs" priority="2912" operator="greaterThan" aboveAverage="0" equalAverage="0" bottom="0" percent="0" rank="0" text="" dxfId="8">
      <formula>0</formula>
    </cfRule>
  </conditionalFormatting>
  <conditionalFormatting sqref="G977">
    <cfRule type="cellIs" priority="2913" operator="greaterThan" aboveAverage="0" equalAverage="0" bottom="0" percent="0" rank="0" text="" dxfId="8">
      <formula>0</formula>
    </cfRule>
  </conditionalFormatting>
  <conditionalFormatting sqref="H977">
    <cfRule type="cellIs" priority="2914" operator="greaterThan" aboveAverage="0" equalAverage="0" bottom="0" percent="0" rank="0" text="" dxfId="8">
      <formula>0</formula>
    </cfRule>
  </conditionalFormatting>
  <conditionalFormatting sqref="C978">
    <cfRule type="cellIs" priority="2915" operator="greaterThan" aboveAverage="0" equalAverage="0" bottom="0" percent="0" rank="0" text="" dxfId="8">
      <formula>0</formula>
    </cfRule>
  </conditionalFormatting>
  <conditionalFormatting sqref="G978">
    <cfRule type="cellIs" priority="2916" operator="greaterThan" aboveAverage="0" equalAverage="0" bottom="0" percent="0" rank="0" text="" dxfId="8">
      <formula>0</formula>
    </cfRule>
  </conditionalFormatting>
  <conditionalFormatting sqref="H978">
    <cfRule type="cellIs" priority="2917" operator="greaterThan" aboveAverage="0" equalAverage="0" bottom="0" percent="0" rank="0" text="" dxfId="8">
      <formula>0</formula>
    </cfRule>
  </conditionalFormatting>
  <conditionalFormatting sqref="C979">
    <cfRule type="cellIs" priority="2918" operator="greaterThan" aboveAverage="0" equalAverage="0" bottom="0" percent="0" rank="0" text="" dxfId="8">
      <formula>0</formula>
    </cfRule>
  </conditionalFormatting>
  <conditionalFormatting sqref="G979">
    <cfRule type="cellIs" priority="2919" operator="greaterThan" aboveAverage="0" equalAverage="0" bottom="0" percent="0" rank="0" text="" dxfId="8">
      <formula>0</formula>
    </cfRule>
  </conditionalFormatting>
  <conditionalFormatting sqref="H979">
    <cfRule type="cellIs" priority="2920" operator="greaterThan" aboveAverage="0" equalAverage="0" bottom="0" percent="0" rank="0" text="" dxfId="8">
      <formula>0</formula>
    </cfRule>
  </conditionalFormatting>
  <conditionalFormatting sqref="C980">
    <cfRule type="cellIs" priority="2921" operator="greaterThan" aboveAverage="0" equalAverage="0" bottom="0" percent="0" rank="0" text="" dxfId="8">
      <formula>0</formula>
    </cfRule>
  </conditionalFormatting>
  <conditionalFormatting sqref="G980">
    <cfRule type="cellIs" priority="2922" operator="greaterThan" aboveAverage="0" equalAverage="0" bottom="0" percent="0" rank="0" text="" dxfId="8">
      <formula>0</formula>
    </cfRule>
  </conditionalFormatting>
  <conditionalFormatting sqref="H980">
    <cfRule type="cellIs" priority="2923" operator="greaterThan" aboveAverage="0" equalAverage="0" bottom="0" percent="0" rank="0" text="" dxfId="8">
      <formula>0</formula>
    </cfRule>
  </conditionalFormatting>
  <conditionalFormatting sqref="C981">
    <cfRule type="cellIs" priority="2924" operator="greaterThan" aboveAverage="0" equalAverage="0" bottom="0" percent="0" rank="0" text="" dxfId="8">
      <formula>0</formula>
    </cfRule>
  </conditionalFormatting>
  <conditionalFormatting sqref="G981">
    <cfRule type="cellIs" priority="2925" operator="greaterThan" aboveAverage="0" equalAverage="0" bottom="0" percent="0" rank="0" text="" dxfId="8">
      <formula>0</formula>
    </cfRule>
  </conditionalFormatting>
  <conditionalFormatting sqref="H981">
    <cfRule type="cellIs" priority="2926" operator="greaterThan" aboveAverage="0" equalAverage="0" bottom="0" percent="0" rank="0" text="" dxfId="8">
      <formula>0</formula>
    </cfRule>
  </conditionalFormatting>
  <conditionalFormatting sqref="C982">
    <cfRule type="cellIs" priority="2927" operator="greaterThan" aboveAverage="0" equalAverage="0" bottom="0" percent="0" rank="0" text="" dxfId="8">
      <formula>0</formula>
    </cfRule>
  </conditionalFormatting>
  <conditionalFormatting sqref="G982">
    <cfRule type="cellIs" priority="2928" operator="greaterThan" aboveAverage="0" equalAverage="0" bottom="0" percent="0" rank="0" text="" dxfId="8">
      <formula>0</formula>
    </cfRule>
  </conditionalFormatting>
  <conditionalFormatting sqref="H982">
    <cfRule type="cellIs" priority="2929" operator="greaterThan" aboveAverage="0" equalAverage="0" bottom="0" percent="0" rank="0" text="" dxfId="8">
      <formula>0</formula>
    </cfRule>
  </conditionalFormatting>
  <conditionalFormatting sqref="C983">
    <cfRule type="cellIs" priority="2930" operator="greaterThan" aboveAverage="0" equalAverage="0" bottom="0" percent="0" rank="0" text="" dxfId="8">
      <formula>0</formula>
    </cfRule>
  </conditionalFormatting>
  <conditionalFormatting sqref="G983">
    <cfRule type="cellIs" priority="2931" operator="greaterThan" aboveAverage="0" equalAverage="0" bottom="0" percent="0" rank="0" text="" dxfId="8">
      <formula>0</formula>
    </cfRule>
  </conditionalFormatting>
  <conditionalFormatting sqref="H983">
    <cfRule type="cellIs" priority="2932" operator="greaterThan" aboveAverage="0" equalAverage="0" bottom="0" percent="0" rank="0" text="" dxfId="8">
      <formula>0</formula>
    </cfRule>
  </conditionalFormatting>
  <conditionalFormatting sqref="C984">
    <cfRule type="cellIs" priority="2933" operator="greaterThan" aboveAverage="0" equalAverage="0" bottom="0" percent="0" rank="0" text="" dxfId="8">
      <formula>0</formula>
    </cfRule>
  </conditionalFormatting>
  <conditionalFormatting sqref="G984">
    <cfRule type="cellIs" priority="2934" operator="greaterThan" aboveAverage="0" equalAverage="0" bottom="0" percent="0" rank="0" text="" dxfId="8">
      <formula>0</formula>
    </cfRule>
  </conditionalFormatting>
  <conditionalFormatting sqref="H984">
    <cfRule type="cellIs" priority="2935" operator="greaterThan" aboveAverage="0" equalAverage="0" bottom="0" percent="0" rank="0" text="" dxfId="8">
      <formula>0</formula>
    </cfRule>
  </conditionalFormatting>
  <conditionalFormatting sqref="C985">
    <cfRule type="cellIs" priority="2936" operator="greaterThan" aboveAverage="0" equalAverage="0" bottom="0" percent="0" rank="0" text="" dxfId="8">
      <formula>0</formula>
    </cfRule>
  </conditionalFormatting>
  <conditionalFormatting sqref="G985">
    <cfRule type="cellIs" priority="2937" operator="greaterThan" aboveAverage="0" equalAverage="0" bottom="0" percent="0" rank="0" text="" dxfId="8">
      <formula>0</formula>
    </cfRule>
  </conditionalFormatting>
  <conditionalFormatting sqref="H985">
    <cfRule type="cellIs" priority="2938" operator="greaterThan" aboveAverage="0" equalAverage="0" bottom="0" percent="0" rank="0" text="" dxfId="8">
      <formula>0</formula>
    </cfRule>
  </conditionalFormatting>
  <conditionalFormatting sqref="C986">
    <cfRule type="cellIs" priority="2939" operator="greaterThan" aboveAverage="0" equalAverage="0" bottom="0" percent="0" rank="0" text="" dxfId="8">
      <formula>0</formula>
    </cfRule>
  </conditionalFormatting>
  <conditionalFormatting sqref="G986">
    <cfRule type="cellIs" priority="2940" operator="greaterThan" aboveAverage="0" equalAverage="0" bottom="0" percent="0" rank="0" text="" dxfId="8">
      <formula>0</formula>
    </cfRule>
  </conditionalFormatting>
  <conditionalFormatting sqref="H986">
    <cfRule type="cellIs" priority="2941" operator="greaterThan" aboveAverage="0" equalAverage="0" bottom="0" percent="0" rank="0" text="" dxfId="8">
      <formula>0</formula>
    </cfRule>
  </conditionalFormatting>
  <conditionalFormatting sqref="C987">
    <cfRule type="cellIs" priority="2942" operator="greaterThan" aboveAverage="0" equalAverage="0" bottom="0" percent="0" rank="0" text="" dxfId="8">
      <formula>0</formula>
    </cfRule>
  </conditionalFormatting>
  <conditionalFormatting sqref="G987">
    <cfRule type="cellIs" priority="2943" operator="greaterThan" aboveAverage="0" equalAverage="0" bottom="0" percent="0" rank="0" text="" dxfId="8">
      <formula>0</formula>
    </cfRule>
  </conditionalFormatting>
  <conditionalFormatting sqref="H987">
    <cfRule type="cellIs" priority="2944" operator="greaterThan" aboveAverage="0" equalAverage="0" bottom="0" percent="0" rank="0" text="" dxfId="8">
      <formula>0</formula>
    </cfRule>
  </conditionalFormatting>
  <conditionalFormatting sqref="C988">
    <cfRule type="cellIs" priority="2945" operator="greaterThan" aboveAverage="0" equalAverage="0" bottom="0" percent="0" rank="0" text="" dxfId="8">
      <formula>0</formula>
    </cfRule>
  </conditionalFormatting>
  <conditionalFormatting sqref="G988">
    <cfRule type="cellIs" priority="2946" operator="greaterThan" aboveAverage="0" equalAverage="0" bottom="0" percent="0" rank="0" text="" dxfId="8">
      <formula>0</formula>
    </cfRule>
  </conditionalFormatting>
  <conditionalFormatting sqref="H988">
    <cfRule type="cellIs" priority="2947" operator="greaterThan" aboveAverage="0" equalAverage="0" bottom="0" percent="0" rank="0" text="" dxfId="8">
      <formula>0</formula>
    </cfRule>
  </conditionalFormatting>
  <conditionalFormatting sqref="C989">
    <cfRule type="cellIs" priority="2948" operator="greaterThan" aboveAverage="0" equalAverage="0" bottom="0" percent="0" rank="0" text="" dxfId="8">
      <formula>0</formula>
    </cfRule>
  </conditionalFormatting>
  <conditionalFormatting sqref="G989">
    <cfRule type="cellIs" priority="2949" operator="greaterThan" aboveAverage="0" equalAverage="0" bottom="0" percent="0" rank="0" text="" dxfId="8">
      <formula>0</formula>
    </cfRule>
  </conditionalFormatting>
  <conditionalFormatting sqref="H989">
    <cfRule type="cellIs" priority="2950" operator="greaterThan" aboveAverage="0" equalAverage="0" bottom="0" percent="0" rank="0" text="" dxfId="8">
      <formula>0</formula>
    </cfRule>
  </conditionalFormatting>
  <conditionalFormatting sqref="C990">
    <cfRule type="cellIs" priority="2951" operator="greaterThan" aboveAverage="0" equalAverage="0" bottom="0" percent="0" rank="0" text="" dxfId="8">
      <formula>0</formula>
    </cfRule>
  </conditionalFormatting>
  <conditionalFormatting sqref="G990">
    <cfRule type="cellIs" priority="2952" operator="greaterThan" aboveAverage="0" equalAverage="0" bottom="0" percent="0" rank="0" text="" dxfId="8">
      <formula>0</formula>
    </cfRule>
  </conditionalFormatting>
  <conditionalFormatting sqref="H990">
    <cfRule type="cellIs" priority="2953" operator="greaterThan" aboveAverage="0" equalAverage="0" bottom="0" percent="0" rank="0" text="" dxfId="8">
      <formula>0</formula>
    </cfRule>
  </conditionalFormatting>
  <conditionalFormatting sqref="C991">
    <cfRule type="cellIs" priority="2954" operator="greaterThan" aboveAverage="0" equalAverage="0" bottom="0" percent="0" rank="0" text="" dxfId="8">
      <formula>0</formula>
    </cfRule>
  </conditionalFormatting>
  <conditionalFormatting sqref="G991">
    <cfRule type="cellIs" priority="2955" operator="greaterThan" aboveAverage="0" equalAverage="0" bottom="0" percent="0" rank="0" text="" dxfId="8">
      <formula>0</formula>
    </cfRule>
  </conditionalFormatting>
  <conditionalFormatting sqref="H991">
    <cfRule type="cellIs" priority="2956" operator="greaterThan" aboveAverage="0" equalAverage="0" bottom="0" percent="0" rank="0" text="" dxfId="8">
      <formula>0</formula>
    </cfRule>
  </conditionalFormatting>
  <conditionalFormatting sqref="C992">
    <cfRule type="cellIs" priority="2957" operator="greaterThan" aboveAverage="0" equalAverage="0" bottom="0" percent="0" rank="0" text="" dxfId="8">
      <formula>0</formula>
    </cfRule>
  </conditionalFormatting>
  <conditionalFormatting sqref="G992">
    <cfRule type="cellIs" priority="2958" operator="greaterThan" aboveAverage="0" equalAverage="0" bottom="0" percent="0" rank="0" text="" dxfId="8">
      <formula>0</formula>
    </cfRule>
  </conditionalFormatting>
  <conditionalFormatting sqref="H992">
    <cfRule type="cellIs" priority="2959" operator="greaterThan" aboveAverage="0" equalAverage="0" bottom="0" percent="0" rank="0" text="" dxfId="8">
      <formula>0</formula>
    </cfRule>
  </conditionalFormatting>
  <conditionalFormatting sqref="C993">
    <cfRule type="cellIs" priority="2960" operator="greaterThan" aboveAverage="0" equalAverage="0" bottom="0" percent="0" rank="0" text="" dxfId="8">
      <formula>0</formula>
    </cfRule>
  </conditionalFormatting>
  <conditionalFormatting sqref="G993">
    <cfRule type="cellIs" priority="2961" operator="greaterThan" aboveAverage="0" equalAverage="0" bottom="0" percent="0" rank="0" text="" dxfId="8">
      <formula>0</formula>
    </cfRule>
  </conditionalFormatting>
  <conditionalFormatting sqref="H993">
    <cfRule type="cellIs" priority="2962" operator="greaterThan" aboveAverage="0" equalAverage="0" bottom="0" percent="0" rank="0" text="" dxfId="8">
      <formula>0</formula>
    </cfRule>
  </conditionalFormatting>
  <conditionalFormatting sqref="C994">
    <cfRule type="cellIs" priority="2963" operator="greaterThan" aboveAverage="0" equalAverage="0" bottom="0" percent="0" rank="0" text="" dxfId="8">
      <formula>0</formula>
    </cfRule>
  </conditionalFormatting>
  <conditionalFormatting sqref="G994">
    <cfRule type="cellIs" priority="2964" operator="greaterThan" aboveAverage="0" equalAverage="0" bottom="0" percent="0" rank="0" text="" dxfId="8">
      <formula>0</formula>
    </cfRule>
  </conditionalFormatting>
  <conditionalFormatting sqref="H994">
    <cfRule type="cellIs" priority="2965" operator="greaterThan" aboveAverage="0" equalAverage="0" bottom="0" percent="0" rank="0" text="" dxfId="8">
      <formula>0</formula>
    </cfRule>
  </conditionalFormatting>
  <conditionalFormatting sqref="C995">
    <cfRule type="cellIs" priority="2966" operator="greaterThan" aboveAverage="0" equalAverage="0" bottom="0" percent="0" rank="0" text="" dxfId="8">
      <formula>0</formula>
    </cfRule>
  </conditionalFormatting>
  <conditionalFormatting sqref="G995">
    <cfRule type="cellIs" priority="2967" operator="greaterThan" aboveAverage="0" equalAverage="0" bottom="0" percent="0" rank="0" text="" dxfId="8">
      <formula>0</formula>
    </cfRule>
  </conditionalFormatting>
  <conditionalFormatting sqref="H995">
    <cfRule type="cellIs" priority="2968" operator="greaterThan" aboveAverage="0" equalAverage="0" bottom="0" percent="0" rank="0" text="" dxfId="8">
      <formula>0</formula>
    </cfRule>
  </conditionalFormatting>
  <conditionalFormatting sqref="C996">
    <cfRule type="cellIs" priority="2969" operator="greaterThan" aboveAverage="0" equalAverage="0" bottom="0" percent="0" rank="0" text="" dxfId="8">
      <formula>0</formula>
    </cfRule>
  </conditionalFormatting>
  <conditionalFormatting sqref="G996">
    <cfRule type="cellIs" priority="2970" operator="greaterThan" aboveAverage="0" equalAverage="0" bottom="0" percent="0" rank="0" text="" dxfId="8">
      <formula>0</formula>
    </cfRule>
  </conditionalFormatting>
  <conditionalFormatting sqref="H996">
    <cfRule type="cellIs" priority="2971" operator="greaterThan" aboveAverage="0" equalAverage="0" bottom="0" percent="0" rank="0" text="" dxfId="8">
      <formula>0</formula>
    </cfRule>
  </conditionalFormatting>
  <conditionalFormatting sqref="C997">
    <cfRule type="cellIs" priority="2972" operator="greaterThan" aboveAverage="0" equalAverage="0" bottom="0" percent="0" rank="0" text="" dxfId="8">
      <formula>0</formula>
    </cfRule>
  </conditionalFormatting>
  <conditionalFormatting sqref="G997">
    <cfRule type="cellIs" priority="2973" operator="greaterThan" aboveAverage="0" equalAverage="0" bottom="0" percent="0" rank="0" text="" dxfId="8">
      <formula>0</formula>
    </cfRule>
  </conditionalFormatting>
  <conditionalFormatting sqref="H997">
    <cfRule type="cellIs" priority="2974" operator="greaterThan" aboveAverage="0" equalAverage="0" bottom="0" percent="0" rank="0" text="" dxfId="8">
      <formula>0</formula>
    </cfRule>
  </conditionalFormatting>
  <conditionalFormatting sqref="C998">
    <cfRule type="cellIs" priority="2975" operator="greaterThan" aboveAverage="0" equalAverage="0" bottom="0" percent="0" rank="0" text="" dxfId="8">
      <formula>0</formula>
    </cfRule>
  </conditionalFormatting>
  <conditionalFormatting sqref="G998">
    <cfRule type="cellIs" priority="2976" operator="greaterThan" aboveAverage="0" equalAverage="0" bottom="0" percent="0" rank="0" text="" dxfId="8">
      <formula>0</formula>
    </cfRule>
  </conditionalFormatting>
  <conditionalFormatting sqref="H998">
    <cfRule type="cellIs" priority="2977" operator="greaterThan" aboveAverage="0" equalAverage="0" bottom="0" percent="0" rank="0" text="" dxfId="8">
      <formula>0</formula>
    </cfRule>
  </conditionalFormatting>
  <conditionalFormatting sqref="C999">
    <cfRule type="cellIs" priority="2978" operator="greaterThan" aboveAverage="0" equalAverage="0" bottom="0" percent="0" rank="0" text="" dxfId="8">
      <formula>0</formula>
    </cfRule>
  </conditionalFormatting>
  <conditionalFormatting sqref="G999">
    <cfRule type="cellIs" priority="2979" operator="greaterThan" aboveAverage="0" equalAverage="0" bottom="0" percent="0" rank="0" text="" dxfId="8">
      <formula>0</formula>
    </cfRule>
  </conditionalFormatting>
  <conditionalFormatting sqref="H999">
    <cfRule type="cellIs" priority="2980" operator="greaterThan" aboveAverage="0" equalAverage="0" bottom="0" percent="0" rank="0" text="" dxfId="8">
      <formula>0</formula>
    </cfRule>
  </conditionalFormatting>
  <conditionalFormatting sqref="C1000">
    <cfRule type="cellIs" priority="2981" operator="greaterThan" aboveAverage="0" equalAverage="0" bottom="0" percent="0" rank="0" text="" dxfId="8">
      <formula>0</formula>
    </cfRule>
  </conditionalFormatting>
  <conditionalFormatting sqref="G1000">
    <cfRule type="cellIs" priority="2982" operator="greaterThan" aboveAverage="0" equalAverage="0" bottom="0" percent="0" rank="0" text="" dxfId="8">
      <formula>0</formula>
    </cfRule>
  </conditionalFormatting>
  <conditionalFormatting sqref="H1000">
    <cfRule type="cellIs" priority="2983" operator="greaterThan" aboveAverage="0" equalAverage="0" bottom="0" percent="0" rank="0" text="" dxfId="8">
      <formula>0</formula>
    </cfRule>
  </conditionalFormatting>
  <conditionalFormatting sqref="C1001">
    <cfRule type="cellIs" priority="2984" operator="greaterThan" aboveAverage="0" equalAverage="0" bottom="0" percent="0" rank="0" text="" dxfId="8">
      <formula>0</formula>
    </cfRule>
  </conditionalFormatting>
  <conditionalFormatting sqref="G1001">
    <cfRule type="cellIs" priority="2985" operator="greaterThan" aboveAverage="0" equalAverage="0" bottom="0" percent="0" rank="0" text="" dxfId="8">
      <formula>0</formula>
    </cfRule>
  </conditionalFormatting>
  <conditionalFormatting sqref="H1001">
    <cfRule type="cellIs" priority="2986" operator="greaterThan" aboveAverage="0" equalAverage="0" bottom="0" percent="0" rank="0" text="" dxfId="8">
      <formula>0</formula>
    </cfRule>
  </conditionalFormatting>
  <conditionalFormatting sqref="C1002">
    <cfRule type="cellIs" priority="2987" operator="greaterThan" aboveAverage="0" equalAverage="0" bottom="0" percent="0" rank="0" text="" dxfId="8">
      <formula>0</formula>
    </cfRule>
  </conditionalFormatting>
  <conditionalFormatting sqref="G1002">
    <cfRule type="cellIs" priority="2988" operator="greaterThan" aboveAverage="0" equalAverage="0" bottom="0" percent="0" rank="0" text="" dxfId="8">
      <formula>0</formula>
    </cfRule>
  </conditionalFormatting>
  <conditionalFormatting sqref="H1002">
    <cfRule type="cellIs" priority="2989" operator="greaterThan" aboveAverage="0" equalAverage="0" bottom="0" percent="0" rank="0" text="" dxfId="8">
      <formula>0</formula>
    </cfRule>
  </conditionalFormatting>
  <conditionalFormatting sqref="C1003">
    <cfRule type="cellIs" priority="2990" operator="greaterThan" aboveAverage="0" equalAverage="0" bottom="0" percent="0" rank="0" text="" dxfId="8">
      <formula>0</formula>
    </cfRule>
  </conditionalFormatting>
  <conditionalFormatting sqref="G1003">
    <cfRule type="cellIs" priority="2991" operator="greaterThan" aboveAverage="0" equalAverage="0" bottom="0" percent="0" rank="0" text="" dxfId="8">
      <formula>0</formula>
    </cfRule>
  </conditionalFormatting>
  <conditionalFormatting sqref="H1003">
    <cfRule type="cellIs" priority="2992" operator="greaterThan" aboveAverage="0" equalAverage="0" bottom="0" percent="0" rank="0" text="" dxfId="8">
      <formula>0</formula>
    </cfRule>
  </conditionalFormatting>
  <conditionalFormatting sqref="C1004">
    <cfRule type="cellIs" priority="2993" operator="greaterThan" aboveAverage="0" equalAverage="0" bottom="0" percent="0" rank="0" text="" dxfId="8">
      <formula>0</formula>
    </cfRule>
  </conditionalFormatting>
  <conditionalFormatting sqref="G1004">
    <cfRule type="cellIs" priority="2994" operator="greaterThan" aboveAverage="0" equalAverage="0" bottom="0" percent="0" rank="0" text="" dxfId="8">
      <formula>0</formula>
    </cfRule>
  </conditionalFormatting>
  <conditionalFormatting sqref="H1004">
    <cfRule type="cellIs" priority="2995" operator="greaterThan" aboveAverage="0" equalAverage="0" bottom="0" percent="0" rank="0" text="" dxfId="8">
      <formula>0</formula>
    </cfRule>
  </conditionalFormatting>
  <conditionalFormatting sqref="C1005">
    <cfRule type="cellIs" priority="2996" operator="greaterThan" aboveAverage="0" equalAverage="0" bottom="0" percent="0" rank="0" text="" dxfId="8">
      <formula>0</formula>
    </cfRule>
  </conditionalFormatting>
  <conditionalFormatting sqref="G1005">
    <cfRule type="cellIs" priority="2997" operator="greaterThan" aboveAverage="0" equalAverage="0" bottom="0" percent="0" rank="0" text="" dxfId="8">
      <formula>0</formula>
    </cfRule>
  </conditionalFormatting>
  <conditionalFormatting sqref="H1005">
    <cfRule type="cellIs" priority="2998" operator="greaterThan" aboveAverage="0" equalAverage="0" bottom="0" percent="0" rank="0" text="" dxfId="8">
      <formula>0</formula>
    </cfRule>
  </conditionalFormatting>
  <conditionalFormatting sqref="C1006">
    <cfRule type="cellIs" priority="2999" operator="greaterThan" aboveAverage="0" equalAverage="0" bottom="0" percent="0" rank="0" text="" dxfId="8">
      <formula>0</formula>
    </cfRule>
  </conditionalFormatting>
  <conditionalFormatting sqref="G1006">
    <cfRule type="cellIs" priority="3000" operator="greaterThan" aboveAverage="0" equalAverage="0" bottom="0" percent="0" rank="0" text="" dxfId="8">
      <formula>0</formula>
    </cfRule>
  </conditionalFormatting>
  <conditionalFormatting sqref="H1006">
    <cfRule type="cellIs" priority="3001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5" min="3" style="0" width="15"/>
  </cols>
  <sheetData>
    <row r="1" customFormat="false" ht="25.5" hidden="false" customHeight="true" outlineLevel="0" collapsed="false">
      <c r="A1" s="12" t="s">
        <v>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71</v>
      </c>
    </row>
    <row r="4" customFormat="false" ht="15" hidden="false" customHeight="false" outlineLevel="0" collapsed="false">
      <c r="A4" s="7" t="s">
        <v>72</v>
      </c>
      <c r="B4" s="7"/>
      <c r="C4" s="7"/>
      <c r="D4" s="7"/>
      <c r="E4" s="7"/>
    </row>
    <row r="6" customFormat="false" ht="30" hidden="false" customHeight="true" outlineLevel="0" collapsed="false">
      <c r="A6" s="18" t="s">
        <v>32</v>
      </c>
      <c r="B6" s="18" t="s">
        <v>73</v>
      </c>
      <c r="C6" s="18" t="s">
        <v>74</v>
      </c>
      <c r="D6" s="18" t="s">
        <v>75</v>
      </c>
      <c r="E6" s="18" t="s">
        <v>76</v>
      </c>
    </row>
    <row r="7" customFormat="false" ht="15" hidden="false" customHeight="false" outlineLevel="0" collapsed="false">
      <c r="A7" s="19" t="s">
        <v>41</v>
      </c>
      <c r="B7" s="19" t="s">
        <v>77</v>
      </c>
      <c r="C7" s="22" t="n">
        <f aca="false">IF(OR($A7="",$B7=""),"",INDEX(tblCalisan[Brüt Ücret (₺)],MATCH($A7,tblCalisan[Çalışan Adı],0))*IF($B7="5 Puan İndirimi",BesPuanOrani,IF($B7="İlave İstihdam",IlaveIstihdamOrani,IF($B7="Kadın/Genç",KadinGencOrani,IF($B7="Engelli",EngelliOrani,GencGirisimciOrani)))))</f>
        <v>1750</v>
      </c>
      <c r="D7" s="22" t="n">
        <f aca="false">IF($C7="","",$C7*AySayisi)</f>
        <v>21000</v>
      </c>
      <c r="E7" s="19" t="s">
        <v>44</v>
      </c>
    </row>
    <row r="8" customFormat="false" ht="15" hidden="false" customHeight="false" outlineLevel="0" collapsed="false">
      <c r="A8" s="19" t="s">
        <v>45</v>
      </c>
      <c r="B8" s="19" t="s">
        <v>78</v>
      </c>
      <c r="C8" s="22" t="n">
        <f aca="false">IF(OR($A8="",$B8=""),"",INDEX(tblCalisan[Brüt Ücret (₺)],MATCH($A8,tblCalisan[Çalışan Adı],0))*IF($B8="5 Puan İndirimi",BesPuanOrani,IF($B8="İlave İstihdam",IlaveIstihdamOrani,IF($B8="Kadın/Genç",KadinGencOrani,IF($B8="Engelli",EngelliOrani,GencGirisimciOrani)))))</f>
        <v>6090</v>
      </c>
      <c r="D8" s="22" t="n">
        <f aca="false">IF($C8="","",$C8*AySayisi)</f>
        <v>73080</v>
      </c>
      <c r="E8" s="19" t="s">
        <v>44</v>
      </c>
    </row>
    <row r="9" customFormat="false" ht="15" hidden="false" customHeight="false" outlineLevel="0" collapsed="false">
      <c r="A9" s="19" t="s">
        <v>47</v>
      </c>
      <c r="B9" s="19" t="s">
        <v>79</v>
      </c>
      <c r="C9" s="22" t="n">
        <f aca="false">IF(OR($A9="",$B9=""),"",INDEX(tblCalisan[Brüt Ücret (₺)],MATCH($A9,tblCalisan[Çalışan Adı],0))*IF($B9="5 Puan İndirimi",BesPuanOrani,IF($B9="İlave İstihdam",IlaveIstihdamOrani,IF($B9="Kadın/Genç",KadinGencOrani,IF($B9="Engelli",EngelliOrani,GencGirisimciOrani)))))</f>
        <v>1680</v>
      </c>
      <c r="D9" s="22" t="n">
        <f aca="false">IF($C9="","",$C9*AySayisi)</f>
        <v>20160</v>
      </c>
      <c r="E9" s="19" t="s">
        <v>43</v>
      </c>
    </row>
    <row r="10" customFormat="false" ht="15" hidden="false" customHeight="false" outlineLevel="0" collapsed="false">
      <c r="A10" s="19" t="s">
        <v>48</v>
      </c>
      <c r="B10" s="19" t="s">
        <v>80</v>
      </c>
      <c r="C10" s="22" t="n">
        <f aca="false">IF(OR($A10="",$B10=""),"",INDEX(tblCalisan[Brüt Ücret (₺)],MATCH($A10,tblCalisan[Çalışan Adı],0))*IF($B10="5 Puan İndirimi",BesPuanOrani,IF($B10="İlave İstihdam",IlaveIstihdamOrani,IF($B10="Kadın/Genç",KadinGencOrani,IF($B10="Engelli",EngelliOrani,GencGirisimciOrani)))))</f>
        <v>8550</v>
      </c>
      <c r="D10" s="22" t="n">
        <f aca="false">IF($C10="","",$C10*AySayisi)</f>
        <v>102600</v>
      </c>
      <c r="E10" s="19" t="s">
        <v>43</v>
      </c>
    </row>
    <row r="11" customFormat="false" ht="15" hidden="false" customHeight="false" outlineLevel="0" collapsed="false">
      <c r="A11" s="19" t="s">
        <v>49</v>
      </c>
      <c r="B11" s="19" t="s">
        <v>81</v>
      </c>
      <c r="C11" s="22" t="n">
        <f aca="false">IF(OR($A11="",$B11=""),"",INDEX(tblCalisan[Brüt Ücret (₺)],MATCH($A11,tblCalisan[Çalışan Adı],0))*IF($B11="5 Puan İndirimi",BesPuanOrani,IF($B11="İlave İstihdam",IlaveIstihdamOrani,IF($B11="Kadın/Genç",KadinGencOrani,IF($B11="Engelli",EngelliOrani,GencGirisimciOrani)))))</f>
        <v>6200</v>
      </c>
      <c r="D11" s="22" t="n">
        <f aca="false">IF($C11="","",$C11*AySayisi)</f>
        <v>74400</v>
      </c>
      <c r="E11" s="19" t="s">
        <v>44</v>
      </c>
    </row>
    <row r="12" customFormat="false" ht="15" hidden="false" customHeight="false" outlineLevel="0" collapsed="false">
      <c r="A12" s="19" t="s">
        <v>50</v>
      </c>
      <c r="B12" s="19" t="s">
        <v>79</v>
      </c>
      <c r="C12" s="22" t="n">
        <f aca="false">IF(OR($A12="",$B12=""),"",INDEX(tblCalisan[Brüt Ücret (₺)],MATCH($A12,tblCalisan[Çalışan Adı],0))*IF($B12="5 Puan İndirimi",BesPuanOrani,IF($B12="İlave İstihdam",IlaveIstihdamOrani,IF($B12="Kadın/Genç",KadinGencOrani,IF($B12="Engelli",EngelliOrani,GencGirisimciOrani)))))</f>
        <v>2700</v>
      </c>
      <c r="D12" s="22" t="n">
        <f aca="false">IF($C12="","",$C12*AySayisi)</f>
        <v>32400</v>
      </c>
      <c r="E12" s="19" t="s">
        <v>44</v>
      </c>
    </row>
    <row r="13" customFormat="false" ht="15" hidden="false" customHeight="false" outlineLevel="0" collapsed="false">
      <c r="A13" s="19" t="s">
        <v>51</v>
      </c>
      <c r="B13" s="19" t="s">
        <v>77</v>
      </c>
      <c r="C13" s="22" t="n">
        <f aca="false">IF(OR($A13="",$B13=""),"",INDEX(tblCalisan[Brüt Ücret (₺)],MATCH($A13,tblCalisan[Çalışan Adı],0))*IF($B13="5 Puan İndirimi",BesPuanOrani,IF($B13="İlave İstihdam",IlaveIstihdamOrani,IF($B13="Kadın/Genç",KadinGencOrani,IF($B13="Engelli",EngelliOrani,GencGirisimciOrani)))))</f>
        <v>1350</v>
      </c>
      <c r="D13" s="22" t="n">
        <f aca="false">IF($C13="","",$C13*AySayisi)</f>
        <v>16200</v>
      </c>
      <c r="E13" s="19" t="s">
        <v>44</v>
      </c>
    </row>
    <row r="14" customFormat="false" ht="15" hidden="false" customHeight="false" outlineLevel="0" collapsed="false">
      <c r="A14" s="19" t="s">
        <v>52</v>
      </c>
      <c r="B14" s="19" t="s">
        <v>78</v>
      </c>
      <c r="C14" s="22" t="n">
        <f aca="false">IF(OR($A14="",$B14=""),"",INDEX(tblCalisan[Brüt Ücret (₺)],MATCH($A14,tblCalisan[Çalışan Adı],0))*IF($B14="5 Puan İndirimi",BesPuanOrani,IF($B14="İlave İstihdam",IlaveIstihdamOrani,IF($B14="Kadın/Genç",KadinGencOrani,IF($B14="Engelli",EngelliOrani,GencGirisimciOrani)))))</f>
        <v>4785</v>
      </c>
      <c r="D14" s="22" t="n">
        <f aca="false">IF($C14="","",$C14*AySayisi)</f>
        <v>57420</v>
      </c>
      <c r="E14" s="19" t="s">
        <v>43</v>
      </c>
    </row>
    <row r="15" customFormat="false" ht="15" hidden="false" customHeight="false" outlineLevel="0" collapsed="false">
      <c r="A15" s="19" t="s">
        <v>53</v>
      </c>
      <c r="B15" s="19" t="s">
        <v>77</v>
      </c>
      <c r="C15" s="22" t="n">
        <f aca="false">IF(OR($A15="",$B15=""),"",INDEX(tblCalisan[Brüt Ücret (₺)],MATCH($A15,tblCalisan[Çalışan Adı],0))*IF($B15="5 Puan İndirimi",BesPuanOrani,IF($B15="İlave İstihdam",IlaveIstihdamOrani,IF($B15="Kadın/Genç",KadinGencOrani,IF($B15="Engelli",EngelliOrani,GencGirisimciOrani)))))</f>
        <v>1300</v>
      </c>
      <c r="D15" s="22" t="n">
        <f aca="false">IF($C15="","",$C15*AySayisi)</f>
        <v>15600</v>
      </c>
      <c r="E15" s="19" t="s">
        <v>43</v>
      </c>
    </row>
    <row r="16" customFormat="false" ht="15" hidden="false" customHeight="false" outlineLevel="0" collapsed="false">
      <c r="A16" s="19" t="s">
        <v>54</v>
      </c>
      <c r="B16" s="19" t="s">
        <v>80</v>
      </c>
      <c r="C16" s="22" t="n">
        <f aca="false">IF(OR($A16="",$B16=""),"",INDEX(tblCalisan[Brüt Ücret (₺)],MATCH($A16,tblCalisan[Çalışan Adı],0))*IF($B16="5 Puan İndirimi",BesPuanOrani,IF($B16="İlave İstihdam",IlaveIstihdamOrani,IF($B16="Kadın/Genç",KadinGencOrani,IF($B16="Engelli",EngelliOrani,GencGirisimciOrani)))))</f>
        <v>9000</v>
      </c>
      <c r="D16" s="22" t="n">
        <f aca="false">IF($C16="","",$C16*AySayisi)</f>
        <v>108000</v>
      </c>
      <c r="E16" s="19" t="s">
        <v>44</v>
      </c>
    </row>
    <row r="17" customFormat="false" ht="15" hidden="false" customHeight="false" outlineLevel="0" collapsed="false">
      <c r="A17" s="19" t="s">
        <v>55</v>
      </c>
      <c r="B17" s="19" t="s">
        <v>82</v>
      </c>
      <c r="C17" s="22" t="n">
        <f aca="false">IF(OR($A17="",$B17=""),"",INDEX(tblCalisan[Brüt Ücret (₺)],MATCH($A17,tblCalisan[Çalışan Adı],0))*IF($B17="5 Puan İndirimi",BesPuanOrani,IF($B17="İlave İstihdam",IlaveIstihdamOrani,IF($B17="Kadın/Genç",KadinGencOrani,IF($B17="Engelli",EngelliOrani,GencGirisimciOrani)))))</f>
        <v>8100</v>
      </c>
      <c r="D17" s="22" t="n">
        <f aca="false">IF($C17="","",$C17*AySayisi)</f>
        <v>97200</v>
      </c>
      <c r="E17" s="19" t="s">
        <v>43</v>
      </c>
    </row>
    <row r="18" customFormat="false" ht="15" hidden="false" customHeight="false" outlineLevel="0" collapsed="false">
      <c r="A18" s="19" t="s">
        <v>56</v>
      </c>
      <c r="B18" s="19" t="s">
        <v>79</v>
      </c>
      <c r="C18" s="22" t="n">
        <f aca="false">IF(OR($A18="",$B18=""),"",INDEX(tblCalisan[Brüt Ücret (₺)],MATCH($A18,tblCalisan[Çalışan Adı],0))*IF($B18="5 Puan İndirimi",BesPuanOrani,IF($B18="İlave İstihdam",IlaveIstihdamOrani,IF($B18="Kadın/Genç",KadinGencOrani,IF($B18="Engelli",EngelliOrani,GencGirisimciOrani)))))</f>
        <v>1740</v>
      </c>
      <c r="D18" s="22" t="n">
        <f aca="false">IF($C18="","",$C18*AySayisi)</f>
        <v>20880</v>
      </c>
      <c r="E18" s="19" t="s">
        <v>44</v>
      </c>
    </row>
    <row r="19" customFormat="false" ht="15" hidden="false" customHeight="false" outlineLevel="0" collapsed="false">
      <c r="A19" s="19" t="s">
        <v>57</v>
      </c>
      <c r="B19" s="19" t="s">
        <v>78</v>
      </c>
      <c r="C19" s="22" t="n">
        <f aca="false">IF(OR($A19="",$B19=""),"",INDEX(tblCalisan[Brüt Ücret (₺)],MATCH($A19,tblCalisan[Çalışan Adı],0))*IF($B19="5 Puan İndirimi",BesPuanOrani,IF($B19="İlave İstihdam",IlaveIstihdamOrani,IF($B19="Kadın/Genç",KadinGencOrani,IF($B19="Engelli",EngelliOrani,GencGirisimciOrani)))))</f>
        <v>3480</v>
      </c>
      <c r="D19" s="22" t="n">
        <f aca="false">IF($C19="","",$C19*AySayisi)</f>
        <v>41760</v>
      </c>
      <c r="E19" s="19" t="s">
        <v>43</v>
      </c>
    </row>
    <row r="20" customFormat="false" ht="15" hidden="false" customHeight="false" outlineLevel="0" collapsed="false">
      <c r="A20" s="19" t="s">
        <v>58</v>
      </c>
      <c r="B20" s="19" t="s">
        <v>80</v>
      </c>
      <c r="C20" s="22" t="n">
        <f aca="false">IF(OR($A20="",$B20=""),"",INDEX(tblCalisan[Brüt Ücret (₺)],MATCH($A20,tblCalisan[Çalışan Adı],0))*IF($B20="5 Puan İndirimi",BesPuanOrani,IF($B20="İlave İstihdam",IlaveIstihdamOrani,IF($B20="Kadın/Genç",KadinGencOrani,IF($B20="Engelli",EngelliOrani,GencGirisimciOrani)))))</f>
        <v>10575</v>
      </c>
      <c r="D20" s="22" t="n">
        <f aca="false">IF($C20="","",$C20*AySayisi)</f>
        <v>126900</v>
      </c>
      <c r="E20" s="19" t="s">
        <v>43</v>
      </c>
    </row>
    <row r="21" customFormat="false" ht="15" hidden="false" customHeight="false" outlineLevel="0" collapsed="false">
      <c r="A21" s="19"/>
      <c r="B21" s="23"/>
      <c r="C21" s="22" t="str">
        <f aca="false">IF(OR($A21="",$B21=""),"",INDEX(tblCalisan[Brüt Ücret (₺)],MATCH($A21,tblCalisan[Çalışan Adı],0))*IF($B21="5 Puan İndirimi",BesPuanOrani,IF($B21="İlave İstihdam",IlaveIstihdamOrani,IF($B21="Kadın/Genç",KadinGencOrani,IF($B21="Engelli",EngelliOrani,GencGirisimciOrani)))))</f>
        <v/>
      </c>
      <c r="D21" s="22" t="str">
        <f aca="false">IF($C21="","",$C21*AySayisi)</f>
        <v/>
      </c>
      <c r="E21" s="23"/>
    </row>
    <row r="22" customFormat="false" ht="15" hidden="false" customHeight="false" outlineLevel="0" collapsed="false">
      <c r="A22" s="19"/>
      <c r="B22" s="23"/>
      <c r="C22" s="22" t="str">
        <f aca="false">IF(OR($A22="",$B22=""),"",INDEX(tblCalisan[Brüt Ücret (₺)],MATCH($A22,tblCalisan[Çalışan Adı],0))*IF($B22="5 Puan İndirimi",BesPuanOrani,IF($B22="İlave İstihdam",IlaveIstihdamOrani,IF($B22="Kadın/Genç",KadinGencOrani,IF($B22="Engelli",EngelliOrani,GencGirisimciOrani)))))</f>
        <v/>
      </c>
      <c r="D22" s="22" t="str">
        <f aca="false">IF($C22="","",$C22*AySayisi)</f>
        <v/>
      </c>
      <c r="E22" s="23"/>
    </row>
    <row r="23" customFormat="false" ht="15" hidden="false" customHeight="false" outlineLevel="0" collapsed="false">
      <c r="A23" s="19"/>
      <c r="B23" s="23"/>
      <c r="C23" s="22" t="str">
        <f aca="false">IF(OR($A23="",$B23=""),"",INDEX(tblCalisan[Brüt Ücret (₺)],MATCH($A23,tblCalisan[Çalışan Adı],0))*IF($B23="5 Puan İndirimi",BesPuanOrani,IF($B23="İlave İstihdam",IlaveIstihdamOrani,IF($B23="Kadın/Genç",KadinGencOrani,IF($B23="Engelli",EngelliOrani,GencGirisimciOrani)))))</f>
        <v/>
      </c>
      <c r="D23" s="22" t="str">
        <f aca="false">IF($C23="","",$C23*AySayisi)</f>
        <v/>
      </c>
      <c r="E23" s="23"/>
    </row>
    <row r="24" customFormat="false" ht="15" hidden="false" customHeight="false" outlineLevel="0" collapsed="false">
      <c r="A24" s="19"/>
      <c r="B24" s="23"/>
      <c r="C24" s="22" t="str">
        <f aca="false">IF(OR($A24="",$B24=""),"",INDEX(tblCalisan[Brüt Ücret (₺)],MATCH($A24,tblCalisan[Çalışan Adı],0))*IF($B24="5 Puan İndirimi",BesPuanOrani,IF($B24="İlave İstihdam",IlaveIstihdamOrani,IF($B24="Kadın/Genç",KadinGencOrani,IF($B24="Engelli",EngelliOrani,GencGirisimciOrani)))))</f>
        <v/>
      </c>
      <c r="D24" s="22" t="str">
        <f aca="false">IF($C24="","",$C24*AySayisi)</f>
        <v/>
      </c>
      <c r="E24" s="23"/>
    </row>
    <row r="25" customFormat="false" ht="15" hidden="false" customHeight="false" outlineLevel="0" collapsed="false">
      <c r="A25" s="19"/>
      <c r="B25" s="23"/>
      <c r="C25" s="22" t="str">
        <f aca="false">IF(OR($A25="",$B25=""),"",INDEX(tblCalisan[Brüt Ücret (₺)],MATCH($A25,tblCalisan[Çalışan Adı],0))*IF($B25="5 Puan İndirimi",BesPuanOrani,IF($B25="İlave İstihdam",IlaveIstihdamOrani,IF($B25="Kadın/Genç",KadinGencOrani,IF($B25="Engelli",EngelliOrani,GencGirisimciOrani)))))</f>
        <v/>
      </c>
      <c r="D25" s="22" t="str">
        <f aca="false">IF($C25="","",$C25*AySayisi)</f>
        <v/>
      </c>
      <c r="E25" s="23"/>
    </row>
    <row r="26" customFormat="false" ht="15" hidden="false" customHeight="false" outlineLevel="0" collapsed="false">
      <c r="A26" s="19"/>
      <c r="B26" s="23"/>
      <c r="C26" s="22" t="str">
        <f aca="false">IF(OR($A26="",$B26=""),"",INDEX(tblCalisan[Brüt Ücret (₺)],MATCH($A26,tblCalisan[Çalışan Adı],0))*IF($B26="5 Puan İndirimi",BesPuanOrani,IF($B26="İlave İstihdam",IlaveIstihdamOrani,IF($B26="Kadın/Genç",KadinGencOrani,IF($B26="Engelli",EngelliOrani,GencGirisimciOrani)))))</f>
        <v/>
      </c>
      <c r="D26" s="22" t="str">
        <f aca="false">IF($C26="","",$C26*AySayisi)</f>
        <v/>
      </c>
      <c r="E26" s="23"/>
    </row>
    <row r="27" customFormat="false" ht="15" hidden="false" customHeight="false" outlineLevel="0" collapsed="false">
      <c r="A27" s="19"/>
      <c r="B27" s="23"/>
      <c r="C27" s="22" t="str">
        <f aca="false">IF(OR($A27="",$B27=""),"",INDEX(tblCalisan[Brüt Ücret (₺)],MATCH($A27,tblCalisan[Çalışan Adı],0))*IF($B27="5 Puan İndirimi",BesPuanOrani,IF($B27="İlave İstihdam",IlaveIstihdamOrani,IF($B27="Kadın/Genç",KadinGencOrani,IF($B27="Engelli",EngelliOrani,GencGirisimciOrani)))))</f>
        <v/>
      </c>
      <c r="D27" s="22" t="str">
        <f aca="false">IF($C27="","",$C27*AySayisi)</f>
        <v/>
      </c>
      <c r="E27" s="23"/>
    </row>
    <row r="28" customFormat="false" ht="15" hidden="false" customHeight="false" outlineLevel="0" collapsed="false">
      <c r="A28" s="19"/>
      <c r="B28" s="23"/>
      <c r="C28" s="22" t="str">
        <f aca="false">IF(OR($A28="",$B28=""),"",INDEX(tblCalisan[Brüt Ücret (₺)],MATCH($A28,tblCalisan[Çalışan Adı],0))*IF($B28="5 Puan İndirimi",BesPuanOrani,IF($B28="İlave İstihdam",IlaveIstihdamOrani,IF($B28="Kadın/Genç",KadinGencOrani,IF($B28="Engelli",EngelliOrani,GencGirisimciOrani)))))</f>
        <v/>
      </c>
      <c r="D28" s="22" t="str">
        <f aca="false">IF($C28="","",$C28*AySayisi)</f>
        <v/>
      </c>
      <c r="E28" s="23"/>
    </row>
    <row r="29" customFormat="false" ht="15" hidden="false" customHeight="false" outlineLevel="0" collapsed="false">
      <c r="A29" s="19"/>
      <c r="B29" s="23"/>
      <c r="C29" s="22" t="str">
        <f aca="false">IF(OR($A29="",$B29=""),"",INDEX(tblCalisan[Brüt Ücret (₺)],MATCH($A29,tblCalisan[Çalışan Adı],0))*IF($B29="5 Puan İndirimi",BesPuanOrani,IF($B29="İlave İstihdam",IlaveIstihdamOrani,IF($B29="Kadın/Genç",KadinGencOrani,IF($B29="Engelli",EngelliOrani,GencGirisimciOrani)))))</f>
        <v/>
      </c>
      <c r="D29" s="22" t="str">
        <f aca="false">IF($C29="","",$C29*AySayisi)</f>
        <v/>
      </c>
      <c r="E29" s="23"/>
    </row>
    <row r="30" customFormat="false" ht="15" hidden="false" customHeight="false" outlineLevel="0" collapsed="false">
      <c r="A30" s="19"/>
      <c r="B30" s="23"/>
      <c r="C30" s="22" t="str">
        <f aca="false">IF(OR($A30="",$B30=""),"",INDEX(tblCalisan[Brüt Ücret (₺)],MATCH($A30,tblCalisan[Çalışan Adı],0))*IF($B30="5 Puan İndirimi",BesPuanOrani,IF($B30="İlave İstihdam",IlaveIstihdamOrani,IF($B30="Kadın/Genç",KadinGencOrani,IF($B30="Engelli",EngelliOrani,GencGirisimciOrani)))))</f>
        <v/>
      </c>
      <c r="D30" s="22" t="str">
        <f aca="false">IF($C30="","",$C30*AySayisi)</f>
        <v/>
      </c>
      <c r="E30" s="23"/>
    </row>
    <row r="31" customFormat="false" ht="15" hidden="false" customHeight="false" outlineLevel="0" collapsed="false">
      <c r="A31" s="19"/>
      <c r="B31" s="23"/>
      <c r="C31" s="22" t="str">
        <f aca="false">IF(OR($A31="",$B31=""),"",INDEX(tblCalisan[Brüt Ücret (₺)],MATCH($A31,tblCalisan[Çalışan Adı],0))*IF($B31="5 Puan İndirimi",BesPuanOrani,IF($B31="İlave İstihdam",IlaveIstihdamOrani,IF($B31="Kadın/Genç",KadinGencOrani,IF($B31="Engelli",EngelliOrani,GencGirisimciOrani)))))</f>
        <v/>
      </c>
      <c r="D31" s="22" t="str">
        <f aca="false">IF($C31="","",$C31*AySayisi)</f>
        <v/>
      </c>
      <c r="E31" s="23"/>
    </row>
    <row r="32" customFormat="false" ht="15" hidden="false" customHeight="false" outlineLevel="0" collapsed="false">
      <c r="A32" s="19"/>
      <c r="B32" s="23"/>
      <c r="C32" s="22" t="str">
        <f aca="false">IF(OR($A32="",$B32=""),"",INDEX(tblCalisan[Brüt Ücret (₺)],MATCH($A32,tblCalisan[Çalışan Adı],0))*IF($B32="5 Puan İndirimi",BesPuanOrani,IF($B32="İlave İstihdam",IlaveIstihdamOrani,IF($B32="Kadın/Genç",KadinGencOrani,IF($B32="Engelli",EngelliOrani,GencGirisimciOrani)))))</f>
        <v/>
      </c>
      <c r="D32" s="22" t="str">
        <f aca="false">IF($C32="","",$C32*AySayisi)</f>
        <v/>
      </c>
      <c r="E32" s="23"/>
    </row>
    <row r="33" customFormat="false" ht="15" hidden="false" customHeight="false" outlineLevel="0" collapsed="false">
      <c r="A33" s="19"/>
      <c r="B33" s="23"/>
      <c r="C33" s="22" t="str">
        <f aca="false">IF(OR($A33="",$B33=""),"",INDEX(tblCalisan[Brüt Ücret (₺)],MATCH($A33,tblCalisan[Çalışan Adı],0))*IF($B33="5 Puan İndirimi",BesPuanOrani,IF($B33="İlave İstihdam",IlaveIstihdamOrani,IF($B33="Kadın/Genç",KadinGencOrani,IF($B33="Engelli",EngelliOrani,GencGirisimciOrani)))))</f>
        <v/>
      </c>
      <c r="D33" s="22" t="str">
        <f aca="false">IF($C33="","",$C33*AySayisi)</f>
        <v/>
      </c>
      <c r="E33" s="23"/>
    </row>
    <row r="34" customFormat="false" ht="15" hidden="false" customHeight="false" outlineLevel="0" collapsed="false">
      <c r="A34" s="19"/>
      <c r="B34" s="23"/>
      <c r="C34" s="22" t="str">
        <f aca="false">IF(OR($A34="",$B34=""),"",INDEX(tblCalisan[Brüt Ücret (₺)],MATCH($A34,tblCalisan[Çalışan Adı],0))*IF($B34="5 Puan İndirimi",BesPuanOrani,IF($B34="İlave İstihdam",IlaveIstihdamOrani,IF($B34="Kadın/Genç",KadinGencOrani,IF($B34="Engelli",EngelliOrani,GencGirisimciOrani)))))</f>
        <v/>
      </c>
      <c r="D34" s="22" t="str">
        <f aca="false">IF($C34="","",$C34*AySayisi)</f>
        <v/>
      </c>
      <c r="E34" s="23"/>
    </row>
    <row r="35" customFormat="false" ht="15" hidden="false" customHeight="false" outlineLevel="0" collapsed="false">
      <c r="A35" s="19"/>
      <c r="B35" s="23"/>
      <c r="C35" s="22" t="str">
        <f aca="false">IF(OR($A35="",$B35=""),"",INDEX(tblCalisan[Brüt Ücret (₺)],MATCH($A35,tblCalisan[Çalışan Adı],0))*IF($B35="5 Puan İndirimi",BesPuanOrani,IF($B35="İlave İstihdam",IlaveIstihdamOrani,IF($B35="Kadın/Genç",KadinGencOrani,IF($B35="Engelli",EngelliOrani,GencGirisimciOrani)))))</f>
        <v/>
      </c>
      <c r="D35" s="22" t="str">
        <f aca="false">IF($C35="","",$C35*AySayisi)</f>
        <v/>
      </c>
      <c r="E35" s="23"/>
    </row>
    <row r="36" customFormat="false" ht="15" hidden="false" customHeight="false" outlineLevel="0" collapsed="false">
      <c r="A36" s="19"/>
      <c r="B36" s="23"/>
      <c r="C36" s="22" t="str">
        <f aca="false">IF(OR($A36="",$B36=""),"",INDEX(tblCalisan[Brüt Ücret (₺)],MATCH($A36,tblCalisan[Çalışan Adı],0))*IF($B36="5 Puan İndirimi",BesPuanOrani,IF($B36="İlave İstihdam",IlaveIstihdamOrani,IF($B36="Kadın/Genç",KadinGencOrani,IF($B36="Engelli",EngelliOrani,GencGirisimciOrani)))))</f>
        <v/>
      </c>
      <c r="D36" s="22" t="str">
        <f aca="false">IF($C36="","",$C36*AySayisi)</f>
        <v/>
      </c>
      <c r="E36" s="23"/>
    </row>
    <row r="37" customFormat="false" ht="15" hidden="false" customHeight="false" outlineLevel="0" collapsed="false">
      <c r="A37" s="19"/>
      <c r="B37" s="23"/>
      <c r="C37" s="22" t="str">
        <f aca="false">IF(OR($A37="",$B37=""),"",INDEX(tblCalisan[Brüt Ücret (₺)],MATCH($A37,tblCalisan[Çalışan Adı],0))*IF($B37="5 Puan İndirimi",BesPuanOrani,IF($B37="İlave İstihdam",IlaveIstihdamOrani,IF($B37="Kadın/Genç",KadinGencOrani,IF($B37="Engelli",EngelliOrani,GencGirisimciOrani)))))</f>
        <v/>
      </c>
      <c r="D37" s="22" t="str">
        <f aca="false">IF($C37="","",$C37*AySayisi)</f>
        <v/>
      </c>
      <c r="E37" s="23"/>
    </row>
    <row r="38" customFormat="false" ht="15" hidden="false" customHeight="false" outlineLevel="0" collapsed="false">
      <c r="A38" s="19"/>
      <c r="B38" s="23"/>
      <c r="C38" s="22" t="str">
        <f aca="false">IF(OR($A38="",$B38=""),"",INDEX(tblCalisan[Brüt Ücret (₺)],MATCH($A38,tblCalisan[Çalışan Adı],0))*IF($B38="5 Puan İndirimi",BesPuanOrani,IF($B38="İlave İstihdam",IlaveIstihdamOrani,IF($B38="Kadın/Genç",KadinGencOrani,IF($B38="Engelli",EngelliOrani,GencGirisimciOrani)))))</f>
        <v/>
      </c>
      <c r="D38" s="22" t="str">
        <f aca="false">IF($C38="","",$C38*AySayisi)</f>
        <v/>
      </c>
      <c r="E38" s="23"/>
    </row>
    <row r="39" customFormat="false" ht="15" hidden="false" customHeight="false" outlineLevel="0" collapsed="false">
      <c r="A39" s="19"/>
      <c r="B39" s="23"/>
      <c r="C39" s="22" t="str">
        <f aca="false">IF(OR($A39="",$B39=""),"",INDEX(tblCalisan[Brüt Ücret (₺)],MATCH($A39,tblCalisan[Çalışan Adı],0))*IF($B39="5 Puan İndirimi",BesPuanOrani,IF($B39="İlave İstihdam",IlaveIstihdamOrani,IF($B39="Kadın/Genç",KadinGencOrani,IF($B39="Engelli",EngelliOrani,GencGirisimciOrani)))))</f>
        <v/>
      </c>
      <c r="D39" s="22" t="str">
        <f aca="false">IF($C39="","",$C39*AySayisi)</f>
        <v/>
      </c>
      <c r="E39" s="23"/>
    </row>
    <row r="40" customFormat="false" ht="15" hidden="false" customHeight="false" outlineLevel="0" collapsed="false">
      <c r="A40" s="19"/>
      <c r="B40" s="23"/>
      <c r="C40" s="22" t="str">
        <f aca="false">IF(OR($A40="",$B40=""),"",INDEX(tblCalisan[Brüt Ücret (₺)],MATCH($A40,tblCalisan[Çalışan Adı],0))*IF($B40="5 Puan İndirimi",BesPuanOrani,IF($B40="İlave İstihdam",IlaveIstihdamOrani,IF($B40="Kadın/Genç",KadinGencOrani,IF($B40="Engelli",EngelliOrani,GencGirisimciOrani)))))</f>
        <v/>
      </c>
      <c r="D40" s="22" t="str">
        <f aca="false">IF($C40="","",$C40*AySayisi)</f>
        <v/>
      </c>
      <c r="E40" s="23"/>
    </row>
    <row r="41" customFormat="false" ht="15" hidden="false" customHeight="false" outlineLevel="0" collapsed="false">
      <c r="A41" s="19"/>
      <c r="B41" s="23"/>
      <c r="C41" s="22" t="str">
        <f aca="false">IF(OR($A41="",$B41=""),"",INDEX(tblCalisan[Brüt Ücret (₺)],MATCH($A41,tblCalisan[Çalışan Adı],0))*IF($B41="5 Puan İndirimi",BesPuanOrani,IF($B41="İlave İstihdam",IlaveIstihdamOrani,IF($B41="Kadın/Genç",KadinGencOrani,IF($B41="Engelli",EngelliOrani,GencGirisimciOrani)))))</f>
        <v/>
      </c>
      <c r="D41" s="22" t="str">
        <f aca="false">IF($C41="","",$C41*AySayisi)</f>
        <v/>
      </c>
      <c r="E41" s="23"/>
    </row>
    <row r="42" customFormat="false" ht="15" hidden="false" customHeight="false" outlineLevel="0" collapsed="false">
      <c r="A42" s="19"/>
      <c r="B42" s="23"/>
      <c r="C42" s="22" t="str">
        <f aca="false">IF(OR($A42="",$B42=""),"",INDEX(tblCalisan[Brüt Ücret (₺)],MATCH($A42,tblCalisan[Çalışan Adı],0))*IF($B42="5 Puan İndirimi",BesPuanOrani,IF($B42="İlave İstihdam",IlaveIstihdamOrani,IF($B42="Kadın/Genç",KadinGencOrani,IF($B42="Engelli",EngelliOrani,GencGirisimciOrani)))))</f>
        <v/>
      </c>
      <c r="D42" s="22" t="str">
        <f aca="false">IF($C42="","",$C42*AySayisi)</f>
        <v/>
      </c>
      <c r="E42" s="23"/>
    </row>
    <row r="43" customFormat="false" ht="15" hidden="false" customHeight="false" outlineLevel="0" collapsed="false">
      <c r="A43" s="19"/>
      <c r="B43" s="23"/>
      <c r="C43" s="22" t="str">
        <f aca="false">IF(OR($A43="",$B43=""),"",INDEX(tblCalisan[Brüt Ücret (₺)],MATCH($A43,tblCalisan[Çalışan Adı],0))*IF($B43="5 Puan İndirimi",BesPuanOrani,IF($B43="İlave İstihdam",IlaveIstihdamOrani,IF($B43="Kadın/Genç",KadinGencOrani,IF($B43="Engelli",EngelliOrani,GencGirisimciOrani)))))</f>
        <v/>
      </c>
      <c r="D43" s="22" t="str">
        <f aca="false">IF($C43="","",$C43*AySayisi)</f>
        <v/>
      </c>
      <c r="E43" s="23"/>
    </row>
    <row r="44" customFormat="false" ht="15" hidden="false" customHeight="false" outlineLevel="0" collapsed="false">
      <c r="A44" s="19"/>
      <c r="B44" s="23"/>
      <c r="C44" s="22" t="str">
        <f aca="false">IF(OR($A44="",$B44=""),"",INDEX(tblCalisan[Brüt Ücret (₺)],MATCH($A44,tblCalisan[Çalışan Adı],0))*IF($B44="5 Puan İndirimi",BesPuanOrani,IF($B44="İlave İstihdam",IlaveIstihdamOrani,IF($B44="Kadın/Genç",KadinGencOrani,IF($B44="Engelli",EngelliOrani,GencGirisimciOrani)))))</f>
        <v/>
      </c>
      <c r="D44" s="22" t="str">
        <f aca="false">IF($C44="","",$C44*AySayisi)</f>
        <v/>
      </c>
      <c r="E44" s="23"/>
    </row>
    <row r="45" customFormat="false" ht="15" hidden="false" customHeight="false" outlineLevel="0" collapsed="false">
      <c r="A45" s="19"/>
      <c r="B45" s="23"/>
      <c r="C45" s="22" t="str">
        <f aca="false">IF(OR($A45="",$B45=""),"",INDEX(tblCalisan[Brüt Ücret (₺)],MATCH($A45,tblCalisan[Çalışan Adı],0))*IF($B45="5 Puan İndirimi",BesPuanOrani,IF($B45="İlave İstihdam",IlaveIstihdamOrani,IF($B45="Kadın/Genç",KadinGencOrani,IF($B45="Engelli",EngelliOrani,GencGirisimciOrani)))))</f>
        <v/>
      </c>
      <c r="D45" s="22" t="str">
        <f aca="false">IF($C45="","",$C45*AySayisi)</f>
        <v/>
      </c>
      <c r="E45" s="23"/>
    </row>
    <row r="46" customFormat="false" ht="15" hidden="false" customHeight="false" outlineLevel="0" collapsed="false">
      <c r="A46" s="19"/>
      <c r="B46" s="23"/>
      <c r="C46" s="22" t="str">
        <f aca="false">IF(OR($A46="",$B46=""),"",INDEX(tblCalisan[Brüt Ücret (₺)],MATCH($A46,tblCalisan[Çalışan Adı],0))*IF($B46="5 Puan İndirimi",BesPuanOrani,IF($B46="İlave İstihdam",IlaveIstihdamOrani,IF($B46="Kadın/Genç",KadinGencOrani,IF($B46="Engelli",EngelliOrani,GencGirisimciOrani)))))</f>
        <v/>
      </c>
      <c r="D46" s="22" t="str">
        <f aca="false">IF($C46="","",$C46*AySayisi)</f>
        <v/>
      </c>
      <c r="E46" s="23"/>
    </row>
    <row r="47" customFormat="false" ht="15" hidden="false" customHeight="false" outlineLevel="0" collapsed="false">
      <c r="A47" s="19"/>
      <c r="B47" s="23"/>
      <c r="C47" s="22" t="str">
        <f aca="false">IF(OR($A47="",$B47=""),"",INDEX(tblCalisan[Brüt Ücret (₺)],MATCH($A47,tblCalisan[Çalışan Adı],0))*IF($B47="5 Puan İndirimi",BesPuanOrani,IF($B47="İlave İstihdam",IlaveIstihdamOrani,IF($B47="Kadın/Genç",KadinGencOrani,IF($B47="Engelli",EngelliOrani,GencGirisimciOrani)))))</f>
        <v/>
      </c>
      <c r="D47" s="22" t="str">
        <f aca="false">IF($C47="","",$C47*AySayisi)</f>
        <v/>
      </c>
      <c r="E47" s="23"/>
    </row>
    <row r="48" customFormat="false" ht="15" hidden="false" customHeight="false" outlineLevel="0" collapsed="false">
      <c r="A48" s="19"/>
      <c r="B48" s="23"/>
      <c r="C48" s="22" t="str">
        <f aca="false">IF(OR($A48="",$B48=""),"",INDEX(tblCalisan[Brüt Ücret (₺)],MATCH($A48,tblCalisan[Çalışan Adı],0))*IF($B48="5 Puan İndirimi",BesPuanOrani,IF($B48="İlave İstihdam",IlaveIstihdamOrani,IF($B48="Kadın/Genç",KadinGencOrani,IF($B48="Engelli",EngelliOrani,GencGirisimciOrani)))))</f>
        <v/>
      </c>
      <c r="D48" s="22" t="str">
        <f aca="false">IF($C48="","",$C48*AySayisi)</f>
        <v/>
      </c>
      <c r="E48" s="23"/>
    </row>
    <row r="49" customFormat="false" ht="15" hidden="false" customHeight="false" outlineLevel="0" collapsed="false">
      <c r="A49" s="19"/>
      <c r="B49" s="23"/>
      <c r="C49" s="22" t="str">
        <f aca="false">IF(OR($A49="",$B49=""),"",INDEX(tblCalisan[Brüt Ücret (₺)],MATCH($A49,tblCalisan[Çalışan Adı],0))*IF($B49="5 Puan İndirimi",BesPuanOrani,IF($B49="İlave İstihdam",IlaveIstihdamOrani,IF($B49="Kadın/Genç",KadinGencOrani,IF($B49="Engelli",EngelliOrani,GencGirisimciOrani)))))</f>
        <v/>
      </c>
      <c r="D49" s="22" t="str">
        <f aca="false">IF($C49="","",$C49*AySayisi)</f>
        <v/>
      </c>
      <c r="E49" s="23"/>
    </row>
    <row r="50" customFormat="false" ht="15" hidden="false" customHeight="false" outlineLevel="0" collapsed="false">
      <c r="A50" s="19"/>
      <c r="B50" s="23"/>
      <c r="C50" s="22" t="str">
        <f aca="false">IF(OR($A50="",$B50=""),"",INDEX(tblCalisan[Brüt Ücret (₺)],MATCH($A50,tblCalisan[Çalışan Adı],0))*IF($B50="5 Puan İndirimi",BesPuanOrani,IF($B50="İlave İstihdam",IlaveIstihdamOrani,IF($B50="Kadın/Genç",KadinGencOrani,IF($B50="Engelli",EngelliOrani,GencGirisimciOrani)))))</f>
        <v/>
      </c>
      <c r="D50" s="22" t="str">
        <f aca="false">IF($C50="","",$C50*AySayisi)</f>
        <v/>
      </c>
      <c r="E50" s="23"/>
    </row>
    <row r="51" customFormat="false" ht="15" hidden="false" customHeight="false" outlineLevel="0" collapsed="false">
      <c r="A51" s="19"/>
      <c r="B51" s="23"/>
      <c r="C51" s="22" t="str">
        <f aca="false">IF(OR($A51="",$B51=""),"",INDEX(tblCalisan[Brüt Ücret (₺)],MATCH($A51,tblCalisan[Çalışan Adı],0))*IF($B51="5 Puan İndirimi",BesPuanOrani,IF($B51="İlave İstihdam",IlaveIstihdamOrani,IF($B51="Kadın/Genç",KadinGencOrani,IF($B51="Engelli",EngelliOrani,GencGirisimciOrani)))))</f>
        <v/>
      </c>
      <c r="D51" s="22" t="str">
        <f aca="false">IF($C51="","",$C51*AySayisi)</f>
        <v/>
      </c>
      <c r="E51" s="23"/>
    </row>
    <row r="52" customFormat="false" ht="15" hidden="false" customHeight="false" outlineLevel="0" collapsed="false">
      <c r="A52" s="19"/>
      <c r="B52" s="23"/>
      <c r="C52" s="22" t="str">
        <f aca="false">IF(OR($A52="",$B52=""),"",INDEX(tblCalisan[Brüt Ücret (₺)],MATCH($A52,tblCalisan[Çalışan Adı],0))*IF($B52="5 Puan İndirimi",BesPuanOrani,IF($B52="İlave İstihdam",IlaveIstihdamOrani,IF($B52="Kadın/Genç",KadinGencOrani,IF($B52="Engelli",EngelliOrani,GencGirisimciOrani)))))</f>
        <v/>
      </c>
      <c r="D52" s="22" t="str">
        <f aca="false">IF($C52="","",$C52*AySayisi)</f>
        <v/>
      </c>
      <c r="E52" s="23"/>
    </row>
    <row r="53" customFormat="false" ht="15" hidden="false" customHeight="false" outlineLevel="0" collapsed="false">
      <c r="A53" s="19"/>
      <c r="B53" s="23"/>
      <c r="C53" s="22" t="str">
        <f aca="false">IF(OR($A53="",$B53=""),"",INDEX(tblCalisan[Brüt Ücret (₺)],MATCH($A53,tblCalisan[Çalışan Adı],0))*IF($B53="5 Puan İndirimi",BesPuanOrani,IF($B53="İlave İstihdam",IlaveIstihdamOrani,IF($B53="Kadın/Genç",KadinGencOrani,IF($B53="Engelli",EngelliOrani,GencGirisimciOrani)))))</f>
        <v/>
      </c>
      <c r="D53" s="22" t="str">
        <f aca="false">IF($C53="","",$C53*AySayisi)</f>
        <v/>
      </c>
      <c r="E53" s="23"/>
    </row>
    <row r="54" customFormat="false" ht="15" hidden="false" customHeight="false" outlineLevel="0" collapsed="false">
      <c r="A54" s="19"/>
      <c r="B54" s="23"/>
      <c r="C54" s="22" t="str">
        <f aca="false">IF(OR($A54="",$B54=""),"",INDEX(tblCalisan[Brüt Ücret (₺)],MATCH($A54,tblCalisan[Çalışan Adı],0))*IF($B54="5 Puan İndirimi",BesPuanOrani,IF($B54="İlave İstihdam",IlaveIstihdamOrani,IF($B54="Kadın/Genç",KadinGencOrani,IF($B54="Engelli",EngelliOrani,GencGirisimciOrani)))))</f>
        <v/>
      </c>
      <c r="D54" s="22" t="str">
        <f aca="false">IF($C54="","",$C54*AySayisi)</f>
        <v/>
      </c>
      <c r="E54" s="23"/>
    </row>
    <row r="55" customFormat="false" ht="15" hidden="false" customHeight="false" outlineLevel="0" collapsed="false">
      <c r="A55" s="19"/>
      <c r="B55" s="23"/>
      <c r="C55" s="22" t="str">
        <f aca="false">IF(OR($A55="",$B55=""),"",INDEX(tblCalisan[Brüt Ücret (₺)],MATCH($A55,tblCalisan[Çalışan Adı],0))*IF($B55="5 Puan İndirimi",BesPuanOrani,IF($B55="İlave İstihdam",IlaveIstihdamOrani,IF($B55="Kadın/Genç",KadinGencOrani,IF($B55="Engelli",EngelliOrani,GencGirisimciOrani)))))</f>
        <v/>
      </c>
      <c r="D55" s="22" t="str">
        <f aca="false">IF($C55="","",$C55*AySayisi)</f>
        <v/>
      </c>
      <c r="E55" s="23"/>
    </row>
    <row r="56" customFormat="false" ht="15" hidden="false" customHeight="false" outlineLevel="0" collapsed="false">
      <c r="A56" s="19"/>
      <c r="B56" s="23"/>
      <c r="C56" s="22" t="str">
        <f aca="false">IF(OR($A56="",$B56=""),"",INDEX(tblCalisan[Brüt Ücret (₺)],MATCH($A56,tblCalisan[Çalışan Adı],0))*IF($B56="5 Puan İndirimi",BesPuanOrani,IF($B56="İlave İstihdam",IlaveIstihdamOrani,IF($B56="Kadın/Genç",KadinGencOrani,IF($B56="Engelli",EngelliOrani,GencGirisimciOrani)))))</f>
        <v/>
      </c>
      <c r="D56" s="22" t="str">
        <f aca="false">IF($C56="","",$C56*AySayisi)</f>
        <v/>
      </c>
      <c r="E56" s="23"/>
    </row>
    <row r="57" customFormat="false" ht="15" hidden="false" customHeight="false" outlineLevel="0" collapsed="false">
      <c r="A57" s="19"/>
      <c r="B57" s="23"/>
      <c r="C57" s="22" t="str">
        <f aca="false">IF(OR($A57="",$B57=""),"",INDEX(tblCalisan[Brüt Ücret (₺)],MATCH($A57,tblCalisan[Çalışan Adı],0))*IF($B57="5 Puan İndirimi",BesPuanOrani,IF($B57="İlave İstihdam",IlaveIstihdamOrani,IF($B57="Kadın/Genç",KadinGencOrani,IF($B57="Engelli",EngelliOrani,GencGirisimciOrani)))))</f>
        <v/>
      </c>
      <c r="D57" s="22" t="str">
        <f aca="false">IF($C57="","",$C57*AySayisi)</f>
        <v/>
      </c>
      <c r="E57" s="23"/>
    </row>
    <row r="58" customFormat="false" ht="15" hidden="false" customHeight="false" outlineLevel="0" collapsed="false">
      <c r="A58" s="19"/>
      <c r="B58" s="23"/>
      <c r="C58" s="22" t="str">
        <f aca="false">IF(OR($A58="",$B58=""),"",INDEX(tblCalisan[Brüt Ücret (₺)],MATCH($A58,tblCalisan[Çalışan Adı],0))*IF($B58="5 Puan İndirimi",BesPuanOrani,IF($B58="İlave İstihdam",IlaveIstihdamOrani,IF($B58="Kadın/Genç",KadinGencOrani,IF($B58="Engelli",EngelliOrani,GencGirisimciOrani)))))</f>
        <v/>
      </c>
      <c r="D58" s="22" t="str">
        <f aca="false">IF($C58="","",$C58*AySayisi)</f>
        <v/>
      </c>
      <c r="E58" s="23"/>
    </row>
    <row r="59" customFormat="false" ht="15" hidden="false" customHeight="false" outlineLevel="0" collapsed="false">
      <c r="A59" s="19"/>
      <c r="B59" s="23"/>
      <c r="C59" s="22" t="str">
        <f aca="false">IF(OR($A59="",$B59=""),"",INDEX(tblCalisan[Brüt Ücret (₺)],MATCH($A59,tblCalisan[Çalışan Adı],0))*IF($B59="5 Puan İndirimi",BesPuanOrani,IF($B59="İlave İstihdam",IlaveIstihdamOrani,IF($B59="Kadın/Genç",KadinGencOrani,IF($B59="Engelli",EngelliOrani,GencGirisimciOrani)))))</f>
        <v/>
      </c>
      <c r="D59" s="22" t="str">
        <f aca="false">IF($C59="","",$C59*AySayisi)</f>
        <v/>
      </c>
      <c r="E59" s="23"/>
    </row>
    <row r="60" customFormat="false" ht="15" hidden="false" customHeight="false" outlineLevel="0" collapsed="false">
      <c r="A60" s="19"/>
      <c r="B60" s="23"/>
      <c r="C60" s="22" t="str">
        <f aca="false">IF(OR($A60="",$B60=""),"",INDEX(tblCalisan[Brüt Ücret (₺)],MATCH($A60,tblCalisan[Çalışan Adı],0))*IF($B60="5 Puan İndirimi",BesPuanOrani,IF($B60="İlave İstihdam",IlaveIstihdamOrani,IF($B60="Kadın/Genç",KadinGencOrani,IF($B60="Engelli",EngelliOrani,GencGirisimciOrani)))))</f>
        <v/>
      </c>
      <c r="D60" s="22" t="str">
        <f aca="false">IF($C60="","",$C60*AySayisi)</f>
        <v/>
      </c>
      <c r="E60" s="23"/>
    </row>
    <row r="61" customFormat="false" ht="15" hidden="false" customHeight="false" outlineLevel="0" collapsed="false">
      <c r="A61" s="19"/>
      <c r="B61" s="23"/>
      <c r="C61" s="22" t="str">
        <f aca="false">IF(OR($A61="",$B61=""),"",INDEX(tblCalisan[Brüt Ücret (₺)],MATCH($A61,tblCalisan[Çalışan Adı],0))*IF($B61="5 Puan İndirimi",BesPuanOrani,IF($B61="İlave İstihdam",IlaveIstihdamOrani,IF($B61="Kadın/Genç",KadinGencOrani,IF($B61="Engelli",EngelliOrani,GencGirisimciOrani)))))</f>
        <v/>
      </c>
      <c r="D61" s="22" t="str">
        <f aca="false">IF($C61="","",$C61*AySayisi)</f>
        <v/>
      </c>
      <c r="E61" s="23"/>
    </row>
    <row r="62" customFormat="false" ht="15" hidden="false" customHeight="false" outlineLevel="0" collapsed="false">
      <c r="A62" s="19"/>
      <c r="B62" s="23"/>
      <c r="C62" s="22" t="str">
        <f aca="false">IF(OR($A62="",$B62=""),"",INDEX(tblCalisan[Brüt Ücret (₺)],MATCH($A62,tblCalisan[Çalışan Adı],0))*IF($B62="5 Puan İndirimi",BesPuanOrani,IF($B62="İlave İstihdam",IlaveIstihdamOrani,IF($B62="Kadın/Genç",KadinGencOrani,IF($B62="Engelli",EngelliOrani,GencGirisimciOrani)))))</f>
        <v/>
      </c>
      <c r="D62" s="22" t="str">
        <f aca="false">IF($C62="","",$C62*AySayisi)</f>
        <v/>
      </c>
      <c r="E62" s="23"/>
    </row>
    <row r="63" customFormat="false" ht="15" hidden="false" customHeight="false" outlineLevel="0" collapsed="false">
      <c r="A63" s="19"/>
      <c r="B63" s="23"/>
      <c r="C63" s="22" t="str">
        <f aca="false">IF(OR($A63="",$B63=""),"",INDEX(tblCalisan[Brüt Ücret (₺)],MATCH($A63,tblCalisan[Çalışan Adı],0))*IF($B63="5 Puan İndirimi",BesPuanOrani,IF($B63="İlave İstihdam",IlaveIstihdamOrani,IF($B63="Kadın/Genç",KadinGencOrani,IF($B63="Engelli",EngelliOrani,GencGirisimciOrani)))))</f>
        <v/>
      </c>
      <c r="D63" s="22" t="str">
        <f aca="false">IF($C63="","",$C63*AySayisi)</f>
        <v/>
      </c>
      <c r="E63" s="23"/>
    </row>
    <row r="64" customFormat="false" ht="15" hidden="false" customHeight="false" outlineLevel="0" collapsed="false">
      <c r="A64" s="19"/>
      <c r="B64" s="23"/>
      <c r="C64" s="22" t="str">
        <f aca="false">IF(OR($A64="",$B64=""),"",INDEX(tblCalisan[Brüt Ücret (₺)],MATCH($A64,tblCalisan[Çalışan Adı],0))*IF($B64="5 Puan İndirimi",BesPuanOrani,IF($B64="İlave İstihdam",IlaveIstihdamOrani,IF($B64="Kadın/Genç",KadinGencOrani,IF($B64="Engelli",EngelliOrani,GencGirisimciOrani)))))</f>
        <v/>
      </c>
      <c r="D64" s="22" t="str">
        <f aca="false">IF($C64="","",$C64*AySayisi)</f>
        <v/>
      </c>
      <c r="E64" s="23"/>
    </row>
    <row r="65" customFormat="false" ht="15" hidden="false" customHeight="false" outlineLevel="0" collapsed="false">
      <c r="A65" s="19"/>
      <c r="B65" s="23"/>
      <c r="C65" s="22" t="str">
        <f aca="false">IF(OR($A65="",$B65=""),"",INDEX(tblCalisan[Brüt Ücret (₺)],MATCH($A65,tblCalisan[Çalışan Adı],0))*IF($B65="5 Puan İndirimi",BesPuanOrani,IF($B65="İlave İstihdam",IlaveIstihdamOrani,IF($B65="Kadın/Genç",KadinGencOrani,IF($B65="Engelli",EngelliOrani,GencGirisimciOrani)))))</f>
        <v/>
      </c>
      <c r="D65" s="22" t="str">
        <f aca="false">IF($C65="","",$C65*AySayisi)</f>
        <v/>
      </c>
      <c r="E65" s="23"/>
    </row>
    <row r="66" customFormat="false" ht="15" hidden="false" customHeight="false" outlineLevel="0" collapsed="false">
      <c r="A66" s="19"/>
      <c r="B66" s="23"/>
      <c r="C66" s="22" t="str">
        <f aca="false">IF(OR($A66="",$B66=""),"",INDEX(tblCalisan[Brüt Ücret (₺)],MATCH($A66,tblCalisan[Çalışan Adı],0))*IF($B66="5 Puan İndirimi",BesPuanOrani,IF($B66="İlave İstihdam",IlaveIstihdamOrani,IF($B66="Kadın/Genç",KadinGencOrani,IF($B66="Engelli",EngelliOrani,GencGirisimciOrani)))))</f>
        <v/>
      </c>
      <c r="D66" s="22" t="str">
        <f aca="false">IF($C66="","",$C66*AySayisi)</f>
        <v/>
      </c>
      <c r="E66" s="23"/>
    </row>
    <row r="67" customFormat="false" ht="15" hidden="false" customHeight="false" outlineLevel="0" collapsed="false">
      <c r="A67" s="19"/>
      <c r="B67" s="23"/>
      <c r="C67" s="22" t="str">
        <f aca="false">IF(OR($A67="",$B67=""),"",INDEX(tblCalisan[Brüt Ücret (₺)],MATCH($A67,tblCalisan[Çalışan Adı],0))*IF($B67="5 Puan İndirimi",BesPuanOrani,IF($B67="İlave İstihdam",IlaveIstihdamOrani,IF($B67="Kadın/Genç",KadinGencOrani,IF($B67="Engelli",EngelliOrani,GencGirisimciOrani)))))</f>
        <v/>
      </c>
      <c r="D67" s="22" t="str">
        <f aca="false">IF($C67="","",$C67*AySayisi)</f>
        <v/>
      </c>
      <c r="E67" s="23"/>
    </row>
    <row r="68" customFormat="false" ht="15" hidden="false" customHeight="false" outlineLevel="0" collapsed="false">
      <c r="A68" s="19"/>
      <c r="B68" s="23"/>
      <c r="C68" s="22" t="str">
        <f aca="false">IF(OR($A68="",$B68=""),"",INDEX(tblCalisan[Brüt Ücret (₺)],MATCH($A68,tblCalisan[Çalışan Adı],0))*IF($B68="5 Puan İndirimi",BesPuanOrani,IF($B68="İlave İstihdam",IlaveIstihdamOrani,IF($B68="Kadın/Genç",KadinGencOrani,IF($B68="Engelli",EngelliOrani,GencGirisimciOrani)))))</f>
        <v/>
      </c>
      <c r="D68" s="22" t="str">
        <f aca="false">IF($C68="","",$C68*AySayisi)</f>
        <v/>
      </c>
      <c r="E68" s="23"/>
    </row>
    <row r="69" customFormat="false" ht="15" hidden="false" customHeight="false" outlineLevel="0" collapsed="false">
      <c r="A69" s="19"/>
      <c r="B69" s="23"/>
      <c r="C69" s="22" t="str">
        <f aca="false">IF(OR($A69="",$B69=""),"",INDEX(tblCalisan[Brüt Ücret (₺)],MATCH($A69,tblCalisan[Çalışan Adı],0))*IF($B69="5 Puan İndirimi",BesPuanOrani,IF($B69="İlave İstihdam",IlaveIstihdamOrani,IF($B69="Kadın/Genç",KadinGencOrani,IF($B69="Engelli",EngelliOrani,GencGirisimciOrani)))))</f>
        <v/>
      </c>
      <c r="D69" s="22" t="str">
        <f aca="false">IF($C69="","",$C69*AySayisi)</f>
        <v/>
      </c>
      <c r="E69" s="23"/>
    </row>
    <row r="70" customFormat="false" ht="15" hidden="false" customHeight="false" outlineLevel="0" collapsed="false">
      <c r="A70" s="19"/>
      <c r="B70" s="23"/>
      <c r="C70" s="22" t="str">
        <f aca="false">IF(OR($A70="",$B70=""),"",INDEX(tblCalisan[Brüt Ücret (₺)],MATCH($A70,tblCalisan[Çalışan Adı],0))*IF($B70="5 Puan İndirimi",BesPuanOrani,IF($B70="İlave İstihdam",IlaveIstihdamOrani,IF($B70="Kadın/Genç",KadinGencOrani,IF($B70="Engelli",EngelliOrani,GencGirisimciOrani)))))</f>
        <v/>
      </c>
      <c r="D70" s="22" t="str">
        <f aca="false">IF($C70="","",$C70*AySayisi)</f>
        <v/>
      </c>
      <c r="E70" s="23"/>
    </row>
    <row r="71" customFormat="false" ht="15" hidden="false" customHeight="false" outlineLevel="0" collapsed="false">
      <c r="A71" s="19"/>
      <c r="B71" s="23"/>
      <c r="C71" s="22" t="str">
        <f aca="false">IF(OR($A71="",$B71=""),"",INDEX(tblCalisan[Brüt Ücret (₺)],MATCH($A71,tblCalisan[Çalışan Adı],0))*IF($B71="5 Puan İndirimi",BesPuanOrani,IF($B71="İlave İstihdam",IlaveIstihdamOrani,IF($B71="Kadın/Genç",KadinGencOrani,IF($B71="Engelli",EngelliOrani,GencGirisimciOrani)))))</f>
        <v/>
      </c>
      <c r="D71" s="22" t="str">
        <f aca="false">IF($C71="","",$C71*AySayisi)</f>
        <v/>
      </c>
      <c r="E71" s="23"/>
    </row>
    <row r="72" customFormat="false" ht="15" hidden="false" customHeight="false" outlineLevel="0" collapsed="false">
      <c r="A72" s="19"/>
      <c r="B72" s="23"/>
      <c r="C72" s="22" t="str">
        <f aca="false">IF(OR($A72="",$B72=""),"",INDEX(tblCalisan[Brüt Ücret (₺)],MATCH($A72,tblCalisan[Çalışan Adı],0))*IF($B72="5 Puan İndirimi",BesPuanOrani,IF($B72="İlave İstihdam",IlaveIstihdamOrani,IF($B72="Kadın/Genç",KadinGencOrani,IF($B72="Engelli",EngelliOrani,GencGirisimciOrani)))))</f>
        <v/>
      </c>
      <c r="D72" s="22" t="str">
        <f aca="false">IF($C72="","",$C72*AySayisi)</f>
        <v/>
      </c>
      <c r="E72" s="23"/>
    </row>
    <row r="73" customFormat="false" ht="15" hidden="false" customHeight="false" outlineLevel="0" collapsed="false">
      <c r="A73" s="19"/>
      <c r="B73" s="23"/>
      <c r="C73" s="22" t="str">
        <f aca="false">IF(OR($A73="",$B73=""),"",INDEX(tblCalisan[Brüt Ücret (₺)],MATCH($A73,tblCalisan[Çalışan Adı],0))*IF($B73="5 Puan İndirimi",BesPuanOrani,IF($B73="İlave İstihdam",IlaveIstihdamOrani,IF($B73="Kadın/Genç",KadinGencOrani,IF($B73="Engelli",EngelliOrani,GencGirisimciOrani)))))</f>
        <v/>
      </c>
      <c r="D73" s="22" t="str">
        <f aca="false">IF($C73="","",$C73*AySayisi)</f>
        <v/>
      </c>
      <c r="E73" s="23"/>
    </row>
    <row r="74" customFormat="false" ht="15" hidden="false" customHeight="false" outlineLevel="0" collapsed="false">
      <c r="A74" s="19"/>
      <c r="B74" s="23"/>
      <c r="C74" s="22" t="str">
        <f aca="false">IF(OR($A74="",$B74=""),"",INDEX(tblCalisan[Brüt Ücret (₺)],MATCH($A74,tblCalisan[Çalışan Adı],0))*IF($B74="5 Puan İndirimi",BesPuanOrani,IF($B74="İlave İstihdam",IlaveIstihdamOrani,IF($B74="Kadın/Genç",KadinGencOrani,IF($B74="Engelli",EngelliOrani,GencGirisimciOrani)))))</f>
        <v/>
      </c>
      <c r="D74" s="22" t="str">
        <f aca="false">IF($C74="","",$C74*AySayisi)</f>
        <v/>
      </c>
      <c r="E74" s="23"/>
    </row>
    <row r="75" customFormat="false" ht="15" hidden="false" customHeight="false" outlineLevel="0" collapsed="false">
      <c r="A75" s="19"/>
      <c r="B75" s="23"/>
      <c r="C75" s="22" t="str">
        <f aca="false">IF(OR($A75="",$B75=""),"",INDEX(tblCalisan[Brüt Ücret (₺)],MATCH($A75,tblCalisan[Çalışan Adı],0))*IF($B75="5 Puan İndirimi",BesPuanOrani,IF($B75="İlave İstihdam",IlaveIstihdamOrani,IF($B75="Kadın/Genç",KadinGencOrani,IF($B75="Engelli",EngelliOrani,GencGirisimciOrani)))))</f>
        <v/>
      </c>
      <c r="D75" s="22" t="str">
        <f aca="false">IF($C75="","",$C75*AySayisi)</f>
        <v/>
      </c>
      <c r="E75" s="23"/>
    </row>
    <row r="76" customFormat="false" ht="15" hidden="false" customHeight="false" outlineLevel="0" collapsed="false">
      <c r="A76" s="19"/>
      <c r="B76" s="23"/>
      <c r="C76" s="22" t="str">
        <f aca="false">IF(OR($A76="",$B76=""),"",INDEX(tblCalisan[Brüt Ücret (₺)],MATCH($A76,tblCalisan[Çalışan Adı],0))*IF($B76="5 Puan İndirimi",BesPuanOrani,IF($B76="İlave İstihdam",IlaveIstihdamOrani,IF($B76="Kadın/Genç",KadinGencOrani,IF($B76="Engelli",EngelliOrani,GencGirisimciOrani)))))</f>
        <v/>
      </c>
      <c r="D76" s="22" t="str">
        <f aca="false">IF($C76="","",$C76*AySayisi)</f>
        <v/>
      </c>
      <c r="E76" s="23"/>
    </row>
    <row r="77" customFormat="false" ht="15" hidden="false" customHeight="false" outlineLevel="0" collapsed="false">
      <c r="A77" s="19"/>
      <c r="B77" s="23"/>
      <c r="C77" s="22" t="str">
        <f aca="false">IF(OR($A77="",$B77=""),"",INDEX(tblCalisan[Brüt Ücret (₺)],MATCH($A77,tblCalisan[Çalışan Adı],0))*IF($B77="5 Puan İndirimi",BesPuanOrani,IF($B77="İlave İstihdam",IlaveIstihdamOrani,IF($B77="Kadın/Genç",KadinGencOrani,IF($B77="Engelli",EngelliOrani,GencGirisimciOrani)))))</f>
        <v/>
      </c>
      <c r="D77" s="22" t="str">
        <f aca="false">IF($C77="","",$C77*AySayisi)</f>
        <v/>
      </c>
      <c r="E77" s="23"/>
    </row>
    <row r="78" customFormat="false" ht="15" hidden="false" customHeight="false" outlineLevel="0" collapsed="false">
      <c r="A78" s="19"/>
      <c r="B78" s="23"/>
      <c r="C78" s="22" t="str">
        <f aca="false">IF(OR($A78="",$B78=""),"",INDEX(tblCalisan[Brüt Ücret (₺)],MATCH($A78,tblCalisan[Çalışan Adı],0))*IF($B78="5 Puan İndirimi",BesPuanOrani,IF($B78="İlave İstihdam",IlaveIstihdamOrani,IF($B78="Kadın/Genç",KadinGencOrani,IF($B78="Engelli",EngelliOrani,GencGirisimciOrani)))))</f>
        <v/>
      </c>
      <c r="D78" s="22" t="str">
        <f aca="false">IF($C78="","",$C78*AySayisi)</f>
        <v/>
      </c>
      <c r="E78" s="23"/>
    </row>
    <row r="79" customFormat="false" ht="15" hidden="false" customHeight="false" outlineLevel="0" collapsed="false">
      <c r="A79" s="19"/>
      <c r="B79" s="23"/>
      <c r="C79" s="22" t="str">
        <f aca="false">IF(OR($A79="",$B79=""),"",INDEX(tblCalisan[Brüt Ücret (₺)],MATCH($A79,tblCalisan[Çalışan Adı],0))*IF($B79="5 Puan İndirimi",BesPuanOrani,IF($B79="İlave İstihdam",IlaveIstihdamOrani,IF($B79="Kadın/Genç",KadinGencOrani,IF($B79="Engelli",EngelliOrani,GencGirisimciOrani)))))</f>
        <v/>
      </c>
      <c r="D79" s="22" t="str">
        <f aca="false">IF($C79="","",$C79*AySayisi)</f>
        <v/>
      </c>
      <c r="E79" s="23"/>
    </row>
    <row r="80" customFormat="false" ht="15" hidden="false" customHeight="false" outlineLevel="0" collapsed="false">
      <c r="A80" s="19"/>
      <c r="B80" s="23"/>
      <c r="C80" s="22" t="str">
        <f aca="false">IF(OR($A80="",$B80=""),"",INDEX(tblCalisan[Brüt Ücret (₺)],MATCH($A80,tblCalisan[Çalışan Adı],0))*IF($B80="5 Puan İndirimi",BesPuanOrani,IF($B80="İlave İstihdam",IlaveIstihdamOrani,IF($B80="Kadın/Genç",KadinGencOrani,IF($B80="Engelli",EngelliOrani,GencGirisimciOrani)))))</f>
        <v/>
      </c>
      <c r="D80" s="22" t="str">
        <f aca="false">IF($C80="","",$C80*AySayisi)</f>
        <v/>
      </c>
      <c r="E80" s="23"/>
    </row>
    <row r="81" customFormat="false" ht="15" hidden="false" customHeight="false" outlineLevel="0" collapsed="false">
      <c r="A81" s="19"/>
      <c r="B81" s="23"/>
      <c r="C81" s="22" t="str">
        <f aca="false">IF(OR($A81="",$B81=""),"",INDEX(tblCalisan[Brüt Ücret (₺)],MATCH($A81,tblCalisan[Çalışan Adı],0))*IF($B81="5 Puan İndirimi",BesPuanOrani,IF($B81="İlave İstihdam",IlaveIstihdamOrani,IF($B81="Kadın/Genç",KadinGencOrani,IF($B81="Engelli",EngelliOrani,GencGirisimciOrani)))))</f>
        <v/>
      </c>
      <c r="D81" s="22" t="str">
        <f aca="false">IF($C81="","",$C81*AySayisi)</f>
        <v/>
      </c>
      <c r="E81" s="23"/>
    </row>
    <row r="82" customFormat="false" ht="15" hidden="false" customHeight="false" outlineLevel="0" collapsed="false">
      <c r="A82" s="19"/>
      <c r="B82" s="23"/>
      <c r="C82" s="22" t="str">
        <f aca="false">IF(OR($A82="",$B82=""),"",INDEX(tblCalisan[Brüt Ücret (₺)],MATCH($A82,tblCalisan[Çalışan Adı],0))*IF($B82="5 Puan İndirimi",BesPuanOrani,IF($B82="İlave İstihdam",IlaveIstihdamOrani,IF($B82="Kadın/Genç",KadinGencOrani,IF($B82="Engelli",EngelliOrani,GencGirisimciOrani)))))</f>
        <v/>
      </c>
      <c r="D82" s="22" t="str">
        <f aca="false">IF($C82="","",$C82*AySayisi)</f>
        <v/>
      </c>
      <c r="E82" s="23"/>
    </row>
    <row r="83" customFormat="false" ht="15" hidden="false" customHeight="false" outlineLevel="0" collapsed="false">
      <c r="A83" s="19"/>
      <c r="B83" s="23"/>
      <c r="C83" s="22" t="str">
        <f aca="false">IF(OR($A83="",$B83=""),"",INDEX(tblCalisan[Brüt Ücret (₺)],MATCH($A83,tblCalisan[Çalışan Adı],0))*IF($B83="5 Puan İndirimi",BesPuanOrani,IF($B83="İlave İstihdam",IlaveIstihdamOrani,IF($B83="Kadın/Genç",KadinGencOrani,IF($B83="Engelli",EngelliOrani,GencGirisimciOrani)))))</f>
        <v/>
      </c>
      <c r="D83" s="22" t="str">
        <f aca="false">IF($C83="","",$C83*AySayisi)</f>
        <v/>
      </c>
      <c r="E83" s="23"/>
    </row>
    <row r="84" customFormat="false" ht="15" hidden="false" customHeight="false" outlineLevel="0" collapsed="false">
      <c r="A84" s="19"/>
      <c r="B84" s="23"/>
      <c r="C84" s="22" t="str">
        <f aca="false">IF(OR($A84="",$B84=""),"",INDEX(tblCalisan[Brüt Ücret (₺)],MATCH($A84,tblCalisan[Çalışan Adı],0))*IF($B84="5 Puan İndirimi",BesPuanOrani,IF($B84="İlave İstihdam",IlaveIstihdamOrani,IF($B84="Kadın/Genç",KadinGencOrani,IF($B84="Engelli",EngelliOrani,GencGirisimciOrani)))))</f>
        <v/>
      </c>
      <c r="D84" s="22" t="str">
        <f aca="false">IF($C84="","",$C84*AySayisi)</f>
        <v/>
      </c>
      <c r="E84" s="23"/>
    </row>
    <row r="85" customFormat="false" ht="15" hidden="false" customHeight="false" outlineLevel="0" collapsed="false">
      <c r="A85" s="19"/>
      <c r="B85" s="23"/>
      <c r="C85" s="22" t="str">
        <f aca="false">IF(OR($A85="",$B85=""),"",INDEX(tblCalisan[Brüt Ücret (₺)],MATCH($A85,tblCalisan[Çalışan Adı],0))*IF($B85="5 Puan İndirimi",BesPuanOrani,IF($B85="İlave İstihdam",IlaveIstihdamOrani,IF($B85="Kadın/Genç",KadinGencOrani,IF($B85="Engelli",EngelliOrani,GencGirisimciOrani)))))</f>
        <v/>
      </c>
      <c r="D85" s="22" t="str">
        <f aca="false">IF($C85="","",$C85*AySayisi)</f>
        <v/>
      </c>
      <c r="E85" s="23"/>
    </row>
    <row r="86" customFormat="false" ht="15" hidden="false" customHeight="false" outlineLevel="0" collapsed="false">
      <c r="A86" s="19"/>
      <c r="B86" s="23"/>
      <c r="C86" s="22" t="str">
        <f aca="false">IF(OR($A86="",$B86=""),"",INDEX(tblCalisan[Brüt Ücret (₺)],MATCH($A86,tblCalisan[Çalışan Adı],0))*IF($B86="5 Puan İndirimi",BesPuanOrani,IF($B86="İlave İstihdam",IlaveIstihdamOrani,IF($B86="Kadın/Genç",KadinGencOrani,IF($B86="Engelli",EngelliOrani,GencGirisimciOrani)))))</f>
        <v/>
      </c>
      <c r="D86" s="22" t="str">
        <f aca="false">IF($C86="","",$C86*AySayisi)</f>
        <v/>
      </c>
      <c r="E86" s="23"/>
    </row>
    <row r="87" customFormat="false" ht="15" hidden="false" customHeight="false" outlineLevel="0" collapsed="false">
      <c r="A87" s="19"/>
      <c r="B87" s="23"/>
      <c r="C87" s="22" t="str">
        <f aca="false">IF(OR($A87="",$B87=""),"",INDEX(tblCalisan[Brüt Ücret (₺)],MATCH($A87,tblCalisan[Çalışan Adı],0))*IF($B87="5 Puan İndirimi",BesPuanOrani,IF($B87="İlave İstihdam",IlaveIstihdamOrani,IF($B87="Kadın/Genç",KadinGencOrani,IF($B87="Engelli",EngelliOrani,GencGirisimciOrani)))))</f>
        <v/>
      </c>
      <c r="D87" s="22" t="str">
        <f aca="false">IF($C87="","",$C87*AySayisi)</f>
        <v/>
      </c>
      <c r="E87" s="23"/>
    </row>
    <row r="88" customFormat="false" ht="15" hidden="false" customHeight="false" outlineLevel="0" collapsed="false">
      <c r="A88" s="19"/>
      <c r="B88" s="23"/>
      <c r="C88" s="22" t="str">
        <f aca="false">IF(OR($A88="",$B88=""),"",INDEX(tblCalisan[Brüt Ücret (₺)],MATCH($A88,tblCalisan[Çalışan Adı],0))*IF($B88="5 Puan İndirimi",BesPuanOrani,IF($B88="İlave İstihdam",IlaveIstihdamOrani,IF($B88="Kadın/Genç",KadinGencOrani,IF($B88="Engelli",EngelliOrani,GencGirisimciOrani)))))</f>
        <v/>
      </c>
      <c r="D88" s="22" t="str">
        <f aca="false">IF($C88="","",$C88*AySayisi)</f>
        <v/>
      </c>
      <c r="E88" s="23"/>
    </row>
    <row r="89" customFormat="false" ht="15" hidden="false" customHeight="false" outlineLevel="0" collapsed="false">
      <c r="A89" s="19"/>
      <c r="B89" s="23"/>
      <c r="C89" s="22" t="str">
        <f aca="false">IF(OR($A89="",$B89=""),"",INDEX(tblCalisan[Brüt Ücret (₺)],MATCH($A89,tblCalisan[Çalışan Adı],0))*IF($B89="5 Puan İndirimi",BesPuanOrani,IF($B89="İlave İstihdam",IlaveIstihdamOrani,IF($B89="Kadın/Genç",KadinGencOrani,IF($B89="Engelli",EngelliOrani,GencGirisimciOrani)))))</f>
        <v/>
      </c>
      <c r="D89" s="22" t="str">
        <f aca="false">IF($C89="","",$C89*AySayisi)</f>
        <v/>
      </c>
      <c r="E89" s="23"/>
    </row>
    <row r="90" customFormat="false" ht="15" hidden="false" customHeight="false" outlineLevel="0" collapsed="false">
      <c r="A90" s="19"/>
      <c r="B90" s="23"/>
      <c r="C90" s="22" t="str">
        <f aca="false">IF(OR($A90="",$B90=""),"",INDEX(tblCalisan[Brüt Ücret (₺)],MATCH($A90,tblCalisan[Çalışan Adı],0))*IF($B90="5 Puan İndirimi",BesPuanOrani,IF($B90="İlave İstihdam",IlaveIstihdamOrani,IF($B90="Kadın/Genç",KadinGencOrani,IF($B90="Engelli",EngelliOrani,GencGirisimciOrani)))))</f>
        <v/>
      </c>
      <c r="D90" s="22" t="str">
        <f aca="false">IF($C90="","",$C90*AySayisi)</f>
        <v/>
      </c>
      <c r="E90" s="23"/>
    </row>
    <row r="91" customFormat="false" ht="15" hidden="false" customHeight="false" outlineLevel="0" collapsed="false">
      <c r="A91" s="19"/>
      <c r="B91" s="23"/>
      <c r="C91" s="22" t="str">
        <f aca="false">IF(OR($A91="",$B91=""),"",INDEX(tblCalisan[Brüt Ücret (₺)],MATCH($A91,tblCalisan[Çalışan Adı],0))*IF($B91="5 Puan İndirimi",BesPuanOrani,IF($B91="İlave İstihdam",IlaveIstihdamOrani,IF($B91="Kadın/Genç",KadinGencOrani,IF($B91="Engelli",EngelliOrani,GencGirisimciOrani)))))</f>
        <v/>
      </c>
      <c r="D91" s="22" t="str">
        <f aca="false">IF($C91="","",$C91*AySayisi)</f>
        <v/>
      </c>
      <c r="E91" s="23"/>
    </row>
    <row r="92" customFormat="false" ht="15" hidden="false" customHeight="false" outlineLevel="0" collapsed="false">
      <c r="A92" s="19"/>
      <c r="B92" s="23"/>
      <c r="C92" s="22" t="str">
        <f aca="false">IF(OR($A92="",$B92=""),"",INDEX(tblCalisan[Brüt Ücret (₺)],MATCH($A92,tblCalisan[Çalışan Adı],0))*IF($B92="5 Puan İndirimi",BesPuanOrani,IF($B92="İlave İstihdam",IlaveIstihdamOrani,IF($B92="Kadın/Genç",KadinGencOrani,IF($B92="Engelli",EngelliOrani,GencGirisimciOrani)))))</f>
        <v/>
      </c>
      <c r="D92" s="22" t="str">
        <f aca="false">IF($C92="","",$C92*AySayisi)</f>
        <v/>
      </c>
      <c r="E92" s="23"/>
    </row>
    <row r="93" customFormat="false" ht="15" hidden="false" customHeight="false" outlineLevel="0" collapsed="false">
      <c r="A93" s="19"/>
      <c r="B93" s="23"/>
      <c r="C93" s="22" t="str">
        <f aca="false">IF(OR($A93="",$B93=""),"",INDEX(tblCalisan[Brüt Ücret (₺)],MATCH($A93,tblCalisan[Çalışan Adı],0))*IF($B93="5 Puan İndirimi",BesPuanOrani,IF($B93="İlave İstihdam",IlaveIstihdamOrani,IF($B93="Kadın/Genç",KadinGencOrani,IF($B93="Engelli",EngelliOrani,GencGirisimciOrani)))))</f>
        <v/>
      </c>
      <c r="D93" s="22" t="str">
        <f aca="false">IF($C93="","",$C93*AySayisi)</f>
        <v/>
      </c>
      <c r="E93" s="23"/>
    </row>
    <row r="94" customFormat="false" ht="15" hidden="false" customHeight="false" outlineLevel="0" collapsed="false">
      <c r="A94" s="19"/>
      <c r="B94" s="23"/>
      <c r="C94" s="22" t="str">
        <f aca="false">IF(OR($A94="",$B94=""),"",INDEX(tblCalisan[Brüt Ücret (₺)],MATCH($A94,tblCalisan[Çalışan Adı],0))*IF($B94="5 Puan İndirimi",BesPuanOrani,IF($B94="İlave İstihdam",IlaveIstihdamOrani,IF($B94="Kadın/Genç",KadinGencOrani,IF($B94="Engelli",EngelliOrani,GencGirisimciOrani)))))</f>
        <v/>
      </c>
      <c r="D94" s="22" t="str">
        <f aca="false">IF($C94="","",$C94*AySayisi)</f>
        <v/>
      </c>
      <c r="E94" s="23"/>
    </row>
    <row r="95" customFormat="false" ht="15" hidden="false" customHeight="false" outlineLevel="0" collapsed="false">
      <c r="A95" s="19"/>
      <c r="B95" s="23"/>
      <c r="C95" s="22" t="str">
        <f aca="false">IF(OR($A95="",$B95=""),"",INDEX(tblCalisan[Brüt Ücret (₺)],MATCH($A95,tblCalisan[Çalışan Adı],0))*IF($B95="5 Puan İndirimi",BesPuanOrani,IF($B95="İlave İstihdam",IlaveIstihdamOrani,IF($B95="Kadın/Genç",KadinGencOrani,IF($B95="Engelli",EngelliOrani,GencGirisimciOrani)))))</f>
        <v/>
      </c>
      <c r="D95" s="22" t="str">
        <f aca="false">IF($C95="","",$C95*AySayisi)</f>
        <v/>
      </c>
      <c r="E95" s="23"/>
    </row>
    <row r="96" customFormat="false" ht="15" hidden="false" customHeight="false" outlineLevel="0" collapsed="false">
      <c r="A96" s="19"/>
      <c r="B96" s="23"/>
      <c r="C96" s="22" t="str">
        <f aca="false">IF(OR($A96="",$B96=""),"",INDEX(tblCalisan[Brüt Ücret (₺)],MATCH($A96,tblCalisan[Çalışan Adı],0))*IF($B96="5 Puan İndirimi",BesPuanOrani,IF($B96="İlave İstihdam",IlaveIstihdamOrani,IF($B96="Kadın/Genç",KadinGencOrani,IF($B96="Engelli",EngelliOrani,GencGirisimciOrani)))))</f>
        <v/>
      </c>
      <c r="D96" s="22" t="str">
        <f aca="false">IF($C96="","",$C96*AySayisi)</f>
        <v/>
      </c>
      <c r="E96" s="23"/>
    </row>
    <row r="97" customFormat="false" ht="15" hidden="false" customHeight="false" outlineLevel="0" collapsed="false">
      <c r="A97" s="19"/>
      <c r="B97" s="23"/>
      <c r="C97" s="22" t="str">
        <f aca="false">IF(OR($A97="",$B97=""),"",INDEX(tblCalisan[Brüt Ücret (₺)],MATCH($A97,tblCalisan[Çalışan Adı],0))*IF($B97="5 Puan İndirimi",BesPuanOrani,IF($B97="İlave İstihdam",IlaveIstihdamOrani,IF($B97="Kadın/Genç",KadinGencOrani,IF($B97="Engelli",EngelliOrani,GencGirisimciOrani)))))</f>
        <v/>
      </c>
      <c r="D97" s="22" t="str">
        <f aca="false">IF($C97="","",$C97*AySayisi)</f>
        <v/>
      </c>
      <c r="E97" s="23"/>
    </row>
    <row r="98" customFormat="false" ht="15" hidden="false" customHeight="false" outlineLevel="0" collapsed="false">
      <c r="A98" s="19"/>
      <c r="B98" s="23"/>
      <c r="C98" s="22" t="str">
        <f aca="false">IF(OR($A98="",$B98=""),"",INDEX(tblCalisan[Brüt Ücret (₺)],MATCH($A98,tblCalisan[Çalışan Adı],0))*IF($B98="5 Puan İndirimi",BesPuanOrani,IF($B98="İlave İstihdam",IlaveIstihdamOrani,IF($B98="Kadın/Genç",KadinGencOrani,IF($B98="Engelli",EngelliOrani,GencGirisimciOrani)))))</f>
        <v/>
      </c>
      <c r="D98" s="22" t="str">
        <f aca="false">IF($C98="","",$C98*AySayisi)</f>
        <v/>
      </c>
      <c r="E98" s="23"/>
    </row>
    <row r="99" customFormat="false" ht="15" hidden="false" customHeight="false" outlineLevel="0" collapsed="false">
      <c r="A99" s="19"/>
      <c r="B99" s="23"/>
      <c r="C99" s="22" t="str">
        <f aca="false">IF(OR($A99="",$B99=""),"",INDEX(tblCalisan[Brüt Ücret (₺)],MATCH($A99,tblCalisan[Çalışan Adı],0))*IF($B99="5 Puan İndirimi",BesPuanOrani,IF($B99="İlave İstihdam",IlaveIstihdamOrani,IF($B99="Kadın/Genç",KadinGencOrani,IF($B99="Engelli",EngelliOrani,GencGirisimciOrani)))))</f>
        <v/>
      </c>
      <c r="D99" s="22" t="str">
        <f aca="false">IF($C99="","",$C99*AySayisi)</f>
        <v/>
      </c>
      <c r="E99" s="23"/>
    </row>
    <row r="100" customFormat="false" ht="15" hidden="false" customHeight="false" outlineLevel="0" collapsed="false">
      <c r="A100" s="19"/>
      <c r="B100" s="23"/>
      <c r="C100" s="22" t="str">
        <f aca="false">IF(OR($A100="",$B100=""),"",INDEX(tblCalisan[Brüt Ücret (₺)],MATCH($A100,tblCalisan[Çalışan Adı],0))*IF($B100="5 Puan İndirimi",BesPuanOrani,IF($B100="İlave İstihdam",IlaveIstihdamOrani,IF($B100="Kadın/Genç",KadinGencOrani,IF($B100="Engelli",EngelliOrani,GencGirisimciOrani)))))</f>
        <v/>
      </c>
      <c r="D100" s="22" t="str">
        <f aca="false">IF($C100="","",$C100*AySayisi)</f>
        <v/>
      </c>
      <c r="E100" s="23"/>
    </row>
    <row r="101" customFormat="false" ht="15" hidden="false" customHeight="false" outlineLevel="0" collapsed="false">
      <c r="A101" s="19"/>
      <c r="B101" s="23"/>
      <c r="C101" s="22" t="str">
        <f aca="false">IF(OR($A101="",$B101=""),"",INDEX(tblCalisan[Brüt Ücret (₺)],MATCH($A101,tblCalisan[Çalışan Adı],0))*IF($B101="5 Puan İndirimi",BesPuanOrani,IF($B101="İlave İstihdam",IlaveIstihdamOrani,IF($B101="Kadın/Genç",KadinGencOrani,IF($B101="Engelli",EngelliOrani,GencGirisimciOrani)))))</f>
        <v/>
      </c>
      <c r="D101" s="22" t="str">
        <f aca="false">IF($C101="","",$C101*AySayisi)</f>
        <v/>
      </c>
      <c r="E101" s="23"/>
    </row>
    <row r="102" customFormat="false" ht="15" hidden="false" customHeight="false" outlineLevel="0" collapsed="false">
      <c r="A102" s="19"/>
      <c r="B102" s="23"/>
      <c r="C102" s="22" t="str">
        <f aca="false">IF(OR($A102="",$B102=""),"",INDEX(tblCalisan[Brüt Ücret (₺)],MATCH($A102,tblCalisan[Çalışan Adı],0))*IF($B102="5 Puan İndirimi",BesPuanOrani,IF($B102="İlave İstihdam",IlaveIstihdamOrani,IF($B102="Kadın/Genç",KadinGencOrani,IF($B102="Engelli",EngelliOrani,GencGirisimciOrani)))))</f>
        <v/>
      </c>
      <c r="D102" s="22" t="str">
        <f aca="false">IF($C102="","",$C102*AySayisi)</f>
        <v/>
      </c>
      <c r="E102" s="23"/>
    </row>
    <row r="103" customFormat="false" ht="15" hidden="false" customHeight="false" outlineLevel="0" collapsed="false">
      <c r="A103" s="19"/>
      <c r="B103" s="23"/>
      <c r="C103" s="22" t="str">
        <f aca="false">IF(OR($A103="",$B103=""),"",INDEX(tblCalisan[Brüt Ücret (₺)],MATCH($A103,tblCalisan[Çalışan Adı],0))*IF($B103="5 Puan İndirimi",BesPuanOrani,IF($B103="İlave İstihdam",IlaveIstihdamOrani,IF($B103="Kadın/Genç",KadinGencOrani,IF($B103="Engelli",EngelliOrani,GencGirisimciOrani)))))</f>
        <v/>
      </c>
      <c r="D103" s="22" t="str">
        <f aca="false">IF($C103="","",$C103*AySayisi)</f>
        <v/>
      </c>
      <c r="E103" s="23"/>
    </row>
    <row r="104" customFormat="false" ht="15" hidden="false" customHeight="false" outlineLevel="0" collapsed="false">
      <c r="A104" s="19"/>
      <c r="B104" s="23"/>
      <c r="C104" s="22" t="str">
        <f aca="false">IF(OR($A104="",$B104=""),"",INDEX(tblCalisan[Brüt Ücret (₺)],MATCH($A104,tblCalisan[Çalışan Adı],0))*IF($B104="5 Puan İndirimi",BesPuanOrani,IF($B104="İlave İstihdam",IlaveIstihdamOrani,IF($B104="Kadın/Genç",KadinGencOrani,IF($B104="Engelli",EngelliOrani,GencGirisimciOrani)))))</f>
        <v/>
      </c>
      <c r="D104" s="22" t="str">
        <f aca="false">IF($C104="","",$C104*AySayisi)</f>
        <v/>
      </c>
      <c r="E104" s="23"/>
    </row>
    <row r="105" customFormat="false" ht="15" hidden="false" customHeight="false" outlineLevel="0" collapsed="false">
      <c r="A105" s="19"/>
      <c r="B105" s="23"/>
      <c r="C105" s="22" t="str">
        <f aca="false">IF(OR($A105="",$B105=""),"",INDEX(tblCalisan[Brüt Ücret (₺)],MATCH($A105,tblCalisan[Çalışan Adı],0))*IF($B105="5 Puan İndirimi",BesPuanOrani,IF($B105="İlave İstihdam",IlaveIstihdamOrani,IF($B105="Kadın/Genç",KadinGencOrani,IF($B105="Engelli",EngelliOrani,GencGirisimciOrani)))))</f>
        <v/>
      </c>
      <c r="D105" s="22" t="str">
        <f aca="false">IF($C105="","",$C105*AySayisi)</f>
        <v/>
      </c>
      <c r="E105" s="23"/>
    </row>
    <row r="106" customFormat="false" ht="15" hidden="false" customHeight="false" outlineLevel="0" collapsed="false">
      <c r="A106" s="19"/>
      <c r="B106" s="23"/>
      <c r="C106" s="22" t="str">
        <f aca="false">IF(OR($A106="",$B106=""),"",INDEX(tblCalisan[Brüt Ücret (₺)],MATCH($A106,tblCalisan[Çalışan Adı],0))*IF($B106="5 Puan İndirimi",BesPuanOrani,IF($B106="İlave İstihdam",IlaveIstihdamOrani,IF($B106="Kadın/Genç",KadinGencOrani,IF($B106="Engelli",EngelliOrani,GencGirisimciOrani)))))</f>
        <v/>
      </c>
      <c r="D106" s="22" t="str">
        <f aca="false">IF($C106="","",$C106*AySayisi)</f>
        <v/>
      </c>
      <c r="E106" s="23"/>
    </row>
    <row r="107" customFormat="false" ht="15" hidden="false" customHeight="false" outlineLevel="0" collapsed="false">
      <c r="A107" s="19"/>
      <c r="B107" s="23"/>
      <c r="C107" s="22" t="str">
        <f aca="false">IF(OR($A107="",$B107=""),"",INDEX(tblCalisan[Brüt Ücret (₺)],MATCH($A107,tblCalisan[Çalışan Adı],0))*IF($B107="5 Puan İndirimi",BesPuanOrani,IF($B107="İlave İstihdam",IlaveIstihdamOrani,IF($B107="Kadın/Genç",KadinGencOrani,IF($B107="Engelli",EngelliOrani,GencGirisimciOrani)))))</f>
        <v/>
      </c>
      <c r="D107" s="22" t="str">
        <f aca="false">IF($C107="","",$C107*AySayisi)</f>
        <v/>
      </c>
      <c r="E107" s="23"/>
    </row>
    <row r="108" customFormat="false" ht="15" hidden="false" customHeight="false" outlineLevel="0" collapsed="false">
      <c r="A108" s="19"/>
      <c r="B108" s="23"/>
      <c r="C108" s="22" t="str">
        <f aca="false">IF(OR($A108="",$B108=""),"",INDEX(tblCalisan[Brüt Ücret (₺)],MATCH($A108,tblCalisan[Çalışan Adı],0))*IF($B108="5 Puan İndirimi",BesPuanOrani,IF($B108="İlave İstihdam",IlaveIstihdamOrani,IF($B108="Kadın/Genç",KadinGencOrani,IF($B108="Engelli",EngelliOrani,GencGirisimciOrani)))))</f>
        <v/>
      </c>
      <c r="D108" s="22" t="str">
        <f aca="false">IF($C108="","",$C108*AySayisi)</f>
        <v/>
      </c>
      <c r="E108" s="23"/>
    </row>
    <row r="109" customFormat="false" ht="15" hidden="false" customHeight="false" outlineLevel="0" collapsed="false">
      <c r="A109" s="19"/>
      <c r="B109" s="23"/>
      <c r="C109" s="22" t="str">
        <f aca="false">IF(OR($A109="",$B109=""),"",INDEX(tblCalisan[Brüt Ücret (₺)],MATCH($A109,tblCalisan[Çalışan Adı],0))*IF($B109="5 Puan İndirimi",BesPuanOrani,IF($B109="İlave İstihdam",IlaveIstihdamOrani,IF($B109="Kadın/Genç",KadinGencOrani,IF($B109="Engelli",EngelliOrani,GencGirisimciOrani)))))</f>
        <v/>
      </c>
      <c r="D109" s="22" t="str">
        <f aca="false">IF($C109="","",$C109*AySayisi)</f>
        <v/>
      </c>
      <c r="E109" s="23"/>
    </row>
    <row r="110" customFormat="false" ht="15" hidden="false" customHeight="false" outlineLevel="0" collapsed="false">
      <c r="A110" s="19"/>
      <c r="B110" s="23"/>
      <c r="C110" s="22" t="str">
        <f aca="false">IF(OR($A110="",$B110=""),"",INDEX(tblCalisan[Brüt Ücret (₺)],MATCH($A110,tblCalisan[Çalışan Adı],0))*IF($B110="5 Puan İndirimi",BesPuanOrani,IF($B110="İlave İstihdam",IlaveIstihdamOrani,IF($B110="Kadın/Genç",KadinGencOrani,IF($B110="Engelli",EngelliOrani,GencGirisimciOrani)))))</f>
        <v/>
      </c>
      <c r="D110" s="22" t="str">
        <f aca="false">IF($C110="","",$C110*AySayisi)</f>
        <v/>
      </c>
      <c r="E110" s="23"/>
    </row>
    <row r="111" customFormat="false" ht="15" hidden="false" customHeight="false" outlineLevel="0" collapsed="false">
      <c r="A111" s="19"/>
      <c r="B111" s="23"/>
      <c r="C111" s="22" t="str">
        <f aca="false">IF(OR($A111="",$B111=""),"",INDEX(tblCalisan[Brüt Ücret (₺)],MATCH($A111,tblCalisan[Çalışan Adı],0))*IF($B111="5 Puan İndirimi",BesPuanOrani,IF($B111="İlave İstihdam",IlaveIstihdamOrani,IF($B111="Kadın/Genç",KadinGencOrani,IF($B111="Engelli",EngelliOrani,GencGirisimciOrani)))))</f>
        <v/>
      </c>
      <c r="D111" s="22" t="str">
        <f aca="false">IF($C111="","",$C111*AySayisi)</f>
        <v/>
      </c>
      <c r="E111" s="23"/>
    </row>
    <row r="112" customFormat="false" ht="15" hidden="false" customHeight="false" outlineLevel="0" collapsed="false">
      <c r="A112" s="19"/>
      <c r="B112" s="23"/>
      <c r="C112" s="22" t="str">
        <f aca="false">IF(OR($A112="",$B112=""),"",INDEX(tblCalisan[Brüt Ücret (₺)],MATCH($A112,tblCalisan[Çalışan Adı],0))*IF($B112="5 Puan İndirimi",BesPuanOrani,IF($B112="İlave İstihdam",IlaveIstihdamOrani,IF($B112="Kadın/Genç",KadinGencOrani,IF($B112="Engelli",EngelliOrani,GencGirisimciOrani)))))</f>
        <v/>
      </c>
      <c r="D112" s="22" t="str">
        <f aca="false">IF($C112="","",$C112*AySayisi)</f>
        <v/>
      </c>
      <c r="E112" s="23"/>
    </row>
    <row r="113" customFormat="false" ht="15" hidden="false" customHeight="false" outlineLevel="0" collapsed="false">
      <c r="A113" s="19"/>
      <c r="B113" s="23"/>
      <c r="C113" s="22" t="str">
        <f aca="false">IF(OR($A113="",$B113=""),"",INDEX(tblCalisan[Brüt Ücret (₺)],MATCH($A113,tblCalisan[Çalışan Adı],0))*IF($B113="5 Puan İndirimi",BesPuanOrani,IF($B113="İlave İstihdam",IlaveIstihdamOrani,IF($B113="Kadın/Genç",KadinGencOrani,IF($B113="Engelli",EngelliOrani,GencGirisimciOrani)))))</f>
        <v/>
      </c>
      <c r="D113" s="22" t="str">
        <f aca="false">IF($C113="","",$C113*AySayisi)</f>
        <v/>
      </c>
      <c r="E113" s="23"/>
    </row>
    <row r="114" customFormat="false" ht="15" hidden="false" customHeight="false" outlineLevel="0" collapsed="false">
      <c r="A114" s="19"/>
      <c r="B114" s="23"/>
      <c r="C114" s="22" t="str">
        <f aca="false">IF(OR($A114="",$B114=""),"",INDEX(tblCalisan[Brüt Ücret (₺)],MATCH($A114,tblCalisan[Çalışan Adı],0))*IF($B114="5 Puan İndirimi",BesPuanOrani,IF($B114="İlave İstihdam",IlaveIstihdamOrani,IF($B114="Kadın/Genç",KadinGencOrani,IF($B114="Engelli",EngelliOrani,GencGirisimciOrani)))))</f>
        <v/>
      </c>
      <c r="D114" s="22" t="str">
        <f aca="false">IF($C114="","",$C114*AySayisi)</f>
        <v/>
      </c>
      <c r="E114" s="23"/>
    </row>
    <row r="115" customFormat="false" ht="15" hidden="false" customHeight="false" outlineLevel="0" collapsed="false">
      <c r="A115" s="19"/>
      <c r="B115" s="23"/>
      <c r="C115" s="22" t="str">
        <f aca="false">IF(OR($A115="",$B115=""),"",INDEX(tblCalisan[Brüt Ücret (₺)],MATCH($A115,tblCalisan[Çalışan Adı],0))*IF($B115="5 Puan İndirimi",BesPuanOrani,IF($B115="İlave İstihdam",IlaveIstihdamOrani,IF($B115="Kadın/Genç",KadinGencOrani,IF($B115="Engelli",EngelliOrani,GencGirisimciOrani)))))</f>
        <v/>
      </c>
      <c r="D115" s="22" t="str">
        <f aca="false">IF($C115="","",$C115*AySayisi)</f>
        <v/>
      </c>
      <c r="E115" s="23"/>
    </row>
    <row r="116" customFormat="false" ht="15" hidden="false" customHeight="false" outlineLevel="0" collapsed="false">
      <c r="A116" s="19"/>
      <c r="B116" s="23"/>
      <c r="C116" s="22" t="str">
        <f aca="false">IF(OR($A116="",$B116=""),"",INDEX(tblCalisan[Brüt Ücret (₺)],MATCH($A116,tblCalisan[Çalışan Adı],0))*IF($B116="5 Puan İndirimi",BesPuanOrani,IF($B116="İlave İstihdam",IlaveIstihdamOrani,IF($B116="Kadın/Genç",KadinGencOrani,IF($B116="Engelli",EngelliOrani,GencGirisimciOrani)))))</f>
        <v/>
      </c>
      <c r="D116" s="22" t="str">
        <f aca="false">IF($C116="","",$C116*AySayisi)</f>
        <v/>
      </c>
      <c r="E116" s="23"/>
    </row>
    <row r="117" customFormat="false" ht="15" hidden="false" customHeight="false" outlineLevel="0" collapsed="false">
      <c r="A117" s="19"/>
      <c r="B117" s="23"/>
      <c r="C117" s="22" t="str">
        <f aca="false">IF(OR($A117="",$B117=""),"",INDEX(tblCalisan[Brüt Ücret (₺)],MATCH($A117,tblCalisan[Çalışan Adı],0))*IF($B117="5 Puan İndirimi",BesPuanOrani,IF($B117="İlave İstihdam",IlaveIstihdamOrani,IF($B117="Kadın/Genç",KadinGencOrani,IF($B117="Engelli",EngelliOrani,GencGirisimciOrani)))))</f>
        <v/>
      </c>
      <c r="D117" s="22" t="str">
        <f aca="false">IF($C117="","",$C117*AySayisi)</f>
        <v/>
      </c>
      <c r="E117" s="23"/>
    </row>
    <row r="118" customFormat="false" ht="15" hidden="false" customHeight="false" outlineLevel="0" collapsed="false">
      <c r="A118" s="19"/>
      <c r="B118" s="23"/>
      <c r="C118" s="22" t="str">
        <f aca="false">IF(OR($A118="",$B118=""),"",INDEX(tblCalisan[Brüt Ücret (₺)],MATCH($A118,tblCalisan[Çalışan Adı],0))*IF($B118="5 Puan İndirimi",BesPuanOrani,IF($B118="İlave İstihdam",IlaveIstihdamOrani,IF($B118="Kadın/Genç",KadinGencOrani,IF($B118="Engelli",EngelliOrani,GencGirisimciOrani)))))</f>
        <v/>
      </c>
      <c r="D118" s="22" t="str">
        <f aca="false">IF($C118="","",$C118*AySayisi)</f>
        <v/>
      </c>
      <c r="E118" s="23"/>
    </row>
    <row r="119" customFormat="false" ht="15" hidden="false" customHeight="false" outlineLevel="0" collapsed="false">
      <c r="A119" s="19"/>
      <c r="B119" s="23"/>
      <c r="C119" s="22" t="str">
        <f aca="false">IF(OR($A119="",$B119=""),"",INDEX(tblCalisan[Brüt Ücret (₺)],MATCH($A119,tblCalisan[Çalışan Adı],0))*IF($B119="5 Puan İndirimi",BesPuanOrani,IF($B119="İlave İstihdam",IlaveIstihdamOrani,IF($B119="Kadın/Genç",KadinGencOrani,IF($B119="Engelli",EngelliOrani,GencGirisimciOrani)))))</f>
        <v/>
      </c>
      <c r="D119" s="22" t="str">
        <f aca="false">IF($C119="","",$C119*AySayisi)</f>
        <v/>
      </c>
      <c r="E119" s="23"/>
    </row>
    <row r="120" customFormat="false" ht="15" hidden="false" customHeight="false" outlineLevel="0" collapsed="false">
      <c r="A120" s="19"/>
      <c r="B120" s="23"/>
      <c r="C120" s="22" t="str">
        <f aca="false">IF(OR($A120="",$B120=""),"",INDEX(tblCalisan[Brüt Ücret (₺)],MATCH($A120,tblCalisan[Çalışan Adı],0))*IF($B120="5 Puan İndirimi",BesPuanOrani,IF($B120="İlave İstihdam",IlaveIstihdamOrani,IF($B120="Kadın/Genç",KadinGencOrani,IF($B120="Engelli",EngelliOrani,GencGirisimciOrani)))))</f>
        <v/>
      </c>
      <c r="D120" s="22" t="str">
        <f aca="false">IF($C120="","",$C120*AySayisi)</f>
        <v/>
      </c>
      <c r="E120" s="23"/>
    </row>
    <row r="121" customFormat="false" ht="15" hidden="false" customHeight="false" outlineLevel="0" collapsed="false">
      <c r="A121" s="19"/>
      <c r="B121" s="23"/>
      <c r="C121" s="22" t="str">
        <f aca="false">IF(OR($A121="",$B121=""),"",INDEX(tblCalisan[Brüt Ücret (₺)],MATCH($A121,tblCalisan[Çalışan Adı],0))*IF($B121="5 Puan İndirimi",BesPuanOrani,IF($B121="İlave İstihdam",IlaveIstihdamOrani,IF($B121="Kadın/Genç",KadinGencOrani,IF($B121="Engelli",EngelliOrani,GencGirisimciOrani)))))</f>
        <v/>
      </c>
      <c r="D121" s="22" t="str">
        <f aca="false">IF($C121="","",$C121*AySayisi)</f>
        <v/>
      </c>
      <c r="E121" s="23"/>
    </row>
    <row r="122" customFormat="false" ht="15" hidden="false" customHeight="false" outlineLevel="0" collapsed="false">
      <c r="A122" s="19"/>
      <c r="B122" s="23"/>
      <c r="C122" s="22" t="str">
        <f aca="false">IF(OR($A122="",$B122=""),"",INDEX(tblCalisan[Brüt Ücret (₺)],MATCH($A122,tblCalisan[Çalışan Adı],0))*IF($B122="5 Puan İndirimi",BesPuanOrani,IF($B122="İlave İstihdam",IlaveIstihdamOrani,IF($B122="Kadın/Genç",KadinGencOrani,IF($B122="Engelli",EngelliOrani,GencGirisimciOrani)))))</f>
        <v/>
      </c>
      <c r="D122" s="22" t="str">
        <f aca="false">IF($C122="","",$C122*AySayisi)</f>
        <v/>
      </c>
      <c r="E122" s="23"/>
    </row>
    <row r="123" customFormat="false" ht="15" hidden="false" customHeight="false" outlineLevel="0" collapsed="false">
      <c r="A123" s="19"/>
      <c r="B123" s="23"/>
      <c r="C123" s="22" t="str">
        <f aca="false">IF(OR($A123="",$B123=""),"",INDEX(tblCalisan[Brüt Ücret (₺)],MATCH($A123,tblCalisan[Çalışan Adı],0))*IF($B123="5 Puan İndirimi",BesPuanOrani,IF($B123="İlave İstihdam",IlaveIstihdamOrani,IF($B123="Kadın/Genç",KadinGencOrani,IF($B123="Engelli",EngelliOrani,GencGirisimciOrani)))))</f>
        <v/>
      </c>
      <c r="D123" s="22" t="str">
        <f aca="false">IF($C123="","",$C123*AySayisi)</f>
        <v/>
      </c>
      <c r="E123" s="23"/>
    </row>
    <row r="124" customFormat="false" ht="15" hidden="false" customHeight="false" outlineLevel="0" collapsed="false">
      <c r="A124" s="19"/>
      <c r="B124" s="23"/>
      <c r="C124" s="22" t="str">
        <f aca="false">IF(OR($A124="",$B124=""),"",INDEX(tblCalisan[Brüt Ücret (₺)],MATCH($A124,tblCalisan[Çalışan Adı],0))*IF($B124="5 Puan İndirimi",BesPuanOrani,IF($B124="İlave İstihdam",IlaveIstihdamOrani,IF($B124="Kadın/Genç",KadinGencOrani,IF($B124="Engelli",EngelliOrani,GencGirisimciOrani)))))</f>
        <v/>
      </c>
      <c r="D124" s="22" t="str">
        <f aca="false">IF($C124="","",$C124*AySayisi)</f>
        <v/>
      </c>
      <c r="E124" s="23"/>
    </row>
    <row r="125" customFormat="false" ht="15" hidden="false" customHeight="false" outlineLevel="0" collapsed="false">
      <c r="A125" s="19"/>
      <c r="B125" s="23"/>
      <c r="C125" s="22" t="str">
        <f aca="false">IF(OR($A125="",$B125=""),"",INDEX(tblCalisan[Brüt Ücret (₺)],MATCH($A125,tblCalisan[Çalışan Adı],0))*IF($B125="5 Puan İndirimi",BesPuanOrani,IF($B125="İlave İstihdam",IlaveIstihdamOrani,IF($B125="Kadın/Genç",KadinGencOrani,IF($B125="Engelli",EngelliOrani,GencGirisimciOrani)))))</f>
        <v/>
      </c>
      <c r="D125" s="22" t="str">
        <f aca="false">IF($C125="","",$C125*AySayisi)</f>
        <v/>
      </c>
      <c r="E125" s="23"/>
    </row>
    <row r="126" customFormat="false" ht="15" hidden="false" customHeight="false" outlineLevel="0" collapsed="false">
      <c r="A126" s="19"/>
      <c r="B126" s="23"/>
      <c r="C126" s="22" t="str">
        <f aca="false">IF(OR($A126="",$B126=""),"",INDEX(tblCalisan[Brüt Ücret (₺)],MATCH($A126,tblCalisan[Çalışan Adı],0))*IF($B126="5 Puan İndirimi",BesPuanOrani,IF($B126="İlave İstihdam",IlaveIstihdamOrani,IF($B126="Kadın/Genç",KadinGencOrani,IF($B126="Engelli",EngelliOrani,GencGirisimciOrani)))))</f>
        <v/>
      </c>
      <c r="D126" s="22" t="str">
        <f aca="false">IF($C126="","",$C126*AySayisi)</f>
        <v/>
      </c>
      <c r="E126" s="23"/>
    </row>
    <row r="127" customFormat="false" ht="15" hidden="false" customHeight="false" outlineLevel="0" collapsed="false">
      <c r="A127" s="19"/>
      <c r="B127" s="23"/>
      <c r="C127" s="22" t="str">
        <f aca="false">IF(OR($A127="",$B127=""),"",INDEX(tblCalisan[Brüt Ücret (₺)],MATCH($A127,tblCalisan[Çalışan Adı],0))*IF($B127="5 Puan İndirimi",BesPuanOrani,IF($B127="İlave İstihdam",IlaveIstihdamOrani,IF($B127="Kadın/Genç",KadinGencOrani,IF($B127="Engelli",EngelliOrani,GencGirisimciOrani)))))</f>
        <v/>
      </c>
      <c r="D127" s="22" t="str">
        <f aca="false">IF($C127="","",$C127*AySayisi)</f>
        <v/>
      </c>
      <c r="E127" s="23"/>
    </row>
    <row r="128" customFormat="false" ht="15" hidden="false" customHeight="false" outlineLevel="0" collapsed="false">
      <c r="A128" s="19"/>
      <c r="B128" s="23"/>
      <c r="C128" s="22" t="str">
        <f aca="false">IF(OR($A128="",$B128=""),"",INDEX(tblCalisan[Brüt Ücret (₺)],MATCH($A128,tblCalisan[Çalışan Adı],0))*IF($B128="5 Puan İndirimi",BesPuanOrani,IF($B128="İlave İstihdam",IlaveIstihdamOrani,IF($B128="Kadın/Genç",KadinGencOrani,IF($B128="Engelli",EngelliOrani,GencGirisimciOrani)))))</f>
        <v/>
      </c>
      <c r="D128" s="22" t="str">
        <f aca="false">IF($C128="","",$C128*AySayisi)</f>
        <v/>
      </c>
      <c r="E128" s="23"/>
    </row>
    <row r="129" customFormat="false" ht="15" hidden="false" customHeight="false" outlineLevel="0" collapsed="false">
      <c r="A129" s="19"/>
      <c r="B129" s="23"/>
      <c r="C129" s="22" t="str">
        <f aca="false">IF(OR($A129="",$B129=""),"",INDEX(tblCalisan[Brüt Ücret (₺)],MATCH($A129,tblCalisan[Çalışan Adı],0))*IF($B129="5 Puan İndirimi",BesPuanOrani,IF($B129="İlave İstihdam",IlaveIstihdamOrani,IF($B129="Kadın/Genç",KadinGencOrani,IF($B129="Engelli",EngelliOrani,GencGirisimciOrani)))))</f>
        <v/>
      </c>
      <c r="D129" s="22" t="str">
        <f aca="false">IF($C129="","",$C129*AySayisi)</f>
        <v/>
      </c>
      <c r="E129" s="23"/>
    </row>
    <row r="130" customFormat="false" ht="15" hidden="false" customHeight="false" outlineLevel="0" collapsed="false">
      <c r="A130" s="19"/>
      <c r="B130" s="23"/>
      <c r="C130" s="22" t="str">
        <f aca="false">IF(OR($A130="",$B130=""),"",INDEX(tblCalisan[Brüt Ücret (₺)],MATCH($A130,tblCalisan[Çalışan Adı],0))*IF($B130="5 Puan İndirimi",BesPuanOrani,IF($B130="İlave İstihdam",IlaveIstihdamOrani,IF($B130="Kadın/Genç",KadinGencOrani,IF($B130="Engelli",EngelliOrani,GencGirisimciOrani)))))</f>
        <v/>
      </c>
      <c r="D130" s="22" t="str">
        <f aca="false">IF($C130="","",$C130*AySayisi)</f>
        <v/>
      </c>
      <c r="E130" s="23"/>
    </row>
    <row r="131" customFormat="false" ht="15" hidden="false" customHeight="false" outlineLevel="0" collapsed="false">
      <c r="A131" s="19"/>
      <c r="B131" s="23"/>
      <c r="C131" s="22" t="str">
        <f aca="false">IF(OR($A131="",$B131=""),"",INDEX(tblCalisan[Brüt Ücret (₺)],MATCH($A131,tblCalisan[Çalışan Adı],0))*IF($B131="5 Puan İndirimi",BesPuanOrani,IF($B131="İlave İstihdam",IlaveIstihdamOrani,IF($B131="Kadın/Genç",KadinGencOrani,IF($B131="Engelli",EngelliOrani,GencGirisimciOrani)))))</f>
        <v/>
      </c>
      <c r="D131" s="22" t="str">
        <f aca="false">IF($C131="","",$C131*AySayisi)</f>
        <v/>
      </c>
      <c r="E131" s="23"/>
    </row>
    <row r="132" customFormat="false" ht="15" hidden="false" customHeight="false" outlineLevel="0" collapsed="false">
      <c r="A132" s="19"/>
      <c r="B132" s="23"/>
      <c r="C132" s="22" t="str">
        <f aca="false">IF(OR($A132="",$B132=""),"",INDEX(tblCalisan[Brüt Ücret (₺)],MATCH($A132,tblCalisan[Çalışan Adı],0))*IF($B132="5 Puan İndirimi",BesPuanOrani,IF($B132="İlave İstihdam",IlaveIstihdamOrani,IF($B132="Kadın/Genç",KadinGencOrani,IF($B132="Engelli",EngelliOrani,GencGirisimciOrani)))))</f>
        <v/>
      </c>
      <c r="D132" s="22" t="str">
        <f aca="false">IF($C132="","",$C132*AySayisi)</f>
        <v/>
      </c>
      <c r="E132" s="23"/>
    </row>
    <row r="133" customFormat="false" ht="15" hidden="false" customHeight="false" outlineLevel="0" collapsed="false">
      <c r="A133" s="19"/>
      <c r="B133" s="23"/>
      <c r="C133" s="22" t="str">
        <f aca="false">IF(OR($A133="",$B133=""),"",INDEX(tblCalisan[Brüt Ücret (₺)],MATCH($A133,tblCalisan[Çalışan Adı],0))*IF($B133="5 Puan İndirimi",BesPuanOrani,IF($B133="İlave İstihdam",IlaveIstihdamOrani,IF($B133="Kadın/Genç",KadinGencOrani,IF($B133="Engelli",EngelliOrani,GencGirisimciOrani)))))</f>
        <v/>
      </c>
      <c r="D133" s="22" t="str">
        <f aca="false">IF($C133="","",$C133*AySayisi)</f>
        <v/>
      </c>
      <c r="E133" s="23"/>
    </row>
    <row r="134" customFormat="false" ht="15" hidden="false" customHeight="false" outlineLevel="0" collapsed="false">
      <c r="A134" s="19"/>
      <c r="B134" s="23"/>
      <c r="C134" s="22" t="str">
        <f aca="false">IF(OR($A134="",$B134=""),"",INDEX(tblCalisan[Brüt Ücret (₺)],MATCH($A134,tblCalisan[Çalışan Adı],0))*IF($B134="5 Puan İndirimi",BesPuanOrani,IF($B134="İlave İstihdam",IlaveIstihdamOrani,IF($B134="Kadın/Genç",KadinGencOrani,IF($B134="Engelli",EngelliOrani,GencGirisimciOrani)))))</f>
        <v/>
      </c>
      <c r="D134" s="22" t="str">
        <f aca="false">IF($C134="","",$C134*AySayisi)</f>
        <v/>
      </c>
      <c r="E134" s="23"/>
    </row>
    <row r="135" customFormat="false" ht="15" hidden="false" customHeight="false" outlineLevel="0" collapsed="false">
      <c r="A135" s="19"/>
      <c r="B135" s="23"/>
      <c r="C135" s="22" t="str">
        <f aca="false">IF(OR($A135="",$B135=""),"",INDEX(tblCalisan[Brüt Ücret (₺)],MATCH($A135,tblCalisan[Çalışan Adı],0))*IF($B135="5 Puan İndirimi",BesPuanOrani,IF($B135="İlave İstihdam",IlaveIstihdamOrani,IF($B135="Kadın/Genç",KadinGencOrani,IF($B135="Engelli",EngelliOrani,GencGirisimciOrani)))))</f>
        <v/>
      </c>
      <c r="D135" s="22" t="str">
        <f aca="false">IF($C135="","",$C135*AySayisi)</f>
        <v/>
      </c>
      <c r="E135" s="23"/>
    </row>
    <row r="136" customFormat="false" ht="15" hidden="false" customHeight="false" outlineLevel="0" collapsed="false">
      <c r="A136" s="19"/>
      <c r="B136" s="23"/>
      <c r="C136" s="22" t="str">
        <f aca="false">IF(OR($A136="",$B136=""),"",INDEX(tblCalisan[Brüt Ücret (₺)],MATCH($A136,tblCalisan[Çalışan Adı],0))*IF($B136="5 Puan İndirimi",BesPuanOrani,IF($B136="İlave İstihdam",IlaveIstihdamOrani,IF($B136="Kadın/Genç",KadinGencOrani,IF($B136="Engelli",EngelliOrani,GencGirisimciOrani)))))</f>
        <v/>
      </c>
      <c r="D136" s="22" t="str">
        <f aca="false">IF($C136="","",$C136*AySayisi)</f>
        <v/>
      </c>
      <c r="E136" s="23"/>
    </row>
    <row r="137" customFormat="false" ht="15" hidden="false" customHeight="false" outlineLevel="0" collapsed="false">
      <c r="A137" s="19"/>
      <c r="B137" s="23"/>
      <c r="C137" s="22" t="str">
        <f aca="false">IF(OR($A137="",$B137=""),"",INDEX(tblCalisan[Brüt Ücret (₺)],MATCH($A137,tblCalisan[Çalışan Adı],0))*IF($B137="5 Puan İndirimi",BesPuanOrani,IF($B137="İlave İstihdam",IlaveIstihdamOrani,IF($B137="Kadın/Genç",KadinGencOrani,IF($B137="Engelli",EngelliOrani,GencGirisimciOrani)))))</f>
        <v/>
      </c>
      <c r="D137" s="22" t="str">
        <f aca="false">IF($C137="","",$C137*AySayisi)</f>
        <v/>
      </c>
      <c r="E137" s="23"/>
    </row>
    <row r="138" customFormat="false" ht="15" hidden="false" customHeight="false" outlineLevel="0" collapsed="false">
      <c r="A138" s="19"/>
      <c r="B138" s="23"/>
      <c r="C138" s="22" t="str">
        <f aca="false">IF(OR($A138="",$B138=""),"",INDEX(tblCalisan[Brüt Ücret (₺)],MATCH($A138,tblCalisan[Çalışan Adı],0))*IF($B138="5 Puan İndirimi",BesPuanOrani,IF($B138="İlave İstihdam",IlaveIstihdamOrani,IF($B138="Kadın/Genç",KadinGencOrani,IF($B138="Engelli",EngelliOrani,GencGirisimciOrani)))))</f>
        <v/>
      </c>
      <c r="D138" s="22" t="str">
        <f aca="false">IF($C138="","",$C138*AySayisi)</f>
        <v/>
      </c>
      <c r="E138" s="23"/>
    </row>
    <row r="139" customFormat="false" ht="15" hidden="false" customHeight="false" outlineLevel="0" collapsed="false">
      <c r="A139" s="19"/>
      <c r="B139" s="23"/>
      <c r="C139" s="22" t="str">
        <f aca="false">IF(OR($A139="",$B139=""),"",INDEX(tblCalisan[Brüt Ücret (₺)],MATCH($A139,tblCalisan[Çalışan Adı],0))*IF($B139="5 Puan İndirimi",BesPuanOrani,IF($B139="İlave İstihdam",IlaveIstihdamOrani,IF($B139="Kadın/Genç",KadinGencOrani,IF($B139="Engelli",EngelliOrani,GencGirisimciOrani)))))</f>
        <v/>
      </c>
      <c r="D139" s="22" t="str">
        <f aca="false">IF($C139="","",$C139*AySayisi)</f>
        <v/>
      </c>
      <c r="E139" s="23"/>
    </row>
    <row r="140" customFormat="false" ht="15" hidden="false" customHeight="false" outlineLevel="0" collapsed="false">
      <c r="A140" s="19"/>
      <c r="B140" s="23"/>
      <c r="C140" s="22" t="str">
        <f aca="false">IF(OR($A140="",$B140=""),"",INDEX(tblCalisan[Brüt Ücret (₺)],MATCH($A140,tblCalisan[Çalışan Adı],0))*IF($B140="5 Puan İndirimi",BesPuanOrani,IF($B140="İlave İstihdam",IlaveIstihdamOrani,IF($B140="Kadın/Genç",KadinGencOrani,IF($B140="Engelli",EngelliOrani,GencGirisimciOrani)))))</f>
        <v/>
      </c>
      <c r="D140" s="22" t="str">
        <f aca="false">IF($C140="","",$C140*AySayisi)</f>
        <v/>
      </c>
      <c r="E140" s="23"/>
    </row>
    <row r="141" customFormat="false" ht="15" hidden="false" customHeight="false" outlineLevel="0" collapsed="false">
      <c r="A141" s="19"/>
      <c r="B141" s="23"/>
      <c r="C141" s="22" t="str">
        <f aca="false">IF(OR($A141="",$B141=""),"",INDEX(tblCalisan[Brüt Ücret (₺)],MATCH($A141,tblCalisan[Çalışan Adı],0))*IF($B141="5 Puan İndirimi",BesPuanOrani,IF($B141="İlave İstihdam",IlaveIstihdamOrani,IF($B141="Kadın/Genç",KadinGencOrani,IF($B141="Engelli",EngelliOrani,GencGirisimciOrani)))))</f>
        <v/>
      </c>
      <c r="D141" s="22" t="str">
        <f aca="false">IF($C141="","",$C141*AySayisi)</f>
        <v/>
      </c>
      <c r="E141" s="23"/>
    </row>
    <row r="142" customFormat="false" ht="15" hidden="false" customHeight="false" outlineLevel="0" collapsed="false">
      <c r="A142" s="19"/>
      <c r="B142" s="23"/>
      <c r="C142" s="22" t="str">
        <f aca="false">IF(OR($A142="",$B142=""),"",INDEX(tblCalisan[Brüt Ücret (₺)],MATCH($A142,tblCalisan[Çalışan Adı],0))*IF($B142="5 Puan İndirimi",BesPuanOrani,IF($B142="İlave İstihdam",IlaveIstihdamOrani,IF($B142="Kadın/Genç",KadinGencOrani,IF($B142="Engelli",EngelliOrani,GencGirisimciOrani)))))</f>
        <v/>
      </c>
      <c r="D142" s="22" t="str">
        <f aca="false">IF($C142="","",$C142*AySayisi)</f>
        <v/>
      </c>
      <c r="E142" s="23"/>
    </row>
    <row r="143" customFormat="false" ht="15" hidden="false" customHeight="false" outlineLevel="0" collapsed="false">
      <c r="A143" s="19"/>
      <c r="B143" s="23"/>
      <c r="C143" s="22" t="str">
        <f aca="false">IF(OR($A143="",$B143=""),"",INDEX(tblCalisan[Brüt Ücret (₺)],MATCH($A143,tblCalisan[Çalışan Adı],0))*IF($B143="5 Puan İndirimi",BesPuanOrani,IF($B143="İlave İstihdam",IlaveIstihdamOrani,IF($B143="Kadın/Genç",KadinGencOrani,IF($B143="Engelli",EngelliOrani,GencGirisimciOrani)))))</f>
        <v/>
      </c>
      <c r="D143" s="22" t="str">
        <f aca="false">IF($C143="","",$C143*AySayisi)</f>
        <v/>
      </c>
      <c r="E143" s="23"/>
    </row>
    <row r="144" customFormat="false" ht="15" hidden="false" customHeight="false" outlineLevel="0" collapsed="false">
      <c r="A144" s="19"/>
      <c r="B144" s="23"/>
      <c r="C144" s="22" t="str">
        <f aca="false">IF(OR($A144="",$B144=""),"",INDEX(tblCalisan[Brüt Ücret (₺)],MATCH($A144,tblCalisan[Çalışan Adı],0))*IF($B144="5 Puan İndirimi",BesPuanOrani,IF($B144="İlave İstihdam",IlaveIstihdamOrani,IF($B144="Kadın/Genç",KadinGencOrani,IF($B144="Engelli",EngelliOrani,GencGirisimciOrani)))))</f>
        <v/>
      </c>
      <c r="D144" s="22" t="str">
        <f aca="false">IF($C144="","",$C144*AySayisi)</f>
        <v/>
      </c>
      <c r="E144" s="23"/>
    </row>
    <row r="145" customFormat="false" ht="15" hidden="false" customHeight="false" outlineLevel="0" collapsed="false">
      <c r="A145" s="19"/>
      <c r="B145" s="23"/>
      <c r="C145" s="22" t="str">
        <f aca="false">IF(OR($A145="",$B145=""),"",INDEX(tblCalisan[Brüt Ücret (₺)],MATCH($A145,tblCalisan[Çalışan Adı],0))*IF($B145="5 Puan İndirimi",BesPuanOrani,IF($B145="İlave İstihdam",IlaveIstihdamOrani,IF($B145="Kadın/Genç",KadinGencOrani,IF($B145="Engelli",EngelliOrani,GencGirisimciOrani)))))</f>
        <v/>
      </c>
      <c r="D145" s="22" t="str">
        <f aca="false">IF($C145="","",$C145*AySayisi)</f>
        <v/>
      </c>
      <c r="E145" s="23"/>
    </row>
    <row r="146" customFormat="false" ht="15" hidden="false" customHeight="false" outlineLevel="0" collapsed="false">
      <c r="A146" s="19"/>
      <c r="B146" s="23"/>
      <c r="C146" s="22" t="str">
        <f aca="false">IF(OR($A146="",$B146=""),"",INDEX(tblCalisan[Brüt Ücret (₺)],MATCH($A146,tblCalisan[Çalışan Adı],0))*IF($B146="5 Puan İndirimi",BesPuanOrani,IF($B146="İlave İstihdam",IlaveIstihdamOrani,IF($B146="Kadın/Genç",KadinGencOrani,IF($B146="Engelli",EngelliOrani,GencGirisimciOrani)))))</f>
        <v/>
      </c>
      <c r="D146" s="22" t="str">
        <f aca="false">IF($C146="","",$C146*AySayisi)</f>
        <v/>
      </c>
      <c r="E146" s="23"/>
    </row>
    <row r="147" customFormat="false" ht="15" hidden="false" customHeight="false" outlineLevel="0" collapsed="false">
      <c r="A147" s="19"/>
      <c r="B147" s="23"/>
      <c r="C147" s="22" t="str">
        <f aca="false">IF(OR($A147="",$B147=""),"",INDEX(tblCalisan[Brüt Ücret (₺)],MATCH($A147,tblCalisan[Çalışan Adı],0))*IF($B147="5 Puan İndirimi",BesPuanOrani,IF($B147="İlave İstihdam",IlaveIstihdamOrani,IF($B147="Kadın/Genç",KadinGencOrani,IF($B147="Engelli",EngelliOrani,GencGirisimciOrani)))))</f>
        <v/>
      </c>
      <c r="D147" s="22" t="str">
        <f aca="false">IF($C147="","",$C147*AySayisi)</f>
        <v/>
      </c>
      <c r="E147" s="23"/>
    </row>
    <row r="148" customFormat="false" ht="15" hidden="false" customHeight="false" outlineLevel="0" collapsed="false">
      <c r="A148" s="19"/>
      <c r="B148" s="23"/>
      <c r="C148" s="22" t="str">
        <f aca="false">IF(OR($A148="",$B148=""),"",INDEX(tblCalisan[Brüt Ücret (₺)],MATCH($A148,tblCalisan[Çalışan Adı],0))*IF($B148="5 Puan İndirimi",BesPuanOrani,IF($B148="İlave İstihdam",IlaveIstihdamOrani,IF($B148="Kadın/Genç",KadinGencOrani,IF($B148="Engelli",EngelliOrani,GencGirisimciOrani)))))</f>
        <v/>
      </c>
      <c r="D148" s="22" t="str">
        <f aca="false">IF($C148="","",$C148*AySayisi)</f>
        <v/>
      </c>
      <c r="E148" s="23"/>
    </row>
    <row r="149" customFormat="false" ht="15" hidden="false" customHeight="false" outlineLevel="0" collapsed="false">
      <c r="A149" s="19"/>
      <c r="B149" s="23"/>
      <c r="C149" s="22" t="str">
        <f aca="false">IF(OR($A149="",$B149=""),"",INDEX(tblCalisan[Brüt Ücret (₺)],MATCH($A149,tblCalisan[Çalışan Adı],0))*IF($B149="5 Puan İndirimi",BesPuanOrani,IF($B149="İlave İstihdam",IlaveIstihdamOrani,IF($B149="Kadın/Genç",KadinGencOrani,IF($B149="Engelli",EngelliOrani,GencGirisimciOrani)))))</f>
        <v/>
      </c>
      <c r="D149" s="22" t="str">
        <f aca="false">IF($C149="","",$C149*AySayisi)</f>
        <v/>
      </c>
      <c r="E149" s="23"/>
    </row>
    <row r="150" customFormat="false" ht="15" hidden="false" customHeight="false" outlineLevel="0" collapsed="false">
      <c r="A150" s="19"/>
      <c r="B150" s="23"/>
      <c r="C150" s="22" t="str">
        <f aca="false">IF(OR($A150="",$B150=""),"",INDEX(tblCalisan[Brüt Ücret (₺)],MATCH($A150,tblCalisan[Çalışan Adı],0))*IF($B150="5 Puan İndirimi",BesPuanOrani,IF($B150="İlave İstihdam",IlaveIstihdamOrani,IF($B150="Kadın/Genç",KadinGencOrani,IF($B150="Engelli",EngelliOrani,GencGirisimciOrani)))))</f>
        <v/>
      </c>
      <c r="D150" s="22" t="str">
        <f aca="false">IF($C150="","",$C150*AySayisi)</f>
        <v/>
      </c>
      <c r="E150" s="23"/>
    </row>
    <row r="151" customFormat="false" ht="15" hidden="false" customHeight="false" outlineLevel="0" collapsed="false">
      <c r="A151" s="19"/>
      <c r="B151" s="23"/>
      <c r="C151" s="22" t="str">
        <f aca="false">IF(OR($A151="",$B151=""),"",INDEX(tblCalisan[Brüt Ücret (₺)],MATCH($A151,tblCalisan[Çalışan Adı],0))*IF($B151="5 Puan İndirimi",BesPuanOrani,IF($B151="İlave İstihdam",IlaveIstihdamOrani,IF($B151="Kadın/Genç",KadinGencOrani,IF($B151="Engelli",EngelliOrani,GencGirisimciOrani)))))</f>
        <v/>
      </c>
      <c r="D151" s="22" t="str">
        <f aca="false">IF($C151="","",$C151*AySayisi)</f>
        <v/>
      </c>
      <c r="E151" s="23"/>
    </row>
    <row r="152" customFormat="false" ht="15" hidden="false" customHeight="false" outlineLevel="0" collapsed="false">
      <c r="A152" s="19"/>
      <c r="B152" s="23"/>
      <c r="C152" s="22" t="str">
        <f aca="false">IF(OR($A152="",$B152=""),"",INDEX(tblCalisan[Brüt Ücret (₺)],MATCH($A152,tblCalisan[Çalışan Adı],0))*IF($B152="5 Puan İndirimi",BesPuanOrani,IF($B152="İlave İstihdam",IlaveIstihdamOrani,IF($B152="Kadın/Genç",KadinGencOrani,IF($B152="Engelli",EngelliOrani,GencGirisimciOrani)))))</f>
        <v/>
      </c>
      <c r="D152" s="22" t="str">
        <f aca="false">IF($C152="","",$C152*AySayisi)</f>
        <v/>
      </c>
      <c r="E152" s="23"/>
    </row>
    <row r="153" customFormat="false" ht="15" hidden="false" customHeight="false" outlineLevel="0" collapsed="false">
      <c r="A153" s="19"/>
      <c r="B153" s="23"/>
      <c r="C153" s="22" t="str">
        <f aca="false">IF(OR($A153="",$B153=""),"",INDEX(tblCalisan[Brüt Ücret (₺)],MATCH($A153,tblCalisan[Çalışan Adı],0))*IF($B153="5 Puan İndirimi",BesPuanOrani,IF($B153="İlave İstihdam",IlaveIstihdamOrani,IF($B153="Kadın/Genç",KadinGencOrani,IF($B153="Engelli",EngelliOrani,GencGirisimciOrani)))))</f>
        <v/>
      </c>
      <c r="D153" s="22" t="str">
        <f aca="false">IF($C153="","",$C153*AySayisi)</f>
        <v/>
      </c>
      <c r="E153" s="23"/>
    </row>
    <row r="154" customFormat="false" ht="15" hidden="false" customHeight="false" outlineLevel="0" collapsed="false">
      <c r="A154" s="19"/>
      <c r="B154" s="23"/>
      <c r="C154" s="22" t="str">
        <f aca="false">IF(OR($A154="",$B154=""),"",INDEX(tblCalisan[Brüt Ücret (₺)],MATCH($A154,tblCalisan[Çalışan Adı],0))*IF($B154="5 Puan İndirimi",BesPuanOrani,IF($B154="İlave İstihdam",IlaveIstihdamOrani,IF($B154="Kadın/Genç",KadinGencOrani,IF($B154="Engelli",EngelliOrani,GencGirisimciOrani)))))</f>
        <v/>
      </c>
      <c r="D154" s="22" t="str">
        <f aca="false">IF($C154="","",$C154*AySayisi)</f>
        <v/>
      </c>
      <c r="E154" s="23"/>
    </row>
    <row r="155" customFormat="false" ht="15" hidden="false" customHeight="false" outlineLevel="0" collapsed="false">
      <c r="A155" s="19"/>
      <c r="B155" s="23"/>
      <c r="C155" s="22" t="str">
        <f aca="false">IF(OR($A155="",$B155=""),"",INDEX(tblCalisan[Brüt Ücret (₺)],MATCH($A155,tblCalisan[Çalışan Adı],0))*IF($B155="5 Puan İndirimi",BesPuanOrani,IF($B155="İlave İstihdam",IlaveIstihdamOrani,IF($B155="Kadın/Genç",KadinGencOrani,IF($B155="Engelli",EngelliOrani,GencGirisimciOrani)))))</f>
        <v/>
      </c>
      <c r="D155" s="22" t="str">
        <f aca="false">IF($C155="","",$C155*AySayisi)</f>
        <v/>
      </c>
      <c r="E155" s="23"/>
    </row>
    <row r="156" customFormat="false" ht="15" hidden="false" customHeight="false" outlineLevel="0" collapsed="false">
      <c r="A156" s="19"/>
      <c r="B156" s="23"/>
      <c r="C156" s="22" t="str">
        <f aca="false">IF(OR($A156="",$B156=""),"",INDEX(tblCalisan[Brüt Ücret (₺)],MATCH($A156,tblCalisan[Çalışan Adı],0))*IF($B156="5 Puan İndirimi",BesPuanOrani,IF($B156="İlave İstihdam",IlaveIstihdamOrani,IF($B156="Kadın/Genç",KadinGencOrani,IF($B156="Engelli",EngelliOrani,GencGirisimciOrani)))))</f>
        <v/>
      </c>
      <c r="D156" s="22" t="str">
        <f aca="false">IF($C156="","",$C156*AySayisi)</f>
        <v/>
      </c>
      <c r="E156" s="23"/>
    </row>
    <row r="157" customFormat="false" ht="15" hidden="false" customHeight="false" outlineLevel="0" collapsed="false">
      <c r="A157" s="19"/>
      <c r="B157" s="23"/>
      <c r="C157" s="22" t="str">
        <f aca="false">IF(OR($A157="",$B157=""),"",INDEX(tblCalisan[Brüt Ücret (₺)],MATCH($A157,tblCalisan[Çalışan Adı],0))*IF($B157="5 Puan İndirimi",BesPuanOrani,IF($B157="İlave İstihdam",IlaveIstihdamOrani,IF($B157="Kadın/Genç",KadinGencOrani,IF($B157="Engelli",EngelliOrani,GencGirisimciOrani)))))</f>
        <v/>
      </c>
      <c r="D157" s="22" t="str">
        <f aca="false">IF($C157="","",$C157*AySayisi)</f>
        <v/>
      </c>
      <c r="E157" s="23"/>
    </row>
    <row r="158" customFormat="false" ht="15" hidden="false" customHeight="false" outlineLevel="0" collapsed="false">
      <c r="A158" s="19"/>
      <c r="B158" s="23"/>
      <c r="C158" s="22" t="str">
        <f aca="false">IF(OR($A158="",$B158=""),"",INDEX(tblCalisan[Brüt Ücret (₺)],MATCH($A158,tblCalisan[Çalışan Adı],0))*IF($B158="5 Puan İndirimi",BesPuanOrani,IF($B158="İlave İstihdam",IlaveIstihdamOrani,IF($B158="Kadın/Genç",KadinGencOrani,IF($B158="Engelli",EngelliOrani,GencGirisimciOrani)))))</f>
        <v/>
      </c>
      <c r="D158" s="22" t="str">
        <f aca="false">IF($C158="","",$C158*AySayisi)</f>
        <v/>
      </c>
      <c r="E158" s="23"/>
    </row>
    <row r="159" customFormat="false" ht="15" hidden="false" customHeight="false" outlineLevel="0" collapsed="false">
      <c r="A159" s="19"/>
      <c r="B159" s="23"/>
      <c r="C159" s="22" t="str">
        <f aca="false">IF(OR($A159="",$B159=""),"",INDEX(tblCalisan[Brüt Ücret (₺)],MATCH($A159,tblCalisan[Çalışan Adı],0))*IF($B159="5 Puan İndirimi",BesPuanOrani,IF($B159="İlave İstihdam",IlaveIstihdamOrani,IF($B159="Kadın/Genç",KadinGencOrani,IF($B159="Engelli",EngelliOrani,GencGirisimciOrani)))))</f>
        <v/>
      </c>
      <c r="D159" s="22" t="str">
        <f aca="false">IF($C159="","",$C159*AySayisi)</f>
        <v/>
      </c>
      <c r="E159" s="23"/>
    </row>
    <row r="160" customFormat="false" ht="15" hidden="false" customHeight="false" outlineLevel="0" collapsed="false">
      <c r="A160" s="19"/>
      <c r="B160" s="23"/>
      <c r="C160" s="22" t="str">
        <f aca="false">IF(OR($A160="",$B160=""),"",INDEX(tblCalisan[Brüt Ücret (₺)],MATCH($A160,tblCalisan[Çalışan Adı],0))*IF($B160="5 Puan İndirimi",BesPuanOrani,IF($B160="İlave İstihdam",IlaveIstihdamOrani,IF($B160="Kadın/Genç",KadinGencOrani,IF($B160="Engelli",EngelliOrani,GencGirisimciOrani)))))</f>
        <v/>
      </c>
      <c r="D160" s="22" t="str">
        <f aca="false">IF($C160="","",$C160*AySayisi)</f>
        <v/>
      </c>
      <c r="E160" s="23"/>
    </row>
    <row r="161" customFormat="false" ht="15" hidden="false" customHeight="false" outlineLevel="0" collapsed="false">
      <c r="A161" s="19"/>
      <c r="B161" s="23"/>
      <c r="C161" s="22" t="str">
        <f aca="false">IF(OR($A161="",$B161=""),"",INDEX(tblCalisan[Brüt Ücret (₺)],MATCH($A161,tblCalisan[Çalışan Adı],0))*IF($B161="5 Puan İndirimi",BesPuanOrani,IF($B161="İlave İstihdam",IlaveIstihdamOrani,IF($B161="Kadın/Genç",KadinGencOrani,IF($B161="Engelli",EngelliOrani,GencGirisimciOrani)))))</f>
        <v/>
      </c>
      <c r="D161" s="22" t="str">
        <f aca="false">IF($C161="","",$C161*AySayisi)</f>
        <v/>
      </c>
      <c r="E161" s="23"/>
    </row>
    <row r="162" customFormat="false" ht="15" hidden="false" customHeight="false" outlineLevel="0" collapsed="false">
      <c r="A162" s="19"/>
      <c r="B162" s="23"/>
      <c r="C162" s="22" t="str">
        <f aca="false">IF(OR($A162="",$B162=""),"",INDEX(tblCalisan[Brüt Ücret (₺)],MATCH($A162,tblCalisan[Çalışan Adı],0))*IF($B162="5 Puan İndirimi",BesPuanOrani,IF($B162="İlave İstihdam",IlaveIstihdamOrani,IF($B162="Kadın/Genç",KadinGencOrani,IF($B162="Engelli",EngelliOrani,GencGirisimciOrani)))))</f>
        <v/>
      </c>
      <c r="D162" s="22" t="str">
        <f aca="false">IF($C162="","",$C162*AySayisi)</f>
        <v/>
      </c>
      <c r="E162" s="23"/>
    </row>
    <row r="163" customFormat="false" ht="15" hidden="false" customHeight="false" outlineLevel="0" collapsed="false">
      <c r="A163" s="19"/>
      <c r="B163" s="23"/>
      <c r="C163" s="22" t="str">
        <f aca="false">IF(OR($A163="",$B163=""),"",INDEX(tblCalisan[Brüt Ücret (₺)],MATCH($A163,tblCalisan[Çalışan Adı],0))*IF($B163="5 Puan İndirimi",BesPuanOrani,IF($B163="İlave İstihdam",IlaveIstihdamOrani,IF($B163="Kadın/Genç",KadinGencOrani,IF($B163="Engelli",EngelliOrani,GencGirisimciOrani)))))</f>
        <v/>
      </c>
      <c r="D163" s="22" t="str">
        <f aca="false">IF($C163="","",$C163*AySayisi)</f>
        <v/>
      </c>
      <c r="E163" s="23"/>
    </row>
    <row r="164" customFormat="false" ht="15" hidden="false" customHeight="false" outlineLevel="0" collapsed="false">
      <c r="A164" s="19"/>
      <c r="B164" s="23"/>
      <c r="C164" s="22" t="str">
        <f aca="false">IF(OR($A164="",$B164=""),"",INDEX(tblCalisan[Brüt Ücret (₺)],MATCH($A164,tblCalisan[Çalışan Adı],0))*IF($B164="5 Puan İndirimi",BesPuanOrani,IF($B164="İlave İstihdam",IlaveIstihdamOrani,IF($B164="Kadın/Genç",KadinGencOrani,IF($B164="Engelli",EngelliOrani,GencGirisimciOrani)))))</f>
        <v/>
      </c>
      <c r="D164" s="22" t="str">
        <f aca="false">IF($C164="","",$C164*AySayisi)</f>
        <v/>
      </c>
      <c r="E164" s="23"/>
    </row>
    <row r="165" customFormat="false" ht="15" hidden="false" customHeight="false" outlineLevel="0" collapsed="false">
      <c r="A165" s="19"/>
      <c r="B165" s="23"/>
      <c r="C165" s="22" t="str">
        <f aca="false">IF(OR($A165="",$B165=""),"",INDEX(tblCalisan[Brüt Ücret (₺)],MATCH($A165,tblCalisan[Çalışan Adı],0))*IF($B165="5 Puan İndirimi",BesPuanOrani,IF($B165="İlave İstihdam",IlaveIstihdamOrani,IF($B165="Kadın/Genç",KadinGencOrani,IF($B165="Engelli",EngelliOrani,GencGirisimciOrani)))))</f>
        <v/>
      </c>
      <c r="D165" s="22" t="str">
        <f aca="false">IF($C165="","",$C165*AySayisi)</f>
        <v/>
      </c>
      <c r="E165" s="23"/>
    </row>
    <row r="166" customFormat="false" ht="15" hidden="false" customHeight="false" outlineLevel="0" collapsed="false">
      <c r="A166" s="19"/>
      <c r="B166" s="23"/>
      <c r="C166" s="22" t="str">
        <f aca="false">IF(OR($A166="",$B166=""),"",INDEX(tblCalisan[Brüt Ücret (₺)],MATCH($A166,tblCalisan[Çalışan Adı],0))*IF($B166="5 Puan İndirimi",BesPuanOrani,IF($B166="İlave İstihdam",IlaveIstihdamOrani,IF($B166="Kadın/Genç",KadinGencOrani,IF($B166="Engelli",EngelliOrani,GencGirisimciOrani)))))</f>
        <v/>
      </c>
      <c r="D166" s="22" t="str">
        <f aca="false">IF($C166="","",$C166*AySayisi)</f>
        <v/>
      </c>
      <c r="E166" s="23"/>
    </row>
    <row r="167" customFormat="false" ht="15" hidden="false" customHeight="false" outlineLevel="0" collapsed="false">
      <c r="A167" s="19"/>
      <c r="B167" s="23"/>
      <c r="C167" s="22" t="str">
        <f aca="false">IF(OR($A167="",$B167=""),"",INDEX(tblCalisan[Brüt Ücret (₺)],MATCH($A167,tblCalisan[Çalışan Adı],0))*IF($B167="5 Puan İndirimi",BesPuanOrani,IF($B167="İlave İstihdam",IlaveIstihdamOrani,IF($B167="Kadın/Genç",KadinGencOrani,IF($B167="Engelli",EngelliOrani,GencGirisimciOrani)))))</f>
        <v/>
      </c>
      <c r="D167" s="22" t="str">
        <f aca="false">IF($C167="","",$C167*AySayisi)</f>
        <v/>
      </c>
      <c r="E167" s="23"/>
    </row>
    <row r="168" customFormat="false" ht="15" hidden="false" customHeight="false" outlineLevel="0" collapsed="false">
      <c r="A168" s="19"/>
      <c r="B168" s="23"/>
      <c r="C168" s="22" t="str">
        <f aca="false">IF(OR($A168="",$B168=""),"",INDEX(tblCalisan[Brüt Ücret (₺)],MATCH($A168,tblCalisan[Çalışan Adı],0))*IF($B168="5 Puan İndirimi",BesPuanOrani,IF($B168="İlave İstihdam",IlaveIstihdamOrani,IF($B168="Kadın/Genç",KadinGencOrani,IF($B168="Engelli",EngelliOrani,GencGirisimciOrani)))))</f>
        <v/>
      </c>
      <c r="D168" s="22" t="str">
        <f aca="false">IF($C168="","",$C168*AySayisi)</f>
        <v/>
      </c>
      <c r="E168" s="23"/>
    </row>
    <row r="169" customFormat="false" ht="15" hidden="false" customHeight="false" outlineLevel="0" collapsed="false">
      <c r="A169" s="19"/>
      <c r="B169" s="23"/>
      <c r="C169" s="22" t="str">
        <f aca="false">IF(OR($A169="",$B169=""),"",INDEX(tblCalisan[Brüt Ücret (₺)],MATCH($A169,tblCalisan[Çalışan Adı],0))*IF($B169="5 Puan İndirimi",BesPuanOrani,IF($B169="İlave İstihdam",IlaveIstihdamOrani,IF($B169="Kadın/Genç",KadinGencOrani,IF($B169="Engelli",EngelliOrani,GencGirisimciOrani)))))</f>
        <v/>
      </c>
      <c r="D169" s="22" t="str">
        <f aca="false">IF($C169="","",$C169*AySayisi)</f>
        <v/>
      </c>
      <c r="E169" s="23"/>
    </row>
    <row r="170" customFormat="false" ht="15" hidden="false" customHeight="false" outlineLevel="0" collapsed="false">
      <c r="A170" s="19"/>
      <c r="B170" s="23"/>
      <c r="C170" s="22" t="str">
        <f aca="false">IF(OR($A170="",$B170=""),"",INDEX(tblCalisan[Brüt Ücret (₺)],MATCH($A170,tblCalisan[Çalışan Adı],0))*IF($B170="5 Puan İndirimi",BesPuanOrani,IF($B170="İlave İstihdam",IlaveIstihdamOrani,IF($B170="Kadın/Genç",KadinGencOrani,IF($B170="Engelli",EngelliOrani,GencGirisimciOrani)))))</f>
        <v/>
      </c>
      <c r="D170" s="22" t="str">
        <f aca="false">IF($C170="","",$C170*AySayisi)</f>
        <v/>
      </c>
      <c r="E170" s="23"/>
    </row>
    <row r="171" customFormat="false" ht="15" hidden="false" customHeight="false" outlineLevel="0" collapsed="false">
      <c r="A171" s="19"/>
      <c r="B171" s="23"/>
      <c r="C171" s="22" t="str">
        <f aca="false">IF(OR($A171="",$B171=""),"",INDEX(tblCalisan[Brüt Ücret (₺)],MATCH($A171,tblCalisan[Çalışan Adı],0))*IF($B171="5 Puan İndirimi",BesPuanOrani,IF($B171="İlave İstihdam",IlaveIstihdamOrani,IF($B171="Kadın/Genç",KadinGencOrani,IF($B171="Engelli",EngelliOrani,GencGirisimciOrani)))))</f>
        <v/>
      </c>
      <c r="D171" s="22" t="str">
        <f aca="false">IF($C171="","",$C171*AySayisi)</f>
        <v/>
      </c>
      <c r="E171" s="23"/>
    </row>
    <row r="172" customFormat="false" ht="15" hidden="false" customHeight="false" outlineLevel="0" collapsed="false">
      <c r="A172" s="19"/>
      <c r="B172" s="23"/>
      <c r="C172" s="22" t="str">
        <f aca="false">IF(OR($A172="",$B172=""),"",INDEX(tblCalisan[Brüt Ücret (₺)],MATCH($A172,tblCalisan[Çalışan Adı],0))*IF($B172="5 Puan İndirimi",BesPuanOrani,IF($B172="İlave İstihdam",IlaveIstihdamOrani,IF($B172="Kadın/Genç",KadinGencOrani,IF($B172="Engelli",EngelliOrani,GencGirisimciOrani)))))</f>
        <v/>
      </c>
      <c r="D172" s="22" t="str">
        <f aca="false">IF($C172="","",$C172*AySayisi)</f>
        <v/>
      </c>
      <c r="E172" s="23"/>
    </row>
    <row r="173" customFormat="false" ht="15" hidden="false" customHeight="false" outlineLevel="0" collapsed="false">
      <c r="A173" s="19"/>
      <c r="B173" s="23"/>
      <c r="C173" s="22" t="str">
        <f aca="false">IF(OR($A173="",$B173=""),"",INDEX(tblCalisan[Brüt Ücret (₺)],MATCH($A173,tblCalisan[Çalışan Adı],0))*IF($B173="5 Puan İndirimi",BesPuanOrani,IF($B173="İlave İstihdam",IlaveIstihdamOrani,IF($B173="Kadın/Genç",KadinGencOrani,IF($B173="Engelli",EngelliOrani,GencGirisimciOrani)))))</f>
        <v/>
      </c>
      <c r="D173" s="22" t="str">
        <f aca="false">IF($C173="","",$C173*AySayisi)</f>
        <v/>
      </c>
      <c r="E173" s="23"/>
    </row>
    <row r="174" customFormat="false" ht="15" hidden="false" customHeight="false" outlineLevel="0" collapsed="false">
      <c r="A174" s="19"/>
      <c r="B174" s="23"/>
      <c r="C174" s="22" t="str">
        <f aca="false">IF(OR($A174="",$B174=""),"",INDEX(tblCalisan[Brüt Ücret (₺)],MATCH($A174,tblCalisan[Çalışan Adı],0))*IF($B174="5 Puan İndirimi",BesPuanOrani,IF($B174="İlave İstihdam",IlaveIstihdamOrani,IF($B174="Kadın/Genç",KadinGencOrani,IF($B174="Engelli",EngelliOrani,GencGirisimciOrani)))))</f>
        <v/>
      </c>
      <c r="D174" s="22" t="str">
        <f aca="false">IF($C174="","",$C174*AySayisi)</f>
        <v/>
      </c>
      <c r="E174" s="23"/>
    </row>
    <row r="175" customFormat="false" ht="15" hidden="false" customHeight="false" outlineLevel="0" collapsed="false">
      <c r="A175" s="19"/>
      <c r="B175" s="23"/>
      <c r="C175" s="22" t="str">
        <f aca="false">IF(OR($A175="",$B175=""),"",INDEX(tblCalisan[Brüt Ücret (₺)],MATCH($A175,tblCalisan[Çalışan Adı],0))*IF($B175="5 Puan İndirimi",BesPuanOrani,IF($B175="İlave İstihdam",IlaveIstihdamOrani,IF($B175="Kadın/Genç",KadinGencOrani,IF($B175="Engelli",EngelliOrani,GencGirisimciOrani)))))</f>
        <v/>
      </c>
      <c r="D175" s="22" t="str">
        <f aca="false">IF($C175="","",$C175*AySayisi)</f>
        <v/>
      </c>
      <c r="E175" s="23"/>
    </row>
    <row r="176" customFormat="false" ht="15" hidden="false" customHeight="false" outlineLevel="0" collapsed="false">
      <c r="A176" s="19"/>
      <c r="B176" s="23"/>
      <c r="C176" s="22" t="str">
        <f aca="false">IF(OR($A176="",$B176=""),"",INDEX(tblCalisan[Brüt Ücret (₺)],MATCH($A176,tblCalisan[Çalışan Adı],0))*IF($B176="5 Puan İndirimi",BesPuanOrani,IF($B176="İlave İstihdam",IlaveIstihdamOrani,IF($B176="Kadın/Genç",KadinGencOrani,IF($B176="Engelli",EngelliOrani,GencGirisimciOrani)))))</f>
        <v/>
      </c>
      <c r="D176" s="22" t="str">
        <f aca="false">IF($C176="","",$C176*AySayisi)</f>
        <v/>
      </c>
      <c r="E176" s="23"/>
    </row>
    <row r="177" customFormat="false" ht="15" hidden="false" customHeight="false" outlineLevel="0" collapsed="false">
      <c r="A177" s="19"/>
      <c r="B177" s="23"/>
      <c r="C177" s="22" t="str">
        <f aca="false">IF(OR($A177="",$B177=""),"",INDEX(tblCalisan[Brüt Ücret (₺)],MATCH($A177,tblCalisan[Çalışan Adı],0))*IF($B177="5 Puan İndirimi",BesPuanOrani,IF($B177="İlave İstihdam",IlaveIstihdamOrani,IF($B177="Kadın/Genç",KadinGencOrani,IF($B177="Engelli",EngelliOrani,GencGirisimciOrani)))))</f>
        <v/>
      </c>
      <c r="D177" s="22" t="str">
        <f aca="false">IF($C177="","",$C177*AySayisi)</f>
        <v/>
      </c>
      <c r="E177" s="23"/>
    </row>
    <row r="178" customFormat="false" ht="15" hidden="false" customHeight="false" outlineLevel="0" collapsed="false">
      <c r="A178" s="19"/>
      <c r="B178" s="23"/>
      <c r="C178" s="22" t="str">
        <f aca="false">IF(OR($A178="",$B178=""),"",INDEX(tblCalisan[Brüt Ücret (₺)],MATCH($A178,tblCalisan[Çalışan Adı],0))*IF($B178="5 Puan İndirimi",BesPuanOrani,IF($B178="İlave İstihdam",IlaveIstihdamOrani,IF($B178="Kadın/Genç",KadinGencOrani,IF($B178="Engelli",EngelliOrani,GencGirisimciOrani)))))</f>
        <v/>
      </c>
      <c r="D178" s="22" t="str">
        <f aca="false">IF($C178="","",$C178*AySayisi)</f>
        <v/>
      </c>
      <c r="E178" s="23"/>
    </row>
    <row r="179" customFormat="false" ht="15" hidden="false" customHeight="false" outlineLevel="0" collapsed="false">
      <c r="A179" s="19"/>
      <c r="B179" s="23"/>
      <c r="C179" s="22" t="str">
        <f aca="false">IF(OR($A179="",$B179=""),"",INDEX(tblCalisan[Brüt Ücret (₺)],MATCH($A179,tblCalisan[Çalışan Adı],0))*IF($B179="5 Puan İndirimi",BesPuanOrani,IF($B179="İlave İstihdam",IlaveIstihdamOrani,IF($B179="Kadın/Genç",KadinGencOrani,IF($B179="Engelli",EngelliOrani,GencGirisimciOrani)))))</f>
        <v/>
      </c>
      <c r="D179" s="22" t="str">
        <f aca="false">IF($C179="","",$C179*AySayisi)</f>
        <v/>
      </c>
      <c r="E179" s="23"/>
    </row>
    <row r="180" customFormat="false" ht="15" hidden="false" customHeight="false" outlineLevel="0" collapsed="false">
      <c r="A180" s="19"/>
      <c r="B180" s="23"/>
      <c r="C180" s="22" t="str">
        <f aca="false">IF(OR($A180="",$B180=""),"",INDEX(tblCalisan[Brüt Ücret (₺)],MATCH($A180,tblCalisan[Çalışan Adı],0))*IF($B180="5 Puan İndirimi",BesPuanOrani,IF($B180="İlave İstihdam",IlaveIstihdamOrani,IF($B180="Kadın/Genç",KadinGencOrani,IF($B180="Engelli",EngelliOrani,GencGirisimciOrani)))))</f>
        <v/>
      </c>
      <c r="D180" s="22" t="str">
        <f aca="false">IF($C180="","",$C180*AySayisi)</f>
        <v/>
      </c>
      <c r="E180" s="23"/>
    </row>
    <row r="181" customFormat="false" ht="15" hidden="false" customHeight="false" outlineLevel="0" collapsed="false">
      <c r="A181" s="19"/>
      <c r="B181" s="23"/>
      <c r="C181" s="22" t="str">
        <f aca="false">IF(OR($A181="",$B181=""),"",INDEX(tblCalisan[Brüt Ücret (₺)],MATCH($A181,tblCalisan[Çalışan Adı],0))*IF($B181="5 Puan İndirimi",BesPuanOrani,IF($B181="İlave İstihdam",IlaveIstihdamOrani,IF($B181="Kadın/Genç",KadinGencOrani,IF($B181="Engelli",EngelliOrani,GencGirisimciOrani)))))</f>
        <v/>
      </c>
      <c r="D181" s="22" t="str">
        <f aca="false">IF($C181="","",$C181*AySayisi)</f>
        <v/>
      </c>
      <c r="E181" s="23"/>
    </row>
    <row r="182" customFormat="false" ht="15" hidden="false" customHeight="false" outlineLevel="0" collapsed="false">
      <c r="A182" s="19"/>
      <c r="B182" s="23"/>
      <c r="C182" s="22" t="str">
        <f aca="false">IF(OR($A182="",$B182=""),"",INDEX(tblCalisan[Brüt Ücret (₺)],MATCH($A182,tblCalisan[Çalışan Adı],0))*IF($B182="5 Puan İndirimi",BesPuanOrani,IF($B182="İlave İstihdam",IlaveIstihdamOrani,IF($B182="Kadın/Genç",KadinGencOrani,IF($B182="Engelli",EngelliOrani,GencGirisimciOrani)))))</f>
        <v/>
      </c>
      <c r="D182" s="22" t="str">
        <f aca="false">IF($C182="","",$C182*AySayisi)</f>
        <v/>
      </c>
      <c r="E182" s="23"/>
    </row>
    <row r="183" customFormat="false" ht="15" hidden="false" customHeight="false" outlineLevel="0" collapsed="false">
      <c r="A183" s="19"/>
      <c r="B183" s="23"/>
      <c r="C183" s="22" t="str">
        <f aca="false">IF(OR($A183="",$B183=""),"",INDEX(tblCalisan[Brüt Ücret (₺)],MATCH($A183,tblCalisan[Çalışan Adı],0))*IF($B183="5 Puan İndirimi",BesPuanOrani,IF($B183="İlave İstihdam",IlaveIstihdamOrani,IF($B183="Kadın/Genç",KadinGencOrani,IF($B183="Engelli",EngelliOrani,GencGirisimciOrani)))))</f>
        <v/>
      </c>
      <c r="D183" s="22" t="str">
        <f aca="false">IF($C183="","",$C183*AySayisi)</f>
        <v/>
      </c>
      <c r="E183" s="23"/>
    </row>
    <row r="184" customFormat="false" ht="15" hidden="false" customHeight="false" outlineLevel="0" collapsed="false">
      <c r="A184" s="19"/>
      <c r="B184" s="23"/>
      <c r="C184" s="22" t="str">
        <f aca="false">IF(OR($A184="",$B184=""),"",INDEX(tblCalisan[Brüt Ücret (₺)],MATCH($A184,tblCalisan[Çalışan Adı],0))*IF($B184="5 Puan İndirimi",BesPuanOrani,IF($B184="İlave İstihdam",IlaveIstihdamOrani,IF($B184="Kadın/Genç",KadinGencOrani,IF($B184="Engelli",EngelliOrani,GencGirisimciOrani)))))</f>
        <v/>
      </c>
      <c r="D184" s="22" t="str">
        <f aca="false">IF($C184="","",$C184*AySayisi)</f>
        <v/>
      </c>
      <c r="E184" s="23"/>
    </row>
    <row r="185" customFormat="false" ht="15" hidden="false" customHeight="false" outlineLevel="0" collapsed="false">
      <c r="A185" s="19"/>
      <c r="B185" s="23"/>
      <c r="C185" s="22" t="str">
        <f aca="false">IF(OR($A185="",$B185=""),"",INDEX(tblCalisan[Brüt Ücret (₺)],MATCH($A185,tblCalisan[Çalışan Adı],0))*IF($B185="5 Puan İndirimi",BesPuanOrani,IF($B185="İlave İstihdam",IlaveIstihdamOrani,IF($B185="Kadın/Genç",KadinGencOrani,IF($B185="Engelli",EngelliOrani,GencGirisimciOrani)))))</f>
        <v/>
      </c>
      <c r="D185" s="22" t="str">
        <f aca="false">IF($C185="","",$C185*AySayisi)</f>
        <v/>
      </c>
      <c r="E185" s="23"/>
    </row>
    <row r="186" customFormat="false" ht="15" hidden="false" customHeight="false" outlineLevel="0" collapsed="false">
      <c r="A186" s="19"/>
      <c r="B186" s="23"/>
      <c r="C186" s="22" t="str">
        <f aca="false">IF(OR($A186="",$B186=""),"",INDEX(tblCalisan[Brüt Ücret (₺)],MATCH($A186,tblCalisan[Çalışan Adı],0))*IF($B186="5 Puan İndirimi",BesPuanOrani,IF($B186="İlave İstihdam",IlaveIstihdamOrani,IF($B186="Kadın/Genç",KadinGencOrani,IF($B186="Engelli",EngelliOrani,GencGirisimciOrani)))))</f>
        <v/>
      </c>
      <c r="D186" s="22" t="str">
        <f aca="false">IF($C186="","",$C186*AySayisi)</f>
        <v/>
      </c>
      <c r="E186" s="23"/>
    </row>
    <row r="187" customFormat="false" ht="15" hidden="false" customHeight="false" outlineLevel="0" collapsed="false">
      <c r="A187" s="19"/>
      <c r="B187" s="23"/>
      <c r="C187" s="22" t="str">
        <f aca="false">IF(OR($A187="",$B187=""),"",INDEX(tblCalisan[Brüt Ücret (₺)],MATCH($A187,tblCalisan[Çalışan Adı],0))*IF($B187="5 Puan İndirimi",BesPuanOrani,IF($B187="İlave İstihdam",IlaveIstihdamOrani,IF($B187="Kadın/Genç",KadinGencOrani,IF($B187="Engelli",EngelliOrani,GencGirisimciOrani)))))</f>
        <v/>
      </c>
      <c r="D187" s="22" t="str">
        <f aca="false">IF($C187="","",$C187*AySayisi)</f>
        <v/>
      </c>
      <c r="E187" s="23"/>
    </row>
    <row r="188" customFormat="false" ht="15" hidden="false" customHeight="false" outlineLevel="0" collapsed="false">
      <c r="A188" s="19"/>
      <c r="B188" s="23"/>
      <c r="C188" s="22" t="str">
        <f aca="false">IF(OR($A188="",$B188=""),"",INDEX(tblCalisan[Brüt Ücret (₺)],MATCH($A188,tblCalisan[Çalışan Adı],0))*IF($B188="5 Puan İndirimi",BesPuanOrani,IF($B188="İlave İstihdam",IlaveIstihdamOrani,IF($B188="Kadın/Genç",KadinGencOrani,IF($B188="Engelli",EngelliOrani,GencGirisimciOrani)))))</f>
        <v/>
      </c>
      <c r="D188" s="22" t="str">
        <f aca="false">IF($C188="","",$C188*AySayisi)</f>
        <v/>
      </c>
      <c r="E188" s="23"/>
    </row>
    <row r="189" customFormat="false" ht="15" hidden="false" customHeight="false" outlineLevel="0" collapsed="false">
      <c r="A189" s="19"/>
      <c r="B189" s="23"/>
      <c r="C189" s="22" t="str">
        <f aca="false">IF(OR($A189="",$B189=""),"",INDEX(tblCalisan[Brüt Ücret (₺)],MATCH($A189,tblCalisan[Çalışan Adı],0))*IF($B189="5 Puan İndirimi",BesPuanOrani,IF($B189="İlave İstihdam",IlaveIstihdamOrani,IF($B189="Kadın/Genç",KadinGencOrani,IF($B189="Engelli",EngelliOrani,GencGirisimciOrani)))))</f>
        <v/>
      </c>
      <c r="D189" s="22" t="str">
        <f aca="false">IF($C189="","",$C189*AySayisi)</f>
        <v/>
      </c>
      <c r="E189" s="23"/>
    </row>
    <row r="190" customFormat="false" ht="15" hidden="false" customHeight="false" outlineLevel="0" collapsed="false">
      <c r="A190" s="19"/>
      <c r="B190" s="23"/>
      <c r="C190" s="22" t="str">
        <f aca="false">IF(OR($A190="",$B190=""),"",INDEX(tblCalisan[Brüt Ücret (₺)],MATCH($A190,tblCalisan[Çalışan Adı],0))*IF($B190="5 Puan İndirimi",BesPuanOrani,IF($B190="İlave İstihdam",IlaveIstihdamOrani,IF($B190="Kadın/Genç",KadinGencOrani,IF($B190="Engelli",EngelliOrani,GencGirisimciOrani)))))</f>
        <v/>
      </c>
      <c r="D190" s="22" t="str">
        <f aca="false">IF($C190="","",$C190*AySayisi)</f>
        <v/>
      </c>
      <c r="E190" s="23"/>
    </row>
    <row r="191" customFormat="false" ht="15" hidden="false" customHeight="false" outlineLevel="0" collapsed="false">
      <c r="A191" s="19"/>
      <c r="B191" s="23"/>
      <c r="C191" s="22" t="str">
        <f aca="false">IF(OR($A191="",$B191=""),"",INDEX(tblCalisan[Brüt Ücret (₺)],MATCH($A191,tblCalisan[Çalışan Adı],0))*IF($B191="5 Puan İndirimi",BesPuanOrani,IF($B191="İlave İstihdam",IlaveIstihdamOrani,IF($B191="Kadın/Genç",KadinGencOrani,IF($B191="Engelli",EngelliOrani,GencGirisimciOrani)))))</f>
        <v/>
      </c>
      <c r="D191" s="22" t="str">
        <f aca="false">IF($C191="","",$C191*AySayisi)</f>
        <v/>
      </c>
      <c r="E191" s="23"/>
    </row>
    <row r="192" customFormat="false" ht="15" hidden="false" customHeight="false" outlineLevel="0" collapsed="false">
      <c r="A192" s="19"/>
      <c r="B192" s="23"/>
      <c r="C192" s="22" t="str">
        <f aca="false">IF(OR($A192="",$B192=""),"",INDEX(tblCalisan[Brüt Ücret (₺)],MATCH($A192,tblCalisan[Çalışan Adı],0))*IF($B192="5 Puan İndirimi",BesPuanOrani,IF($B192="İlave İstihdam",IlaveIstihdamOrani,IF($B192="Kadın/Genç",KadinGencOrani,IF($B192="Engelli",EngelliOrani,GencGirisimciOrani)))))</f>
        <v/>
      </c>
      <c r="D192" s="22" t="str">
        <f aca="false">IF($C192="","",$C192*AySayisi)</f>
        <v/>
      </c>
      <c r="E192" s="23"/>
    </row>
    <row r="193" customFormat="false" ht="15" hidden="false" customHeight="false" outlineLevel="0" collapsed="false">
      <c r="A193" s="19"/>
      <c r="B193" s="23"/>
      <c r="C193" s="22" t="str">
        <f aca="false">IF(OR($A193="",$B193=""),"",INDEX(tblCalisan[Brüt Ücret (₺)],MATCH($A193,tblCalisan[Çalışan Adı],0))*IF($B193="5 Puan İndirimi",BesPuanOrani,IF($B193="İlave İstihdam",IlaveIstihdamOrani,IF($B193="Kadın/Genç",KadinGencOrani,IF($B193="Engelli",EngelliOrani,GencGirisimciOrani)))))</f>
        <v/>
      </c>
      <c r="D193" s="22" t="str">
        <f aca="false">IF($C193="","",$C193*AySayisi)</f>
        <v/>
      </c>
      <c r="E193" s="23"/>
    </row>
    <row r="194" customFormat="false" ht="15" hidden="false" customHeight="false" outlineLevel="0" collapsed="false">
      <c r="A194" s="19"/>
      <c r="B194" s="23"/>
      <c r="C194" s="22" t="str">
        <f aca="false">IF(OR($A194="",$B194=""),"",INDEX(tblCalisan[Brüt Ücret (₺)],MATCH($A194,tblCalisan[Çalışan Adı],0))*IF($B194="5 Puan İndirimi",BesPuanOrani,IF($B194="İlave İstihdam",IlaveIstihdamOrani,IF($B194="Kadın/Genç",KadinGencOrani,IF($B194="Engelli",EngelliOrani,GencGirisimciOrani)))))</f>
        <v/>
      </c>
      <c r="D194" s="22" t="str">
        <f aca="false">IF($C194="","",$C194*AySayisi)</f>
        <v/>
      </c>
      <c r="E194" s="23"/>
    </row>
    <row r="195" customFormat="false" ht="15" hidden="false" customHeight="false" outlineLevel="0" collapsed="false">
      <c r="A195" s="19"/>
      <c r="B195" s="23"/>
      <c r="C195" s="22" t="str">
        <f aca="false">IF(OR($A195="",$B195=""),"",INDEX(tblCalisan[Brüt Ücret (₺)],MATCH($A195,tblCalisan[Çalışan Adı],0))*IF($B195="5 Puan İndirimi",BesPuanOrani,IF($B195="İlave İstihdam",IlaveIstihdamOrani,IF($B195="Kadın/Genç",KadinGencOrani,IF($B195="Engelli",EngelliOrani,GencGirisimciOrani)))))</f>
        <v/>
      </c>
      <c r="D195" s="22" t="str">
        <f aca="false">IF($C195="","",$C195*AySayisi)</f>
        <v/>
      </c>
      <c r="E195" s="23"/>
    </row>
    <row r="196" customFormat="false" ht="15" hidden="false" customHeight="false" outlineLevel="0" collapsed="false">
      <c r="A196" s="19"/>
      <c r="B196" s="23"/>
      <c r="C196" s="22" t="str">
        <f aca="false">IF(OR($A196="",$B196=""),"",INDEX(tblCalisan[Brüt Ücret (₺)],MATCH($A196,tblCalisan[Çalışan Adı],0))*IF($B196="5 Puan İndirimi",BesPuanOrani,IF($B196="İlave İstihdam",IlaveIstihdamOrani,IF($B196="Kadın/Genç",KadinGencOrani,IF($B196="Engelli",EngelliOrani,GencGirisimciOrani)))))</f>
        <v/>
      </c>
      <c r="D196" s="22" t="str">
        <f aca="false">IF($C196="","",$C196*AySayisi)</f>
        <v/>
      </c>
      <c r="E196" s="23"/>
    </row>
    <row r="197" customFormat="false" ht="15" hidden="false" customHeight="false" outlineLevel="0" collapsed="false">
      <c r="A197" s="19"/>
      <c r="B197" s="23"/>
      <c r="C197" s="22" t="str">
        <f aca="false">IF(OR($A197="",$B197=""),"",INDEX(tblCalisan[Brüt Ücret (₺)],MATCH($A197,tblCalisan[Çalışan Adı],0))*IF($B197="5 Puan İndirimi",BesPuanOrani,IF($B197="İlave İstihdam",IlaveIstihdamOrani,IF($B197="Kadın/Genç",KadinGencOrani,IF($B197="Engelli",EngelliOrani,GencGirisimciOrani)))))</f>
        <v/>
      </c>
      <c r="D197" s="22" t="str">
        <f aca="false">IF($C197="","",$C197*AySayisi)</f>
        <v/>
      </c>
      <c r="E197" s="23"/>
    </row>
    <row r="198" customFormat="false" ht="15" hidden="false" customHeight="false" outlineLevel="0" collapsed="false">
      <c r="A198" s="19"/>
      <c r="B198" s="23"/>
      <c r="C198" s="22" t="str">
        <f aca="false">IF(OR($A198="",$B198=""),"",INDEX(tblCalisan[Brüt Ücret (₺)],MATCH($A198,tblCalisan[Çalışan Adı],0))*IF($B198="5 Puan İndirimi",BesPuanOrani,IF($B198="İlave İstihdam",IlaveIstihdamOrani,IF($B198="Kadın/Genç",KadinGencOrani,IF($B198="Engelli",EngelliOrani,GencGirisimciOrani)))))</f>
        <v/>
      </c>
      <c r="D198" s="22" t="str">
        <f aca="false">IF($C198="","",$C198*AySayisi)</f>
        <v/>
      </c>
      <c r="E198" s="23"/>
    </row>
    <row r="199" customFormat="false" ht="15" hidden="false" customHeight="false" outlineLevel="0" collapsed="false">
      <c r="A199" s="19"/>
      <c r="B199" s="23"/>
      <c r="C199" s="22" t="str">
        <f aca="false">IF(OR($A199="",$B199=""),"",INDEX(tblCalisan[Brüt Ücret (₺)],MATCH($A199,tblCalisan[Çalışan Adı],0))*IF($B199="5 Puan İndirimi",BesPuanOrani,IF($B199="İlave İstihdam",IlaveIstihdamOrani,IF($B199="Kadın/Genç",KadinGencOrani,IF($B199="Engelli",EngelliOrani,GencGirisimciOrani)))))</f>
        <v/>
      </c>
      <c r="D199" s="22" t="str">
        <f aca="false">IF($C199="","",$C199*AySayisi)</f>
        <v/>
      </c>
      <c r="E199" s="23"/>
    </row>
    <row r="200" customFormat="false" ht="15" hidden="false" customHeight="false" outlineLevel="0" collapsed="false">
      <c r="A200" s="19"/>
      <c r="B200" s="23"/>
      <c r="C200" s="22" t="str">
        <f aca="false">IF(OR($A200="",$B200=""),"",INDEX(tblCalisan[Brüt Ücret (₺)],MATCH($A200,tblCalisan[Çalışan Adı],0))*IF($B200="5 Puan İndirimi",BesPuanOrani,IF($B200="İlave İstihdam",IlaveIstihdamOrani,IF($B200="Kadın/Genç",KadinGencOrani,IF($B200="Engelli",EngelliOrani,GencGirisimciOrani)))))</f>
        <v/>
      </c>
      <c r="D200" s="22" t="str">
        <f aca="false">IF($C200="","",$C200*AySayisi)</f>
        <v/>
      </c>
      <c r="E200" s="23"/>
    </row>
    <row r="201" customFormat="false" ht="15" hidden="false" customHeight="false" outlineLevel="0" collapsed="false">
      <c r="A201" s="19"/>
      <c r="B201" s="23"/>
      <c r="C201" s="22" t="str">
        <f aca="false">IF(OR($A201="",$B201=""),"",INDEX(tblCalisan[Brüt Ücret (₺)],MATCH($A201,tblCalisan[Çalışan Adı],0))*IF($B201="5 Puan İndirimi",BesPuanOrani,IF($B201="İlave İstihdam",IlaveIstihdamOrani,IF($B201="Kadın/Genç",KadinGencOrani,IF($B201="Engelli",EngelliOrani,GencGirisimciOrani)))))</f>
        <v/>
      </c>
      <c r="D201" s="22" t="str">
        <f aca="false">IF($C201="","",$C201*AySayisi)</f>
        <v/>
      </c>
      <c r="E201" s="23"/>
    </row>
    <row r="202" customFormat="false" ht="15" hidden="false" customHeight="false" outlineLevel="0" collapsed="false">
      <c r="A202" s="19"/>
      <c r="B202" s="23"/>
      <c r="C202" s="22" t="str">
        <f aca="false">IF(OR($A202="",$B202=""),"",INDEX(tblCalisan[Brüt Ücret (₺)],MATCH($A202,tblCalisan[Çalışan Adı],0))*IF($B202="5 Puan İndirimi",BesPuanOrani,IF($B202="İlave İstihdam",IlaveIstihdamOrani,IF($B202="Kadın/Genç",KadinGencOrani,IF($B202="Engelli",EngelliOrani,GencGirisimciOrani)))))</f>
        <v/>
      </c>
      <c r="D202" s="22" t="str">
        <f aca="false">IF($C202="","",$C202*AySayisi)</f>
        <v/>
      </c>
      <c r="E202" s="23"/>
    </row>
    <row r="203" customFormat="false" ht="15" hidden="false" customHeight="false" outlineLevel="0" collapsed="false">
      <c r="A203" s="19"/>
      <c r="B203" s="23"/>
      <c r="C203" s="22" t="str">
        <f aca="false">IF(OR($A203="",$B203=""),"",INDEX(tblCalisan[Brüt Ücret (₺)],MATCH($A203,tblCalisan[Çalışan Adı],0))*IF($B203="5 Puan İndirimi",BesPuanOrani,IF($B203="İlave İstihdam",IlaveIstihdamOrani,IF($B203="Kadın/Genç",KadinGencOrani,IF($B203="Engelli",EngelliOrani,GencGirisimciOrani)))))</f>
        <v/>
      </c>
      <c r="D203" s="22" t="str">
        <f aca="false">IF($C203="","",$C203*AySayisi)</f>
        <v/>
      </c>
      <c r="E203" s="23"/>
    </row>
    <row r="204" customFormat="false" ht="15" hidden="false" customHeight="false" outlineLevel="0" collapsed="false">
      <c r="A204" s="19"/>
      <c r="B204" s="23"/>
      <c r="C204" s="22" t="str">
        <f aca="false">IF(OR($A204="",$B204=""),"",INDEX(tblCalisan[Brüt Ücret (₺)],MATCH($A204,tblCalisan[Çalışan Adı],0))*IF($B204="5 Puan İndirimi",BesPuanOrani,IF($B204="İlave İstihdam",IlaveIstihdamOrani,IF($B204="Kadın/Genç",KadinGencOrani,IF($B204="Engelli",EngelliOrani,GencGirisimciOrani)))))</f>
        <v/>
      </c>
      <c r="D204" s="22" t="str">
        <f aca="false">IF($C204="","",$C204*AySayisi)</f>
        <v/>
      </c>
      <c r="E204" s="23"/>
    </row>
    <row r="205" customFormat="false" ht="15" hidden="false" customHeight="false" outlineLevel="0" collapsed="false">
      <c r="A205" s="19"/>
      <c r="B205" s="23"/>
      <c r="C205" s="22" t="str">
        <f aca="false">IF(OR($A205="",$B205=""),"",INDEX(tblCalisan[Brüt Ücret (₺)],MATCH($A205,tblCalisan[Çalışan Adı],0))*IF($B205="5 Puan İndirimi",BesPuanOrani,IF($B205="İlave İstihdam",IlaveIstihdamOrani,IF($B205="Kadın/Genç",KadinGencOrani,IF($B205="Engelli",EngelliOrani,GencGirisimciOrani)))))</f>
        <v/>
      </c>
      <c r="D205" s="22" t="str">
        <f aca="false">IF($C205="","",$C205*AySayisi)</f>
        <v/>
      </c>
      <c r="E205" s="23"/>
    </row>
    <row r="206" customFormat="false" ht="15" hidden="false" customHeight="false" outlineLevel="0" collapsed="false">
      <c r="A206" s="19"/>
      <c r="B206" s="23"/>
      <c r="C206" s="22" t="str">
        <f aca="false">IF(OR($A206="",$B206=""),"",INDEX(tblCalisan[Brüt Ücret (₺)],MATCH($A206,tblCalisan[Çalışan Adı],0))*IF($B206="5 Puan İndirimi",BesPuanOrani,IF($B206="İlave İstihdam",IlaveIstihdamOrani,IF($B206="Kadın/Genç",KadinGencOrani,IF($B206="Engelli",EngelliOrani,GencGirisimciOrani)))))</f>
        <v/>
      </c>
      <c r="D206" s="22" t="str">
        <f aca="false">IF($C206="","",$C206*AySayisi)</f>
        <v/>
      </c>
      <c r="E206" s="23"/>
    </row>
    <row r="207" customFormat="false" ht="15" hidden="false" customHeight="false" outlineLevel="0" collapsed="false">
      <c r="A207" s="19"/>
      <c r="B207" s="23"/>
      <c r="C207" s="22" t="str">
        <f aca="false">IF(OR($A207="",$B207=""),"",INDEX(tblCalisan[Brüt Ücret (₺)],MATCH($A207,tblCalisan[Çalışan Adı],0))*IF($B207="5 Puan İndirimi",BesPuanOrani,IF($B207="İlave İstihdam",IlaveIstihdamOrani,IF($B207="Kadın/Genç",KadinGencOrani,IF($B207="Engelli",EngelliOrani,GencGirisimciOrani)))))</f>
        <v/>
      </c>
      <c r="D207" s="22" t="str">
        <f aca="false">IF($C207="","",$C207*AySayisi)</f>
        <v/>
      </c>
      <c r="E207" s="23"/>
    </row>
    <row r="208" customFormat="false" ht="15" hidden="false" customHeight="false" outlineLevel="0" collapsed="false">
      <c r="A208" s="19"/>
      <c r="B208" s="23"/>
      <c r="C208" s="22" t="str">
        <f aca="false">IF(OR($A208="",$B208=""),"",INDEX(tblCalisan[Brüt Ücret (₺)],MATCH($A208,tblCalisan[Çalışan Adı],0))*IF($B208="5 Puan İndirimi",BesPuanOrani,IF($B208="İlave İstihdam",IlaveIstihdamOrani,IF($B208="Kadın/Genç",KadinGencOrani,IF($B208="Engelli",EngelliOrani,GencGirisimciOrani)))))</f>
        <v/>
      </c>
      <c r="D208" s="22" t="str">
        <f aca="false">IF($C208="","",$C208*AySayisi)</f>
        <v/>
      </c>
      <c r="E208" s="23"/>
    </row>
    <row r="209" customFormat="false" ht="15" hidden="false" customHeight="false" outlineLevel="0" collapsed="false">
      <c r="A209" s="19"/>
      <c r="B209" s="23"/>
      <c r="C209" s="22" t="str">
        <f aca="false">IF(OR($A209="",$B209=""),"",INDEX(tblCalisan[Brüt Ücret (₺)],MATCH($A209,tblCalisan[Çalışan Adı],0))*IF($B209="5 Puan İndirimi",BesPuanOrani,IF($B209="İlave İstihdam",IlaveIstihdamOrani,IF($B209="Kadın/Genç",KadinGencOrani,IF($B209="Engelli",EngelliOrani,GencGirisimciOrani)))))</f>
        <v/>
      </c>
      <c r="D209" s="22" t="str">
        <f aca="false">IF($C209="","",$C209*AySayisi)</f>
        <v/>
      </c>
      <c r="E209" s="23"/>
    </row>
    <row r="210" customFormat="false" ht="15" hidden="false" customHeight="false" outlineLevel="0" collapsed="false">
      <c r="A210" s="19"/>
      <c r="B210" s="23"/>
      <c r="C210" s="22" t="str">
        <f aca="false">IF(OR($A210="",$B210=""),"",INDEX(tblCalisan[Brüt Ücret (₺)],MATCH($A210,tblCalisan[Çalışan Adı],0))*IF($B210="5 Puan İndirimi",BesPuanOrani,IF($B210="İlave İstihdam",IlaveIstihdamOrani,IF($B210="Kadın/Genç",KadinGencOrani,IF($B210="Engelli",EngelliOrani,GencGirisimciOrani)))))</f>
        <v/>
      </c>
      <c r="D210" s="22" t="str">
        <f aca="false">IF($C210="","",$C210*AySayisi)</f>
        <v/>
      </c>
      <c r="E210" s="23"/>
    </row>
    <row r="211" customFormat="false" ht="15" hidden="false" customHeight="false" outlineLevel="0" collapsed="false">
      <c r="A211" s="19"/>
      <c r="B211" s="23"/>
      <c r="C211" s="22" t="str">
        <f aca="false">IF(OR($A211="",$B211=""),"",INDEX(tblCalisan[Brüt Ücret (₺)],MATCH($A211,tblCalisan[Çalışan Adı],0))*IF($B211="5 Puan İndirimi",BesPuanOrani,IF($B211="İlave İstihdam",IlaveIstihdamOrani,IF($B211="Kadın/Genç",KadinGencOrani,IF($B211="Engelli",EngelliOrani,GencGirisimciOrani)))))</f>
        <v/>
      </c>
      <c r="D211" s="22" t="str">
        <f aca="false">IF($C211="","",$C211*AySayisi)</f>
        <v/>
      </c>
      <c r="E211" s="23"/>
    </row>
    <row r="212" customFormat="false" ht="15" hidden="false" customHeight="false" outlineLevel="0" collapsed="false">
      <c r="A212" s="19"/>
      <c r="B212" s="23"/>
      <c r="C212" s="22" t="str">
        <f aca="false">IF(OR($A212="",$B212=""),"",INDEX(tblCalisan[Brüt Ücret (₺)],MATCH($A212,tblCalisan[Çalışan Adı],0))*IF($B212="5 Puan İndirimi",BesPuanOrani,IF($B212="İlave İstihdam",IlaveIstihdamOrani,IF($B212="Kadın/Genç",KadinGencOrani,IF($B212="Engelli",EngelliOrani,GencGirisimciOrani)))))</f>
        <v/>
      </c>
      <c r="D212" s="22" t="str">
        <f aca="false">IF($C212="","",$C212*AySayisi)</f>
        <v/>
      </c>
      <c r="E212" s="23"/>
    </row>
    <row r="213" customFormat="false" ht="15" hidden="false" customHeight="false" outlineLevel="0" collapsed="false">
      <c r="A213" s="19"/>
      <c r="B213" s="23"/>
      <c r="C213" s="22" t="str">
        <f aca="false">IF(OR($A213="",$B213=""),"",INDEX(tblCalisan[Brüt Ücret (₺)],MATCH($A213,tblCalisan[Çalışan Adı],0))*IF($B213="5 Puan İndirimi",BesPuanOrani,IF($B213="İlave İstihdam",IlaveIstihdamOrani,IF($B213="Kadın/Genç",KadinGencOrani,IF($B213="Engelli",EngelliOrani,GencGirisimciOrani)))))</f>
        <v/>
      </c>
      <c r="D213" s="22" t="str">
        <f aca="false">IF($C213="","",$C213*AySayisi)</f>
        <v/>
      </c>
      <c r="E213" s="23"/>
    </row>
    <row r="214" customFormat="false" ht="15" hidden="false" customHeight="false" outlineLevel="0" collapsed="false">
      <c r="A214" s="19"/>
      <c r="B214" s="23"/>
      <c r="C214" s="22" t="str">
        <f aca="false">IF(OR($A214="",$B214=""),"",INDEX(tblCalisan[Brüt Ücret (₺)],MATCH($A214,tblCalisan[Çalışan Adı],0))*IF($B214="5 Puan İndirimi",BesPuanOrani,IF($B214="İlave İstihdam",IlaveIstihdamOrani,IF($B214="Kadın/Genç",KadinGencOrani,IF($B214="Engelli",EngelliOrani,GencGirisimciOrani)))))</f>
        <v/>
      </c>
      <c r="D214" s="22" t="str">
        <f aca="false">IF($C214="","",$C214*AySayisi)</f>
        <v/>
      </c>
      <c r="E214" s="23"/>
    </row>
    <row r="215" customFormat="false" ht="15" hidden="false" customHeight="false" outlineLevel="0" collapsed="false">
      <c r="A215" s="19"/>
      <c r="B215" s="23"/>
      <c r="C215" s="22" t="str">
        <f aca="false">IF(OR($A215="",$B215=""),"",INDEX(tblCalisan[Brüt Ücret (₺)],MATCH($A215,tblCalisan[Çalışan Adı],0))*IF($B215="5 Puan İndirimi",BesPuanOrani,IF($B215="İlave İstihdam",IlaveIstihdamOrani,IF($B215="Kadın/Genç",KadinGencOrani,IF($B215="Engelli",EngelliOrani,GencGirisimciOrani)))))</f>
        <v/>
      </c>
      <c r="D215" s="22" t="str">
        <f aca="false">IF($C215="","",$C215*AySayisi)</f>
        <v/>
      </c>
      <c r="E215" s="23"/>
    </row>
    <row r="216" customFormat="false" ht="15" hidden="false" customHeight="false" outlineLevel="0" collapsed="false">
      <c r="A216" s="19"/>
      <c r="B216" s="23"/>
      <c r="C216" s="22" t="str">
        <f aca="false">IF(OR($A216="",$B216=""),"",INDEX(tblCalisan[Brüt Ücret (₺)],MATCH($A216,tblCalisan[Çalışan Adı],0))*IF($B216="5 Puan İndirimi",BesPuanOrani,IF($B216="İlave İstihdam",IlaveIstihdamOrani,IF($B216="Kadın/Genç",KadinGencOrani,IF($B216="Engelli",EngelliOrani,GencGirisimciOrani)))))</f>
        <v/>
      </c>
      <c r="D216" s="22" t="str">
        <f aca="false">IF($C216="","",$C216*AySayisi)</f>
        <v/>
      </c>
      <c r="E216" s="23"/>
    </row>
    <row r="217" customFormat="false" ht="15" hidden="false" customHeight="false" outlineLevel="0" collapsed="false">
      <c r="A217" s="19"/>
      <c r="B217" s="23"/>
      <c r="C217" s="22" t="str">
        <f aca="false">IF(OR($A217="",$B217=""),"",INDEX(tblCalisan[Brüt Ücret (₺)],MATCH($A217,tblCalisan[Çalışan Adı],0))*IF($B217="5 Puan İndirimi",BesPuanOrani,IF($B217="İlave İstihdam",IlaveIstihdamOrani,IF($B217="Kadın/Genç",KadinGencOrani,IF($B217="Engelli",EngelliOrani,GencGirisimciOrani)))))</f>
        <v/>
      </c>
      <c r="D217" s="22" t="str">
        <f aca="false">IF($C217="","",$C217*AySayisi)</f>
        <v/>
      </c>
      <c r="E217" s="23"/>
    </row>
    <row r="218" customFormat="false" ht="15" hidden="false" customHeight="false" outlineLevel="0" collapsed="false">
      <c r="A218" s="19"/>
      <c r="B218" s="23"/>
      <c r="C218" s="22" t="str">
        <f aca="false">IF(OR($A218="",$B218=""),"",INDEX(tblCalisan[Brüt Ücret (₺)],MATCH($A218,tblCalisan[Çalışan Adı],0))*IF($B218="5 Puan İndirimi",BesPuanOrani,IF($B218="İlave İstihdam",IlaveIstihdamOrani,IF($B218="Kadın/Genç",KadinGencOrani,IF($B218="Engelli",EngelliOrani,GencGirisimciOrani)))))</f>
        <v/>
      </c>
      <c r="D218" s="22" t="str">
        <f aca="false">IF($C218="","",$C218*AySayisi)</f>
        <v/>
      </c>
      <c r="E218" s="23"/>
    </row>
    <row r="219" customFormat="false" ht="15" hidden="false" customHeight="false" outlineLevel="0" collapsed="false">
      <c r="A219" s="19"/>
      <c r="B219" s="23"/>
      <c r="C219" s="22" t="str">
        <f aca="false">IF(OR($A219="",$B219=""),"",INDEX(tblCalisan[Brüt Ücret (₺)],MATCH($A219,tblCalisan[Çalışan Adı],0))*IF($B219="5 Puan İndirimi",BesPuanOrani,IF($B219="İlave İstihdam",IlaveIstihdamOrani,IF($B219="Kadın/Genç",KadinGencOrani,IF($B219="Engelli",EngelliOrani,GencGirisimciOrani)))))</f>
        <v/>
      </c>
      <c r="D219" s="22" t="str">
        <f aca="false">IF($C219="","",$C219*AySayisi)</f>
        <v/>
      </c>
      <c r="E219" s="23"/>
    </row>
    <row r="220" customFormat="false" ht="15" hidden="false" customHeight="false" outlineLevel="0" collapsed="false">
      <c r="A220" s="19"/>
      <c r="B220" s="23"/>
      <c r="C220" s="22" t="str">
        <f aca="false">IF(OR($A220="",$B220=""),"",INDEX(tblCalisan[Brüt Ücret (₺)],MATCH($A220,tblCalisan[Çalışan Adı],0))*IF($B220="5 Puan İndirimi",BesPuanOrani,IF($B220="İlave İstihdam",IlaveIstihdamOrani,IF($B220="Kadın/Genç",KadinGencOrani,IF($B220="Engelli",EngelliOrani,GencGirisimciOrani)))))</f>
        <v/>
      </c>
      <c r="D220" s="22" t="str">
        <f aca="false">IF($C220="","",$C220*AySayisi)</f>
        <v/>
      </c>
      <c r="E220" s="23"/>
    </row>
    <row r="221" customFormat="false" ht="15" hidden="false" customHeight="false" outlineLevel="0" collapsed="false">
      <c r="A221" s="19"/>
      <c r="B221" s="23"/>
      <c r="C221" s="22" t="str">
        <f aca="false">IF(OR($A221="",$B221=""),"",INDEX(tblCalisan[Brüt Ücret (₺)],MATCH($A221,tblCalisan[Çalışan Adı],0))*IF($B221="5 Puan İndirimi",BesPuanOrani,IF($B221="İlave İstihdam",IlaveIstihdamOrani,IF($B221="Kadın/Genç",KadinGencOrani,IF($B221="Engelli",EngelliOrani,GencGirisimciOrani)))))</f>
        <v/>
      </c>
      <c r="D221" s="22" t="str">
        <f aca="false">IF($C221="","",$C221*AySayisi)</f>
        <v/>
      </c>
      <c r="E221" s="23"/>
    </row>
    <row r="222" customFormat="false" ht="15" hidden="false" customHeight="false" outlineLevel="0" collapsed="false">
      <c r="A222" s="19"/>
      <c r="B222" s="23"/>
      <c r="C222" s="22" t="str">
        <f aca="false">IF(OR($A222="",$B222=""),"",INDEX(tblCalisan[Brüt Ücret (₺)],MATCH($A222,tblCalisan[Çalışan Adı],0))*IF($B222="5 Puan İndirimi",BesPuanOrani,IF($B222="İlave İstihdam",IlaveIstihdamOrani,IF($B222="Kadın/Genç",KadinGencOrani,IF($B222="Engelli",EngelliOrani,GencGirisimciOrani)))))</f>
        <v/>
      </c>
      <c r="D222" s="22" t="str">
        <f aca="false">IF($C222="","",$C222*AySayisi)</f>
        <v/>
      </c>
      <c r="E222" s="23"/>
    </row>
    <row r="223" customFormat="false" ht="15" hidden="false" customHeight="false" outlineLevel="0" collapsed="false">
      <c r="A223" s="19"/>
      <c r="B223" s="23"/>
      <c r="C223" s="22" t="str">
        <f aca="false">IF(OR($A223="",$B223=""),"",INDEX(tblCalisan[Brüt Ücret (₺)],MATCH($A223,tblCalisan[Çalışan Adı],0))*IF($B223="5 Puan İndirimi",BesPuanOrani,IF($B223="İlave İstihdam",IlaveIstihdamOrani,IF($B223="Kadın/Genç",KadinGencOrani,IF($B223="Engelli",EngelliOrani,GencGirisimciOrani)))))</f>
        <v/>
      </c>
      <c r="D223" s="22" t="str">
        <f aca="false">IF($C223="","",$C223*AySayisi)</f>
        <v/>
      </c>
      <c r="E223" s="23"/>
    </row>
    <row r="224" customFormat="false" ht="15" hidden="false" customHeight="false" outlineLevel="0" collapsed="false">
      <c r="A224" s="19"/>
      <c r="B224" s="23"/>
      <c r="C224" s="22" t="str">
        <f aca="false">IF(OR($A224="",$B224=""),"",INDEX(tblCalisan[Brüt Ücret (₺)],MATCH($A224,tblCalisan[Çalışan Adı],0))*IF($B224="5 Puan İndirimi",BesPuanOrani,IF($B224="İlave İstihdam",IlaveIstihdamOrani,IF($B224="Kadın/Genç",KadinGencOrani,IF($B224="Engelli",EngelliOrani,GencGirisimciOrani)))))</f>
        <v/>
      </c>
      <c r="D224" s="22" t="str">
        <f aca="false">IF($C224="","",$C224*AySayisi)</f>
        <v/>
      </c>
      <c r="E224" s="23"/>
    </row>
    <row r="225" customFormat="false" ht="15" hidden="false" customHeight="false" outlineLevel="0" collapsed="false">
      <c r="A225" s="19"/>
      <c r="B225" s="23"/>
      <c r="C225" s="22" t="str">
        <f aca="false">IF(OR($A225="",$B225=""),"",INDEX(tblCalisan[Brüt Ücret (₺)],MATCH($A225,tblCalisan[Çalışan Adı],0))*IF($B225="5 Puan İndirimi",BesPuanOrani,IF($B225="İlave İstihdam",IlaveIstihdamOrani,IF($B225="Kadın/Genç",KadinGencOrani,IF($B225="Engelli",EngelliOrani,GencGirisimciOrani)))))</f>
        <v/>
      </c>
      <c r="D225" s="22" t="str">
        <f aca="false">IF($C225="","",$C225*AySayisi)</f>
        <v/>
      </c>
      <c r="E225" s="23"/>
    </row>
    <row r="226" customFormat="false" ht="15" hidden="false" customHeight="false" outlineLevel="0" collapsed="false">
      <c r="A226" s="19"/>
      <c r="B226" s="23"/>
      <c r="C226" s="22" t="str">
        <f aca="false">IF(OR($A226="",$B226=""),"",INDEX(tblCalisan[Brüt Ücret (₺)],MATCH($A226,tblCalisan[Çalışan Adı],0))*IF($B226="5 Puan İndirimi",BesPuanOrani,IF($B226="İlave İstihdam",IlaveIstihdamOrani,IF($B226="Kadın/Genç",KadinGencOrani,IF($B226="Engelli",EngelliOrani,GencGirisimciOrani)))))</f>
        <v/>
      </c>
      <c r="D226" s="22" t="str">
        <f aca="false">IF($C226="","",$C226*AySayisi)</f>
        <v/>
      </c>
      <c r="E226" s="23"/>
    </row>
    <row r="227" customFormat="false" ht="15" hidden="false" customHeight="false" outlineLevel="0" collapsed="false">
      <c r="A227" s="19"/>
      <c r="B227" s="23"/>
      <c r="C227" s="22" t="str">
        <f aca="false">IF(OR($A227="",$B227=""),"",INDEX(tblCalisan[Brüt Ücret (₺)],MATCH($A227,tblCalisan[Çalışan Adı],0))*IF($B227="5 Puan İndirimi",BesPuanOrani,IF($B227="İlave İstihdam",IlaveIstihdamOrani,IF($B227="Kadın/Genç",KadinGencOrani,IF($B227="Engelli",EngelliOrani,GencGirisimciOrani)))))</f>
        <v/>
      </c>
      <c r="D227" s="22" t="str">
        <f aca="false">IF($C227="","",$C227*AySayisi)</f>
        <v/>
      </c>
      <c r="E227" s="23"/>
    </row>
    <row r="228" customFormat="false" ht="15" hidden="false" customHeight="false" outlineLevel="0" collapsed="false">
      <c r="A228" s="19"/>
      <c r="B228" s="23"/>
      <c r="C228" s="22" t="str">
        <f aca="false">IF(OR($A228="",$B228=""),"",INDEX(tblCalisan[Brüt Ücret (₺)],MATCH($A228,tblCalisan[Çalışan Adı],0))*IF($B228="5 Puan İndirimi",BesPuanOrani,IF($B228="İlave İstihdam",IlaveIstihdamOrani,IF($B228="Kadın/Genç",KadinGencOrani,IF($B228="Engelli",EngelliOrani,GencGirisimciOrani)))))</f>
        <v/>
      </c>
      <c r="D228" s="22" t="str">
        <f aca="false">IF($C228="","",$C228*AySayisi)</f>
        <v/>
      </c>
      <c r="E228" s="23"/>
    </row>
    <row r="229" customFormat="false" ht="15" hidden="false" customHeight="false" outlineLevel="0" collapsed="false">
      <c r="A229" s="19"/>
      <c r="B229" s="23"/>
      <c r="C229" s="22" t="str">
        <f aca="false">IF(OR($A229="",$B229=""),"",INDEX(tblCalisan[Brüt Ücret (₺)],MATCH($A229,tblCalisan[Çalışan Adı],0))*IF($B229="5 Puan İndirimi",BesPuanOrani,IF($B229="İlave İstihdam",IlaveIstihdamOrani,IF($B229="Kadın/Genç",KadinGencOrani,IF($B229="Engelli",EngelliOrani,GencGirisimciOrani)))))</f>
        <v/>
      </c>
      <c r="D229" s="22" t="str">
        <f aca="false">IF($C229="","",$C229*AySayisi)</f>
        <v/>
      </c>
      <c r="E229" s="23"/>
    </row>
    <row r="230" customFormat="false" ht="15" hidden="false" customHeight="false" outlineLevel="0" collapsed="false">
      <c r="A230" s="19"/>
      <c r="B230" s="23"/>
      <c r="C230" s="22" t="str">
        <f aca="false">IF(OR($A230="",$B230=""),"",INDEX(tblCalisan[Brüt Ücret (₺)],MATCH($A230,tblCalisan[Çalışan Adı],0))*IF($B230="5 Puan İndirimi",BesPuanOrani,IF($B230="İlave İstihdam",IlaveIstihdamOrani,IF($B230="Kadın/Genç",KadinGencOrani,IF($B230="Engelli",EngelliOrani,GencGirisimciOrani)))))</f>
        <v/>
      </c>
      <c r="D230" s="22" t="str">
        <f aca="false">IF($C230="","",$C230*AySayisi)</f>
        <v/>
      </c>
      <c r="E230" s="23"/>
    </row>
    <row r="231" customFormat="false" ht="15" hidden="false" customHeight="false" outlineLevel="0" collapsed="false">
      <c r="A231" s="19"/>
      <c r="B231" s="23"/>
      <c r="C231" s="22" t="str">
        <f aca="false">IF(OR($A231="",$B231=""),"",INDEX(tblCalisan[Brüt Ücret (₺)],MATCH($A231,tblCalisan[Çalışan Adı],0))*IF($B231="5 Puan İndirimi",BesPuanOrani,IF($B231="İlave İstihdam",IlaveIstihdamOrani,IF($B231="Kadın/Genç",KadinGencOrani,IF($B231="Engelli",EngelliOrani,GencGirisimciOrani)))))</f>
        <v/>
      </c>
      <c r="D231" s="22" t="str">
        <f aca="false">IF($C231="","",$C231*AySayisi)</f>
        <v/>
      </c>
      <c r="E231" s="23"/>
    </row>
    <row r="232" customFormat="false" ht="15" hidden="false" customHeight="false" outlineLevel="0" collapsed="false">
      <c r="A232" s="19"/>
      <c r="B232" s="23"/>
      <c r="C232" s="22" t="str">
        <f aca="false">IF(OR($A232="",$B232=""),"",INDEX(tblCalisan[Brüt Ücret (₺)],MATCH($A232,tblCalisan[Çalışan Adı],0))*IF($B232="5 Puan İndirimi",BesPuanOrani,IF($B232="İlave İstihdam",IlaveIstihdamOrani,IF($B232="Kadın/Genç",KadinGencOrani,IF($B232="Engelli",EngelliOrani,GencGirisimciOrani)))))</f>
        <v/>
      </c>
      <c r="D232" s="22" t="str">
        <f aca="false">IF($C232="","",$C232*AySayisi)</f>
        <v/>
      </c>
      <c r="E232" s="23"/>
    </row>
    <row r="233" customFormat="false" ht="15" hidden="false" customHeight="false" outlineLevel="0" collapsed="false">
      <c r="A233" s="19"/>
      <c r="B233" s="23"/>
      <c r="C233" s="22" t="str">
        <f aca="false">IF(OR($A233="",$B233=""),"",INDEX(tblCalisan[Brüt Ücret (₺)],MATCH($A233,tblCalisan[Çalışan Adı],0))*IF($B233="5 Puan İndirimi",BesPuanOrani,IF($B233="İlave İstihdam",IlaveIstihdamOrani,IF($B233="Kadın/Genç",KadinGencOrani,IF($B233="Engelli",EngelliOrani,GencGirisimciOrani)))))</f>
        <v/>
      </c>
      <c r="D233" s="22" t="str">
        <f aca="false">IF($C233="","",$C233*AySayisi)</f>
        <v/>
      </c>
      <c r="E233" s="23"/>
    </row>
    <row r="234" customFormat="false" ht="15" hidden="false" customHeight="false" outlineLevel="0" collapsed="false">
      <c r="A234" s="19"/>
      <c r="B234" s="23"/>
      <c r="C234" s="22" t="str">
        <f aca="false">IF(OR($A234="",$B234=""),"",INDEX(tblCalisan[Brüt Ücret (₺)],MATCH($A234,tblCalisan[Çalışan Adı],0))*IF($B234="5 Puan İndirimi",BesPuanOrani,IF($B234="İlave İstihdam",IlaveIstihdamOrani,IF($B234="Kadın/Genç",KadinGencOrani,IF($B234="Engelli",EngelliOrani,GencGirisimciOrani)))))</f>
        <v/>
      </c>
      <c r="D234" s="22" t="str">
        <f aca="false">IF($C234="","",$C234*AySayisi)</f>
        <v/>
      </c>
      <c r="E234" s="23"/>
    </row>
    <row r="235" customFormat="false" ht="15" hidden="false" customHeight="false" outlineLevel="0" collapsed="false">
      <c r="A235" s="19"/>
      <c r="B235" s="23"/>
      <c r="C235" s="22" t="str">
        <f aca="false">IF(OR($A235="",$B235=""),"",INDEX(tblCalisan[Brüt Ücret (₺)],MATCH($A235,tblCalisan[Çalışan Adı],0))*IF($B235="5 Puan İndirimi",BesPuanOrani,IF($B235="İlave İstihdam",IlaveIstihdamOrani,IF($B235="Kadın/Genç",KadinGencOrani,IF($B235="Engelli",EngelliOrani,GencGirisimciOrani)))))</f>
        <v/>
      </c>
      <c r="D235" s="22" t="str">
        <f aca="false">IF($C235="","",$C235*AySayisi)</f>
        <v/>
      </c>
      <c r="E235" s="23"/>
    </row>
    <row r="236" customFormat="false" ht="15" hidden="false" customHeight="false" outlineLevel="0" collapsed="false">
      <c r="A236" s="19"/>
      <c r="B236" s="23"/>
      <c r="C236" s="22" t="str">
        <f aca="false">IF(OR($A236="",$B236=""),"",INDEX(tblCalisan[Brüt Ücret (₺)],MATCH($A236,tblCalisan[Çalışan Adı],0))*IF($B236="5 Puan İndirimi",BesPuanOrani,IF($B236="İlave İstihdam",IlaveIstihdamOrani,IF($B236="Kadın/Genç",KadinGencOrani,IF($B236="Engelli",EngelliOrani,GencGirisimciOrani)))))</f>
        <v/>
      </c>
      <c r="D236" s="22" t="str">
        <f aca="false">IF($C236="","",$C236*AySayisi)</f>
        <v/>
      </c>
      <c r="E236" s="23"/>
    </row>
    <row r="237" customFormat="false" ht="15" hidden="false" customHeight="false" outlineLevel="0" collapsed="false">
      <c r="A237" s="19"/>
      <c r="B237" s="23"/>
      <c r="C237" s="22" t="str">
        <f aca="false">IF(OR($A237="",$B237=""),"",INDEX(tblCalisan[Brüt Ücret (₺)],MATCH($A237,tblCalisan[Çalışan Adı],0))*IF($B237="5 Puan İndirimi",BesPuanOrani,IF($B237="İlave İstihdam",IlaveIstihdamOrani,IF($B237="Kadın/Genç",KadinGencOrani,IF($B237="Engelli",EngelliOrani,GencGirisimciOrani)))))</f>
        <v/>
      </c>
      <c r="D237" s="22" t="str">
        <f aca="false">IF($C237="","",$C237*AySayisi)</f>
        <v/>
      </c>
      <c r="E237" s="23"/>
    </row>
    <row r="238" customFormat="false" ht="15" hidden="false" customHeight="false" outlineLevel="0" collapsed="false">
      <c r="A238" s="19"/>
      <c r="B238" s="23"/>
      <c r="C238" s="22" t="str">
        <f aca="false">IF(OR($A238="",$B238=""),"",INDEX(tblCalisan[Brüt Ücret (₺)],MATCH($A238,tblCalisan[Çalışan Adı],0))*IF($B238="5 Puan İndirimi",BesPuanOrani,IF($B238="İlave İstihdam",IlaveIstihdamOrani,IF($B238="Kadın/Genç",KadinGencOrani,IF($B238="Engelli",EngelliOrani,GencGirisimciOrani)))))</f>
        <v/>
      </c>
      <c r="D238" s="22" t="str">
        <f aca="false">IF($C238="","",$C238*AySayisi)</f>
        <v/>
      </c>
      <c r="E238" s="23"/>
    </row>
    <row r="239" customFormat="false" ht="15" hidden="false" customHeight="false" outlineLevel="0" collapsed="false">
      <c r="A239" s="19"/>
      <c r="B239" s="23"/>
      <c r="C239" s="22" t="str">
        <f aca="false">IF(OR($A239="",$B239=""),"",INDEX(tblCalisan[Brüt Ücret (₺)],MATCH($A239,tblCalisan[Çalışan Adı],0))*IF($B239="5 Puan İndirimi",BesPuanOrani,IF($B239="İlave İstihdam",IlaveIstihdamOrani,IF($B239="Kadın/Genç",KadinGencOrani,IF($B239="Engelli",EngelliOrani,GencGirisimciOrani)))))</f>
        <v/>
      </c>
      <c r="D239" s="22" t="str">
        <f aca="false">IF($C239="","",$C239*AySayisi)</f>
        <v/>
      </c>
      <c r="E239" s="23"/>
    </row>
    <row r="240" customFormat="false" ht="15" hidden="false" customHeight="false" outlineLevel="0" collapsed="false">
      <c r="A240" s="19"/>
      <c r="B240" s="23"/>
      <c r="C240" s="22" t="str">
        <f aca="false">IF(OR($A240="",$B240=""),"",INDEX(tblCalisan[Brüt Ücret (₺)],MATCH($A240,tblCalisan[Çalışan Adı],0))*IF($B240="5 Puan İndirimi",BesPuanOrani,IF($B240="İlave İstihdam",IlaveIstihdamOrani,IF($B240="Kadın/Genç",KadinGencOrani,IF($B240="Engelli",EngelliOrani,GencGirisimciOrani)))))</f>
        <v/>
      </c>
      <c r="D240" s="22" t="str">
        <f aca="false">IF($C240="","",$C240*AySayisi)</f>
        <v/>
      </c>
      <c r="E240" s="23"/>
    </row>
    <row r="241" customFormat="false" ht="15" hidden="false" customHeight="false" outlineLevel="0" collapsed="false">
      <c r="A241" s="19"/>
      <c r="B241" s="23"/>
      <c r="C241" s="22" t="str">
        <f aca="false">IF(OR($A241="",$B241=""),"",INDEX(tblCalisan[Brüt Ücret (₺)],MATCH($A241,tblCalisan[Çalışan Adı],0))*IF($B241="5 Puan İndirimi",BesPuanOrani,IF($B241="İlave İstihdam",IlaveIstihdamOrani,IF($B241="Kadın/Genç",KadinGencOrani,IF($B241="Engelli",EngelliOrani,GencGirisimciOrani)))))</f>
        <v/>
      </c>
      <c r="D241" s="22" t="str">
        <f aca="false">IF($C241="","",$C241*AySayisi)</f>
        <v/>
      </c>
      <c r="E241" s="23"/>
    </row>
    <row r="242" customFormat="false" ht="15" hidden="false" customHeight="false" outlineLevel="0" collapsed="false">
      <c r="A242" s="19"/>
      <c r="B242" s="23"/>
      <c r="C242" s="22" t="str">
        <f aca="false">IF(OR($A242="",$B242=""),"",INDEX(tblCalisan[Brüt Ücret (₺)],MATCH($A242,tblCalisan[Çalışan Adı],0))*IF($B242="5 Puan İndirimi",BesPuanOrani,IF($B242="İlave İstihdam",IlaveIstihdamOrani,IF($B242="Kadın/Genç",KadinGencOrani,IF($B242="Engelli",EngelliOrani,GencGirisimciOrani)))))</f>
        <v/>
      </c>
      <c r="D242" s="22" t="str">
        <f aca="false">IF($C242="","",$C242*AySayisi)</f>
        <v/>
      </c>
      <c r="E242" s="23"/>
    </row>
    <row r="243" customFormat="false" ht="15" hidden="false" customHeight="false" outlineLevel="0" collapsed="false">
      <c r="A243" s="19"/>
      <c r="B243" s="23"/>
      <c r="C243" s="22" t="str">
        <f aca="false">IF(OR($A243="",$B243=""),"",INDEX(tblCalisan[Brüt Ücret (₺)],MATCH($A243,tblCalisan[Çalışan Adı],0))*IF($B243="5 Puan İndirimi",BesPuanOrani,IF($B243="İlave İstihdam",IlaveIstihdamOrani,IF($B243="Kadın/Genç",KadinGencOrani,IF($B243="Engelli",EngelliOrani,GencGirisimciOrani)))))</f>
        <v/>
      </c>
      <c r="D243" s="22" t="str">
        <f aca="false">IF($C243="","",$C243*AySayisi)</f>
        <v/>
      </c>
      <c r="E243" s="23"/>
    </row>
    <row r="244" customFormat="false" ht="15" hidden="false" customHeight="false" outlineLevel="0" collapsed="false">
      <c r="A244" s="19"/>
      <c r="B244" s="23"/>
      <c r="C244" s="22" t="str">
        <f aca="false">IF(OR($A244="",$B244=""),"",INDEX(tblCalisan[Brüt Ücret (₺)],MATCH($A244,tblCalisan[Çalışan Adı],0))*IF($B244="5 Puan İndirimi",BesPuanOrani,IF($B244="İlave İstihdam",IlaveIstihdamOrani,IF($B244="Kadın/Genç",KadinGencOrani,IF($B244="Engelli",EngelliOrani,GencGirisimciOrani)))))</f>
        <v/>
      </c>
      <c r="D244" s="22" t="str">
        <f aca="false">IF($C244="","",$C244*AySayisi)</f>
        <v/>
      </c>
      <c r="E244" s="23"/>
    </row>
    <row r="245" customFormat="false" ht="15" hidden="false" customHeight="false" outlineLevel="0" collapsed="false">
      <c r="A245" s="19"/>
      <c r="B245" s="23"/>
      <c r="C245" s="22" t="str">
        <f aca="false">IF(OR($A245="",$B245=""),"",INDEX(tblCalisan[Brüt Ücret (₺)],MATCH($A245,tblCalisan[Çalışan Adı],0))*IF($B245="5 Puan İndirimi",BesPuanOrani,IF($B245="İlave İstihdam",IlaveIstihdamOrani,IF($B245="Kadın/Genç",KadinGencOrani,IF($B245="Engelli",EngelliOrani,GencGirisimciOrani)))))</f>
        <v/>
      </c>
      <c r="D245" s="22" t="str">
        <f aca="false">IF($C245="","",$C245*AySayisi)</f>
        <v/>
      </c>
      <c r="E245" s="23"/>
    </row>
    <row r="246" customFormat="false" ht="15" hidden="false" customHeight="false" outlineLevel="0" collapsed="false">
      <c r="A246" s="19"/>
      <c r="B246" s="23"/>
      <c r="C246" s="22" t="str">
        <f aca="false">IF(OR($A246="",$B246=""),"",INDEX(tblCalisan[Brüt Ücret (₺)],MATCH($A246,tblCalisan[Çalışan Adı],0))*IF($B246="5 Puan İndirimi",BesPuanOrani,IF($B246="İlave İstihdam",IlaveIstihdamOrani,IF($B246="Kadın/Genç",KadinGencOrani,IF($B246="Engelli",EngelliOrani,GencGirisimciOrani)))))</f>
        <v/>
      </c>
      <c r="D246" s="22" t="str">
        <f aca="false">IF($C246="","",$C246*AySayisi)</f>
        <v/>
      </c>
      <c r="E246" s="23"/>
    </row>
    <row r="247" customFormat="false" ht="15" hidden="false" customHeight="false" outlineLevel="0" collapsed="false">
      <c r="A247" s="19"/>
      <c r="B247" s="23"/>
      <c r="C247" s="22" t="str">
        <f aca="false">IF(OR($A247="",$B247=""),"",INDEX(tblCalisan[Brüt Ücret (₺)],MATCH($A247,tblCalisan[Çalışan Adı],0))*IF($B247="5 Puan İndirimi",BesPuanOrani,IF($B247="İlave İstihdam",IlaveIstihdamOrani,IF($B247="Kadın/Genç",KadinGencOrani,IF($B247="Engelli",EngelliOrani,GencGirisimciOrani)))))</f>
        <v/>
      </c>
      <c r="D247" s="22" t="str">
        <f aca="false">IF($C247="","",$C247*AySayisi)</f>
        <v/>
      </c>
      <c r="E247" s="23"/>
    </row>
    <row r="248" customFormat="false" ht="15" hidden="false" customHeight="false" outlineLevel="0" collapsed="false">
      <c r="A248" s="19"/>
      <c r="B248" s="23"/>
      <c r="C248" s="22" t="str">
        <f aca="false">IF(OR($A248="",$B248=""),"",INDEX(tblCalisan[Brüt Ücret (₺)],MATCH($A248,tblCalisan[Çalışan Adı],0))*IF($B248="5 Puan İndirimi",BesPuanOrani,IF($B248="İlave İstihdam",IlaveIstihdamOrani,IF($B248="Kadın/Genç",KadinGencOrani,IF($B248="Engelli",EngelliOrani,GencGirisimciOrani)))))</f>
        <v/>
      </c>
      <c r="D248" s="22" t="str">
        <f aca="false">IF($C248="","",$C248*AySayisi)</f>
        <v/>
      </c>
      <c r="E248" s="23"/>
    </row>
    <row r="249" customFormat="false" ht="15" hidden="false" customHeight="false" outlineLevel="0" collapsed="false">
      <c r="A249" s="19"/>
      <c r="B249" s="23"/>
      <c r="C249" s="22" t="str">
        <f aca="false">IF(OR($A249="",$B249=""),"",INDEX(tblCalisan[Brüt Ücret (₺)],MATCH($A249,tblCalisan[Çalışan Adı],0))*IF($B249="5 Puan İndirimi",BesPuanOrani,IF($B249="İlave İstihdam",IlaveIstihdamOrani,IF($B249="Kadın/Genç",KadinGencOrani,IF($B249="Engelli",EngelliOrani,GencGirisimciOrani)))))</f>
        <v/>
      </c>
      <c r="D249" s="22" t="str">
        <f aca="false">IF($C249="","",$C249*AySayisi)</f>
        <v/>
      </c>
      <c r="E249" s="23"/>
    </row>
    <row r="250" customFormat="false" ht="15" hidden="false" customHeight="false" outlineLevel="0" collapsed="false">
      <c r="A250" s="19"/>
      <c r="B250" s="23"/>
      <c r="C250" s="22" t="str">
        <f aca="false">IF(OR($A250="",$B250=""),"",INDEX(tblCalisan[Brüt Ücret (₺)],MATCH($A250,tblCalisan[Çalışan Adı],0))*IF($B250="5 Puan İndirimi",BesPuanOrani,IF($B250="İlave İstihdam",IlaveIstihdamOrani,IF($B250="Kadın/Genç",KadinGencOrani,IF($B250="Engelli",EngelliOrani,GencGirisimciOrani)))))</f>
        <v/>
      </c>
      <c r="D250" s="22" t="str">
        <f aca="false">IF($C250="","",$C250*AySayisi)</f>
        <v/>
      </c>
      <c r="E250" s="23"/>
    </row>
    <row r="251" customFormat="false" ht="15" hidden="false" customHeight="false" outlineLevel="0" collapsed="false">
      <c r="A251" s="19"/>
      <c r="B251" s="23"/>
      <c r="C251" s="22" t="str">
        <f aca="false">IF(OR($A251="",$B251=""),"",INDEX(tblCalisan[Brüt Ücret (₺)],MATCH($A251,tblCalisan[Çalışan Adı],0))*IF($B251="5 Puan İndirimi",BesPuanOrani,IF($B251="İlave İstihdam",IlaveIstihdamOrani,IF($B251="Kadın/Genç",KadinGencOrani,IF($B251="Engelli",EngelliOrani,GencGirisimciOrani)))))</f>
        <v/>
      </c>
      <c r="D251" s="22" t="str">
        <f aca="false">IF($C251="","",$C251*AySayisi)</f>
        <v/>
      </c>
      <c r="E251" s="23"/>
    </row>
    <row r="252" customFormat="false" ht="15" hidden="false" customHeight="false" outlineLevel="0" collapsed="false">
      <c r="A252" s="19"/>
      <c r="B252" s="23"/>
      <c r="C252" s="22" t="str">
        <f aca="false">IF(OR($A252="",$B252=""),"",INDEX(tblCalisan[Brüt Ücret (₺)],MATCH($A252,tblCalisan[Çalışan Adı],0))*IF($B252="5 Puan İndirimi",BesPuanOrani,IF($B252="İlave İstihdam",IlaveIstihdamOrani,IF($B252="Kadın/Genç",KadinGencOrani,IF($B252="Engelli",EngelliOrani,GencGirisimciOrani)))))</f>
        <v/>
      </c>
      <c r="D252" s="22" t="str">
        <f aca="false">IF($C252="","",$C252*AySayisi)</f>
        <v/>
      </c>
      <c r="E252" s="23"/>
    </row>
    <row r="253" customFormat="false" ht="15" hidden="false" customHeight="false" outlineLevel="0" collapsed="false">
      <c r="A253" s="19"/>
      <c r="B253" s="23"/>
      <c r="C253" s="22" t="str">
        <f aca="false">IF(OR($A253="",$B253=""),"",INDEX(tblCalisan[Brüt Ücret (₺)],MATCH($A253,tblCalisan[Çalışan Adı],0))*IF($B253="5 Puan İndirimi",BesPuanOrani,IF($B253="İlave İstihdam",IlaveIstihdamOrani,IF($B253="Kadın/Genç",KadinGencOrani,IF($B253="Engelli",EngelliOrani,GencGirisimciOrani)))))</f>
        <v/>
      </c>
      <c r="D253" s="22" t="str">
        <f aca="false">IF($C253="","",$C253*AySayisi)</f>
        <v/>
      </c>
      <c r="E253" s="23"/>
    </row>
    <row r="254" customFormat="false" ht="15" hidden="false" customHeight="false" outlineLevel="0" collapsed="false">
      <c r="A254" s="19"/>
      <c r="B254" s="23"/>
      <c r="C254" s="22" t="str">
        <f aca="false">IF(OR($A254="",$B254=""),"",INDEX(tblCalisan[Brüt Ücret (₺)],MATCH($A254,tblCalisan[Çalışan Adı],0))*IF($B254="5 Puan İndirimi",BesPuanOrani,IF($B254="İlave İstihdam",IlaveIstihdamOrani,IF($B254="Kadın/Genç",KadinGencOrani,IF($B254="Engelli",EngelliOrani,GencGirisimciOrani)))))</f>
        <v/>
      </c>
      <c r="D254" s="22" t="str">
        <f aca="false">IF($C254="","",$C254*AySayisi)</f>
        <v/>
      </c>
      <c r="E254" s="23"/>
    </row>
    <row r="255" customFormat="false" ht="15" hidden="false" customHeight="false" outlineLevel="0" collapsed="false">
      <c r="A255" s="19"/>
      <c r="B255" s="23"/>
      <c r="C255" s="22" t="str">
        <f aca="false">IF(OR($A255="",$B255=""),"",INDEX(tblCalisan[Brüt Ücret (₺)],MATCH($A255,tblCalisan[Çalışan Adı],0))*IF($B255="5 Puan İndirimi",BesPuanOrani,IF($B255="İlave İstihdam",IlaveIstihdamOrani,IF($B255="Kadın/Genç",KadinGencOrani,IF($B255="Engelli",EngelliOrani,GencGirisimciOrani)))))</f>
        <v/>
      </c>
      <c r="D255" s="22" t="str">
        <f aca="false">IF($C255="","",$C255*AySayisi)</f>
        <v/>
      </c>
      <c r="E255" s="23"/>
    </row>
    <row r="256" customFormat="false" ht="15" hidden="false" customHeight="false" outlineLevel="0" collapsed="false">
      <c r="A256" s="19"/>
      <c r="B256" s="23"/>
      <c r="C256" s="22" t="str">
        <f aca="false">IF(OR($A256="",$B256=""),"",INDEX(tblCalisan[Brüt Ücret (₺)],MATCH($A256,tblCalisan[Çalışan Adı],0))*IF($B256="5 Puan İndirimi",BesPuanOrani,IF($B256="İlave İstihdam",IlaveIstihdamOrani,IF($B256="Kadın/Genç",KadinGencOrani,IF($B256="Engelli",EngelliOrani,GencGirisimciOrani)))))</f>
        <v/>
      </c>
      <c r="D256" s="22" t="str">
        <f aca="false">IF($C256="","",$C256*AySayisi)</f>
        <v/>
      </c>
      <c r="E256" s="23"/>
    </row>
    <row r="257" customFormat="false" ht="15" hidden="false" customHeight="false" outlineLevel="0" collapsed="false">
      <c r="A257" s="19"/>
      <c r="B257" s="23"/>
      <c r="C257" s="22" t="str">
        <f aca="false">IF(OR($A257="",$B257=""),"",INDEX(tblCalisan[Brüt Ücret (₺)],MATCH($A257,tblCalisan[Çalışan Adı],0))*IF($B257="5 Puan İndirimi",BesPuanOrani,IF($B257="İlave İstihdam",IlaveIstihdamOrani,IF($B257="Kadın/Genç",KadinGencOrani,IF($B257="Engelli",EngelliOrani,GencGirisimciOrani)))))</f>
        <v/>
      </c>
      <c r="D257" s="22" t="str">
        <f aca="false">IF($C257="","",$C257*AySayisi)</f>
        <v/>
      </c>
      <c r="E257" s="23"/>
    </row>
    <row r="258" customFormat="false" ht="15" hidden="false" customHeight="false" outlineLevel="0" collapsed="false">
      <c r="A258" s="19"/>
      <c r="B258" s="23"/>
      <c r="C258" s="22" t="str">
        <f aca="false">IF(OR($A258="",$B258=""),"",INDEX(tblCalisan[Brüt Ücret (₺)],MATCH($A258,tblCalisan[Çalışan Adı],0))*IF($B258="5 Puan İndirimi",BesPuanOrani,IF($B258="İlave İstihdam",IlaveIstihdamOrani,IF($B258="Kadın/Genç",KadinGencOrani,IF($B258="Engelli",EngelliOrani,GencGirisimciOrani)))))</f>
        <v/>
      </c>
      <c r="D258" s="22" t="str">
        <f aca="false">IF($C258="","",$C258*AySayisi)</f>
        <v/>
      </c>
      <c r="E258" s="23"/>
    </row>
    <row r="259" customFormat="false" ht="15" hidden="false" customHeight="false" outlineLevel="0" collapsed="false">
      <c r="A259" s="19"/>
      <c r="B259" s="23"/>
      <c r="C259" s="22" t="str">
        <f aca="false">IF(OR($A259="",$B259=""),"",INDEX(tblCalisan[Brüt Ücret (₺)],MATCH($A259,tblCalisan[Çalışan Adı],0))*IF($B259="5 Puan İndirimi",BesPuanOrani,IF($B259="İlave İstihdam",IlaveIstihdamOrani,IF($B259="Kadın/Genç",KadinGencOrani,IF($B259="Engelli",EngelliOrani,GencGirisimciOrani)))))</f>
        <v/>
      </c>
      <c r="D259" s="22" t="str">
        <f aca="false">IF($C259="","",$C259*AySayisi)</f>
        <v/>
      </c>
      <c r="E259" s="23"/>
    </row>
    <row r="260" customFormat="false" ht="15" hidden="false" customHeight="false" outlineLevel="0" collapsed="false">
      <c r="A260" s="19"/>
      <c r="B260" s="23"/>
      <c r="C260" s="22" t="str">
        <f aca="false">IF(OR($A260="",$B260=""),"",INDEX(tblCalisan[Brüt Ücret (₺)],MATCH($A260,tblCalisan[Çalışan Adı],0))*IF($B260="5 Puan İndirimi",BesPuanOrani,IF($B260="İlave İstihdam",IlaveIstihdamOrani,IF($B260="Kadın/Genç",KadinGencOrani,IF($B260="Engelli",EngelliOrani,GencGirisimciOrani)))))</f>
        <v/>
      </c>
      <c r="D260" s="22" t="str">
        <f aca="false">IF($C260="","",$C260*AySayisi)</f>
        <v/>
      </c>
      <c r="E260" s="23"/>
    </row>
    <row r="261" customFormat="false" ht="15" hidden="false" customHeight="false" outlineLevel="0" collapsed="false">
      <c r="A261" s="19"/>
      <c r="B261" s="23"/>
      <c r="C261" s="22" t="str">
        <f aca="false">IF(OR($A261="",$B261=""),"",INDEX(tblCalisan[Brüt Ücret (₺)],MATCH($A261,tblCalisan[Çalışan Adı],0))*IF($B261="5 Puan İndirimi",BesPuanOrani,IF($B261="İlave İstihdam",IlaveIstihdamOrani,IF($B261="Kadın/Genç",KadinGencOrani,IF($B261="Engelli",EngelliOrani,GencGirisimciOrani)))))</f>
        <v/>
      </c>
      <c r="D261" s="22" t="str">
        <f aca="false">IF($C261="","",$C261*AySayisi)</f>
        <v/>
      </c>
      <c r="E261" s="23"/>
    </row>
    <row r="262" customFormat="false" ht="15" hidden="false" customHeight="false" outlineLevel="0" collapsed="false">
      <c r="A262" s="19"/>
      <c r="B262" s="23"/>
      <c r="C262" s="22" t="str">
        <f aca="false">IF(OR($A262="",$B262=""),"",INDEX(tblCalisan[Brüt Ücret (₺)],MATCH($A262,tblCalisan[Çalışan Adı],0))*IF($B262="5 Puan İndirimi",BesPuanOrani,IF($B262="İlave İstihdam",IlaveIstihdamOrani,IF($B262="Kadın/Genç",KadinGencOrani,IF($B262="Engelli",EngelliOrani,GencGirisimciOrani)))))</f>
        <v/>
      </c>
      <c r="D262" s="22" t="str">
        <f aca="false">IF($C262="","",$C262*AySayisi)</f>
        <v/>
      </c>
      <c r="E262" s="23"/>
    </row>
    <row r="263" customFormat="false" ht="15" hidden="false" customHeight="false" outlineLevel="0" collapsed="false">
      <c r="A263" s="19"/>
      <c r="B263" s="23"/>
      <c r="C263" s="22" t="str">
        <f aca="false">IF(OR($A263="",$B263=""),"",INDEX(tblCalisan[Brüt Ücret (₺)],MATCH($A263,tblCalisan[Çalışan Adı],0))*IF($B263="5 Puan İndirimi",BesPuanOrani,IF($B263="İlave İstihdam",IlaveIstihdamOrani,IF($B263="Kadın/Genç",KadinGencOrani,IF($B263="Engelli",EngelliOrani,GencGirisimciOrani)))))</f>
        <v/>
      </c>
      <c r="D263" s="22" t="str">
        <f aca="false">IF($C263="","",$C263*AySayisi)</f>
        <v/>
      </c>
      <c r="E263" s="23"/>
    </row>
    <row r="264" customFormat="false" ht="15" hidden="false" customHeight="false" outlineLevel="0" collapsed="false">
      <c r="A264" s="19"/>
      <c r="B264" s="23"/>
      <c r="C264" s="22" t="str">
        <f aca="false">IF(OR($A264="",$B264=""),"",INDEX(tblCalisan[Brüt Ücret (₺)],MATCH($A264,tblCalisan[Çalışan Adı],0))*IF($B264="5 Puan İndirimi",BesPuanOrani,IF($B264="İlave İstihdam",IlaveIstihdamOrani,IF($B264="Kadın/Genç",KadinGencOrani,IF($B264="Engelli",EngelliOrani,GencGirisimciOrani)))))</f>
        <v/>
      </c>
      <c r="D264" s="22" t="str">
        <f aca="false">IF($C264="","",$C264*AySayisi)</f>
        <v/>
      </c>
      <c r="E264" s="23"/>
    </row>
    <row r="265" customFormat="false" ht="15" hidden="false" customHeight="false" outlineLevel="0" collapsed="false">
      <c r="A265" s="19"/>
      <c r="B265" s="23"/>
      <c r="C265" s="22" t="str">
        <f aca="false">IF(OR($A265="",$B265=""),"",INDEX(tblCalisan[Brüt Ücret (₺)],MATCH($A265,tblCalisan[Çalışan Adı],0))*IF($B265="5 Puan İndirimi",BesPuanOrani,IF($B265="İlave İstihdam",IlaveIstihdamOrani,IF($B265="Kadın/Genç",KadinGencOrani,IF($B265="Engelli",EngelliOrani,GencGirisimciOrani)))))</f>
        <v/>
      </c>
      <c r="D265" s="22" t="str">
        <f aca="false">IF($C265="","",$C265*AySayisi)</f>
        <v/>
      </c>
      <c r="E265" s="23"/>
    </row>
    <row r="266" customFormat="false" ht="15" hidden="false" customHeight="false" outlineLevel="0" collapsed="false">
      <c r="A266" s="19"/>
      <c r="B266" s="23"/>
      <c r="C266" s="22" t="str">
        <f aca="false">IF(OR($A266="",$B266=""),"",INDEX(tblCalisan[Brüt Ücret (₺)],MATCH($A266,tblCalisan[Çalışan Adı],0))*IF($B266="5 Puan İndirimi",BesPuanOrani,IF($B266="İlave İstihdam",IlaveIstihdamOrani,IF($B266="Kadın/Genç",KadinGencOrani,IF($B266="Engelli",EngelliOrani,GencGirisimciOrani)))))</f>
        <v/>
      </c>
      <c r="D266" s="22" t="str">
        <f aca="false">IF($C266="","",$C266*AySayisi)</f>
        <v/>
      </c>
      <c r="E266" s="23"/>
    </row>
    <row r="267" customFormat="false" ht="15" hidden="false" customHeight="false" outlineLevel="0" collapsed="false">
      <c r="A267" s="19"/>
      <c r="B267" s="23"/>
      <c r="C267" s="22" t="str">
        <f aca="false">IF(OR($A267="",$B267=""),"",INDEX(tblCalisan[Brüt Ücret (₺)],MATCH($A267,tblCalisan[Çalışan Adı],0))*IF($B267="5 Puan İndirimi",BesPuanOrani,IF($B267="İlave İstihdam",IlaveIstihdamOrani,IF($B267="Kadın/Genç",KadinGencOrani,IF($B267="Engelli",EngelliOrani,GencGirisimciOrani)))))</f>
        <v/>
      </c>
      <c r="D267" s="22" t="str">
        <f aca="false">IF($C267="","",$C267*AySayisi)</f>
        <v/>
      </c>
      <c r="E267" s="23"/>
    </row>
    <row r="268" customFormat="false" ht="15" hidden="false" customHeight="false" outlineLevel="0" collapsed="false">
      <c r="A268" s="19"/>
      <c r="B268" s="23"/>
      <c r="C268" s="22" t="str">
        <f aca="false">IF(OR($A268="",$B268=""),"",INDEX(tblCalisan[Brüt Ücret (₺)],MATCH($A268,tblCalisan[Çalışan Adı],0))*IF($B268="5 Puan İndirimi",BesPuanOrani,IF($B268="İlave İstihdam",IlaveIstihdamOrani,IF($B268="Kadın/Genç",KadinGencOrani,IF($B268="Engelli",EngelliOrani,GencGirisimciOrani)))))</f>
        <v/>
      </c>
      <c r="D268" s="22" t="str">
        <f aca="false">IF($C268="","",$C268*AySayisi)</f>
        <v/>
      </c>
      <c r="E268" s="23"/>
    </row>
    <row r="269" customFormat="false" ht="15" hidden="false" customHeight="false" outlineLevel="0" collapsed="false">
      <c r="A269" s="19"/>
      <c r="B269" s="23"/>
      <c r="C269" s="22" t="str">
        <f aca="false">IF(OR($A269="",$B269=""),"",INDEX(tblCalisan[Brüt Ücret (₺)],MATCH($A269,tblCalisan[Çalışan Adı],0))*IF($B269="5 Puan İndirimi",BesPuanOrani,IF($B269="İlave İstihdam",IlaveIstihdamOrani,IF($B269="Kadın/Genç",KadinGencOrani,IF($B269="Engelli",EngelliOrani,GencGirisimciOrani)))))</f>
        <v/>
      </c>
      <c r="D269" s="22" t="str">
        <f aca="false">IF($C269="","",$C269*AySayisi)</f>
        <v/>
      </c>
      <c r="E269" s="23"/>
    </row>
    <row r="270" customFormat="false" ht="15" hidden="false" customHeight="false" outlineLevel="0" collapsed="false">
      <c r="A270" s="19"/>
      <c r="B270" s="23"/>
      <c r="C270" s="22" t="str">
        <f aca="false">IF(OR($A270="",$B270=""),"",INDEX(tblCalisan[Brüt Ücret (₺)],MATCH($A270,tblCalisan[Çalışan Adı],0))*IF($B270="5 Puan İndirimi",BesPuanOrani,IF($B270="İlave İstihdam",IlaveIstihdamOrani,IF($B270="Kadın/Genç",KadinGencOrani,IF($B270="Engelli",EngelliOrani,GencGirisimciOrani)))))</f>
        <v/>
      </c>
      <c r="D270" s="22" t="str">
        <f aca="false">IF($C270="","",$C270*AySayisi)</f>
        <v/>
      </c>
      <c r="E270" s="23"/>
    </row>
    <row r="271" customFormat="false" ht="15" hidden="false" customHeight="false" outlineLevel="0" collapsed="false">
      <c r="A271" s="19"/>
      <c r="B271" s="23"/>
      <c r="C271" s="22" t="str">
        <f aca="false">IF(OR($A271="",$B271=""),"",INDEX(tblCalisan[Brüt Ücret (₺)],MATCH($A271,tblCalisan[Çalışan Adı],0))*IF($B271="5 Puan İndirimi",BesPuanOrani,IF($B271="İlave İstihdam",IlaveIstihdamOrani,IF($B271="Kadın/Genç",KadinGencOrani,IF($B271="Engelli",EngelliOrani,GencGirisimciOrani)))))</f>
        <v/>
      </c>
      <c r="D271" s="22" t="str">
        <f aca="false">IF($C271="","",$C271*AySayisi)</f>
        <v/>
      </c>
      <c r="E271" s="23"/>
    </row>
    <row r="272" customFormat="false" ht="15" hidden="false" customHeight="false" outlineLevel="0" collapsed="false">
      <c r="A272" s="19"/>
      <c r="B272" s="23"/>
      <c r="C272" s="22" t="str">
        <f aca="false">IF(OR($A272="",$B272=""),"",INDEX(tblCalisan[Brüt Ücret (₺)],MATCH($A272,tblCalisan[Çalışan Adı],0))*IF($B272="5 Puan İndirimi",BesPuanOrani,IF($B272="İlave İstihdam",IlaveIstihdamOrani,IF($B272="Kadın/Genç",KadinGencOrani,IF($B272="Engelli",EngelliOrani,GencGirisimciOrani)))))</f>
        <v/>
      </c>
      <c r="D272" s="22" t="str">
        <f aca="false">IF($C272="","",$C272*AySayisi)</f>
        <v/>
      </c>
      <c r="E272" s="23"/>
    </row>
    <row r="273" customFormat="false" ht="15" hidden="false" customHeight="false" outlineLevel="0" collapsed="false">
      <c r="A273" s="19"/>
      <c r="B273" s="23"/>
      <c r="C273" s="22" t="str">
        <f aca="false">IF(OR($A273="",$B273=""),"",INDEX(tblCalisan[Brüt Ücret (₺)],MATCH($A273,tblCalisan[Çalışan Adı],0))*IF($B273="5 Puan İndirimi",BesPuanOrani,IF($B273="İlave İstihdam",IlaveIstihdamOrani,IF($B273="Kadın/Genç",KadinGencOrani,IF($B273="Engelli",EngelliOrani,GencGirisimciOrani)))))</f>
        <v/>
      </c>
      <c r="D273" s="22" t="str">
        <f aca="false">IF($C273="","",$C273*AySayisi)</f>
        <v/>
      </c>
      <c r="E273" s="23"/>
    </row>
    <row r="274" customFormat="false" ht="15" hidden="false" customHeight="false" outlineLevel="0" collapsed="false">
      <c r="A274" s="19"/>
      <c r="B274" s="23"/>
      <c r="C274" s="22" t="str">
        <f aca="false">IF(OR($A274="",$B274=""),"",INDEX(tblCalisan[Brüt Ücret (₺)],MATCH($A274,tblCalisan[Çalışan Adı],0))*IF($B274="5 Puan İndirimi",BesPuanOrani,IF($B274="İlave İstihdam",IlaveIstihdamOrani,IF($B274="Kadın/Genç",KadinGencOrani,IF($B274="Engelli",EngelliOrani,GencGirisimciOrani)))))</f>
        <v/>
      </c>
      <c r="D274" s="22" t="str">
        <f aca="false">IF($C274="","",$C274*AySayisi)</f>
        <v/>
      </c>
      <c r="E274" s="23"/>
    </row>
    <row r="275" customFormat="false" ht="15" hidden="false" customHeight="false" outlineLevel="0" collapsed="false">
      <c r="A275" s="19"/>
      <c r="B275" s="23"/>
      <c r="C275" s="22" t="str">
        <f aca="false">IF(OR($A275="",$B275=""),"",INDEX(tblCalisan[Brüt Ücret (₺)],MATCH($A275,tblCalisan[Çalışan Adı],0))*IF($B275="5 Puan İndirimi",BesPuanOrani,IF($B275="İlave İstihdam",IlaveIstihdamOrani,IF($B275="Kadın/Genç",KadinGencOrani,IF($B275="Engelli",EngelliOrani,GencGirisimciOrani)))))</f>
        <v/>
      </c>
      <c r="D275" s="22" t="str">
        <f aca="false">IF($C275="","",$C275*AySayisi)</f>
        <v/>
      </c>
      <c r="E275" s="23"/>
    </row>
    <row r="276" customFormat="false" ht="15" hidden="false" customHeight="false" outlineLevel="0" collapsed="false">
      <c r="A276" s="19"/>
      <c r="B276" s="23"/>
      <c r="C276" s="22" t="str">
        <f aca="false">IF(OR($A276="",$B276=""),"",INDEX(tblCalisan[Brüt Ücret (₺)],MATCH($A276,tblCalisan[Çalışan Adı],0))*IF($B276="5 Puan İndirimi",BesPuanOrani,IF($B276="İlave İstihdam",IlaveIstihdamOrani,IF($B276="Kadın/Genç",KadinGencOrani,IF($B276="Engelli",EngelliOrani,GencGirisimciOrani)))))</f>
        <v/>
      </c>
      <c r="D276" s="22" t="str">
        <f aca="false">IF($C276="","",$C276*AySayisi)</f>
        <v/>
      </c>
      <c r="E276" s="23"/>
    </row>
    <row r="277" customFormat="false" ht="15" hidden="false" customHeight="false" outlineLevel="0" collapsed="false">
      <c r="A277" s="19"/>
      <c r="B277" s="23"/>
      <c r="C277" s="22" t="str">
        <f aca="false">IF(OR($A277="",$B277=""),"",INDEX(tblCalisan[Brüt Ücret (₺)],MATCH($A277,tblCalisan[Çalışan Adı],0))*IF($B277="5 Puan İndirimi",BesPuanOrani,IF($B277="İlave İstihdam",IlaveIstihdamOrani,IF($B277="Kadın/Genç",KadinGencOrani,IF($B277="Engelli",EngelliOrani,GencGirisimciOrani)))))</f>
        <v/>
      </c>
      <c r="D277" s="22" t="str">
        <f aca="false">IF($C277="","",$C277*AySayisi)</f>
        <v/>
      </c>
      <c r="E277" s="23"/>
    </row>
    <row r="278" customFormat="false" ht="15" hidden="false" customHeight="false" outlineLevel="0" collapsed="false">
      <c r="A278" s="19"/>
      <c r="B278" s="23"/>
      <c r="C278" s="22" t="str">
        <f aca="false">IF(OR($A278="",$B278=""),"",INDEX(tblCalisan[Brüt Ücret (₺)],MATCH($A278,tblCalisan[Çalışan Adı],0))*IF($B278="5 Puan İndirimi",BesPuanOrani,IF($B278="İlave İstihdam",IlaveIstihdamOrani,IF($B278="Kadın/Genç",KadinGencOrani,IF($B278="Engelli",EngelliOrani,GencGirisimciOrani)))))</f>
        <v/>
      </c>
      <c r="D278" s="22" t="str">
        <f aca="false">IF($C278="","",$C278*AySayisi)</f>
        <v/>
      </c>
      <c r="E278" s="23"/>
    </row>
    <row r="279" customFormat="false" ht="15" hidden="false" customHeight="false" outlineLevel="0" collapsed="false">
      <c r="A279" s="19"/>
      <c r="B279" s="23"/>
      <c r="C279" s="22" t="str">
        <f aca="false">IF(OR($A279="",$B279=""),"",INDEX(tblCalisan[Brüt Ücret (₺)],MATCH($A279,tblCalisan[Çalışan Adı],0))*IF($B279="5 Puan İndirimi",BesPuanOrani,IF($B279="İlave İstihdam",IlaveIstihdamOrani,IF($B279="Kadın/Genç",KadinGencOrani,IF($B279="Engelli",EngelliOrani,GencGirisimciOrani)))))</f>
        <v/>
      </c>
      <c r="D279" s="22" t="str">
        <f aca="false">IF($C279="","",$C279*AySayisi)</f>
        <v/>
      </c>
      <c r="E279" s="23"/>
    </row>
    <row r="280" customFormat="false" ht="15" hidden="false" customHeight="false" outlineLevel="0" collapsed="false">
      <c r="A280" s="19"/>
      <c r="B280" s="23"/>
      <c r="C280" s="22" t="str">
        <f aca="false">IF(OR($A280="",$B280=""),"",INDEX(tblCalisan[Brüt Ücret (₺)],MATCH($A280,tblCalisan[Çalışan Adı],0))*IF($B280="5 Puan İndirimi",BesPuanOrani,IF($B280="İlave İstihdam",IlaveIstihdamOrani,IF($B280="Kadın/Genç",KadinGencOrani,IF($B280="Engelli",EngelliOrani,GencGirisimciOrani)))))</f>
        <v/>
      </c>
      <c r="D280" s="22" t="str">
        <f aca="false">IF($C280="","",$C280*AySayisi)</f>
        <v/>
      </c>
      <c r="E280" s="23"/>
    </row>
    <row r="281" customFormat="false" ht="15" hidden="false" customHeight="false" outlineLevel="0" collapsed="false">
      <c r="A281" s="19"/>
      <c r="B281" s="23"/>
      <c r="C281" s="22" t="str">
        <f aca="false">IF(OR($A281="",$B281=""),"",INDEX(tblCalisan[Brüt Ücret (₺)],MATCH($A281,tblCalisan[Çalışan Adı],0))*IF($B281="5 Puan İndirimi",BesPuanOrani,IF($B281="İlave İstihdam",IlaveIstihdamOrani,IF($B281="Kadın/Genç",KadinGencOrani,IF($B281="Engelli",EngelliOrani,GencGirisimciOrani)))))</f>
        <v/>
      </c>
      <c r="D281" s="22" t="str">
        <f aca="false">IF($C281="","",$C281*AySayisi)</f>
        <v/>
      </c>
      <c r="E281" s="23"/>
    </row>
    <row r="282" customFormat="false" ht="15" hidden="false" customHeight="false" outlineLevel="0" collapsed="false">
      <c r="A282" s="19"/>
      <c r="B282" s="23"/>
      <c r="C282" s="22" t="str">
        <f aca="false">IF(OR($A282="",$B282=""),"",INDEX(tblCalisan[Brüt Ücret (₺)],MATCH($A282,tblCalisan[Çalışan Adı],0))*IF($B282="5 Puan İndirimi",BesPuanOrani,IF($B282="İlave İstihdam",IlaveIstihdamOrani,IF($B282="Kadın/Genç",KadinGencOrani,IF($B282="Engelli",EngelliOrani,GencGirisimciOrani)))))</f>
        <v/>
      </c>
      <c r="D282" s="22" t="str">
        <f aca="false">IF($C282="","",$C282*AySayisi)</f>
        <v/>
      </c>
      <c r="E282" s="23"/>
    </row>
    <row r="283" customFormat="false" ht="15" hidden="false" customHeight="false" outlineLevel="0" collapsed="false">
      <c r="A283" s="19"/>
      <c r="B283" s="23"/>
      <c r="C283" s="22" t="str">
        <f aca="false">IF(OR($A283="",$B283=""),"",INDEX(tblCalisan[Brüt Ücret (₺)],MATCH($A283,tblCalisan[Çalışan Adı],0))*IF($B283="5 Puan İndirimi",BesPuanOrani,IF($B283="İlave İstihdam",IlaveIstihdamOrani,IF($B283="Kadın/Genç",KadinGencOrani,IF($B283="Engelli",EngelliOrani,GencGirisimciOrani)))))</f>
        <v/>
      </c>
      <c r="D283" s="22" t="str">
        <f aca="false">IF($C283="","",$C283*AySayisi)</f>
        <v/>
      </c>
      <c r="E283" s="23"/>
    </row>
    <row r="284" customFormat="false" ht="15" hidden="false" customHeight="false" outlineLevel="0" collapsed="false">
      <c r="A284" s="19"/>
      <c r="B284" s="23"/>
      <c r="C284" s="22" t="str">
        <f aca="false">IF(OR($A284="",$B284=""),"",INDEX(tblCalisan[Brüt Ücret (₺)],MATCH($A284,tblCalisan[Çalışan Adı],0))*IF($B284="5 Puan İndirimi",BesPuanOrani,IF($B284="İlave İstihdam",IlaveIstihdamOrani,IF($B284="Kadın/Genç",KadinGencOrani,IF($B284="Engelli",EngelliOrani,GencGirisimciOrani)))))</f>
        <v/>
      </c>
      <c r="D284" s="22" t="str">
        <f aca="false">IF($C284="","",$C284*AySayisi)</f>
        <v/>
      </c>
      <c r="E284" s="23"/>
    </row>
    <row r="285" customFormat="false" ht="15" hidden="false" customHeight="false" outlineLevel="0" collapsed="false">
      <c r="A285" s="19"/>
      <c r="B285" s="23"/>
      <c r="C285" s="22" t="str">
        <f aca="false">IF(OR($A285="",$B285=""),"",INDEX(tblCalisan[Brüt Ücret (₺)],MATCH($A285,tblCalisan[Çalışan Adı],0))*IF($B285="5 Puan İndirimi",BesPuanOrani,IF($B285="İlave İstihdam",IlaveIstihdamOrani,IF($B285="Kadın/Genç",KadinGencOrani,IF($B285="Engelli",EngelliOrani,GencGirisimciOrani)))))</f>
        <v/>
      </c>
      <c r="D285" s="22" t="str">
        <f aca="false">IF($C285="","",$C285*AySayisi)</f>
        <v/>
      </c>
      <c r="E285" s="23"/>
    </row>
    <row r="286" customFormat="false" ht="15" hidden="false" customHeight="false" outlineLevel="0" collapsed="false">
      <c r="A286" s="19"/>
      <c r="B286" s="23"/>
      <c r="C286" s="22" t="str">
        <f aca="false">IF(OR($A286="",$B286=""),"",INDEX(tblCalisan[Brüt Ücret (₺)],MATCH($A286,tblCalisan[Çalışan Adı],0))*IF($B286="5 Puan İndirimi",BesPuanOrani,IF($B286="İlave İstihdam",IlaveIstihdamOrani,IF($B286="Kadın/Genç",KadinGencOrani,IF($B286="Engelli",EngelliOrani,GencGirisimciOrani)))))</f>
        <v/>
      </c>
      <c r="D286" s="22" t="str">
        <f aca="false">IF($C286="","",$C286*AySayisi)</f>
        <v/>
      </c>
      <c r="E286" s="23"/>
    </row>
    <row r="287" customFormat="false" ht="15" hidden="false" customHeight="false" outlineLevel="0" collapsed="false">
      <c r="A287" s="19"/>
      <c r="B287" s="23"/>
      <c r="C287" s="22" t="str">
        <f aca="false">IF(OR($A287="",$B287=""),"",INDEX(tblCalisan[Brüt Ücret (₺)],MATCH($A287,tblCalisan[Çalışan Adı],0))*IF($B287="5 Puan İndirimi",BesPuanOrani,IF($B287="İlave İstihdam",IlaveIstihdamOrani,IF($B287="Kadın/Genç",KadinGencOrani,IF($B287="Engelli",EngelliOrani,GencGirisimciOrani)))))</f>
        <v/>
      </c>
      <c r="D287" s="22" t="str">
        <f aca="false">IF($C287="","",$C287*AySayisi)</f>
        <v/>
      </c>
      <c r="E287" s="23"/>
    </row>
    <row r="288" customFormat="false" ht="15" hidden="false" customHeight="false" outlineLevel="0" collapsed="false">
      <c r="A288" s="19"/>
      <c r="B288" s="23"/>
      <c r="C288" s="22" t="str">
        <f aca="false">IF(OR($A288="",$B288=""),"",INDEX(tblCalisan[Brüt Ücret (₺)],MATCH($A288,tblCalisan[Çalışan Adı],0))*IF($B288="5 Puan İndirimi",BesPuanOrani,IF($B288="İlave İstihdam",IlaveIstihdamOrani,IF($B288="Kadın/Genç",KadinGencOrani,IF($B288="Engelli",EngelliOrani,GencGirisimciOrani)))))</f>
        <v/>
      </c>
      <c r="D288" s="22" t="str">
        <f aca="false">IF($C288="","",$C288*AySayisi)</f>
        <v/>
      </c>
      <c r="E288" s="23"/>
    </row>
    <row r="289" customFormat="false" ht="15" hidden="false" customHeight="false" outlineLevel="0" collapsed="false">
      <c r="A289" s="19"/>
      <c r="B289" s="23"/>
      <c r="C289" s="22" t="str">
        <f aca="false">IF(OR($A289="",$B289=""),"",INDEX(tblCalisan[Brüt Ücret (₺)],MATCH($A289,tblCalisan[Çalışan Adı],0))*IF($B289="5 Puan İndirimi",BesPuanOrani,IF($B289="İlave İstihdam",IlaveIstihdamOrani,IF($B289="Kadın/Genç",KadinGencOrani,IF($B289="Engelli",EngelliOrani,GencGirisimciOrani)))))</f>
        <v/>
      </c>
      <c r="D289" s="22" t="str">
        <f aca="false">IF($C289="","",$C289*AySayisi)</f>
        <v/>
      </c>
      <c r="E289" s="23"/>
    </row>
    <row r="290" customFormat="false" ht="15" hidden="false" customHeight="false" outlineLevel="0" collapsed="false">
      <c r="A290" s="19"/>
      <c r="B290" s="23"/>
      <c r="C290" s="22" t="str">
        <f aca="false">IF(OR($A290="",$B290=""),"",INDEX(tblCalisan[Brüt Ücret (₺)],MATCH($A290,tblCalisan[Çalışan Adı],0))*IF($B290="5 Puan İndirimi",BesPuanOrani,IF($B290="İlave İstihdam",IlaveIstihdamOrani,IF($B290="Kadın/Genç",KadinGencOrani,IF($B290="Engelli",EngelliOrani,GencGirisimciOrani)))))</f>
        <v/>
      </c>
      <c r="D290" s="22" t="str">
        <f aca="false">IF($C290="","",$C290*AySayisi)</f>
        <v/>
      </c>
      <c r="E290" s="23"/>
    </row>
    <row r="291" customFormat="false" ht="15" hidden="false" customHeight="false" outlineLevel="0" collapsed="false">
      <c r="A291" s="19"/>
      <c r="B291" s="23"/>
      <c r="C291" s="22" t="str">
        <f aca="false">IF(OR($A291="",$B291=""),"",INDEX(tblCalisan[Brüt Ücret (₺)],MATCH($A291,tblCalisan[Çalışan Adı],0))*IF($B291="5 Puan İndirimi",BesPuanOrani,IF($B291="İlave İstihdam",IlaveIstihdamOrani,IF($B291="Kadın/Genç",KadinGencOrani,IF($B291="Engelli",EngelliOrani,GencGirisimciOrani)))))</f>
        <v/>
      </c>
      <c r="D291" s="22" t="str">
        <f aca="false">IF($C291="","",$C291*AySayisi)</f>
        <v/>
      </c>
      <c r="E291" s="23"/>
    </row>
    <row r="292" customFormat="false" ht="15" hidden="false" customHeight="false" outlineLevel="0" collapsed="false">
      <c r="A292" s="19"/>
      <c r="B292" s="23"/>
      <c r="C292" s="22" t="str">
        <f aca="false">IF(OR($A292="",$B292=""),"",INDEX(tblCalisan[Brüt Ücret (₺)],MATCH($A292,tblCalisan[Çalışan Adı],0))*IF($B292="5 Puan İndirimi",BesPuanOrani,IF($B292="İlave İstihdam",IlaveIstihdamOrani,IF($B292="Kadın/Genç",KadinGencOrani,IF($B292="Engelli",EngelliOrani,GencGirisimciOrani)))))</f>
        <v/>
      </c>
      <c r="D292" s="22" t="str">
        <f aca="false">IF($C292="","",$C292*AySayisi)</f>
        <v/>
      </c>
      <c r="E292" s="23"/>
    </row>
    <row r="293" customFormat="false" ht="15" hidden="false" customHeight="false" outlineLevel="0" collapsed="false">
      <c r="A293" s="19"/>
      <c r="B293" s="23"/>
      <c r="C293" s="22" t="str">
        <f aca="false">IF(OR($A293="",$B293=""),"",INDEX(tblCalisan[Brüt Ücret (₺)],MATCH($A293,tblCalisan[Çalışan Adı],0))*IF($B293="5 Puan İndirimi",BesPuanOrani,IF($B293="İlave İstihdam",IlaveIstihdamOrani,IF($B293="Kadın/Genç",KadinGencOrani,IF($B293="Engelli",EngelliOrani,GencGirisimciOrani)))))</f>
        <v/>
      </c>
      <c r="D293" s="22" t="str">
        <f aca="false">IF($C293="","",$C293*AySayisi)</f>
        <v/>
      </c>
      <c r="E293" s="23"/>
    </row>
    <row r="294" customFormat="false" ht="15" hidden="false" customHeight="false" outlineLevel="0" collapsed="false">
      <c r="A294" s="19"/>
      <c r="B294" s="23"/>
      <c r="C294" s="22" t="str">
        <f aca="false">IF(OR($A294="",$B294=""),"",INDEX(tblCalisan[Brüt Ücret (₺)],MATCH($A294,tblCalisan[Çalışan Adı],0))*IF($B294="5 Puan İndirimi",BesPuanOrani,IF($B294="İlave İstihdam",IlaveIstihdamOrani,IF($B294="Kadın/Genç",KadinGencOrani,IF($B294="Engelli",EngelliOrani,GencGirisimciOrani)))))</f>
        <v/>
      </c>
      <c r="D294" s="22" t="str">
        <f aca="false">IF($C294="","",$C294*AySayisi)</f>
        <v/>
      </c>
      <c r="E294" s="23"/>
    </row>
    <row r="295" customFormat="false" ht="15" hidden="false" customHeight="false" outlineLevel="0" collapsed="false">
      <c r="A295" s="19"/>
      <c r="B295" s="23"/>
      <c r="C295" s="22" t="str">
        <f aca="false">IF(OR($A295="",$B295=""),"",INDEX(tblCalisan[Brüt Ücret (₺)],MATCH($A295,tblCalisan[Çalışan Adı],0))*IF($B295="5 Puan İndirimi",BesPuanOrani,IF($B295="İlave İstihdam",IlaveIstihdamOrani,IF($B295="Kadın/Genç",KadinGencOrani,IF($B295="Engelli",EngelliOrani,GencGirisimciOrani)))))</f>
        <v/>
      </c>
      <c r="D295" s="22" t="str">
        <f aca="false">IF($C295="","",$C295*AySayisi)</f>
        <v/>
      </c>
      <c r="E295" s="23"/>
    </row>
    <row r="296" customFormat="false" ht="15" hidden="false" customHeight="false" outlineLevel="0" collapsed="false">
      <c r="A296" s="19"/>
      <c r="B296" s="23"/>
      <c r="C296" s="22" t="str">
        <f aca="false">IF(OR($A296="",$B296=""),"",INDEX(tblCalisan[Brüt Ücret (₺)],MATCH($A296,tblCalisan[Çalışan Adı],0))*IF($B296="5 Puan İndirimi",BesPuanOrani,IF($B296="İlave İstihdam",IlaveIstihdamOrani,IF($B296="Kadın/Genç",KadinGencOrani,IF($B296="Engelli",EngelliOrani,GencGirisimciOrani)))))</f>
        <v/>
      </c>
      <c r="D296" s="22" t="str">
        <f aca="false">IF($C296="","",$C296*AySayisi)</f>
        <v/>
      </c>
      <c r="E296" s="23"/>
    </row>
    <row r="297" customFormat="false" ht="15" hidden="false" customHeight="false" outlineLevel="0" collapsed="false">
      <c r="A297" s="19"/>
      <c r="B297" s="23"/>
      <c r="C297" s="22" t="str">
        <f aca="false">IF(OR($A297="",$B297=""),"",INDEX(tblCalisan[Brüt Ücret (₺)],MATCH($A297,tblCalisan[Çalışan Adı],0))*IF($B297="5 Puan İndirimi",BesPuanOrani,IF($B297="İlave İstihdam",IlaveIstihdamOrani,IF($B297="Kadın/Genç",KadinGencOrani,IF($B297="Engelli",EngelliOrani,GencGirisimciOrani)))))</f>
        <v/>
      </c>
      <c r="D297" s="22" t="str">
        <f aca="false">IF($C297="","",$C297*AySayisi)</f>
        <v/>
      </c>
      <c r="E297" s="23"/>
    </row>
    <row r="298" customFormat="false" ht="15" hidden="false" customHeight="false" outlineLevel="0" collapsed="false">
      <c r="A298" s="19"/>
      <c r="B298" s="23"/>
      <c r="C298" s="22" t="str">
        <f aca="false">IF(OR($A298="",$B298=""),"",INDEX(tblCalisan[Brüt Ücret (₺)],MATCH($A298,tblCalisan[Çalışan Adı],0))*IF($B298="5 Puan İndirimi",BesPuanOrani,IF($B298="İlave İstihdam",IlaveIstihdamOrani,IF($B298="Kadın/Genç",KadinGencOrani,IF($B298="Engelli",EngelliOrani,GencGirisimciOrani)))))</f>
        <v/>
      </c>
      <c r="D298" s="22" t="str">
        <f aca="false">IF($C298="","",$C298*AySayisi)</f>
        <v/>
      </c>
      <c r="E298" s="23"/>
    </row>
    <row r="299" customFormat="false" ht="15" hidden="false" customHeight="false" outlineLevel="0" collapsed="false">
      <c r="A299" s="19"/>
      <c r="B299" s="23"/>
      <c r="C299" s="22" t="str">
        <f aca="false">IF(OR($A299="",$B299=""),"",INDEX(tblCalisan[Brüt Ücret (₺)],MATCH($A299,tblCalisan[Çalışan Adı],0))*IF($B299="5 Puan İndirimi",BesPuanOrani,IF($B299="İlave İstihdam",IlaveIstihdamOrani,IF($B299="Kadın/Genç",KadinGencOrani,IF($B299="Engelli",EngelliOrani,GencGirisimciOrani)))))</f>
        <v/>
      </c>
      <c r="D299" s="22" t="str">
        <f aca="false">IF($C299="","",$C299*AySayisi)</f>
        <v/>
      </c>
      <c r="E299" s="23"/>
    </row>
    <row r="300" customFormat="false" ht="15" hidden="false" customHeight="false" outlineLevel="0" collapsed="false">
      <c r="A300" s="19"/>
      <c r="B300" s="23"/>
      <c r="C300" s="22" t="str">
        <f aca="false">IF(OR($A300="",$B300=""),"",INDEX(tblCalisan[Brüt Ücret (₺)],MATCH($A300,tblCalisan[Çalışan Adı],0))*IF($B300="5 Puan İndirimi",BesPuanOrani,IF($B300="İlave İstihdam",IlaveIstihdamOrani,IF($B300="Kadın/Genç",KadinGencOrani,IF($B300="Engelli",EngelliOrani,GencGirisimciOrani)))))</f>
        <v/>
      </c>
      <c r="D300" s="22" t="str">
        <f aca="false">IF($C300="","",$C300*AySayisi)</f>
        <v/>
      </c>
      <c r="E300" s="23"/>
    </row>
    <row r="301" customFormat="false" ht="15" hidden="false" customHeight="false" outlineLevel="0" collapsed="false">
      <c r="A301" s="19"/>
      <c r="B301" s="23"/>
      <c r="C301" s="22" t="str">
        <f aca="false">IF(OR($A301="",$B301=""),"",INDEX(tblCalisan[Brüt Ücret (₺)],MATCH($A301,tblCalisan[Çalışan Adı],0))*IF($B301="5 Puan İndirimi",BesPuanOrani,IF($B301="İlave İstihdam",IlaveIstihdamOrani,IF($B301="Kadın/Genç",KadinGencOrani,IF($B301="Engelli",EngelliOrani,GencGirisimciOrani)))))</f>
        <v/>
      </c>
      <c r="D301" s="22" t="str">
        <f aca="false">IF($C301="","",$C301*AySayisi)</f>
        <v/>
      </c>
      <c r="E301" s="23"/>
    </row>
    <row r="302" customFormat="false" ht="15" hidden="false" customHeight="false" outlineLevel="0" collapsed="false">
      <c r="A302" s="19"/>
      <c r="B302" s="23"/>
      <c r="C302" s="22" t="str">
        <f aca="false">IF(OR($A302="",$B302=""),"",INDEX(tblCalisan[Brüt Ücret (₺)],MATCH($A302,tblCalisan[Çalışan Adı],0))*IF($B302="5 Puan İndirimi",BesPuanOrani,IF($B302="İlave İstihdam",IlaveIstihdamOrani,IF($B302="Kadın/Genç",KadinGencOrani,IF($B302="Engelli",EngelliOrani,GencGirisimciOrani)))))</f>
        <v/>
      </c>
      <c r="D302" s="22" t="str">
        <f aca="false">IF($C302="","",$C302*AySayisi)</f>
        <v/>
      </c>
      <c r="E302" s="23"/>
    </row>
    <row r="303" customFormat="false" ht="15" hidden="false" customHeight="false" outlineLevel="0" collapsed="false">
      <c r="A303" s="19"/>
      <c r="B303" s="23"/>
      <c r="C303" s="22" t="str">
        <f aca="false">IF(OR($A303="",$B303=""),"",INDEX(tblCalisan[Brüt Ücret (₺)],MATCH($A303,tblCalisan[Çalışan Adı],0))*IF($B303="5 Puan İndirimi",BesPuanOrani,IF($B303="İlave İstihdam",IlaveIstihdamOrani,IF($B303="Kadın/Genç",KadinGencOrani,IF($B303="Engelli",EngelliOrani,GencGirisimciOrani)))))</f>
        <v/>
      </c>
      <c r="D303" s="22" t="str">
        <f aca="false">IF($C303="","",$C303*AySayisi)</f>
        <v/>
      </c>
      <c r="E303" s="23"/>
    </row>
    <row r="304" customFormat="false" ht="15" hidden="false" customHeight="false" outlineLevel="0" collapsed="false">
      <c r="A304" s="19"/>
      <c r="B304" s="23"/>
      <c r="C304" s="22" t="str">
        <f aca="false">IF(OR($A304="",$B304=""),"",INDEX(tblCalisan[Brüt Ücret (₺)],MATCH($A304,tblCalisan[Çalışan Adı],0))*IF($B304="5 Puan İndirimi",BesPuanOrani,IF($B304="İlave İstihdam",IlaveIstihdamOrani,IF($B304="Kadın/Genç",KadinGencOrani,IF($B304="Engelli",EngelliOrani,GencGirisimciOrani)))))</f>
        <v/>
      </c>
      <c r="D304" s="22" t="str">
        <f aca="false">IF($C304="","",$C304*AySayisi)</f>
        <v/>
      </c>
      <c r="E304" s="23"/>
    </row>
    <row r="305" customFormat="false" ht="15" hidden="false" customHeight="false" outlineLevel="0" collapsed="false">
      <c r="A305" s="19"/>
      <c r="B305" s="23"/>
      <c r="C305" s="22" t="str">
        <f aca="false">IF(OR($A305="",$B305=""),"",INDEX(tblCalisan[Brüt Ücret (₺)],MATCH($A305,tblCalisan[Çalışan Adı],0))*IF($B305="5 Puan İndirimi",BesPuanOrani,IF($B305="İlave İstihdam",IlaveIstihdamOrani,IF($B305="Kadın/Genç",KadinGencOrani,IF($B305="Engelli",EngelliOrani,GencGirisimciOrani)))))</f>
        <v/>
      </c>
      <c r="D305" s="22" t="str">
        <f aca="false">IF($C305="","",$C305*AySayisi)</f>
        <v/>
      </c>
      <c r="E305" s="23"/>
    </row>
    <row r="306" customFormat="false" ht="15" hidden="false" customHeight="false" outlineLevel="0" collapsed="false">
      <c r="A306" s="19"/>
      <c r="B306" s="23"/>
      <c r="C306" s="22" t="str">
        <f aca="false">IF(OR($A306="",$B306=""),"",INDEX(tblCalisan[Brüt Ücret (₺)],MATCH($A306,tblCalisan[Çalışan Adı],0))*IF($B306="5 Puan İndirimi",BesPuanOrani,IF($B306="İlave İstihdam",IlaveIstihdamOrani,IF($B306="Kadın/Genç",KadinGencOrani,IF($B306="Engelli",EngelliOrani,GencGirisimciOrani)))))</f>
        <v/>
      </c>
      <c r="D306" s="22" t="str">
        <f aca="false">IF($C306="","",$C306*AySayisi)</f>
        <v/>
      </c>
      <c r="E306" s="23"/>
    </row>
    <row r="307" customFormat="false" ht="15" hidden="false" customHeight="false" outlineLevel="0" collapsed="false">
      <c r="A307" s="19"/>
      <c r="B307" s="23"/>
      <c r="C307" s="22" t="str">
        <f aca="false">IF(OR($A307="",$B307=""),"",INDEX(tblCalisan[Brüt Ücret (₺)],MATCH($A307,tblCalisan[Çalışan Adı],0))*IF($B307="5 Puan İndirimi",BesPuanOrani,IF($B307="İlave İstihdam",IlaveIstihdamOrani,IF($B307="Kadın/Genç",KadinGencOrani,IF($B307="Engelli",EngelliOrani,GencGirisimciOrani)))))</f>
        <v/>
      </c>
      <c r="D307" s="22" t="str">
        <f aca="false">IF($C307="","",$C307*AySayisi)</f>
        <v/>
      </c>
      <c r="E307" s="23"/>
    </row>
    <row r="308" customFormat="false" ht="15" hidden="false" customHeight="false" outlineLevel="0" collapsed="false">
      <c r="A308" s="19"/>
      <c r="B308" s="23"/>
      <c r="C308" s="22" t="str">
        <f aca="false">IF(OR($A308="",$B308=""),"",INDEX(tblCalisan[Brüt Ücret (₺)],MATCH($A308,tblCalisan[Çalışan Adı],0))*IF($B308="5 Puan İndirimi",BesPuanOrani,IF($B308="İlave İstihdam",IlaveIstihdamOrani,IF($B308="Kadın/Genç",KadinGencOrani,IF($B308="Engelli",EngelliOrani,GencGirisimciOrani)))))</f>
        <v/>
      </c>
      <c r="D308" s="22" t="str">
        <f aca="false">IF($C308="","",$C308*AySayisi)</f>
        <v/>
      </c>
      <c r="E308" s="23"/>
    </row>
    <row r="309" customFormat="false" ht="15" hidden="false" customHeight="false" outlineLevel="0" collapsed="false">
      <c r="A309" s="19"/>
      <c r="B309" s="23"/>
      <c r="C309" s="22" t="str">
        <f aca="false">IF(OR($A309="",$B309=""),"",INDEX(tblCalisan[Brüt Ücret (₺)],MATCH($A309,tblCalisan[Çalışan Adı],0))*IF($B309="5 Puan İndirimi",BesPuanOrani,IF($B309="İlave İstihdam",IlaveIstihdamOrani,IF($B309="Kadın/Genç",KadinGencOrani,IF($B309="Engelli",EngelliOrani,GencGirisimciOrani)))))</f>
        <v/>
      </c>
      <c r="D309" s="22" t="str">
        <f aca="false">IF($C309="","",$C309*AySayisi)</f>
        <v/>
      </c>
      <c r="E309" s="23"/>
    </row>
    <row r="310" customFormat="false" ht="15" hidden="false" customHeight="false" outlineLevel="0" collapsed="false">
      <c r="A310" s="19"/>
      <c r="B310" s="23"/>
      <c r="C310" s="22" t="str">
        <f aca="false">IF(OR($A310="",$B310=""),"",INDEX(tblCalisan[Brüt Ücret (₺)],MATCH($A310,tblCalisan[Çalışan Adı],0))*IF($B310="5 Puan İndirimi",BesPuanOrani,IF($B310="İlave İstihdam",IlaveIstihdamOrani,IF($B310="Kadın/Genç",KadinGencOrani,IF($B310="Engelli",EngelliOrani,GencGirisimciOrani)))))</f>
        <v/>
      </c>
      <c r="D310" s="22" t="str">
        <f aca="false">IF($C310="","",$C310*AySayisi)</f>
        <v/>
      </c>
      <c r="E310" s="23"/>
    </row>
    <row r="311" customFormat="false" ht="15" hidden="false" customHeight="false" outlineLevel="0" collapsed="false">
      <c r="A311" s="19"/>
      <c r="B311" s="23"/>
      <c r="C311" s="22" t="str">
        <f aca="false">IF(OR($A311="",$B311=""),"",INDEX(tblCalisan[Brüt Ücret (₺)],MATCH($A311,tblCalisan[Çalışan Adı],0))*IF($B311="5 Puan İndirimi",BesPuanOrani,IF($B311="İlave İstihdam",IlaveIstihdamOrani,IF($B311="Kadın/Genç",KadinGencOrani,IF($B311="Engelli",EngelliOrani,GencGirisimciOrani)))))</f>
        <v/>
      </c>
      <c r="D311" s="22" t="str">
        <f aca="false">IF($C311="","",$C311*AySayisi)</f>
        <v/>
      </c>
      <c r="E311" s="23"/>
    </row>
    <row r="312" customFormat="false" ht="15" hidden="false" customHeight="false" outlineLevel="0" collapsed="false">
      <c r="A312" s="19"/>
      <c r="B312" s="23"/>
      <c r="C312" s="22" t="str">
        <f aca="false">IF(OR($A312="",$B312=""),"",INDEX(tblCalisan[Brüt Ücret (₺)],MATCH($A312,tblCalisan[Çalışan Adı],0))*IF($B312="5 Puan İndirimi",BesPuanOrani,IF($B312="İlave İstihdam",IlaveIstihdamOrani,IF($B312="Kadın/Genç",KadinGencOrani,IF($B312="Engelli",EngelliOrani,GencGirisimciOrani)))))</f>
        <v/>
      </c>
      <c r="D312" s="22" t="str">
        <f aca="false">IF($C312="","",$C312*AySayisi)</f>
        <v/>
      </c>
      <c r="E312" s="23"/>
    </row>
    <row r="313" customFormat="false" ht="15" hidden="false" customHeight="false" outlineLevel="0" collapsed="false">
      <c r="A313" s="19"/>
      <c r="B313" s="23"/>
      <c r="C313" s="22" t="str">
        <f aca="false">IF(OR($A313="",$B313=""),"",INDEX(tblCalisan[Brüt Ücret (₺)],MATCH($A313,tblCalisan[Çalışan Adı],0))*IF($B313="5 Puan İndirimi",BesPuanOrani,IF($B313="İlave İstihdam",IlaveIstihdamOrani,IF($B313="Kadın/Genç",KadinGencOrani,IF($B313="Engelli",EngelliOrani,GencGirisimciOrani)))))</f>
        <v/>
      </c>
      <c r="D313" s="22" t="str">
        <f aca="false">IF($C313="","",$C313*AySayisi)</f>
        <v/>
      </c>
      <c r="E313" s="23"/>
    </row>
    <row r="314" customFormat="false" ht="15" hidden="false" customHeight="false" outlineLevel="0" collapsed="false">
      <c r="A314" s="19"/>
      <c r="B314" s="23"/>
      <c r="C314" s="22" t="str">
        <f aca="false">IF(OR($A314="",$B314=""),"",INDEX(tblCalisan[Brüt Ücret (₺)],MATCH($A314,tblCalisan[Çalışan Adı],0))*IF($B314="5 Puan İndirimi",BesPuanOrani,IF($B314="İlave İstihdam",IlaveIstihdamOrani,IF($B314="Kadın/Genç",KadinGencOrani,IF($B314="Engelli",EngelliOrani,GencGirisimciOrani)))))</f>
        <v/>
      </c>
      <c r="D314" s="22" t="str">
        <f aca="false">IF($C314="","",$C314*AySayisi)</f>
        <v/>
      </c>
      <c r="E314" s="23"/>
    </row>
    <row r="315" customFormat="false" ht="15" hidden="false" customHeight="false" outlineLevel="0" collapsed="false">
      <c r="A315" s="19"/>
      <c r="B315" s="23"/>
      <c r="C315" s="22" t="str">
        <f aca="false">IF(OR($A315="",$B315=""),"",INDEX(tblCalisan[Brüt Ücret (₺)],MATCH($A315,tblCalisan[Çalışan Adı],0))*IF($B315="5 Puan İndirimi",BesPuanOrani,IF($B315="İlave İstihdam",IlaveIstihdamOrani,IF($B315="Kadın/Genç",KadinGencOrani,IF($B315="Engelli",EngelliOrani,GencGirisimciOrani)))))</f>
        <v/>
      </c>
      <c r="D315" s="22" t="str">
        <f aca="false">IF($C315="","",$C315*AySayisi)</f>
        <v/>
      </c>
      <c r="E315" s="23"/>
    </row>
    <row r="316" customFormat="false" ht="15" hidden="false" customHeight="false" outlineLevel="0" collapsed="false">
      <c r="A316" s="19"/>
      <c r="B316" s="23"/>
      <c r="C316" s="22" t="str">
        <f aca="false">IF(OR($A316="",$B316=""),"",INDEX(tblCalisan[Brüt Ücret (₺)],MATCH($A316,tblCalisan[Çalışan Adı],0))*IF($B316="5 Puan İndirimi",BesPuanOrani,IF($B316="İlave İstihdam",IlaveIstihdamOrani,IF($B316="Kadın/Genç",KadinGencOrani,IF($B316="Engelli",EngelliOrani,GencGirisimciOrani)))))</f>
        <v/>
      </c>
      <c r="D316" s="22" t="str">
        <f aca="false">IF($C316="","",$C316*AySayisi)</f>
        <v/>
      </c>
      <c r="E316" s="23"/>
    </row>
    <row r="317" customFormat="false" ht="15" hidden="false" customHeight="false" outlineLevel="0" collapsed="false">
      <c r="A317" s="19"/>
      <c r="B317" s="23"/>
      <c r="C317" s="22" t="str">
        <f aca="false">IF(OR($A317="",$B317=""),"",INDEX(tblCalisan[Brüt Ücret (₺)],MATCH($A317,tblCalisan[Çalışan Adı],0))*IF($B317="5 Puan İndirimi",BesPuanOrani,IF($B317="İlave İstihdam",IlaveIstihdamOrani,IF($B317="Kadın/Genç",KadinGencOrani,IF($B317="Engelli",EngelliOrani,GencGirisimciOrani)))))</f>
        <v/>
      </c>
      <c r="D317" s="22" t="str">
        <f aca="false">IF($C317="","",$C317*AySayisi)</f>
        <v/>
      </c>
      <c r="E317" s="23"/>
    </row>
    <row r="318" customFormat="false" ht="15" hidden="false" customHeight="false" outlineLevel="0" collapsed="false">
      <c r="A318" s="19"/>
      <c r="B318" s="23"/>
      <c r="C318" s="22" t="str">
        <f aca="false">IF(OR($A318="",$B318=""),"",INDEX(tblCalisan[Brüt Ücret (₺)],MATCH($A318,tblCalisan[Çalışan Adı],0))*IF($B318="5 Puan İndirimi",BesPuanOrani,IF($B318="İlave İstihdam",IlaveIstihdamOrani,IF($B318="Kadın/Genç",KadinGencOrani,IF($B318="Engelli",EngelliOrani,GencGirisimciOrani)))))</f>
        <v/>
      </c>
      <c r="D318" s="22" t="str">
        <f aca="false">IF($C318="","",$C318*AySayisi)</f>
        <v/>
      </c>
      <c r="E318" s="23"/>
    </row>
    <row r="319" customFormat="false" ht="15" hidden="false" customHeight="false" outlineLevel="0" collapsed="false">
      <c r="A319" s="19"/>
      <c r="B319" s="23"/>
      <c r="C319" s="22" t="str">
        <f aca="false">IF(OR($A319="",$B319=""),"",INDEX(tblCalisan[Brüt Ücret (₺)],MATCH($A319,tblCalisan[Çalışan Adı],0))*IF($B319="5 Puan İndirimi",BesPuanOrani,IF($B319="İlave İstihdam",IlaveIstihdamOrani,IF($B319="Kadın/Genç",KadinGencOrani,IF($B319="Engelli",EngelliOrani,GencGirisimciOrani)))))</f>
        <v/>
      </c>
      <c r="D319" s="22" t="str">
        <f aca="false">IF($C319="","",$C319*AySayisi)</f>
        <v/>
      </c>
      <c r="E319" s="23"/>
    </row>
    <row r="320" customFormat="false" ht="15" hidden="false" customHeight="false" outlineLevel="0" collapsed="false">
      <c r="A320" s="19"/>
      <c r="B320" s="23"/>
      <c r="C320" s="22" t="str">
        <f aca="false">IF(OR($A320="",$B320=""),"",INDEX(tblCalisan[Brüt Ücret (₺)],MATCH($A320,tblCalisan[Çalışan Adı],0))*IF($B320="5 Puan İndirimi",BesPuanOrani,IF($B320="İlave İstihdam",IlaveIstihdamOrani,IF($B320="Kadın/Genç",KadinGencOrani,IF($B320="Engelli",EngelliOrani,GencGirisimciOrani)))))</f>
        <v/>
      </c>
      <c r="D320" s="22" t="str">
        <f aca="false">IF($C320="","",$C320*AySayisi)</f>
        <v/>
      </c>
      <c r="E320" s="23"/>
    </row>
    <row r="321" customFormat="false" ht="15" hidden="false" customHeight="false" outlineLevel="0" collapsed="false">
      <c r="A321" s="19"/>
      <c r="B321" s="23"/>
      <c r="C321" s="22" t="str">
        <f aca="false">IF(OR($A321="",$B321=""),"",INDEX(tblCalisan[Brüt Ücret (₺)],MATCH($A321,tblCalisan[Çalışan Adı],0))*IF($B321="5 Puan İndirimi",BesPuanOrani,IF($B321="İlave İstihdam",IlaveIstihdamOrani,IF($B321="Kadın/Genç",KadinGencOrani,IF($B321="Engelli",EngelliOrani,GencGirisimciOrani)))))</f>
        <v/>
      </c>
      <c r="D321" s="22" t="str">
        <f aca="false">IF($C321="","",$C321*AySayisi)</f>
        <v/>
      </c>
      <c r="E321" s="23"/>
    </row>
    <row r="322" customFormat="false" ht="15" hidden="false" customHeight="false" outlineLevel="0" collapsed="false">
      <c r="A322" s="19"/>
      <c r="B322" s="23"/>
      <c r="C322" s="22" t="str">
        <f aca="false">IF(OR($A322="",$B322=""),"",INDEX(tblCalisan[Brüt Ücret (₺)],MATCH($A322,tblCalisan[Çalışan Adı],0))*IF($B322="5 Puan İndirimi",BesPuanOrani,IF($B322="İlave İstihdam",IlaveIstihdamOrani,IF($B322="Kadın/Genç",KadinGencOrani,IF($B322="Engelli",EngelliOrani,GencGirisimciOrani)))))</f>
        <v/>
      </c>
      <c r="D322" s="22" t="str">
        <f aca="false">IF($C322="","",$C322*AySayisi)</f>
        <v/>
      </c>
      <c r="E322" s="23"/>
    </row>
    <row r="323" customFormat="false" ht="15" hidden="false" customHeight="false" outlineLevel="0" collapsed="false">
      <c r="A323" s="19"/>
      <c r="B323" s="23"/>
      <c r="C323" s="22" t="str">
        <f aca="false">IF(OR($A323="",$B323=""),"",INDEX(tblCalisan[Brüt Ücret (₺)],MATCH($A323,tblCalisan[Çalışan Adı],0))*IF($B323="5 Puan İndirimi",BesPuanOrani,IF($B323="İlave İstihdam",IlaveIstihdamOrani,IF($B323="Kadın/Genç",KadinGencOrani,IF($B323="Engelli",EngelliOrani,GencGirisimciOrani)))))</f>
        <v/>
      </c>
      <c r="D323" s="22" t="str">
        <f aca="false">IF($C323="","",$C323*AySayisi)</f>
        <v/>
      </c>
      <c r="E323" s="23"/>
    </row>
    <row r="324" customFormat="false" ht="15" hidden="false" customHeight="false" outlineLevel="0" collapsed="false">
      <c r="A324" s="19"/>
      <c r="B324" s="23"/>
      <c r="C324" s="22" t="str">
        <f aca="false">IF(OR($A324="",$B324=""),"",INDEX(tblCalisan[Brüt Ücret (₺)],MATCH($A324,tblCalisan[Çalışan Adı],0))*IF($B324="5 Puan İndirimi",BesPuanOrani,IF($B324="İlave İstihdam",IlaveIstihdamOrani,IF($B324="Kadın/Genç",KadinGencOrani,IF($B324="Engelli",EngelliOrani,GencGirisimciOrani)))))</f>
        <v/>
      </c>
      <c r="D324" s="22" t="str">
        <f aca="false">IF($C324="","",$C324*AySayisi)</f>
        <v/>
      </c>
      <c r="E324" s="23"/>
    </row>
    <row r="325" customFormat="false" ht="15" hidden="false" customHeight="false" outlineLevel="0" collapsed="false">
      <c r="A325" s="19"/>
      <c r="B325" s="23"/>
      <c r="C325" s="22" t="str">
        <f aca="false">IF(OR($A325="",$B325=""),"",INDEX(tblCalisan[Brüt Ücret (₺)],MATCH($A325,tblCalisan[Çalışan Adı],0))*IF($B325="5 Puan İndirimi",BesPuanOrani,IF($B325="İlave İstihdam",IlaveIstihdamOrani,IF($B325="Kadın/Genç",KadinGencOrani,IF($B325="Engelli",EngelliOrani,GencGirisimciOrani)))))</f>
        <v/>
      </c>
      <c r="D325" s="22" t="str">
        <f aca="false">IF($C325="","",$C325*AySayisi)</f>
        <v/>
      </c>
      <c r="E325" s="23"/>
    </row>
    <row r="326" customFormat="false" ht="15" hidden="false" customHeight="false" outlineLevel="0" collapsed="false">
      <c r="A326" s="19"/>
      <c r="B326" s="23"/>
      <c r="C326" s="22" t="str">
        <f aca="false">IF(OR($A326="",$B326=""),"",INDEX(tblCalisan[Brüt Ücret (₺)],MATCH($A326,tblCalisan[Çalışan Adı],0))*IF($B326="5 Puan İndirimi",BesPuanOrani,IF($B326="İlave İstihdam",IlaveIstihdamOrani,IF($B326="Kadın/Genç",KadinGencOrani,IF($B326="Engelli",EngelliOrani,GencGirisimciOrani)))))</f>
        <v/>
      </c>
      <c r="D326" s="22" t="str">
        <f aca="false">IF($C326="","",$C326*AySayisi)</f>
        <v/>
      </c>
      <c r="E326" s="23"/>
    </row>
    <row r="327" customFormat="false" ht="15" hidden="false" customHeight="false" outlineLevel="0" collapsed="false">
      <c r="A327" s="19"/>
      <c r="B327" s="23"/>
      <c r="C327" s="22" t="str">
        <f aca="false">IF(OR($A327="",$B327=""),"",INDEX(tblCalisan[Brüt Ücret (₺)],MATCH($A327,tblCalisan[Çalışan Adı],0))*IF($B327="5 Puan İndirimi",BesPuanOrani,IF($B327="İlave İstihdam",IlaveIstihdamOrani,IF($B327="Kadın/Genç",KadinGencOrani,IF($B327="Engelli",EngelliOrani,GencGirisimciOrani)))))</f>
        <v/>
      </c>
      <c r="D327" s="22" t="str">
        <f aca="false">IF($C327="","",$C327*AySayisi)</f>
        <v/>
      </c>
      <c r="E327" s="23"/>
    </row>
    <row r="328" customFormat="false" ht="15" hidden="false" customHeight="false" outlineLevel="0" collapsed="false">
      <c r="A328" s="19"/>
      <c r="B328" s="23"/>
      <c r="C328" s="22" t="str">
        <f aca="false">IF(OR($A328="",$B328=""),"",INDEX(tblCalisan[Brüt Ücret (₺)],MATCH($A328,tblCalisan[Çalışan Adı],0))*IF($B328="5 Puan İndirimi",BesPuanOrani,IF($B328="İlave İstihdam",IlaveIstihdamOrani,IF($B328="Kadın/Genç",KadinGencOrani,IF($B328="Engelli",EngelliOrani,GencGirisimciOrani)))))</f>
        <v/>
      </c>
      <c r="D328" s="22" t="str">
        <f aca="false">IF($C328="","",$C328*AySayisi)</f>
        <v/>
      </c>
      <c r="E328" s="23"/>
    </row>
    <row r="329" customFormat="false" ht="15" hidden="false" customHeight="false" outlineLevel="0" collapsed="false">
      <c r="A329" s="19"/>
      <c r="B329" s="23"/>
      <c r="C329" s="22" t="str">
        <f aca="false">IF(OR($A329="",$B329=""),"",INDEX(tblCalisan[Brüt Ücret (₺)],MATCH($A329,tblCalisan[Çalışan Adı],0))*IF($B329="5 Puan İndirimi",BesPuanOrani,IF($B329="İlave İstihdam",IlaveIstihdamOrani,IF($B329="Kadın/Genç",KadinGencOrani,IF($B329="Engelli",EngelliOrani,GencGirisimciOrani)))))</f>
        <v/>
      </c>
      <c r="D329" s="22" t="str">
        <f aca="false">IF($C329="","",$C329*AySayisi)</f>
        <v/>
      </c>
      <c r="E329" s="23"/>
    </row>
    <row r="330" customFormat="false" ht="15" hidden="false" customHeight="false" outlineLevel="0" collapsed="false">
      <c r="A330" s="19"/>
      <c r="B330" s="23"/>
      <c r="C330" s="22" t="str">
        <f aca="false">IF(OR($A330="",$B330=""),"",INDEX(tblCalisan[Brüt Ücret (₺)],MATCH($A330,tblCalisan[Çalışan Adı],0))*IF($B330="5 Puan İndirimi",BesPuanOrani,IF($B330="İlave İstihdam",IlaveIstihdamOrani,IF($B330="Kadın/Genç",KadinGencOrani,IF($B330="Engelli",EngelliOrani,GencGirisimciOrani)))))</f>
        <v/>
      </c>
      <c r="D330" s="22" t="str">
        <f aca="false">IF($C330="","",$C330*AySayisi)</f>
        <v/>
      </c>
      <c r="E330" s="23"/>
    </row>
    <row r="331" customFormat="false" ht="15" hidden="false" customHeight="false" outlineLevel="0" collapsed="false">
      <c r="A331" s="19"/>
      <c r="B331" s="23"/>
      <c r="C331" s="22" t="str">
        <f aca="false">IF(OR($A331="",$B331=""),"",INDEX(tblCalisan[Brüt Ücret (₺)],MATCH($A331,tblCalisan[Çalışan Adı],0))*IF($B331="5 Puan İndirimi",BesPuanOrani,IF($B331="İlave İstihdam",IlaveIstihdamOrani,IF($B331="Kadın/Genç",KadinGencOrani,IF($B331="Engelli",EngelliOrani,GencGirisimciOrani)))))</f>
        <v/>
      </c>
      <c r="D331" s="22" t="str">
        <f aca="false">IF($C331="","",$C331*AySayisi)</f>
        <v/>
      </c>
      <c r="E331" s="23"/>
    </row>
    <row r="332" customFormat="false" ht="15" hidden="false" customHeight="false" outlineLevel="0" collapsed="false">
      <c r="A332" s="19"/>
      <c r="B332" s="23"/>
      <c r="C332" s="22" t="str">
        <f aca="false">IF(OR($A332="",$B332=""),"",INDEX(tblCalisan[Brüt Ücret (₺)],MATCH($A332,tblCalisan[Çalışan Adı],0))*IF($B332="5 Puan İndirimi",BesPuanOrani,IF($B332="İlave İstihdam",IlaveIstihdamOrani,IF($B332="Kadın/Genç",KadinGencOrani,IF($B332="Engelli",EngelliOrani,GencGirisimciOrani)))))</f>
        <v/>
      </c>
      <c r="D332" s="22" t="str">
        <f aca="false">IF($C332="","",$C332*AySayisi)</f>
        <v/>
      </c>
      <c r="E332" s="23"/>
    </row>
    <row r="333" customFormat="false" ht="15" hidden="false" customHeight="false" outlineLevel="0" collapsed="false">
      <c r="A333" s="19"/>
      <c r="B333" s="23"/>
      <c r="C333" s="22" t="str">
        <f aca="false">IF(OR($A333="",$B333=""),"",INDEX(tblCalisan[Brüt Ücret (₺)],MATCH($A333,tblCalisan[Çalışan Adı],0))*IF($B333="5 Puan İndirimi",BesPuanOrani,IF($B333="İlave İstihdam",IlaveIstihdamOrani,IF($B333="Kadın/Genç",KadinGencOrani,IF($B333="Engelli",EngelliOrani,GencGirisimciOrani)))))</f>
        <v/>
      </c>
      <c r="D333" s="22" t="str">
        <f aca="false">IF($C333="","",$C333*AySayisi)</f>
        <v/>
      </c>
      <c r="E333" s="23"/>
    </row>
    <row r="334" customFormat="false" ht="15" hidden="false" customHeight="false" outlineLevel="0" collapsed="false">
      <c r="A334" s="19"/>
      <c r="B334" s="23"/>
      <c r="C334" s="22" t="str">
        <f aca="false">IF(OR($A334="",$B334=""),"",INDEX(tblCalisan[Brüt Ücret (₺)],MATCH($A334,tblCalisan[Çalışan Adı],0))*IF($B334="5 Puan İndirimi",BesPuanOrani,IF($B334="İlave İstihdam",IlaveIstihdamOrani,IF($B334="Kadın/Genç",KadinGencOrani,IF($B334="Engelli",EngelliOrani,GencGirisimciOrani)))))</f>
        <v/>
      </c>
      <c r="D334" s="22" t="str">
        <f aca="false">IF($C334="","",$C334*AySayisi)</f>
        <v/>
      </c>
      <c r="E334" s="23"/>
    </row>
    <row r="335" customFormat="false" ht="15" hidden="false" customHeight="false" outlineLevel="0" collapsed="false">
      <c r="A335" s="19"/>
      <c r="B335" s="23"/>
      <c r="C335" s="22" t="str">
        <f aca="false">IF(OR($A335="",$B335=""),"",INDEX(tblCalisan[Brüt Ücret (₺)],MATCH($A335,tblCalisan[Çalışan Adı],0))*IF($B335="5 Puan İndirimi",BesPuanOrani,IF($B335="İlave İstihdam",IlaveIstihdamOrani,IF($B335="Kadın/Genç",KadinGencOrani,IF($B335="Engelli",EngelliOrani,GencGirisimciOrani)))))</f>
        <v/>
      </c>
      <c r="D335" s="22" t="str">
        <f aca="false">IF($C335="","",$C335*AySayisi)</f>
        <v/>
      </c>
      <c r="E335" s="23"/>
    </row>
    <row r="336" customFormat="false" ht="15" hidden="false" customHeight="false" outlineLevel="0" collapsed="false">
      <c r="A336" s="19"/>
      <c r="B336" s="23"/>
      <c r="C336" s="22" t="str">
        <f aca="false">IF(OR($A336="",$B336=""),"",INDEX(tblCalisan[Brüt Ücret (₺)],MATCH($A336,tblCalisan[Çalışan Adı],0))*IF($B336="5 Puan İndirimi",BesPuanOrani,IF($B336="İlave İstihdam",IlaveIstihdamOrani,IF($B336="Kadın/Genç",KadinGencOrani,IF($B336="Engelli",EngelliOrani,GencGirisimciOrani)))))</f>
        <v/>
      </c>
      <c r="D336" s="22" t="str">
        <f aca="false">IF($C336="","",$C336*AySayisi)</f>
        <v/>
      </c>
      <c r="E336" s="23"/>
    </row>
    <row r="337" customFormat="false" ht="15" hidden="false" customHeight="false" outlineLevel="0" collapsed="false">
      <c r="A337" s="19"/>
      <c r="B337" s="23"/>
      <c r="C337" s="22" t="str">
        <f aca="false">IF(OR($A337="",$B337=""),"",INDEX(tblCalisan[Brüt Ücret (₺)],MATCH($A337,tblCalisan[Çalışan Adı],0))*IF($B337="5 Puan İndirimi",BesPuanOrani,IF($B337="İlave İstihdam",IlaveIstihdamOrani,IF($B337="Kadın/Genç",KadinGencOrani,IF($B337="Engelli",EngelliOrani,GencGirisimciOrani)))))</f>
        <v/>
      </c>
      <c r="D337" s="22" t="str">
        <f aca="false">IF($C337="","",$C337*AySayisi)</f>
        <v/>
      </c>
      <c r="E337" s="23"/>
    </row>
    <row r="338" customFormat="false" ht="15" hidden="false" customHeight="false" outlineLevel="0" collapsed="false">
      <c r="A338" s="19"/>
      <c r="B338" s="23"/>
      <c r="C338" s="22" t="str">
        <f aca="false">IF(OR($A338="",$B338=""),"",INDEX(tblCalisan[Brüt Ücret (₺)],MATCH($A338,tblCalisan[Çalışan Adı],0))*IF($B338="5 Puan İndirimi",BesPuanOrani,IF($B338="İlave İstihdam",IlaveIstihdamOrani,IF($B338="Kadın/Genç",KadinGencOrani,IF($B338="Engelli",EngelliOrani,GencGirisimciOrani)))))</f>
        <v/>
      </c>
      <c r="D338" s="22" t="str">
        <f aca="false">IF($C338="","",$C338*AySayisi)</f>
        <v/>
      </c>
      <c r="E338" s="23"/>
    </row>
    <row r="339" customFormat="false" ht="15" hidden="false" customHeight="false" outlineLevel="0" collapsed="false">
      <c r="A339" s="19"/>
      <c r="B339" s="23"/>
      <c r="C339" s="22" t="str">
        <f aca="false">IF(OR($A339="",$B339=""),"",INDEX(tblCalisan[Brüt Ücret (₺)],MATCH($A339,tblCalisan[Çalışan Adı],0))*IF($B339="5 Puan İndirimi",BesPuanOrani,IF($B339="İlave İstihdam",IlaveIstihdamOrani,IF($B339="Kadın/Genç",KadinGencOrani,IF($B339="Engelli",EngelliOrani,GencGirisimciOrani)))))</f>
        <v/>
      </c>
      <c r="D339" s="22" t="str">
        <f aca="false">IF($C339="","",$C339*AySayisi)</f>
        <v/>
      </c>
      <c r="E339" s="23"/>
    </row>
    <row r="340" customFormat="false" ht="15" hidden="false" customHeight="false" outlineLevel="0" collapsed="false">
      <c r="A340" s="19"/>
      <c r="B340" s="23"/>
      <c r="C340" s="22" t="str">
        <f aca="false">IF(OR($A340="",$B340=""),"",INDEX(tblCalisan[Brüt Ücret (₺)],MATCH($A340,tblCalisan[Çalışan Adı],0))*IF($B340="5 Puan İndirimi",BesPuanOrani,IF($B340="İlave İstihdam",IlaveIstihdamOrani,IF($B340="Kadın/Genç",KadinGencOrani,IF($B340="Engelli",EngelliOrani,GencGirisimciOrani)))))</f>
        <v/>
      </c>
      <c r="D340" s="22" t="str">
        <f aca="false">IF($C340="","",$C340*AySayisi)</f>
        <v/>
      </c>
      <c r="E340" s="23"/>
    </row>
    <row r="341" customFormat="false" ht="15" hidden="false" customHeight="false" outlineLevel="0" collapsed="false">
      <c r="A341" s="19"/>
      <c r="B341" s="23"/>
      <c r="C341" s="22" t="str">
        <f aca="false">IF(OR($A341="",$B341=""),"",INDEX(tblCalisan[Brüt Ücret (₺)],MATCH($A341,tblCalisan[Çalışan Adı],0))*IF($B341="5 Puan İndirimi",BesPuanOrani,IF($B341="İlave İstihdam",IlaveIstihdamOrani,IF($B341="Kadın/Genç",KadinGencOrani,IF($B341="Engelli",EngelliOrani,GencGirisimciOrani)))))</f>
        <v/>
      </c>
      <c r="D341" s="22" t="str">
        <f aca="false">IF($C341="","",$C341*AySayisi)</f>
        <v/>
      </c>
      <c r="E341" s="23"/>
    </row>
    <row r="342" customFormat="false" ht="15" hidden="false" customHeight="false" outlineLevel="0" collapsed="false">
      <c r="A342" s="19"/>
      <c r="B342" s="23"/>
      <c r="C342" s="22" t="str">
        <f aca="false">IF(OR($A342="",$B342=""),"",INDEX(tblCalisan[Brüt Ücret (₺)],MATCH($A342,tblCalisan[Çalışan Adı],0))*IF($B342="5 Puan İndirimi",BesPuanOrani,IF($B342="İlave İstihdam",IlaveIstihdamOrani,IF($B342="Kadın/Genç",KadinGencOrani,IF($B342="Engelli",EngelliOrani,GencGirisimciOrani)))))</f>
        <v/>
      </c>
      <c r="D342" s="22" t="str">
        <f aca="false">IF($C342="","",$C342*AySayisi)</f>
        <v/>
      </c>
      <c r="E342" s="23"/>
    </row>
    <row r="343" customFormat="false" ht="15" hidden="false" customHeight="false" outlineLevel="0" collapsed="false">
      <c r="A343" s="19"/>
      <c r="B343" s="23"/>
      <c r="C343" s="22" t="str">
        <f aca="false">IF(OR($A343="",$B343=""),"",INDEX(tblCalisan[Brüt Ücret (₺)],MATCH($A343,tblCalisan[Çalışan Adı],0))*IF($B343="5 Puan İndirimi",BesPuanOrani,IF($B343="İlave İstihdam",IlaveIstihdamOrani,IF($B343="Kadın/Genç",KadinGencOrani,IF($B343="Engelli",EngelliOrani,GencGirisimciOrani)))))</f>
        <v/>
      </c>
      <c r="D343" s="22" t="str">
        <f aca="false">IF($C343="","",$C343*AySayisi)</f>
        <v/>
      </c>
      <c r="E343" s="23"/>
    </row>
    <row r="344" customFormat="false" ht="15" hidden="false" customHeight="false" outlineLevel="0" collapsed="false">
      <c r="A344" s="19"/>
      <c r="B344" s="23"/>
      <c r="C344" s="22" t="str">
        <f aca="false">IF(OR($A344="",$B344=""),"",INDEX(tblCalisan[Brüt Ücret (₺)],MATCH($A344,tblCalisan[Çalışan Adı],0))*IF($B344="5 Puan İndirimi",BesPuanOrani,IF($B344="İlave İstihdam",IlaveIstihdamOrani,IF($B344="Kadın/Genç",KadinGencOrani,IF($B344="Engelli",EngelliOrani,GencGirisimciOrani)))))</f>
        <v/>
      </c>
      <c r="D344" s="22" t="str">
        <f aca="false">IF($C344="","",$C344*AySayisi)</f>
        <v/>
      </c>
      <c r="E344" s="23"/>
    </row>
    <row r="345" customFormat="false" ht="15" hidden="false" customHeight="false" outlineLevel="0" collapsed="false">
      <c r="A345" s="19"/>
      <c r="B345" s="23"/>
      <c r="C345" s="22" t="str">
        <f aca="false">IF(OR($A345="",$B345=""),"",INDEX(tblCalisan[Brüt Ücret (₺)],MATCH($A345,tblCalisan[Çalışan Adı],0))*IF($B345="5 Puan İndirimi",BesPuanOrani,IF($B345="İlave İstihdam",IlaveIstihdamOrani,IF($B345="Kadın/Genç",KadinGencOrani,IF($B345="Engelli",EngelliOrani,GencGirisimciOrani)))))</f>
        <v/>
      </c>
      <c r="D345" s="22" t="str">
        <f aca="false">IF($C345="","",$C345*AySayisi)</f>
        <v/>
      </c>
      <c r="E345" s="23"/>
    </row>
    <row r="346" customFormat="false" ht="15" hidden="false" customHeight="false" outlineLevel="0" collapsed="false">
      <c r="A346" s="19"/>
      <c r="B346" s="23"/>
      <c r="C346" s="22" t="str">
        <f aca="false">IF(OR($A346="",$B346=""),"",INDEX(tblCalisan[Brüt Ücret (₺)],MATCH($A346,tblCalisan[Çalışan Adı],0))*IF($B346="5 Puan İndirimi",BesPuanOrani,IF($B346="İlave İstihdam",IlaveIstihdamOrani,IF($B346="Kadın/Genç",KadinGencOrani,IF($B346="Engelli",EngelliOrani,GencGirisimciOrani)))))</f>
        <v/>
      </c>
      <c r="D346" s="22" t="str">
        <f aca="false">IF($C346="","",$C346*AySayisi)</f>
        <v/>
      </c>
      <c r="E346" s="23"/>
    </row>
    <row r="347" customFormat="false" ht="15" hidden="false" customHeight="false" outlineLevel="0" collapsed="false">
      <c r="A347" s="19"/>
      <c r="B347" s="23"/>
      <c r="C347" s="22" t="str">
        <f aca="false">IF(OR($A347="",$B347=""),"",INDEX(tblCalisan[Brüt Ücret (₺)],MATCH($A347,tblCalisan[Çalışan Adı],0))*IF($B347="5 Puan İndirimi",BesPuanOrani,IF($B347="İlave İstihdam",IlaveIstihdamOrani,IF($B347="Kadın/Genç",KadinGencOrani,IF($B347="Engelli",EngelliOrani,GencGirisimciOrani)))))</f>
        <v/>
      </c>
      <c r="D347" s="22" t="str">
        <f aca="false">IF($C347="","",$C347*AySayisi)</f>
        <v/>
      </c>
      <c r="E347" s="23"/>
    </row>
    <row r="348" customFormat="false" ht="15" hidden="false" customHeight="false" outlineLevel="0" collapsed="false">
      <c r="A348" s="19"/>
      <c r="B348" s="23"/>
      <c r="C348" s="22" t="str">
        <f aca="false">IF(OR($A348="",$B348=""),"",INDEX(tblCalisan[Brüt Ücret (₺)],MATCH($A348,tblCalisan[Çalışan Adı],0))*IF($B348="5 Puan İndirimi",BesPuanOrani,IF($B348="İlave İstihdam",IlaveIstihdamOrani,IF($B348="Kadın/Genç",KadinGencOrani,IF($B348="Engelli",EngelliOrani,GencGirisimciOrani)))))</f>
        <v/>
      </c>
      <c r="D348" s="22" t="str">
        <f aca="false">IF($C348="","",$C348*AySayisi)</f>
        <v/>
      </c>
      <c r="E348" s="23"/>
    </row>
    <row r="349" customFormat="false" ht="15" hidden="false" customHeight="false" outlineLevel="0" collapsed="false">
      <c r="A349" s="19"/>
      <c r="B349" s="23"/>
      <c r="C349" s="22" t="str">
        <f aca="false">IF(OR($A349="",$B349=""),"",INDEX(tblCalisan[Brüt Ücret (₺)],MATCH($A349,tblCalisan[Çalışan Adı],0))*IF($B349="5 Puan İndirimi",BesPuanOrani,IF($B349="İlave İstihdam",IlaveIstihdamOrani,IF($B349="Kadın/Genç",KadinGencOrani,IF($B349="Engelli",EngelliOrani,GencGirisimciOrani)))))</f>
        <v/>
      </c>
      <c r="D349" s="22" t="str">
        <f aca="false">IF($C349="","",$C349*AySayisi)</f>
        <v/>
      </c>
      <c r="E349" s="23"/>
    </row>
    <row r="350" customFormat="false" ht="15" hidden="false" customHeight="false" outlineLevel="0" collapsed="false">
      <c r="A350" s="19"/>
      <c r="B350" s="23"/>
      <c r="C350" s="22" t="str">
        <f aca="false">IF(OR($A350="",$B350=""),"",INDEX(tblCalisan[Brüt Ücret (₺)],MATCH($A350,tblCalisan[Çalışan Adı],0))*IF($B350="5 Puan İndirimi",BesPuanOrani,IF($B350="İlave İstihdam",IlaveIstihdamOrani,IF($B350="Kadın/Genç",KadinGencOrani,IF($B350="Engelli",EngelliOrani,GencGirisimciOrani)))))</f>
        <v/>
      </c>
      <c r="D350" s="22" t="str">
        <f aca="false">IF($C350="","",$C350*AySayisi)</f>
        <v/>
      </c>
      <c r="E350" s="23"/>
    </row>
    <row r="351" customFormat="false" ht="15" hidden="false" customHeight="false" outlineLevel="0" collapsed="false">
      <c r="A351" s="19"/>
      <c r="B351" s="23"/>
      <c r="C351" s="22" t="str">
        <f aca="false">IF(OR($A351="",$B351=""),"",INDEX(tblCalisan[Brüt Ücret (₺)],MATCH($A351,tblCalisan[Çalışan Adı],0))*IF($B351="5 Puan İndirimi",BesPuanOrani,IF($B351="İlave İstihdam",IlaveIstihdamOrani,IF($B351="Kadın/Genç",KadinGencOrani,IF($B351="Engelli",EngelliOrani,GencGirisimciOrani)))))</f>
        <v/>
      </c>
      <c r="D351" s="22" t="str">
        <f aca="false">IF($C351="","",$C351*AySayisi)</f>
        <v/>
      </c>
      <c r="E351" s="23"/>
    </row>
    <row r="352" customFormat="false" ht="15" hidden="false" customHeight="false" outlineLevel="0" collapsed="false">
      <c r="A352" s="19"/>
      <c r="B352" s="23"/>
      <c r="C352" s="22" t="str">
        <f aca="false">IF(OR($A352="",$B352=""),"",INDEX(tblCalisan[Brüt Ücret (₺)],MATCH($A352,tblCalisan[Çalışan Adı],0))*IF($B352="5 Puan İndirimi",BesPuanOrani,IF($B352="İlave İstihdam",IlaveIstihdamOrani,IF($B352="Kadın/Genç",KadinGencOrani,IF($B352="Engelli",EngelliOrani,GencGirisimciOrani)))))</f>
        <v/>
      </c>
      <c r="D352" s="22" t="str">
        <f aca="false">IF($C352="","",$C352*AySayisi)</f>
        <v/>
      </c>
      <c r="E352" s="23"/>
    </row>
    <row r="353" customFormat="false" ht="15" hidden="false" customHeight="false" outlineLevel="0" collapsed="false">
      <c r="A353" s="19"/>
      <c r="B353" s="23"/>
      <c r="C353" s="22" t="str">
        <f aca="false">IF(OR($A353="",$B353=""),"",INDEX(tblCalisan[Brüt Ücret (₺)],MATCH($A353,tblCalisan[Çalışan Adı],0))*IF($B353="5 Puan İndirimi",BesPuanOrani,IF($B353="İlave İstihdam",IlaveIstihdamOrani,IF($B353="Kadın/Genç",KadinGencOrani,IF($B353="Engelli",EngelliOrani,GencGirisimciOrani)))))</f>
        <v/>
      </c>
      <c r="D353" s="22" t="str">
        <f aca="false">IF($C353="","",$C353*AySayisi)</f>
        <v/>
      </c>
      <c r="E353" s="23"/>
    </row>
    <row r="354" customFormat="false" ht="15" hidden="false" customHeight="false" outlineLevel="0" collapsed="false">
      <c r="A354" s="19"/>
      <c r="B354" s="23"/>
      <c r="C354" s="22" t="str">
        <f aca="false">IF(OR($A354="",$B354=""),"",INDEX(tblCalisan[Brüt Ücret (₺)],MATCH($A354,tblCalisan[Çalışan Adı],0))*IF($B354="5 Puan İndirimi",BesPuanOrani,IF($B354="İlave İstihdam",IlaveIstihdamOrani,IF($B354="Kadın/Genç",KadinGencOrani,IF($B354="Engelli",EngelliOrani,GencGirisimciOrani)))))</f>
        <v/>
      </c>
      <c r="D354" s="22" t="str">
        <f aca="false">IF($C354="","",$C354*AySayisi)</f>
        <v/>
      </c>
      <c r="E354" s="23"/>
    </row>
    <row r="355" customFormat="false" ht="15" hidden="false" customHeight="false" outlineLevel="0" collapsed="false">
      <c r="A355" s="19"/>
      <c r="B355" s="23"/>
      <c r="C355" s="22" t="str">
        <f aca="false">IF(OR($A355="",$B355=""),"",INDEX(tblCalisan[Brüt Ücret (₺)],MATCH($A355,tblCalisan[Çalışan Adı],0))*IF($B355="5 Puan İndirimi",BesPuanOrani,IF($B355="İlave İstihdam",IlaveIstihdamOrani,IF($B355="Kadın/Genç",KadinGencOrani,IF($B355="Engelli",EngelliOrani,GencGirisimciOrani)))))</f>
        <v/>
      </c>
      <c r="D355" s="22" t="str">
        <f aca="false">IF($C355="","",$C355*AySayisi)</f>
        <v/>
      </c>
      <c r="E355" s="23"/>
    </row>
    <row r="356" customFormat="false" ht="15" hidden="false" customHeight="false" outlineLevel="0" collapsed="false">
      <c r="A356" s="19"/>
      <c r="B356" s="23"/>
      <c r="C356" s="22" t="str">
        <f aca="false">IF(OR($A356="",$B356=""),"",INDEX(tblCalisan[Brüt Ücret (₺)],MATCH($A356,tblCalisan[Çalışan Adı],0))*IF($B356="5 Puan İndirimi",BesPuanOrani,IF($B356="İlave İstihdam",IlaveIstihdamOrani,IF($B356="Kadın/Genç",KadinGencOrani,IF($B356="Engelli",EngelliOrani,GencGirisimciOrani)))))</f>
        <v/>
      </c>
      <c r="D356" s="22" t="str">
        <f aca="false">IF($C356="","",$C356*AySayisi)</f>
        <v/>
      </c>
      <c r="E356" s="23"/>
    </row>
    <row r="357" customFormat="false" ht="15" hidden="false" customHeight="false" outlineLevel="0" collapsed="false">
      <c r="A357" s="19"/>
      <c r="B357" s="23"/>
      <c r="C357" s="22" t="str">
        <f aca="false">IF(OR($A357="",$B357=""),"",INDEX(tblCalisan[Brüt Ücret (₺)],MATCH($A357,tblCalisan[Çalışan Adı],0))*IF($B357="5 Puan İndirimi",BesPuanOrani,IF($B357="İlave İstihdam",IlaveIstihdamOrani,IF($B357="Kadın/Genç",KadinGencOrani,IF($B357="Engelli",EngelliOrani,GencGirisimciOrani)))))</f>
        <v/>
      </c>
      <c r="D357" s="22" t="str">
        <f aca="false">IF($C357="","",$C357*AySayisi)</f>
        <v/>
      </c>
      <c r="E357" s="23"/>
    </row>
    <row r="358" customFormat="false" ht="15" hidden="false" customHeight="false" outlineLevel="0" collapsed="false">
      <c r="A358" s="19"/>
      <c r="B358" s="23"/>
      <c r="C358" s="22" t="str">
        <f aca="false">IF(OR($A358="",$B358=""),"",INDEX(tblCalisan[Brüt Ücret (₺)],MATCH($A358,tblCalisan[Çalışan Adı],0))*IF($B358="5 Puan İndirimi",BesPuanOrani,IF($B358="İlave İstihdam",IlaveIstihdamOrani,IF($B358="Kadın/Genç",KadinGencOrani,IF($B358="Engelli",EngelliOrani,GencGirisimciOrani)))))</f>
        <v/>
      </c>
      <c r="D358" s="22" t="str">
        <f aca="false">IF($C358="","",$C358*AySayisi)</f>
        <v/>
      </c>
      <c r="E358" s="23"/>
    </row>
    <row r="359" customFormat="false" ht="15" hidden="false" customHeight="false" outlineLevel="0" collapsed="false">
      <c r="A359" s="19"/>
      <c r="B359" s="23"/>
      <c r="C359" s="22" t="str">
        <f aca="false">IF(OR($A359="",$B359=""),"",INDEX(tblCalisan[Brüt Ücret (₺)],MATCH($A359,tblCalisan[Çalışan Adı],0))*IF($B359="5 Puan İndirimi",BesPuanOrani,IF($B359="İlave İstihdam",IlaveIstihdamOrani,IF($B359="Kadın/Genç",KadinGencOrani,IF($B359="Engelli",EngelliOrani,GencGirisimciOrani)))))</f>
        <v/>
      </c>
      <c r="D359" s="22" t="str">
        <f aca="false">IF($C359="","",$C359*AySayisi)</f>
        <v/>
      </c>
      <c r="E359" s="23"/>
    </row>
    <row r="360" customFormat="false" ht="15" hidden="false" customHeight="false" outlineLevel="0" collapsed="false">
      <c r="A360" s="19"/>
      <c r="B360" s="23"/>
      <c r="C360" s="22" t="str">
        <f aca="false">IF(OR($A360="",$B360=""),"",INDEX(tblCalisan[Brüt Ücret (₺)],MATCH($A360,tblCalisan[Çalışan Adı],0))*IF($B360="5 Puan İndirimi",BesPuanOrani,IF($B360="İlave İstihdam",IlaveIstihdamOrani,IF($B360="Kadın/Genç",KadinGencOrani,IF($B360="Engelli",EngelliOrani,GencGirisimciOrani)))))</f>
        <v/>
      </c>
      <c r="D360" s="22" t="str">
        <f aca="false">IF($C360="","",$C360*AySayisi)</f>
        <v/>
      </c>
      <c r="E360" s="23"/>
    </row>
    <row r="361" customFormat="false" ht="15" hidden="false" customHeight="false" outlineLevel="0" collapsed="false">
      <c r="A361" s="19"/>
      <c r="B361" s="23"/>
      <c r="C361" s="22" t="str">
        <f aca="false">IF(OR($A361="",$B361=""),"",INDEX(tblCalisan[Brüt Ücret (₺)],MATCH($A361,tblCalisan[Çalışan Adı],0))*IF($B361="5 Puan İndirimi",BesPuanOrani,IF($B361="İlave İstihdam",IlaveIstihdamOrani,IF($B361="Kadın/Genç",KadinGencOrani,IF($B361="Engelli",EngelliOrani,GencGirisimciOrani)))))</f>
        <v/>
      </c>
      <c r="D361" s="22" t="str">
        <f aca="false">IF($C361="","",$C361*AySayisi)</f>
        <v/>
      </c>
      <c r="E361" s="23"/>
    </row>
    <row r="362" customFormat="false" ht="15" hidden="false" customHeight="false" outlineLevel="0" collapsed="false">
      <c r="A362" s="19"/>
      <c r="B362" s="23"/>
      <c r="C362" s="22" t="str">
        <f aca="false">IF(OR($A362="",$B362=""),"",INDEX(tblCalisan[Brüt Ücret (₺)],MATCH($A362,tblCalisan[Çalışan Adı],0))*IF($B362="5 Puan İndirimi",BesPuanOrani,IF($B362="İlave İstihdam",IlaveIstihdamOrani,IF($B362="Kadın/Genç",KadinGencOrani,IF($B362="Engelli",EngelliOrani,GencGirisimciOrani)))))</f>
        <v/>
      </c>
      <c r="D362" s="22" t="str">
        <f aca="false">IF($C362="","",$C362*AySayisi)</f>
        <v/>
      </c>
      <c r="E362" s="23"/>
    </row>
    <row r="363" customFormat="false" ht="15" hidden="false" customHeight="false" outlineLevel="0" collapsed="false">
      <c r="A363" s="19"/>
      <c r="B363" s="23"/>
      <c r="C363" s="22" t="str">
        <f aca="false">IF(OR($A363="",$B363=""),"",INDEX(tblCalisan[Brüt Ücret (₺)],MATCH($A363,tblCalisan[Çalışan Adı],0))*IF($B363="5 Puan İndirimi",BesPuanOrani,IF($B363="İlave İstihdam",IlaveIstihdamOrani,IF($B363="Kadın/Genç",KadinGencOrani,IF($B363="Engelli",EngelliOrani,GencGirisimciOrani)))))</f>
        <v/>
      </c>
      <c r="D363" s="22" t="str">
        <f aca="false">IF($C363="","",$C363*AySayisi)</f>
        <v/>
      </c>
      <c r="E363" s="23"/>
    </row>
    <row r="364" customFormat="false" ht="15" hidden="false" customHeight="false" outlineLevel="0" collapsed="false">
      <c r="A364" s="19"/>
      <c r="B364" s="23"/>
      <c r="C364" s="22" t="str">
        <f aca="false">IF(OR($A364="",$B364=""),"",INDEX(tblCalisan[Brüt Ücret (₺)],MATCH($A364,tblCalisan[Çalışan Adı],0))*IF($B364="5 Puan İndirimi",BesPuanOrani,IF($B364="İlave İstihdam",IlaveIstihdamOrani,IF($B364="Kadın/Genç",KadinGencOrani,IF($B364="Engelli",EngelliOrani,GencGirisimciOrani)))))</f>
        <v/>
      </c>
      <c r="D364" s="22" t="str">
        <f aca="false">IF($C364="","",$C364*AySayisi)</f>
        <v/>
      </c>
      <c r="E364" s="23"/>
    </row>
    <row r="365" customFormat="false" ht="15" hidden="false" customHeight="false" outlineLevel="0" collapsed="false">
      <c r="A365" s="19"/>
      <c r="B365" s="23"/>
      <c r="C365" s="22" t="str">
        <f aca="false">IF(OR($A365="",$B365=""),"",INDEX(tblCalisan[Brüt Ücret (₺)],MATCH($A365,tblCalisan[Çalışan Adı],0))*IF($B365="5 Puan İndirimi",BesPuanOrani,IF($B365="İlave İstihdam",IlaveIstihdamOrani,IF($B365="Kadın/Genç",KadinGencOrani,IF($B365="Engelli",EngelliOrani,GencGirisimciOrani)))))</f>
        <v/>
      </c>
      <c r="D365" s="22" t="str">
        <f aca="false">IF($C365="","",$C365*AySayisi)</f>
        <v/>
      </c>
      <c r="E365" s="23"/>
    </row>
    <row r="366" customFormat="false" ht="15" hidden="false" customHeight="false" outlineLevel="0" collapsed="false">
      <c r="A366" s="19"/>
      <c r="B366" s="23"/>
      <c r="C366" s="22" t="str">
        <f aca="false">IF(OR($A366="",$B366=""),"",INDEX(tblCalisan[Brüt Ücret (₺)],MATCH($A366,tblCalisan[Çalışan Adı],0))*IF($B366="5 Puan İndirimi",BesPuanOrani,IF($B366="İlave İstihdam",IlaveIstihdamOrani,IF($B366="Kadın/Genç",KadinGencOrani,IF($B366="Engelli",EngelliOrani,GencGirisimciOrani)))))</f>
        <v/>
      </c>
      <c r="D366" s="22" t="str">
        <f aca="false">IF($C366="","",$C366*AySayisi)</f>
        <v/>
      </c>
      <c r="E366" s="23"/>
    </row>
    <row r="367" customFormat="false" ht="15" hidden="false" customHeight="false" outlineLevel="0" collapsed="false">
      <c r="A367" s="19"/>
      <c r="B367" s="23"/>
      <c r="C367" s="22" t="str">
        <f aca="false">IF(OR($A367="",$B367=""),"",INDEX(tblCalisan[Brüt Ücret (₺)],MATCH($A367,tblCalisan[Çalışan Adı],0))*IF($B367="5 Puan İndirimi",BesPuanOrani,IF($B367="İlave İstihdam",IlaveIstihdamOrani,IF($B367="Kadın/Genç",KadinGencOrani,IF($B367="Engelli",EngelliOrani,GencGirisimciOrani)))))</f>
        <v/>
      </c>
      <c r="D367" s="22" t="str">
        <f aca="false">IF($C367="","",$C367*AySayisi)</f>
        <v/>
      </c>
      <c r="E367" s="23"/>
    </row>
    <row r="368" customFormat="false" ht="15" hidden="false" customHeight="false" outlineLevel="0" collapsed="false">
      <c r="A368" s="19"/>
      <c r="B368" s="23"/>
      <c r="C368" s="22" t="str">
        <f aca="false">IF(OR($A368="",$B368=""),"",INDEX(tblCalisan[Brüt Ücret (₺)],MATCH($A368,tblCalisan[Çalışan Adı],0))*IF($B368="5 Puan İndirimi",BesPuanOrani,IF($B368="İlave İstihdam",IlaveIstihdamOrani,IF($B368="Kadın/Genç",KadinGencOrani,IF($B368="Engelli",EngelliOrani,GencGirisimciOrani)))))</f>
        <v/>
      </c>
      <c r="D368" s="22" t="str">
        <f aca="false">IF($C368="","",$C368*AySayisi)</f>
        <v/>
      </c>
      <c r="E368" s="23"/>
    </row>
    <row r="369" customFormat="false" ht="15" hidden="false" customHeight="false" outlineLevel="0" collapsed="false">
      <c r="A369" s="19"/>
      <c r="B369" s="23"/>
      <c r="C369" s="22" t="str">
        <f aca="false">IF(OR($A369="",$B369=""),"",INDEX(tblCalisan[Brüt Ücret (₺)],MATCH($A369,tblCalisan[Çalışan Adı],0))*IF($B369="5 Puan İndirimi",BesPuanOrani,IF($B369="İlave İstihdam",IlaveIstihdamOrani,IF($B369="Kadın/Genç",KadinGencOrani,IF($B369="Engelli",EngelliOrani,GencGirisimciOrani)))))</f>
        <v/>
      </c>
      <c r="D369" s="22" t="str">
        <f aca="false">IF($C369="","",$C369*AySayisi)</f>
        <v/>
      </c>
      <c r="E369" s="23"/>
    </row>
    <row r="370" customFormat="false" ht="15" hidden="false" customHeight="false" outlineLevel="0" collapsed="false">
      <c r="A370" s="19"/>
      <c r="B370" s="23"/>
      <c r="C370" s="22" t="str">
        <f aca="false">IF(OR($A370="",$B370=""),"",INDEX(tblCalisan[Brüt Ücret (₺)],MATCH($A370,tblCalisan[Çalışan Adı],0))*IF($B370="5 Puan İndirimi",BesPuanOrani,IF($B370="İlave İstihdam",IlaveIstihdamOrani,IF($B370="Kadın/Genç",KadinGencOrani,IF($B370="Engelli",EngelliOrani,GencGirisimciOrani)))))</f>
        <v/>
      </c>
      <c r="D370" s="22" t="str">
        <f aca="false">IF($C370="","",$C370*AySayisi)</f>
        <v/>
      </c>
      <c r="E370" s="23"/>
    </row>
    <row r="371" customFormat="false" ht="15" hidden="false" customHeight="false" outlineLevel="0" collapsed="false">
      <c r="A371" s="19"/>
      <c r="B371" s="23"/>
      <c r="C371" s="22" t="str">
        <f aca="false">IF(OR($A371="",$B371=""),"",INDEX(tblCalisan[Brüt Ücret (₺)],MATCH($A371,tblCalisan[Çalışan Adı],0))*IF($B371="5 Puan İndirimi",BesPuanOrani,IF($B371="İlave İstihdam",IlaveIstihdamOrani,IF($B371="Kadın/Genç",KadinGencOrani,IF($B371="Engelli",EngelliOrani,GencGirisimciOrani)))))</f>
        <v/>
      </c>
      <c r="D371" s="22" t="str">
        <f aca="false">IF($C371="","",$C371*AySayisi)</f>
        <v/>
      </c>
      <c r="E371" s="23"/>
    </row>
    <row r="372" customFormat="false" ht="15" hidden="false" customHeight="false" outlineLevel="0" collapsed="false">
      <c r="A372" s="19"/>
      <c r="B372" s="23"/>
      <c r="C372" s="22" t="str">
        <f aca="false">IF(OR($A372="",$B372=""),"",INDEX(tblCalisan[Brüt Ücret (₺)],MATCH($A372,tblCalisan[Çalışan Adı],0))*IF($B372="5 Puan İndirimi",BesPuanOrani,IF($B372="İlave İstihdam",IlaveIstihdamOrani,IF($B372="Kadın/Genç",KadinGencOrani,IF($B372="Engelli",EngelliOrani,GencGirisimciOrani)))))</f>
        <v/>
      </c>
      <c r="D372" s="22" t="str">
        <f aca="false">IF($C372="","",$C372*AySayisi)</f>
        <v/>
      </c>
      <c r="E372" s="23"/>
    </row>
    <row r="373" customFormat="false" ht="15" hidden="false" customHeight="false" outlineLevel="0" collapsed="false">
      <c r="A373" s="19"/>
      <c r="B373" s="23"/>
      <c r="C373" s="22" t="str">
        <f aca="false">IF(OR($A373="",$B373=""),"",INDEX(tblCalisan[Brüt Ücret (₺)],MATCH($A373,tblCalisan[Çalışan Adı],0))*IF($B373="5 Puan İndirimi",BesPuanOrani,IF($B373="İlave İstihdam",IlaveIstihdamOrani,IF($B373="Kadın/Genç",KadinGencOrani,IF($B373="Engelli",EngelliOrani,GencGirisimciOrani)))))</f>
        <v/>
      </c>
      <c r="D373" s="22" t="str">
        <f aca="false">IF($C373="","",$C373*AySayisi)</f>
        <v/>
      </c>
      <c r="E373" s="23"/>
    </row>
    <row r="374" customFormat="false" ht="15" hidden="false" customHeight="false" outlineLevel="0" collapsed="false">
      <c r="A374" s="19"/>
      <c r="B374" s="23"/>
      <c r="C374" s="22" t="str">
        <f aca="false">IF(OR($A374="",$B374=""),"",INDEX(tblCalisan[Brüt Ücret (₺)],MATCH($A374,tblCalisan[Çalışan Adı],0))*IF($B374="5 Puan İndirimi",BesPuanOrani,IF($B374="İlave İstihdam",IlaveIstihdamOrani,IF($B374="Kadın/Genç",KadinGencOrani,IF($B374="Engelli",EngelliOrani,GencGirisimciOrani)))))</f>
        <v/>
      </c>
      <c r="D374" s="22" t="str">
        <f aca="false">IF($C374="","",$C374*AySayisi)</f>
        <v/>
      </c>
      <c r="E374" s="23"/>
    </row>
    <row r="375" customFormat="false" ht="15" hidden="false" customHeight="false" outlineLevel="0" collapsed="false">
      <c r="A375" s="19"/>
      <c r="B375" s="23"/>
      <c r="C375" s="22" t="str">
        <f aca="false">IF(OR($A375="",$B375=""),"",INDEX(tblCalisan[Brüt Ücret (₺)],MATCH($A375,tblCalisan[Çalışan Adı],0))*IF($B375="5 Puan İndirimi",BesPuanOrani,IF($B375="İlave İstihdam",IlaveIstihdamOrani,IF($B375="Kadın/Genç",KadinGencOrani,IF($B375="Engelli",EngelliOrani,GencGirisimciOrani)))))</f>
        <v/>
      </c>
      <c r="D375" s="22" t="str">
        <f aca="false">IF($C375="","",$C375*AySayisi)</f>
        <v/>
      </c>
      <c r="E375" s="23"/>
    </row>
    <row r="376" customFormat="false" ht="15" hidden="false" customHeight="false" outlineLevel="0" collapsed="false">
      <c r="A376" s="19"/>
      <c r="B376" s="23"/>
      <c r="C376" s="22" t="str">
        <f aca="false">IF(OR($A376="",$B376=""),"",INDEX(tblCalisan[Brüt Ücret (₺)],MATCH($A376,tblCalisan[Çalışan Adı],0))*IF($B376="5 Puan İndirimi",BesPuanOrani,IF($B376="İlave İstihdam",IlaveIstihdamOrani,IF($B376="Kadın/Genç",KadinGencOrani,IF($B376="Engelli",EngelliOrani,GencGirisimciOrani)))))</f>
        <v/>
      </c>
      <c r="D376" s="22" t="str">
        <f aca="false">IF($C376="","",$C376*AySayisi)</f>
        <v/>
      </c>
      <c r="E376" s="23"/>
    </row>
    <row r="377" customFormat="false" ht="15" hidden="false" customHeight="false" outlineLevel="0" collapsed="false">
      <c r="A377" s="19"/>
      <c r="B377" s="23"/>
      <c r="C377" s="22" t="str">
        <f aca="false">IF(OR($A377="",$B377=""),"",INDEX(tblCalisan[Brüt Ücret (₺)],MATCH($A377,tblCalisan[Çalışan Adı],0))*IF($B377="5 Puan İndirimi",BesPuanOrani,IF($B377="İlave İstihdam",IlaveIstihdamOrani,IF($B377="Kadın/Genç",KadinGencOrani,IF($B377="Engelli",EngelliOrani,GencGirisimciOrani)))))</f>
        <v/>
      </c>
      <c r="D377" s="22" t="str">
        <f aca="false">IF($C377="","",$C377*AySayisi)</f>
        <v/>
      </c>
      <c r="E377" s="23"/>
    </row>
    <row r="378" customFormat="false" ht="15" hidden="false" customHeight="false" outlineLevel="0" collapsed="false">
      <c r="A378" s="19"/>
      <c r="B378" s="23"/>
      <c r="C378" s="22" t="str">
        <f aca="false">IF(OR($A378="",$B378=""),"",INDEX(tblCalisan[Brüt Ücret (₺)],MATCH($A378,tblCalisan[Çalışan Adı],0))*IF($B378="5 Puan İndirimi",BesPuanOrani,IF($B378="İlave İstihdam",IlaveIstihdamOrani,IF($B378="Kadın/Genç",KadinGencOrani,IF($B378="Engelli",EngelliOrani,GencGirisimciOrani)))))</f>
        <v/>
      </c>
      <c r="D378" s="22" t="str">
        <f aca="false">IF($C378="","",$C378*AySayisi)</f>
        <v/>
      </c>
      <c r="E378" s="23"/>
    </row>
    <row r="379" customFormat="false" ht="15" hidden="false" customHeight="false" outlineLevel="0" collapsed="false">
      <c r="A379" s="19"/>
      <c r="B379" s="23"/>
      <c r="C379" s="22" t="str">
        <f aca="false">IF(OR($A379="",$B379=""),"",INDEX(tblCalisan[Brüt Ücret (₺)],MATCH($A379,tblCalisan[Çalışan Adı],0))*IF($B379="5 Puan İndirimi",BesPuanOrani,IF($B379="İlave İstihdam",IlaveIstihdamOrani,IF($B379="Kadın/Genç",KadinGencOrani,IF($B379="Engelli",EngelliOrani,GencGirisimciOrani)))))</f>
        <v/>
      </c>
      <c r="D379" s="22" t="str">
        <f aca="false">IF($C379="","",$C379*AySayisi)</f>
        <v/>
      </c>
      <c r="E379" s="23"/>
    </row>
    <row r="380" customFormat="false" ht="15" hidden="false" customHeight="false" outlineLevel="0" collapsed="false">
      <c r="A380" s="19"/>
      <c r="B380" s="23"/>
      <c r="C380" s="22" t="str">
        <f aca="false">IF(OR($A380="",$B380=""),"",INDEX(tblCalisan[Brüt Ücret (₺)],MATCH($A380,tblCalisan[Çalışan Adı],0))*IF($B380="5 Puan İndirimi",BesPuanOrani,IF($B380="İlave İstihdam",IlaveIstihdamOrani,IF($B380="Kadın/Genç",KadinGencOrani,IF($B380="Engelli",EngelliOrani,GencGirisimciOrani)))))</f>
        <v/>
      </c>
      <c r="D380" s="22" t="str">
        <f aca="false">IF($C380="","",$C380*AySayisi)</f>
        <v/>
      </c>
      <c r="E380" s="23"/>
    </row>
    <row r="381" customFormat="false" ht="15" hidden="false" customHeight="false" outlineLevel="0" collapsed="false">
      <c r="A381" s="19"/>
      <c r="B381" s="23"/>
      <c r="C381" s="22" t="str">
        <f aca="false">IF(OR($A381="",$B381=""),"",INDEX(tblCalisan[Brüt Ücret (₺)],MATCH($A381,tblCalisan[Çalışan Adı],0))*IF($B381="5 Puan İndirimi",BesPuanOrani,IF($B381="İlave İstihdam",IlaveIstihdamOrani,IF($B381="Kadın/Genç",KadinGencOrani,IF($B381="Engelli",EngelliOrani,GencGirisimciOrani)))))</f>
        <v/>
      </c>
      <c r="D381" s="22" t="str">
        <f aca="false">IF($C381="","",$C381*AySayisi)</f>
        <v/>
      </c>
      <c r="E381" s="23"/>
    </row>
    <row r="382" customFormat="false" ht="15" hidden="false" customHeight="false" outlineLevel="0" collapsed="false">
      <c r="A382" s="19"/>
      <c r="B382" s="23"/>
      <c r="C382" s="22" t="str">
        <f aca="false">IF(OR($A382="",$B382=""),"",INDEX(tblCalisan[Brüt Ücret (₺)],MATCH($A382,tblCalisan[Çalışan Adı],0))*IF($B382="5 Puan İndirimi",BesPuanOrani,IF($B382="İlave İstihdam",IlaveIstihdamOrani,IF($B382="Kadın/Genç",KadinGencOrani,IF($B382="Engelli",EngelliOrani,GencGirisimciOrani)))))</f>
        <v/>
      </c>
      <c r="D382" s="22" t="str">
        <f aca="false">IF($C382="","",$C382*AySayisi)</f>
        <v/>
      </c>
      <c r="E382" s="23"/>
    </row>
    <row r="383" customFormat="false" ht="15" hidden="false" customHeight="false" outlineLevel="0" collapsed="false">
      <c r="A383" s="19"/>
      <c r="B383" s="23"/>
      <c r="C383" s="22" t="str">
        <f aca="false">IF(OR($A383="",$B383=""),"",INDEX(tblCalisan[Brüt Ücret (₺)],MATCH($A383,tblCalisan[Çalışan Adı],0))*IF($B383="5 Puan İndirimi",BesPuanOrani,IF($B383="İlave İstihdam",IlaveIstihdamOrani,IF($B383="Kadın/Genç",KadinGencOrani,IF($B383="Engelli",EngelliOrani,GencGirisimciOrani)))))</f>
        <v/>
      </c>
      <c r="D383" s="22" t="str">
        <f aca="false">IF($C383="","",$C383*AySayisi)</f>
        <v/>
      </c>
      <c r="E383" s="23"/>
    </row>
    <row r="384" customFormat="false" ht="15" hidden="false" customHeight="false" outlineLevel="0" collapsed="false">
      <c r="A384" s="19"/>
      <c r="B384" s="23"/>
      <c r="C384" s="22" t="str">
        <f aca="false">IF(OR($A384="",$B384=""),"",INDEX(tblCalisan[Brüt Ücret (₺)],MATCH($A384,tblCalisan[Çalışan Adı],0))*IF($B384="5 Puan İndirimi",BesPuanOrani,IF($B384="İlave İstihdam",IlaveIstihdamOrani,IF($B384="Kadın/Genç",KadinGencOrani,IF($B384="Engelli",EngelliOrani,GencGirisimciOrani)))))</f>
        <v/>
      </c>
      <c r="D384" s="22" t="str">
        <f aca="false">IF($C384="","",$C384*AySayisi)</f>
        <v/>
      </c>
      <c r="E384" s="23"/>
    </row>
    <row r="385" customFormat="false" ht="15" hidden="false" customHeight="false" outlineLevel="0" collapsed="false">
      <c r="A385" s="19"/>
      <c r="B385" s="23"/>
      <c r="C385" s="22" t="str">
        <f aca="false">IF(OR($A385="",$B385=""),"",INDEX(tblCalisan[Brüt Ücret (₺)],MATCH($A385,tblCalisan[Çalışan Adı],0))*IF($B385="5 Puan İndirimi",BesPuanOrani,IF($B385="İlave İstihdam",IlaveIstihdamOrani,IF($B385="Kadın/Genç",KadinGencOrani,IF($B385="Engelli",EngelliOrani,GencGirisimciOrani)))))</f>
        <v/>
      </c>
      <c r="D385" s="22" t="str">
        <f aca="false">IF($C385="","",$C385*AySayisi)</f>
        <v/>
      </c>
      <c r="E385" s="23"/>
    </row>
    <row r="386" customFormat="false" ht="15" hidden="false" customHeight="false" outlineLevel="0" collapsed="false">
      <c r="A386" s="19"/>
      <c r="B386" s="23"/>
      <c r="C386" s="22" t="str">
        <f aca="false">IF(OR($A386="",$B386=""),"",INDEX(tblCalisan[Brüt Ücret (₺)],MATCH($A386,tblCalisan[Çalışan Adı],0))*IF($B386="5 Puan İndirimi",BesPuanOrani,IF($B386="İlave İstihdam",IlaveIstihdamOrani,IF($B386="Kadın/Genç",KadinGencOrani,IF($B386="Engelli",EngelliOrani,GencGirisimciOrani)))))</f>
        <v/>
      </c>
      <c r="D386" s="22" t="str">
        <f aca="false">IF($C386="","",$C386*AySayisi)</f>
        <v/>
      </c>
      <c r="E386" s="23"/>
    </row>
    <row r="387" customFormat="false" ht="15" hidden="false" customHeight="false" outlineLevel="0" collapsed="false">
      <c r="A387" s="19"/>
      <c r="B387" s="23"/>
      <c r="C387" s="22" t="str">
        <f aca="false">IF(OR($A387="",$B387=""),"",INDEX(tblCalisan[Brüt Ücret (₺)],MATCH($A387,tblCalisan[Çalışan Adı],0))*IF($B387="5 Puan İndirimi",BesPuanOrani,IF($B387="İlave İstihdam",IlaveIstihdamOrani,IF($B387="Kadın/Genç",KadinGencOrani,IF($B387="Engelli",EngelliOrani,GencGirisimciOrani)))))</f>
        <v/>
      </c>
      <c r="D387" s="22" t="str">
        <f aca="false">IF($C387="","",$C387*AySayisi)</f>
        <v/>
      </c>
      <c r="E387" s="23"/>
    </row>
    <row r="388" customFormat="false" ht="15" hidden="false" customHeight="false" outlineLevel="0" collapsed="false">
      <c r="A388" s="19"/>
      <c r="B388" s="23"/>
      <c r="C388" s="22" t="str">
        <f aca="false">IF(OR($A388="",$B388=""),"",INDEX(tblCalisan[Brüt Ücret (₺)],MATCH($A388,tblCalisan[Çalışan Adı],0))*IF($B388="5 Puan İndirimi",BesPuanOrani,IF($B388="İlave İstihdam",IlaveIstihdamOrani,IF($B388="Kadın/Genç",KadinGencOrani,IF($B388="Engelli",EngelliOrani,GencGirisimciOrani)))))</f>
        <v/>
      </c>
      <c r="D388" s="22" t="str">
        <f aca="false">IF($C388="","",$C388*AySayisi)</f>
        <v/>
      </c>
      <c r="E388" s="23"/>
    </row>
    <row r="389" customFormat="false" ht="15" hidden="false" customHeight="false" outlineLevel="0" collapsed="false">
      <c r="A389" s="19"/>
      <c r="B389" s="23"/>
      <c r="C389" s="22" t="str">
        <f aca="false">IF(OR($A389="",$B389=""),"",INDEX(tblCalisan[Brüt Ücret (₺)],MATCH($A389,tblCalisan[Çalışan Adı],0))*IF($B389="5 Puan İndirimi",BesPuanOrani,IF($B389="İlave İstihdam",IlaveIstihdamOrani,IF($B389="Kadın/Genç",KadinGencOrani,IF($B389="Engelli",EngelliOrani,GencGirisimciOrani)))))</f>
        <v/>
      </c>
      <c r="D389" s="22" t="str">
        <f aca="false">IF($C389="","",$C389*AySayisi)</f>
        <v/>
      </c>
      <c r="E389" s="23"/>
    </row>
    <row r="390" customFormat="false" ht="15" hidden="false" customHeight="false" outlineLevel="0" collapsed="false">
      <c r="A390" s="19"/>
      <c r="B390" s="23"/>
      <c r="C390" s="22" t="str">
        <f aca="false">IF(OR($A390="",$B390=""),"",INDEX(tblCalisan[Brüt Ücret (₺)],MATCH($A390,tblCalisan[Çalışan Adı],0))*IF($B390="5 Puan İndirimi",BesPuanOrani,IF($B390="İlave İstihdam",IlaveIstihdamOrani,IF($B390="Kadın/Genç",KadinGencOrani,IF($B390="Engelli",EngelliOrani,GencGirisimciOrani)))))</f>
        <v/>
      </c>
      <c r="D390" s="22" t="str">
        <f aca="false">IF($C390="","",$C390*AySayisi)</f>
        <v/>
      </c>
      <c r="E390" s="23"/>
    </row>
    <row r="391" customFormat="false" ht="15" hidden="false" customHeight="false" outlineLevel="0" collapsed="false">
      <c r="A391" s="19"/>
      <c r="B391" s="23"/>
      <c r="C391" s="22" t="str">
        <f aca="false">IF(OR($A391="",$B391=""),"",INDEX(tblCalisan[Brüt Ücret (₺)],MATCH($A391,tblCalisan[Çalışan Adı],0))*IF($B391="5 Puan İndirimi",BesPuanOrani,IF($B391="İlave İstihdam",IlaveIstihdamOrani,IF($B391="Kadın/Genç",KadinGencOrani,IF($B391="Engelli",EngelliOrani,GencGirisimciOrani)))))</f>
        <v/>
      </c>
      <c r="D391" s="22" t="str">
        <f aca="false">IF($C391="","",$C391*AySayisi)</f>
        <v/>
      </c>
      <c r="E391" s="23"/>
    </row>
    <row r="392" customFormat="false" ht="15" hidden="false" customHeight="false" outlineLevel="0" collapsed="false">
      <c r="A392" s="19"/>
      <c r="B392" s="23"/>
      <c r="C392" s="22" t="str">
        <f aca="false">IF(OR($A392="",$B392=""),"",INDEX(tblCalisan[Brüt Ücret (₺)],MATCH($A392,tblCalisan[Çalışan Adı],0))*IF($B392="5 Puan İndirimi",BesPuanOrani,IF($B392="İlave İstihdam",IlaveIstihdamOrani,IF($B392="Kadın/Genç",KadinGencOrani,IF($B392="Engelli",EngelliOrani,GencGirisimciOrani)))))</f>
        <v/>
      </c>
      <c r="D392" s="22" t="str">
        <f aca="false">IF($C392="","",$C392*AySayisi)</f>
        <v/>
      </c>
      <c r="E392" s="23"/>
    </row>
    <row r="393" customFormat="false" ht="15" hidden="false" customHeight="false" outlineLevel="0" collapsed="false">
      <c r="A393" s="19"/>
      <c r="B393" s="23"/>
      <c r="C393" s="22" t="str">
        <f aca="false">IF(OR($A393="",$B393=""),"",INDEX(tblCalisan[Brüt Ücret (₺)],MATCH($A393,tblCalisan[Çalışan Adı],0))*IF($B393="5 Puan İndirimi",BesPuanOrani,IF($B393="İlave İstihdam",IlaveIstihdamOrani,IF($B393="Kadın/Genç",KadinGencOrani,IF($B393="Engelli",EngelliOrani,GencGirisimciOrani)))))</f>
        <v/>
      </c>
      <c r="D393" s="22" t="str">
        <f aca="false">IF($C393="","",$C393*AySayisi)</f>
        <v/>
      </c>
      <c r="E393" s="23"/>
    </row>
    <row r="394" customFormat="false" ht="15" hidden="false" customHeight="false" outlineLevel="0" collapsed="false">
      <c r="A394" s="19"/>
      <c r="B394" s="23"/>
      <c r="C394" s="22" t="str">
        <f aca="false">IF(OR($A394="",$B394=""),"",INDEX(tblCalisan[Brüt Ücret (₺)],MATCH($A394,tblCalisan[Çalışan Adı],0))*IF($B394="5 Puan İndirimi",BesPuanOrani,IF($B394="İlave İstihdam",IlaveIstihdamOrani,IF($B394="Kadın/Genç",KadinGencOrani,IF($B394="Engelli",EngelliOrani,GencGirisimciOrani)))))</f>
        <v/>
      </c>
      <c r="D394" s="22" t="str">
        <f aca="false">IF($C394="","",$C394*AySayisi)</f>
        <v/>
      </c>
      <c r="E394" s="23"/>
    </row>
    <row r="395" customFormat="false" ht="15" hidden="false" customHeight="false" outlineLevel="0" collapsed="false">
      <c r="A395" s="19"/>
      <c r="B395" s="23"/>
      <c r="C395" s="22" t="str">
        <f aca="false">IF(OR($A395="",$B395=""),"",INDEX(tblCalisan[Brüt Ücret (₺)],MATCH($A395,tblCalisan[Çalışan Adı],0))*IF($B395="5 Puan İndirimi",BesPuanOrani,IF($B395="İlave İstihdam",IlaveIstihdamOrani,IF($B395="Kadın/Genç",KadinGencOrani,IF($B395="Engelli",EngelliOrani,GencGirisimciOrani)))))</f>
        <v/>
      </c>
      <c r="D395" s="22" t="str">
        <f aca="false">IF($C395="","",$C395*AySayisi)</f>
        <v/>
      </c>
      <c r="E395" s="23"/>
    </row>
    <row r="396" customFormat="false" ht="15" hidden="false" customHeight="false" outlineLevel="0" collapsed="false">
      <c r="A396" s="19"/>
      <c r="B396" s="23"/>
      <c r="C396" s="22" t="str">
        <f aca="false">IF(OR($A396="",$B396=""),"",INDEX(tblCalisan[Brüt Ücret (₺)],MATCH($A396,tblCalisan[Çalışan Adı],0))*IF($B396="5 Puan İndirimi",BesPuanOrani,IF($B396="İlave İstihdam",IlaveIstihdamOrani,IF($B396="Kadın/Genç",KadinGencOrani,IF($B396="Engelli",EngelliOrani,GencGirisimciOrani)))))</f>
        <v/>
      </c>
      <c r="D396" s="22" t="str">
        <f aca="false">IF($C396="","",$C396*AySayisi)</f>
        <v/>
      </c>
      <c r="E396" s="23"/>
    </row>
    <row r="397" customFormat="false" ht="15" hidden="false" customHeight="false" outlineLevel="0" collapsed="false">
      <c r="A397" s="19"/>
      <c r="B397" s="23"/>
      <c r="C397" s="22" t="str">
        <f aca="false">IF(OR($A397="",$B397=""),"",INDEX(tblCalisan[Brüt Ücret (₺)],MATCH($A397,tblCalisan[Çalışan Adı],0))*IF($B397="5 Puan İndirimi",BesPuanOrani,IF($B397="İlave İstihdam",IlaveIstihdamOrani,IF($B397="Kadın/Genç",KadinGencOrani,IF($B397="Engelli",EngelliOrani,GencGirisimciOrani)))))</f>
        <v/>
      </c>
      <c r="D397" s="22" t="str">
        <f aca="false">IF($C397="","",$C397*AySayisi)</f>
        <v/>
      </c>
      <c r="E397" s="23"/>
    </row>
    <row r="398" customFormat="false" ht="15" hidden="false" customHeight="false" outlineLevel="0" collapsed="false">
      <c r="A398" s="19"/>
      <c r="B398" s="23"/>
      <c r="C398" s="22" t="str">
        <f aca="false">IF(OR($A398="",$B398=""),"",INDEX(tblCalisan[Brüt Ücret (₺)],MATCH($A398,tblCalisan[Çalışan Adı],0))*IF($B398="5 Puan İndirimi",BesPuanOrani,IF($B398="İlave İstihdam",IlaveIstihdamOrani,IF($B398="Kadın/Genç",KadinGencOrani,IF($B398="Engelli",EngelliOrani,GencGirisimciOrani)))))</f>
        <v/>
      </c>
      <c r="D398" s="22" t="str">
        <f aca="false">IF($C398="","",$C398*AySayisi)</f>
        <v/>
      </c>
      <c r="E398" s="23"/>
    </row>
    <row r="399" customFormat="false" ht="15" hidden="false" customHeight="false" outlineLevel="0" collapsed="false">
      <c r="A399" s="19"/>
      <c r="B399" s="23"/>
      <c r="C399" s="22" t="str">
        <f aca="false">IF(OR($A399="",$B399=""),"",INDEX(tblCalisan[Brüt Ücret (₺)],MATCH($A399,tblCalisan[Çalışan Adı],0))*IF($B399="5 Puan İndirimi",BesPuanOrani,IF($B399="İlave İstihdam",IlaveIstihdamOrani,IF($B399="Kadın/Genç",KadinGencOrani,IF($B399="Engelli",EngelliOrani,GencGirisimciOrani)))))</f>
        <v/>
      </c>
      <c r="D399" s="22" t="str">
        <f aca="false">IF($C399="","",$C399*AySayisi)</f>
        <v/>
      </c>
      <c r="E399" s="23"/>
    </row>
    <row r="400" customFormat="false" ht="15" hidden="false" customHeight="false" outlineLevel="0" collapsed="false">
      <c r="A400" s="19"/>
      <c r="B400" s="23"/>
      <c r="C400" s="22" t="str">
        <f aca="false">IF(OR($A400="",$B400=""),"",INDEX(tblCalisan[Brüt Ücret (₺)],MATCH($A400,tblCalisan[Çalışan Adı],0))*IF($B400="5 Puan İndirimi",BesPuanOrani,IF($B400="İlave İstihdam",IlaveIstihdamOrani,IF($B400="Kadın/Genç",KadinGencOrani,IF($B400="Engelli",EngelliOrani,GencGirisimciOrani)))))</f>
        <v/>
      </c>
      <c r="D400" s="22" t="str">
        <f aca="false">IF($C400="","",$C400*AySayisi)</f>
        <v/>
      </c>
      <c r="E400" s="23"/>
    </row>
    <row r="401" customFormat="false" ht="15" hidden="false" customHeight="false" outlineLevel="0" collapsed="false">
      <c r="A401" s="19"/>
      <c r="B401" s="23"/>
      <c r="C401" s="22" t="str">
        <f aca="false">IF(OR($A401="",$B401=""),"",INDEX(tblCalisan[Brüt Ücret (₺)],MATCH($A401,tblCalisan[Çalışan Adı],0))*IF($B401="5 Puan İndirimi",BesPuanOrani,IF($B401="İlave İstihdam",IlaveIstihdamOrani,IF($B401="Kadın/Genç",KadinGencOrani,IF($B401="Engelli",EngelliOrani,GencGirisimciOrani)))))</f>
        <v/>
      </c>
      <c r="D401" s="22" t="str">
        <f aca="false">IF($C401="","",$C401*AySayisi)</f>
        <v/>
      </c>
      <c r="E401" s="23"/>
    </row>
    <row r="402" customFormat="false" ht="15" hidden="false" customHeight="false" outlineLevel="0" collapsed="false">
      <c r="A402" s="19"/>
      <c r="B402" s="23"/>
      <c r="C402" s="22" t="str">
        <f aca="false">IF(OR($A402="",$B402=""),"",INDEX(tblCalisan[Brüt Ücret (₺)],MATCH($A402,tblCalisan[Çalışan Adı],0))*IF($B402="5 Puan İndirimi",BesPuanOrani,IF($B402="İlave İstihdam",IlaveIstihdamOrani,IF($B402="Kadın/Genç",KadinGencOrani,IF($B402="Engelli",EngelliOrani,GencGirisimciOrani)))))</f>
        <v/>
      </c>
      <c r="D402" s="22" t="str">
        <f aca="false">IF($C402="","",$C402*AySayisi)</f>
        <v/>
      </c>
      <c r="E402" s="23"/>
    </row>
    <row r="403" customFormat="false" ht="15" hidden="false" customHeight="false" outlineLevel="0" collapsed="false">
      <c r="A403" s="19"/>
      <c r="B403" s="23"/>
      <c r="C403" s="22" t="str">
        <f aca="false">IF(OR($A403="",$B403=""),"",INDEX(tblCalisan[Brüt Ücret (₺)],MATCH($A403,tblCalisan[Çalışan Adı],0))*IF($B403="5 Puan İndirimi",BesPuanOrani,IF($B403="İlave İstihdam",IlaveIstihdamOrani,IF($B403="Kadın/Genç",KadinGencOrani,IF($B403="Engelli",EngelliOrani,GencGirisimciOrani)))))</f>
        <v/>
      </c>
      <c r="D403" s="22" t="str">
        <f aca="false">IF($C403="","",$C403*AySayisi)</f>
        <v/>
      </c>
      <c r="E403" s="23"/>
    </row>
    <row r="404" customFormat="false" ht="15" hidden="false" customHeight="false" outlineLevel="0" collapsed="false">
      <c r="A404" s="19"/>
      <c r="B404" s="23"/>
      <c r="C404" s="22" t="str">
        <f aca="false">IF(OR($A404="",$B404=""),"",INDEX(tblCalisan[Brüt Ücret (₺)],MATCH($A404,tblCalisan[Çalışan Adı],0))*IF($B404="5 Puan İndirimi",BesPuanOrani,IF($B404="İlave İstihdam",IlaveIstihdamOrani,IF($B404="Kadın/Genç",KadinGencOrani,IF($B404="Engelli",EngelliOrani,GencGirisimciOrani)))))</f>
        <v/>
      </c>
      <c r="D404" s="22" t="str">
        <f aca="false">IF($C404="","",$C404*AySayisi)</f>
        <v/>
      </c>
      <c r="E404" s="23"/>
    </row>
    <row r="405" customFormat="false" ht="15" hidden="false" customHeight="false" outlineLevel="0" collapsed="false">
      <c r="A405" s="19"/>
      <c r="B405" s="23"/>
      <c r="C405" s="22" t="str">
        <f aca="false">IF(OR($A405="",$B405=""),"",INDEX(tblCalisan[Brüt Ücret (₺)],MATCH($A405,tblCalisan[Çalışan Adı],0))*IF($B405="5 Puan İndirimi",BesPuanOrani,IF($B405="İlave İstihdam",IlaveIstihdamOrani,IF($B405="Kadın/Genç",KadinGencOrani,IF($B405="Engelli",EngelliOrani,GencGirisimciOrani)))))</f>
        <v/>
      </c>
      <c r="D405" s="22" t="str">
        <f aca="false">IF($C405="","",$C405*AySayisi)</f>
        <v/>
      </c>
      <c r="E405" s="23"/>
    </row>
    <row r="406" customFormat="false" ht="15" hidden="false" customHeight="false" outlineLevel="0" collapsed="false">
      <c r="A406" s="19"/>
      <c r="B406" s="23"/>
      <c r="C406" s="22" t="str">
        <f aca="false">IF(OR($A406="",$B406=""),"",INDEX(tblCalisan[Brüt Ücret (₺)],MATCH($A406,tblCalisan[Çalışan Adı],0))*IF($B406="5 Puan İndirimi",BesPuanOrani,IF($B406="İlave İstihdam",IlaveIstihdamOrani,IF($B406="Kadın/Genç",KadinGencOrani,IF($B406="Engelli",EngelliOrani,GencGirisimciOrani)))))</f>
        <v/>
      </c>
      <c r="D406" s="22" t="str">
        <f aca="false">IF($C406="","",$C406*AySayisi)</f>
        <v/>
      </c>
      <c r="E406" s="23"/>
    </row>
    <row r="407" customFormat="false" ht="15" hidden="false" customHeight="false" outlineLevel="0" collapsed="false">
      <c r="A407" s="19"/>
      <c r="B407" s="23"/>
      <c r="C407" s="22" t="str">
        <f aca="false">IF(OR($A407="",$B407=""),"",INDEX(tblCalisan[Brüt Ücret (₺)],MATCH($A407,tblCalisan[Çalışan Adı],0))*IF($B407="5 Puan İndirimi",BesPuanOrani,IF($B407="İlave İstihdam",IlaveIstihdamOrani,IF($B407="Kadın/Genç",KadinGencOrani,IF($B407="Engelli",EngelliOrani,GencGirisimciOrani)))))</f>
        <v/>
      </c>
      <c r="D407" s="22" t="str">
        <f aca="false">IF($C407="","",$C407*AySayisi)</f>
        <v/>
      </c>
      <c r="E407" s="23"/>
    </row>
    <row r="408" customFormat="false" ht="15" hidden="false" customHeight="false" outlineLevel="0" collapsed="false">
      <c r="A408" s="19"/>
      <c r="B408" s="23"/>
      <c r="C408" s="22" t="str">
        <f aca="false">IF(OR($A408="",$B408=""),"",INDEX(tblCalisan[Brüt Ücret (₺)],MATCH($A408,tblCalisan[Çalışan Adı],0))*IF($B408="5 Puan İndirimi",BesPuanOrani,IF($B408="İlave İstihdam",IlaveIstihdamOrani,IF($B408="Kadın/Genç",KadinGencOrani,IF($B408="Engelli",EngelliOrani,GencGirisimciOrani)))))</f>
        <v/>
      </c>
      <c r="D408" s="22" t="str">
        <f aca="false">IF($C408="","",$C408*AySayisi)</f>
        <v/>
      </c>
      <c r="E408" s="23"/>
    </row>
    <row r="409" customFormat="false" ht="15" hidden="false" customHeight="false" outlineLevel="0" collapsed="false">
      <c r="A409" s="19"/>
      <c r="B409" s="23"/>
      <c r="C409" s="22" t="str">
        <f aca="false">IF(OR($A409="",$B409=""),"",INDEX(tblCalisan[Brüt Ücret (₺)],MATCH($A409,tblCalisan[Çalışan Adı],0))*IF($B409="5 Puan İndirimi",BesPuanOrani,IF($B409="İlave İstihdam",IlaveIstihdamOrani,IF($B409="Kadın/Genç",KadinGencOrani,IF($B409="Engelli",EngelliOrani,GencGirisimciOrani)))))</f>
        <v/>
      </c>
      <c r="D409" s="22" t="str">
        <f aca="false">IF($C409="","",$C409*AySayisi)</f>
        <v/>
      </c>
      <c r="E409" s="23"/>
    </row>
    <row r="410" customFormat="false" ht="15" hidden="false" customHeight="false" outlineLevel="0" collapsed="false">
      <c r="A410" s="19"/>
      <c r="B410" s="23"/>
      <c r="C410" s="22" t="str">
        <f aca="false">IF(OR($A410="",$B410=""),"",INDEX(tblCalisan[Brüt Ücret (₺)],MATCH($A410,tblCalisan[Çalışan Adı],0))*IF($B410="5 Puan İndirimi",BesPuanOrani,IF($B410="İlave İstihdam",IlaveIstihdamOrani,IF($B410="Kadın/Genç",KadinGencOrani,IF($B410="Engelli",EngelliOrani,GencGirisimciOrani)))))</f>
        <v/>
      </c>
      <c r="D410" s="22" t="str">
        <f aca="false">IF($C410="","",$C410*AySayisi)</f>
        <v/>
      </c>
      <c r="E410" s="23"/>
    </row>
    <row r="411" customFormat="false" ht="15" hidden="false" customHeight="false" outlineLevel="0" collapsed="false">
      <c r="A411" s="19"/>
      <c r="B411" s="23"/>
      <c r="C411" s="22" t="str">
        <f aca="false">IF(OR($A411="",$B411=""),"",INDEX(tblCalisan[Brüt Ücret (₺)],MATCH($A411,tblCalisan[Çalışan Adı],0))*IF($B411="5 Puan İndirimi",BesPuanOrani,IF($B411="İlave İstihdam",IlaveIstihdamOrani,IF($B411="Kadın/Genç",KadinGencOrani,IF($B411="Engelli",EngelliOrani,GencGirisimciOrani)))))</f>
        <v/>
      </c>
      <c r="D411" s="22" t="str">
        <f aca="false">IF($C411="","",$C411*AySayisi)</f>
        <v/>
      </c>
      <c r="E411" s="23"/>
    </row>
    <row r="412" customFormat="false" ht="15" hidden="false" customHeight="false" outlineLevel="0" collapsed="false">
      <c r="A412" s="19"/>
      <c r="B412" s="23"/>
      <c r="C412" s="22" t="str">
        <f aca="false">IF(OR($A412="",$B412=""),"",INDEX(tblCalisan[Brüt Ücret (₺)],MATCH($A412,tblCalisan[Çalışan Adı],0))*IF($B412="5 Puan İndirimi",BesPuanOrani,IF($B412="İlave İstihdam",IlaveIstihdamOrani,IF($B412="Kadın/Genç",KadinGencOrani,IF($B412="Engelli",EngelliOrani,GencGirisimciOrani)))))</f>
        <v/>
      </c>
      <c r="D412" s="22" t="str">
        <f aca="false">IF($C412="","",$C412*AySayisi)</f>
        <v/>
      </c>
      <c r="E412" s="23"/>
    </row>
    <row r="413" customFormat="false" ht="15" hidden="false" customHeight="false" outlineLevel="0" collapsed="false">
      <c r="A413" s="19"/>
      <c r="B413" s="23"/>
      <c r="C413" s="22" t="str">
        <f aca="false">IF(OR($A413="",$B413=""),"",INDEX(tblCalisan[Brüt Ücret (₺)],MATCH($A413,tblCalisan[Çalışan Adı],0))*IF($B413="5 Puan İndirimi",BesPuanOrani,IF($B413="İlave İstihdam",IlaveIstihdamOrani,IF($B413="Kadın/Genç",KadinGencOrani,IF($B413="Engelli",EngelliOrani,GencGirisimciOrani)))))</f>
        <v/>
      </c>
      <c r="D413" s="22" t="str">
        <f aca="false">IF($C413="","",$C413*AySayisi)</f>
        <v/>
      </c>
      <c r="E413" s="23"/>
    </row>
    <row r="414" customFormat="false" ht="15" hidden="false" customHeight="false" outlineLevel="0" collapsed="false">
      <c r="A414" s="19"/>
      <c r="B414" s="23"/>
      <c r="C414" s="22" t="str">
        <f aca="false">IF(OR($A414="",$B414=""),"",INDEX(tblCalisan[Brüt Ücret (₺)],MATCH($A414,tblCalisan[Çalışan Adı],0))*IF($B414="5 Puan İndirimi",BesPuanOrani,IF($B414="İlave İstihdam",IlaveIstihdamOrani,IF($B414="Kadın/Genç",KadinGencOrani,IF($B414="Engelli",EngelliOrani,GencGirisimciOrani)))))</f>
        <v/>
      </c>
      <c r="D414" s="22" t="str">
        <f aca="false">IF($C414="","",$C414*AySayisi)</f>
        <v/>
      </c>
      <c r="E414" s="23"/>
    </row>
    <row r="415" customFormat="false" ht="15" hidden="false" customHeight="false" outlineLevel="0" collapsed="false">
      <c r="A415" s="19"/>
      <c r="B415" s="23"/>
      <c r="C415" s="22" t="str">
        <f aca="false">IF(OR($A415="",$B415=""),"",INDEX(tblCalisan[Brüt Ücret (₺)],MATCH($A415,tblCalisan[Çalışan Adı],0))*IF($B415="5 Puan İndirimi",BesPuanOrani,IF($B415="İlave İstihdam",IlaveIstihdamOrani,IF($B415="Kadın/Genç",KadinGencOrani,IF($B415="Engelli",EngelliOrani,GencGirisimciOrani)))))</f>
        <v/>
      </c>
      <c r="D415" s="22" t="str">
        <f aca="false">IF($C415="","",$C415*AySayisi)</f>
        <v/>
      </c>
      <c r="E415" s="23"/>
    </row>
    <row r="416" customFormat="false" ht="15" hidden="false" customHeight="false" outlineLevel="0" collapsed="false">
      <c r="A416" s="19"/>
      <c r="B416" s="23"/>
      <c r="C416" s="22" t="str">
        <f aca="false">IF(OR($A416="",$B416=""),"",INDEX(tblCalisan[Brüt Ücret (₺)],MATCH($A416,tblCalisan[Çalışan Adı],0))*IF($B416="5 Puan İndirimi",BesPuanOrani,IF($B416="İlave İstihdam",IlaveIstihdamOrani,IF($B416="Kadın/Genç",KadinGencOrani,IF($B416="Engelli",EngelliOrani,GencGirisimciOrani)))))</f>
        <v/>
      </c>
      <c r="D416" s="22" t="str">
        <f aca="false">IF($C416="","",$C416*AySayisi)</f>
        <v/>
      </c>
      <c r="E416" s="23"/>
    </row>
    <row r="417" customFormat="false" ht="15" hidden="false" customHeight="false" outlineLevel="0" collapsed="false">
      <c r="A417" s="19"/>
      <c r="B417" s="23"/>
      <c r="C417" s="22" t="str">
        <f aca="false">IF(OR($A417="",$B417=""),"",INDEX(tblCalisan[Brüt Ücret (₺)],MATCH($A417,tblCalisan[Çalışan Adı],0))*IF($B417="5 Puan İndirimi",BesPuanOrani,IF($B417="İlave İstihdam",IlaveIstihdamOrani,IF($B417="Kadın/Genç",KadinGencOrani,IF($B417="Engelli",EngelliOrani,GencGirisimciOrani)))))</f>
        <v/>
      </c>
      <c r="D417" s="22" t="str">
        <f aca="false">IF($C417="","",$C417*AySayisi)</f>
        <v/>
      </c>
      <c r="E417" s="23"/>
    </row>
    <row r="418" customFormat="false" ht="15" hidden="false" customHeight="false" outlineLevel="0" collapsed="false">
      <c r="A418" s="19"/>
      <c r="B418" s="23"/>
      <c r="C418" s="22" t="str">
        <f aca="false">IF(OR($A418="",$B418=""),"",INDEX(tblCalisan[Brüt Ücret (₺)],MATCH($A418,tblCalisan[Çalışan Adı],0))*IF($B418="5 Puan İndirimi",BesPuanOrani,IF($B418="İlave İstihdam",IlaveIstihdamOrani,IF($B418="Kadın/Genç",KadinGencOrani,IF($B418="Engelli",EngelliOrani,GencGirisimciOrani)))))</f>
        <v/>
      </c>
      <c r="D418" s="22" t="str">
        <f aca="false">IF($C418="","",$C418*AySayisi)</f>
        <v/>
      </c>
      <c r="E418" s="23"/>
    </row>
    <row r="419" customFormat="false" ht="15" hidden="false" customHeight="false" outlineLevel="0" collapsed="false">
      <c r="A419" s="19"/>
      <c r="B419" s="23"/>
      <c r="C419" s="22" t="str">
        <f aca="false">IF(OR($A419="",$B419=""),"",INDEX(tblCalisan[Brüt Ücret (₺)],MATCH($A419,tblCalisan[Çalışan Adı],0))*IF($B419="5 Puan İndirimi",BesPuanOrani,IF($B419="İlave İstihdam",IlaveIstihdamOrani,IF($B419="Kadın/Genç",KadinGencOrani,IF($B419="Engelli",EngelliOrani,GencGirisimciOrani)))))</f>
        <v/>
      </c>
      <c r="D419" s="22" t="str">
        <f aca="false">IF($C419="","",$C419*AySayisi)</f>
        <v/>
      </c>
      <c r="E419" s="23"/>
    </row>
    <row r="420" customFormat="false" ht="15" hidden="false" customHeight="false" outlineLevel="0" collapsed="false">
      <c r="A420" s="19"/>
      <c r="B420" s="23"/>
      <c r="C420" s="22" t="str">
        <f aca="false">IF(OR($A420="",$B420=""),"",INDEX(tblCalisan[Brüt Ücret (₺)],MATCH($A420,tblCalisan[Çalışan Adı],0))*IF($B420="5 Puan İndirimi",BesPuanOrani,IF($B420="İlave İstihdam",IlaveIstihdamOrani,IF($B420="Kadın/Genç",KadinGencOrani,IF($B420="Engelli",EngelliOrani,GencGirisimciOrani)))))</f>
        <v/>
      </c>
      <c r="D420" s="22" t="str">
        <f aca="false">IF($C420="","",$C420*AySayisi)</f>
        <v/>
      </c>
      <c r="E420" s="23"/>
    </row>
    <row r="421" customFormat="false" ht="15" hidden="false" customHeight="false" outlineLevel="0" collapsed="false">
      <c r="A421" s="19"/>
      <c r="B421" s="23"/>
      <c r="C421" s="22" t="str">
        <f aca="false">IF(OR($A421="",$B421=""),"",INDEX(tblCalisan[Brüt Ücret (₺)],MATCH($A421,tblCalisan[Çalışan Adı],0))*IF($B421="5 Puan İndirimi",BesPuanOrani,IF($B421="İlave İstihdam",IlaveIstihdamOrani,IF($B421="Kadın/Genç",KadinGencOrani,IF($B421="Engelli",EngelliOrani,GencGirisimciOrani)))))</f>
        <v/>
      </c>
      <c r="D421" s="22" t="str">
        <f aca="false">IF($C421="","",$C421*AySayisi)</f>
        <v/>
      </c>
      <c r="E421" s="23"/>
    </row>
    <row r="422" customFormat="false" ht="15" hidden="false" customHeight="false" outlineLevel="0" collapsed="false">
      <c r="A422" s="19"/>
      <c r="B422" s="23"/>
      <c r="C422" s="22" t="str">
        <f aca="false">IF(OR($A422="",$B422=""),"",INDEX(tblCalisan[Brüt Ücret (₺)],MATCH($A422,tblCalisan[Çalışan Adı],0))*IF($B422="5 Puan İndirimi",BesPuanOrani,IF($B422="İlave İstihdam",IlaveIstihdamOrani,IF($B422="Kadın/Genç",KadinGencOrani,IF($B422="Engelli",EngelliOrani,GencGirisimciOrani)))))</f>
        <v/>
      </c>
      <c r="D422" s="22" t="str">
        <f aca="false">IF($C422="","",$C422*AySayisi)</f>
        <v/>
      </c>
      <c r="E422" s="23"/>
    </row>
    <row r="423" customFormat="false" ht="15" hidden="false" customHeight="false" outlineLevel="0" collapsed="false">
      <c r="A423" s="19"/>
      <c r="B423" s="23"/>
      <c r="C423" s="22" t="str">
        <f aca="false">IF(OR($A423="",$B423=""),"",INDEX(tblCalisan[Brüt Ücret (₺)],MATCH($A423,tblCalisan[Çalışan Adı],0))*IF($B423="5 Puan İndirimi",BesPuanOrani,IF($B423="İlave İstihdam",IlaveIstihdamOrani,IF($B423="Kadın/Genç",KadinGencOrani,IF($B423="Engelli",EngelliOrani,GencGirisimciOrani)))))</f>
        <v/>
      </c>
      <c r="D423" s="22" t="str">
        <f aca="false">IF($C423="","",$C423*AySayisi)</f>
        <v/>
      </c>
      <c r="E423" s="23"/>
    </row>
    <row r="424" customFormat="false" ht="15" hidden="false" customHeight="false" outlineLevel="0" collapsed="false">
      <c r="A424" s="19"/>
      <c r="B424" s="23"/>
      <c r="C424" s="22" t="str">
        <f aca="false">IF(OR($A424="",$B424=""),"",INDEX(tblCalisan[Brüt Ücret (₺)],MATCH($A424,tblCalisan[Çalışan Adı],0))*IF($B424="5 Puan İndirimi",BesPuanOrani,IF($B424="İlave İstihdam",IlaveIstihdamOrani,IF($B424="Kadın/Genç",KadinGencOrani,IF($B424="Engelli",EngelliOrani,GencGirisimciOrani)))))</f>
        <v/>
      </c>
      <c r="D424" s="22" t="str">
        <f aca="false">IF($C424="","",$C424*AySayisi)</f>
        <v/>
      </c>
      <c r="E424" s="23"/>
    </row>
    <row r="425" customFormat="false" ht="15" hidden="false" customHeight="false" outlineLevel="0" collapsed="false">
      <c r="A425" s="19"/>
      <c r="B425" s="23"/>
      <c r="C425" s="22" t="str">
        <f aca="false">IF(OR($A425="",$B425=""),"",INDEX(tblCalisan[Brüt Ücret (₺)],MATCH($A425,tblCalisan[Çalışan Adı],0))*IF($B425="5 Puan İndirimi",BesPuanOrani,IF($B425="İlave İstihdam",IlaveIstihdamOrani,IF($B425="Kadın/Genç",KadinGencOrani,IF($B425="Engelli",EngelliOrani,GencGirisimciOrani)))))</f>
        <v/>
      </c>
      <c r="D425" s="22" t="str">
        <f aca="false">IF($C425="","",$C425*AySayisi)</f>
        <v/>
      </c>
      <c r="E425" s="23"/>
    </row>
    <row r="426" customFormat="false" ht="15" hidden="false" customHeight="false" outlineLevel="0" collapsed="false">
      <c r="A426" s="19"/>
      <c r="B426" s="23"/>
      <c r="C426" s="22" t="str">
        <f aca="false">IF(OR($A426="",$B426=""),"",INDEX(tblCalisan[Brüt Ücret (₺)],MATCH($A426,tblCalisan[Çalışan Adı],0))*IF($B426="5 Puan İndirimi",BesPuanOrani,IF($B426="İlave İstihdam",IlaveIstihdamOrani,IF($B426="Kadın/Genç",KadinGencOrani,IF($B426="Engelli",EngelliOrani,GencGirisimciOrani)))))</f>
        <v/>
      </c>
      <c r="D426" s="22" t="str">
        <f aca="false">IF($C426="","",$C426*AySayisi)</f>
        <v/>
      </c>
      <c r="E426" s="23"/>
    </row>
    <row r="427" customFormat="false" ht="15" hidden="false" customHeight="false" outlineLevel="0" collapsed="false">
      <c r="A427" s="19"/>
      <c r="B427" s="23"/>
      <c r="C427" s="22" t="str">
        <f aca="false">IF(OR($A427="",$B427=""),"",INDEX(tblCalisan[Brüt Ücret (₺)],MATCH($A427,tblCalisan[Çalışan Adı],0))*IF($B427="5 Puan İndirimi",BesPuanOrani,IF($B427="İlave İstihdam",IlaveIstihdamOrani,IF($B427="Kadın/Genç",KadinGencOrani,IF($B427="Engelli",EngelliOrani,GencGirisimciOrani)))))</f>
        <v/>
      </c>
      <c r="D427" s="22" t="str">
        <f aca="false">IF($C427="","",$C427*AySayisi)</f>
        <v/>
      </c>
      <c r="E427" s="23"/>
    </row>
    <row r="428" customFormat="false" ht="15" hidden="false" customHeight="false" outlineLevel="0" collapsed="false">
      <c r="A428" s="19"/>
      <c r="B428" s="23"/>
      <c r="C428" s="22" t="str">
        <f aca="false">IF(OR($A428="",$B428=""),"",INDEX(tblCalisan[Brüt Ücret (₺)],MATCH($A428,tblCalisan[Çalışan Adı],0))*IF($B428="5 Puan İndirimi",BesPuanOrani,IF($B428="İlave İstihdam",IlaveIstihdamOrani,IF($B428="Kadın/Genç",KadinGencOrani,IF($B428="Engelli",EngelliOrani,GencGirisimciOrani)))))</f>
        <v/>
      </c>
      <c r="D428" s="22" t="str">
        <f aca="false">IF($C428="","",$C428*AySayisi)</f>
        <v/>
      </c>
      <c r="E428" s="23"/>
    </row>
    <row r="429" customFormat="false" ht="15" hidden="false" customHeight="false" outlineLevel="0" collapsed="false">
      <c r="A429" s="19"/>
      <c r="B429" s="23"/>
      <c r="C429" s="22" t="str">
        <f aca="false">IF(OR($A429="",$B429=""),"",INDEX(tblCalisan[Brüt Ücret (₺)],MATCH($A429,tblCalisan[Çalışan Adı],0))*IF($B429="5 Puan İndirimi",BesPuanOrani,IF($B429="İlave İstihdam",IlaveIstihdamOrani,IF($B429="Kadın/Genç",KadinGencOrani,IF($B429="Engelli",EngelliOrani,GencGirisimciOrani)))))</f>
        <v/>
      </c>
      <c r="D429" s="22" t="str">
        <f aca="false">IF($C429="","",$C429*AySayisi)</f>
        <v/>
      </c>
      <c r="E429" s="23"/>
    </row>
    <row r="430" customFormat="false" ht="15" hidden="false" customHeight="false" outlineLevel="0" collapsed="false">
      <c r="A430" s="19"/>
      <c r="B430" s="23"/>
      <c r="C430" s="22" t="str">
        <f aca="false">IF(OR($A430="",$B430=""),"",INDEX(tblCalisan[Brüt Ücret (₺)],MATCH($A430,tblCalisan[Çalışan Adı],0))*IF($B430="5 Puan İndirimi",BesPuanOrani,IF($B430="İlave İstihdam",IlaveIstihdamOrani,IF($B430="Kadın/Genç",KadinGencOrani,IF($B430="Engelli",EngelliOrani,GencGirisimciOrani)))))</f>
        <v/>
      </c>
      <c r="D430" s="22" t="str">
        <f aca="false">IF($C430="","",$C430*AySayisi)</f>
        <v/>
      </c>
      <c r="E430" s="23"/>
    </row>
    <row r="431" customFormat="false" ht="15" hidden="false" customHeight="false" outlineLevel="0" collapsed="false">
      <c r="A431" s="19"/>
      <c r="B431" s="23"/>
      <c r="C431" s="22" t="str">
        <f aca="false">IF(OR($A431="",$B431=""),"",INDEX(tblCalisan[Brüt Ücret (₺)],MATCH($A431,tblCalisan[Çalışan Adı],0))*IF($B431="5 Puan İndirimi",BesPuanOrani,IF($B431="İlave İstihdam",IlaveIstihdamOrani,IF($B431="Kadın/Genç",KadinGencOrani,IF($B431="Engelli",EngelliOrani,GencGirisimciOrani)))))</f>
        <v/>
      </c>
      <c r="D431" s="22" t="str">
        <f aca="false">IF($C431="","",$C431*AySayisi)</f>
        <v/>
      </c>
      <c r="E431" s="23"/>
    </row>
    <row r="432" customFormat="false" ht="15" hidden="false" customHeight="false" outlineLevel="0" collapsed="false">
      <c r="A432" s="19"/>
      <c r="B432" s="23"/>
      <c r="C432" s="22" t="str">
        <f aca="false">IF(OR($A432="",$B432=""),"",INDEX(tblCalisan[Brüt Ücret (₺)],MATCH($A432,tblCalisan[Çalışan Adı],0))*IF($B432="5 Puan İndirimi",BesPuanOrani,IF($B432="İlave İstihdam",IlaveIstihdamOrani,IF($B432="Kadın/Genç",KadinGencOrani,IF($B432="Engelli",EngelliOrani,GencGirisimciOrani)))))</f>
        <v/>
      </c>
      <c r="D432" s="22" t="str">
        <f aca="false">IF($C432="","",$C432*AySayisi)</f>
        <v/>
      </c>
      <c r="E432" s="23"/>
    </row>
    <row r="433" customFormat="false" ht="15" hidden="false" customHeight="false" outlineLevel="0" collapsed="false">
      <c r="A433" s="19"/>
      <c r="B433" s="23"/>
      <c r="C433" s="22" t="str">
        <f aca="false">IF(OR($A433="",$B433=""),"",INDEX(tblCalisan[Brüt Ücret (₺)],MATCH($A433,tblCalisan[Çalışan Adı],0))*IF($B433="5 Puan İndirimi",BesPuanOrani,IF($B433="İlave İstihdam",IlaveIstihdamOrani,IF($B433="Kadın/Genç",KadinGencOrani,IF($B433="Engelli",EngelliOrani,GencGirisimciOrani)))))</f>
        <v/>
      </c>
      <c r="D433" s="22" t="str">
        <f aca="false">IF($C433="","",$C433*AySayisi)</f>
        <v/>
      </c>
      <c r="E433" s="23"/>
    </row>
    <row r="434" customFormat="false" ht="15" hidden="false" customHeight="false" outlineLevel="0" collapsed="false">
      <c r="A434" s="19"/>
      <c r="B434" s="23"/>
      <c r="C434" s="22" t="str">
        <f aca="false">IF(OR($A434="",$B434=""),"",INDEX(tblCalisan[Brüt Ücret (₺)],MATCH($A434,tblCalisan[Çalışan Adı],0))*IF($B434="5 Puan İndirimi",BesPuanOrani,IF($B434="İlave İstihdam",IlaveIstihdamOrani,IF($B434="Kadın/Genç",KadinGencOrani,IF($B434="Engelli",EngelliOrani,GencGirisimciOrani)))))</f>
        <v/>
      </c>
      <c r="D434" s="22" t="str">
        <f aca="false">IF($C434="","",$C434*AySayisi)</f>
        <v/>
      </c>
      <c r="E434" s="23"/>
    </row>
    <row r="435" customFormat="false" ht="15" hidden="false" customHeight="false" outlineLevel="0" collapsed="false">
      <c r="A435" s="19"/>
      <c r="B435" s="23"/>
      <c r="C435" s="22" t="str">
        <f aca="false">IF(OR($A435="",$B435=""),"",INDEX(tblCalisan[Brüt Ücret (₺)],MATCH($A435,tblCalisan[Çalışan Adı],0))*IF($B435="5 Puan İndirimi",BesPuanOrani,IF($B435="İlave İstihdam",IlaveIstihdamOrani,IF($B435="Kadın/Genç",KadinGencOrani,IF($B435="Engelli",EngelliOrani,GencGirisimciOrani)))))</f>
        <v/>
      </c>
      <c r="D435" s="22" t="str">
        <f aca="false">IF($C435="","",$C435*AySayisi)</f>
        <v/>
      </c>
      <c r="E435" s="23"/>
    </row>
    <row r="436" customFormat="false" ht="15" hidden="false" customHeight="false" outlineLevel="0" collapsed="false">
      <c r="A436" s="19"/>
      <c r="B436" s="23"/>
      <c r="C436" s="22" t="str">
        <f aca="false">IF(OR($A436="",$B436=""),"",INDEX(tblCalisan[Brüt Ücret (₺)],MATCH($A436,tblCalisan[Çalışan Adı],0))*IF($B436="5 Puan İndirimi",BesPuanOrani,IF($B436="İlave İstihdam",IlaveIstihdamOrani,IF($B436="Kadın/Genç",KadinGencOrani,IF($B436="Engelli",EngelliOrani,GencGirisimciOrani)))))</f>
        <v/>
      </c>
      <c r="D436" s="22" t="str">
        <f aca="false">IF($C436="","",$C436*AySayisi)</f>
        <v/>
      </c>
      <c r="E436" s="23"/>
    </row>
    <row r="437" customFormat="false" ht="15" hidden="false" customHeight="false" outlineLevel="0" collapsed="false">
      <c r="A437" s="19"/>
      <c r="B437" s="23"/>
      <c r="C437" s="22" t="str">
        <f aca="false">IF(OR($A437="",$B437=""),"",INDEX(tblCalisan[Brüt Ücret (₺)],MATCH($A437,tblCalisan[Çalışan Adı],0))*IF($B437="5 Puan İndirimi",BesPuanOrani,IF($B437="İlave İstihdam",IlaveIstihdamOrani,IF($B437="Kadın/Genç",KadinGencOrani,IF($B437="Engelli",EngelliOrani,GencGirisimciOrani)))))</f>
        <v/>
      </c>
      <c r="D437" s="22" t="str">
        <f aca="false">IF($C437="","",$C437*AySayisi)</f>
        <v/>
      </c>
      <c r="E437" s="23"/>
    </row>
    <row r="438" customFormat="false" ht="15" hidden="false" customHeight="false" outlineLevel="0" collapsed="false">
      <c r="A438" s="19"/>
      <c r="B438" s="23"/>
      <c r="C438" s="22" t="str">
        <f aca="false">IF(OR($A438="",$B438=""),"",INDEX(tblCalisan[Brüt Ücret (₺)],MATCH($A438,tblCalisan[Çalışan Adı],0))*IF($B438="5 Puan İndirimi",BesPuanOrani,IF($B438="İlave İstihdam",IlaveIstihdamOrani,IF($B438="Kadın/Genç",KadinGencOrani,IF($B438="Engelli",EngelliOrani,GencGirisimciOrani)))))</f>
        <v/>
      </c>
      <c r="D438" s="22" t="str">
        <f aca="false">IF($C438="","",$C438*AySayisi)</f>
        <v/>
      </c>
      <c r="E438" s="23"/>
    </row>
    <row r="439" customFormat="false" ht="15" hidden="false" customHeight="false" outlineLevel="0" collapsed="false">
      <c r="A439" s="19"/>
      <c r="B439" s="23"/>
      <c r="C439" s="22" t="str">
        <f aca="false">IF(OR($A439="",$B439=""),"",INDEX(tblCalisan[Brüt Ücret (₺)],MATCH($A439,tblCalisan[Çalışan Adı],0))*IF($B439="5 Puan İndirimi",BesPuanOrani,IF($B439="İlave İstihdam",IlaveIstihdamOrani,IF($B439="Kadın/Genç",KadinGencOrani,IF($B439="Engelli",EngelliOrani,GencGirisimciOrani)))))</f>
        <v/>
      </c>
      <c r="D439" s="22" t="str">
        <f aca="false">IF($C439="","",$C439*AySayisi)</f>
        <v/>
      </c>
      <c r="E439" s="23"/>
    </row>
    <row r="440" customFormat="false" ht="15" hidden="false" customHeight="false" outlineLevel="0" collapsed="false">
      <c r="A440" s="19"/>
      <c r="B440" s="23"/>
      <c r="C440" s="22" t="str">
        <f aca="false">IF(OR($A440="",$B440=""),"",INDEX(tblCalisan[Brüt Ücret (₺)],MATCH($A440,tblCalisan[Çalışan Adı],0))*IF($B440="5 Puan İndirimi",BesPuanOrani,IF($B440="İlave İstihdam",IlaveIstihdamOrani,IF($B440="Kadın/Genç",KadinGencOrani,IF($B440="Engelli",EngelliOrani,GencGirisimciOrani)))))</f>
        <v/>
      </c>
      <c r="D440" s="22" t="str">
        <f aca="false">IF($C440="","",$C440*AySayisi)</f>
        <v/>
      </c>
      <c r="E440" s="23"/>
    </row>
    <row r="441" customFormat="false" ht="15" hidden="false" customHeight="false" outlineLevel="0" collapsed="false">
      <c r="A441" s="19"/>
      <c r="B441" s="23"/>
      <c r="C441" s="22" t="str">
        <f aca="false">IF(OR($A441="",$B441=""),"",INDEX(tblCalisan[Brüt Ücret (₺)],MATCH($A441,tblCalisan[Çalışan Adı],0))*IF($B441="5 Puan İndirimi",BesPuanOrani,IF($B441="İlave İstihdam",IlaveIstihdamOrani,IF($B441="Kadın/Genç",KadinGencOrani,IF($B441="Engelli",EngelliOrani,GencGirisimciOrani)))))</f>
        <v/>
      </c>
      <c r="D441" s="22" t="str">
        <f aca="false">IF($C441="","",$C441*AySayisi)</f>
        <v/>
      </c>
      <c r="E441" s="23"/>
    </row>
    <row r="442" customFormat="false" ht="15" hidden="false" customHeight="false" outlineLevel="0" collapsed="false">
      <c r="A442" s="19"/>
      <c r="B442" s="23"/>
      <c r="C442" s="22" t="str">
        <f aca="false">IF(OR($A442="",$B442=""),"",INDEX(tblCalisan[Brüt Ücret (₺)],MATCH($A442,tblCalisan[Çalışan Adı],0))*IF($B442="5 Puan İndirimi",BesPuanOrani,IF($B442="İlave İstihdam",IlaveIstihdamOrani,IF($B442="Kadın/Genç",KadinGencOrani,IF($B442="Engelli",EngelliOrani,GencGirisimciOrani)))))</f>
        <v/>
      </c>
      <c r="D442" s="22" t="str">
        <f aca="false">IF($C442="","",$C442*AySayisi)</f>
        <v/>
      </c>
      <c r="E442" s="23"/>
    </row>
    <row r="443" customFormat="false" ht="15" hidden="false" customHeight="false" outlineLevel="0" collapsed="false">
      <c r="A443" s="19"/>
      <c r="B443" s="23"/>
      <c r="C443" s="22" t="str">
        <f aca="false">IF(OR($A443="",$B443=""),"",INDEX(tblCalisan[Brüt Ücret (₺)],MATCH($A443,tblCalisan[Çalışan Adı],0))*IF($B443="5 Puan İndirimi",BesPuanOrani,IF($B443="İlave İstihdam",IlaveIstihdamOrani,IF($B443="Kadın/Genç",KadinGencOrani,IF($B443="Engelli",EngelliOrani,GencGirisimciOrani)))))</f>
        <v/>
      </c>
      <c r="D443" s="22" t="str">
        <f aca="false">IF($C443="","",$C443*AySayisi)</f>
        <v/>
      </c>
      <c r="E443" s="23"/>
    </row>
    <row r="444" customFormat="false" ht="15" hidden="false" customHeight="false" outlineLevel="0" collapsed="false">
      <c r="A444" s="19"/>
      <c r="B444" s="23"/>
      <c r="C444" s="22" t="str">
        <f aca="false">IF(OR($A444="",$B444=""),"",INDEX(tblCalisan[Brüt Ücret (₺)],MATCH($A444,tblCalisan[Çalışan Adı],0))*IF($B444="5 Puan İndirimi",BesPuanOrani,IF($B444="İlave İstihdam",IlaveIstihdamOrani,IF($B444="Kadın/Genç",KadinGencOrani,IF($B444="Engelli",EngelliOrani,GencGirisimciOrani)))))</f>
        <v/>
      </c>
      <c r="D444" s="22" t="str">
        <f aca="false">IF($C444="","",$C444*AySayisi)</f>
        <v/>
      </c>
      <c r="E444" s="23"/>
    </row>
    <row r="445" customFormat="false" ht="15" hidden="false" customHeight="false" outlineLevel="0" collapsed="false">
      <c r="A445" s="19"/>
      <c r="B445" s="23"/>
      <c r="C445" s="22" t="str">
        <f aca="false">IF(OR($A445="",$B445=""),"",INDEX(tblCalisan[Brüt Ücret (₺)],MATCH($A445,tblCalisan[Çalışan Adı],0))*IF($B445="5 Puan İndirimi",BesPuanOrani,IF($B445="İlave İstihdam",IlaveIstihdamOrani,IF($B445="Kadın/Genç",KadinGencOrani,IF($B445="Engelli",EngelliOrani,GencGirisimciOrani)))))</f>
        <v/>
      </c>
      <c r="D445" s="22" t="str">
        <f aca="false">IF($C445="","",$C445*AySayisi)</f>
        <v/>
      </c>
      <c r="E445" s="23"/>
    </row>
    <row r="446" customFormat="false" ht="15" hidden="false" customHeight="false" outlineLevel="0" collapsed="false">
      <c r="A446" s="19"/>
      <c r="B446" s="23"/>
      <c r="C446" s="22" t="str">
        <f aca="false">IF(OR($A446="",$B446=""),"",INDEX(tblCalisan[Brüt Ücret (₺)],MATCH($A446,tblCalisan[Çalışan Adı],0))*IF($B446="5 Puan İndirimi",BesPuanOrani,IF($B446="İlave İstihdam",IlaveIstihdamOrani,IF($B446="Kadın/Genç",KadinGencOrani,IF($B446="Engelli",EngelliOrani,GencGirisimciOrani)))))</f>
        <v/>
      </c>
      <c r="D446" s="22" t="str">
        <f aca="false">IF($C446="","",$C446*AySayisi)</f>
        <v/>
      </c>
      <c r="E446" s="23"/>
    </row>
    <row r="447" customFormat="false" ht="15" hidden="false" customHeight="false" outlineLevel="0" collapsed="false">
      <c r="A447" s="19"/>
      <c r="B447" s="23"/>
      <c r="C447" s="22" t="str">
        <f aca="false">IF(OR($A447="",$B447=""),"",INDEX(tblCalisan[Brüt Ücret (₺)],MATCH($A447,tblCalisan[Çalışan Adı],0))*IF($B447="5 Puan İndirimi",BesPuanOrani,IF($B447="İlave İstihdam",IlaveIstihdamOrani,IF($B447="Kadın/Genç",KadinGencOrani,IF($B447="Engelli",EngelliOrani,GencGirisimciOrani)))))</f>
        <v/>
      </c>
      <c r="D447" s="22" t="str">
        <f aca="false">IF($C447="","",$C447*AySayisi)</f>
        <v/>
      </c>
      <c r="E447" s="23"/>
    </row>
    <row r="448" customFormat="false" ht="15" hidden="false" customHeight="false" outlineLevel="0" collapsed="false">
      <c r="A448" s="19"/>
      <c r="B448" s="23"/>
      <c r="C448" s="22" t="str">
        <f aca="false">IF(OR($A448="",$B448=""),"",INDEX(tblCalisan[Brüt Ücret (₺)],MATCH($A448,tblCalisan[Çalışan Adı],0))*IF($B448="5 Puan İndirimi",BesPuanOrani,IF($B448="İlave İstihdam",IlaveIstihdamOrani,IF($B448="Kadın/Genç",KadinGencOrani,IF($B448="Engelli",EngelliOrani,GencGirisimciOrani)))))</f>
        <v/>
      </c>
      <c r="D448" s="22" t="str">
        <f aca="false">IF($C448="","",$C448*AySayisi)</f>
        <v/>
      </c>
      <c r="E448" s="23"/>
    </row>
    <row r="449" customFormat="false" ht="15" hidden="false" customHeight="false" outlineLevel="0" collapsed="false">
      <c r="A449" s="19"/>
      <c r="B449" s="23"/>
      <c r="C449" s="22" t="str">
        <f aca="false">IF(OR($A449="",$B449=""),"",INDEX(tblCalisan[Brüt Ücret (₺)],MATCH($A449,tblCalisan[Çalışan Adı],0))*IF($B449="5 Puan İndirimi",BesPuanOrani,IF($B449="İlave İstihdam",IlaveIstihdamOrani,IF($B449="Kadın/Genç",KadinGencOrani,IF($B449="Engelli",EngelliOrani,GencGirisimciOrani)))))</f>
        <v/>
      </c>
      <c r="D449" s="22" t="str">
        <f aca="false">IF($C449="","",$C449*AySayisi)</f>
        <v/>
      </c>
      <c r="E449" s="23"/>
    </row>
    <row r="450" customFormat="false" ht="15" hidden="false" customHeight="false" outlineLevel="0" collapsed="false">
      <c r="A450" s="19"/>
      <c r="B450" s="23"/>
      <c r="C450" s="22" t="str">
        <f aca="false">IF(OR($A450="",$B450=""),"",INDEX(tblCalisan[Brüt Ücret (₺)],MATCH($A450,tblCalisan[Çalışan Adı],0))*IF($B450="5 Puan İndirimi",BesPuanOrani,IF($B450="İlave İstihdam",IlaveIstihdamOrani,IF($B450="Kadın/Genç",KadinGencOrani,IF($B450="Engelli",EngelliOrani,GencGirisimciOrani)))))</f>
        <v/>
      </c>
      <c r="D450" s="22" t="str">
        <f aca="false">IF($C450="","",$C450*AySayisi)</f>
        <v/>
      </c>
      <c r="E450" s="23"/>
    </row>
    <row r="451" customFormat="false" ht="15" hidden="false" customHeight="false" outlineLevel="0" collapsed="false">
      <c r="A451" s="19"/>
      <c r="B451" s="23"/>
      <c r="C451" s="22" t="str">
        <f aca="false">IF(OR($A451="",$B451=""),"",INDEX(tblCalisan[Brüt Ücret (₺)],MATCH($A451,tblCalisan[Çalışan Adı],0))*IF($B451="5 Puan İndirimi",BesPuanOrani,IF($B451="İlave İstihdam",IlaveIstihdamOrani,IF($B451="Kadın/Genç",KadinGencOrani,IF($B451="Engelli",EngelliOrani,GencGirisimciOrani)))))</f>
        <v/>
      </c>
      <c r="D451" s="22" t="str">
        <f aca="false">IF($C451="","",$C451*AySayisi)</f>
        <v/>
      </c>
      <c r="E451" s="23"/>
    </row>
    <row r="452" customFormat="false" ht="15" hidden="false" customHeight="false" outlineLevel="0" collapsed="false">
      <c r="A452" s="19"/>
      <c r="B452" s="23"/>
      <c r="C452" s="22" t="str">
        <f aca="false">IF(OR($A452="",$B452=""),"",INDEX(tblCalisan[Brüt Ücret (₺)],MATCH($A452,tblCalisan[Çalışan Adı],0))*IF($B452="5 Puan İndirimi",BesPuanOrani,IF($B452="İlave İstihdam",IlaveIstihdamOrani,IF($B452="Kadın/Genç",KadinGencOrani,IF($B452="Engelli",EngelliOrani,GencGirisimciOrani)))))</f>
        <v/>
      </c>
      <c r="D452" s="22" t="str">
        <f aca="false">IF($C452="","",$C452*AySayisi)</f>
        <v/>
      </c>
      <c r="E452" s="23"/>
    </row>
    <row r="453" customFormat="false" ht="15" hidden="false" customHeight="false" outlineLevel="0" collapsed="false">
      <c r="A453" s="19"/>
      <c r="B453" s="23"/>
      <c r="C453" s="22" t="str">
        <f aca="false">IF(OR($A453="",$B453=""),"",INDEX(tblCalisan[Brüt Ücret (₺)],MATCH($A453,tblCalisan[Çalışan Adı],0))*IF($B453="5 Puan İndirimi",BesPuanOrani,IF($B453="İlave İstihdam",IlaveIstihdamOrani,IF($B453="Kadın/Genç",KadinGencOrani,IF($B453="Engelli",EngelliOrani,GencGirisimciOrani)))))</f>
        <v/>
      </c>
      <c r="D453" s="22" t="str">
        <f aca="false">IF($C453="","",$C453*AySayisi)</f>
        <v/>
      </c>
      <c r="E453" s="23"/>
    </row>
    <row r="454" customFormat="false" ht="15" hidden="false" customHeight="false" outlineLevel="0" collapsed="false">
      <c r="A454" s="19"/>
      <c r="B454" s="23"/>
      <c r="C454" s="22" t="str">
        <f aca="false">IF(OR($A454="",$B454=""),"",INDEX(tblCalisan[Brüt Ücret (₺)],MATCH($A454,tblCalisan[Çalışan Adı],0))*IF($B454="5 Puan İndirimi",BesPuanOrani,IF($B454="İlave İstihdam",IlaveIstihdamOrani,IF($B454="Kadın/Genç",KadinGencOrani,IF($B454="Engelli",EngelliOrani,GencGirisimciOrani)))))</f>
        <v/>
      </c>
      <c r="D454" s="22" t="str">
        <f aca="false">IF($C454="","",$C454*AySayisi)</f>
        <v/>
      </c>
      <c r="E454" s="23"/>
    </row>
    <row r="455" customFormat="false" ht="15" hidden="false" customHeight="false" outlineLevel="0" collapsed="false">
      <c r="A455" s="19"/>
      <c r="B455" s="23"/>
      <c r="C455" s="22" t="str">
        <f aca="false">IF(OR($A455="",$B455=""),"",INDEX(tblCalisan[Brüt Ücret (₺)],MATCH($A455,tblCalisan[Çalışan Adı],0))*IF($B455="5 Puan İndirimi",BesPuanOrani,IF($B455="İlave İstihdam",IlaveIstihdamOrani,IF($B455="Kadın/Genç",KadinGencOrani,IF($B455="Engelli",EngelliOrani,GencGirisimciOrani)))))</f>
        <v/>
      </c>
      <c r="D455" s="22" t="str">
        <f aca="false">IF($C455="","",$C455*AySayisi)</f>
        <v/>
      </c>
      <c r="E455" s="23"/>
    </row>
    <row r="456" customFormat="false" ht="15" hidden="false" customHeight="false" outlineLevel="0" collapsed="false">
      <c r="A456" s="19"/>
      <c r="B456" s="23"/>
      <c r="C456" s="22" t="str">
        <f aca="false">IF(OR($A456="",$B456=""),"",INDEX(tblCalisan[Brüt Ücret (₺)],MATCH($A456,tblCalisan[Çalışan Adı],0))*IF($B456="5 Puan İndirimi",BesPuanOrani,IF($B456="İlave İstihdam",IlaveIstihdamOrani,IF($B456="Kadın/Genç",KadinGencOrani,IF($B456="Engelli",EngelliOrani,GencGirisimciOrani)))))</f>
        <v/>
      </c>
      <c r="D456" s="22" t="str">
        <f aca="false">IF($C456="","",$C456*AySayisi)</f>
        <v/>
      </c>
      <c r="E456" s="23"/>
    </row>
    <row r="457" customFormat="false" ht="15" hidden="false" customHeight="false" outlineLevel="0" collapsed="false">
      <c r="A457" s="19"/>
      <c r="B457" s="23"/>
      <c r="C457" s="22" t="str">
        <f aca="false">IF(OR($A457="",$B457=""),"",INDEX(tblCalisan[Brüt Ücret (₺)],MATCH($A457,tblCalisan[Çalışan Adı],0))*IF($B457="5 Puan İndirimi",BesPuanOrani,IF($B457="İlave İstihdam",IlaveIstihdamOrani,IF($B457="Kadın/Genç",KadinGencOrani,IF($B457="Engelli",EngelliOrani,GencGirisimciOrani)))))</f>
        <v/>
      </c>
      <c r="D457" s="22" t="str">
        <f aca="false">IF($C457="","",$C457*AySayisi)</f>
        <v/>
      </c>
      <c r="E457" s="23"/>
    </row>
    <row r="458" customFormat="false" ht="15" hidden="false" customHeight="false" outlineLevel="0" collapsed="false">
      <c r="A458" s="19"/>
      <c r="B458" s="23"/>
      <c r="C458" s="22" t="str">
        <f aca="false">IF(OR($A458="",$B458=""),"",INDEX(tblCalisan[Brüt Ücret (₺)],MATCH($A458,tblCalisan[Çalışan Adı],0))*IF($B458="5 Puan İndirimi",BesPuanOrani,IF($B458="İlave İstihdam",IlaveIstihdamOrani,IF($B458="Kadın/Genç",KadinGencOrani,IF($B458="Engelli",EngelliOrani,GencGirisimciOrani)))))</f>
        <v/>
      </c>
      <c r="D458" s="22" t="str">
        <f aca="false">IF($C458="","",$C458*AySayisi)</f>
        <v/>
      </c>
      <c r="E458" s="23"/>
    </row>
    <row r="459" customFormat="false" ht="15" hidden="false" customHeight="false" outlineLevel="0" collapsed="false">
      <c r="A459" s="19"/>
      <c r="B459" s="23"/>
      <c r="C459" s="22" t="str">
        <f aca="false">IF(OR($A459="",$B459=""),"",INDEX(tblCalisan[Brüt Ücret (₺)],MATCH($A459,tblCalisan[Çalışan Adı],0))*IF($B459="5 Puan İndirimi",BesPuanOrani,IF($B459="İlave İstihdam",IlaveIstihdamOrani,IF($B459="Kadın/Genç",KadinGencOrani,IF($B459="Engelli",EngelliOrani,GencGirisimciOrani)))))</f>
        <v/>
      </c>
      <c r="D459" s="22" t="str">
        <f aca="false">IF($C459="","",$C459*AySayisi)</f>
        <v/>
      </c>
      <c r="E459" s="23"/>
    </row>
    <row r="460" customFormat="false" ht="15" hidden="false" customHeight="false" outlineLevel="0" collapsed="false">
      <c r="A460" s="19"/>
      <c r="B460" s="23"/>
      <c r="C460" s="22" t="str">
        <f aca="false">IF(OR($A460="",$B460=""),"",INDEX(tblCalisan[Brüt Ücret (₺)],MATCH($A460,tblCalisan[Çalışan Adı],0))*IF($B460="5 Puan İndirimi",BesPuanOrani,IF($B460="İlave İstihdam",IlaveIstihdamOrani,IF($B460="Kadın/Genç",KadinGencOrani,IF($B460="Engelli",EngelliOrani,GencGirisimciOrani)))))</f>
        <v/>
      </c>
      <c r="D460" s="22" t="str">
        <f aca="false">IF($C460="","",$C460*AySayisi)</f>
        <v/>
      </c>
      <c r="E460" s="23"/>
    </row>
    <row r="461" customFormat="false" ht="15" hidden="false" customHeight="false" outlineLevel="0" collapsed="false">
      <c r="A461" s="19"/>
      <c r="B461" s="23"/>
      <c r="C461" s="22" t="str">
        <f aca="false">IF(OR($A461="",$B461=""),"",INDEX(tblCalisan[Brüt Ücret (₺)],MATCH($A461,tblCalisan[Çalışan Adı],0))*IF($B461="5 Puan İndirimi",BesPuanOrani,IF($B461="İlave İstihdam",IlaveIstihdamOrani,IF($B461="Kadın/Genç",KadinGencOrani,IF($B461="Engelli",EngelliOrani,GencGirisimciOrani)))))</f>
        <v/>
      </c>
      <c r="D461" s="22" t="str">
        <f aca="false">IF($C461="","",$C461*AySayisi)</f>
        <v/>
      </c>
      <c r="E461" s="23"/>
    </row>
    <row r="462" customFormat="false" ht="15" hidden="false" customHeight="false" outlineLevel="0" collapsed="false">
      <c r="A462" s="19"/>
      <c r="B462" s="23"/>
      <c r="C462" s="22" t="str">
        <f aca="false">IF(OR($A462="",$B462=""),"",INDEX(tblCalisan[Brüt Ücret (₺)],MATCH($A462,tblCalisan[Çalışan Adı],0))*IF($B462="5 Puan İndirimi",BesPuanOrani,IF($B462="İlave İstihdam",IlaveIstihdamOrani,IF($B462="Kadın/Genç",KadinGencOrani,IF($B462="Engelli",EngelliOrani,GencGirisimciOrani)))))</f>
        <v/>
      </c>
      <c r="D462" s="22" t="str">
        <f aca="false">IF($C462="","",$C462*AySayisi)</f>
        <v/>
      </c>
      <c r="E462" s="23"/>
    </row>
    <row r="463" customFormat="false" ht="15" hidden="false" customHeight="false" outlineLevel="0" collapsed="false">
      <c r="A463" s="19"/>
      <c r="B463" s="23"/>
      <c r="C463" s="22" t="str">
        <f aca="false">IF(OR($A463="",$B463=""),"",INDEX(tblCalisan[Brüt Ücret (₺)],MATCH($A463,tblCalisan[Çalışan Adı],0))*IF($B463="5 Puan İndirimi",BesPuanOrani,IF($B463="İlave İstihdam",IlaveIstihdamOrani,IF($B463="Kadın/Genç",KadinGencOrani,IF($B463="Engelli",EngelliOrani,GencGirisimciOrani)))))</f>
        <v/>
      </c>
      <c r="D463" s="22" t="str">
        <f aca="false">IF($C463="","",$C463*AySayisi)</f>
        <v/>
      </c>
      <c r="E463" s="23"/>
    </row>
    <row r="464" customFormat="false" ht="15" hidden="false" customHeight="false" outlineLevel="0" collapsed="false">
      <c r="A464" s="19"/>
      <c r="B464" s="23"/>
      <c r="C464" s="22" t="str">
        <f aca="false">IF(OR($A464="",$B464=""),"",INDEX(tblCalisan[Brüt Ücret (₺)],MATCH($A464,tblCalisan[Çalışan Adı],0))*IF($B464="5 Puan İndirimi",BesPuanOrani,IF($B464="İlave İstihdam",IlaveIstihdamOrani,IF($B464="Kadın/Genç",KadinGencOrani,IF($B464="Engelli",EngelliOrani,GencGirisimciOrani)))))</f>
        <v/>
      </c>
      <c r="D464" s="22" t="str">
        <f aca="false">IF($C464="","",$C464*AySayisi)</f>
        <v/>
      </c>
      <c r="E464" s="23"/>
    </row>
    <row r="465" customFormat="false" ht="15" hidden="false" customHeight="false" outlineLevel="0" collapsed="false">
      <c r="A465" s="19"/>
      <c r="B465" s="23"/>
      <c r="C465" s="22" t="str">
        <f aca="false">IF(OR($A465="",$B465=""),"",INDEX(tblCalisan[Brüt Ücret (₺)],MATCH($A465,tblCalisan[Çalışan Adı],0))*IF($B465="5 Puan İndirimi",BesPuanOrani,IF($B465="İlave İstihdam",IlaveIstihdamOrani,IF($B465="Kadın/Genç",KadinGencOrani,IF($B465="Engelli",EngelliOrani,GencGirisimciOrani)))))</f>
        <v/>
      </c>
      <c r="D465" s="22" t="str">
        <f aca="false">IF($C465="","",$C465*AySayisi)</f>
        <v/>
      </c>
      <c r="E465" s="23"/>
    </row>
    <row r="466" customFormat="false" ht="15" hidden="false" customHeight="false" outlineLevel="0" collapsed="false">
      <c r="A466" s="19"/>
      <c r="B466" s="23"/>
      <c r="C466" s="22" t="str">
        <f aca="false">IF(OR($A466="",$B466=""),"",INDEX(tblCalisan[Brüt Ücret (₺)],MATCH($A466,tblCalisan[Çalışan Adı],0))*IF($B466="5 Puan İndirimi",BesPuanOrani,IF($B466="İlave İstihdam",IlaveIstihdamOrani,IF($B466="Kadın/Genç",KadinGencOrani,IF($B466="Engelli",EngelliOrani,GencGirisimciOrani)))))</f>
        <v/>
      </c>
      <c r="D466" s="22" t="str">
        <f aca="false">IF($C466="","",$C466*AySayisi)</f>
        <v/>
      </c>
      <c r="E466" s="23"/>
    </row>
    <row r="467" customFormat="false" ht="15" hidden="false" customHeight="false" outlineLevel="0" collapsed="false">
      <c r="A467" s="19"/>
      <c r="B467" s="23"/>
      <c r="C467" s="22" t="str">
        <f aca="false">IF(OR($A467="",$B467=""),"",INDEX(tblCalisan[Brüt Ücret (₺)],MATCH($A467,tblCalisan[Çalışan Adı],0))*IF($B467="5 Puan İndirimi",BesPuanOrani,IF($B467="İlave İstihdam",IlaveIstihdamOrani,IF($B467="Kadın/Genç",KadinGencOrani,IF($B467="Engelli",EngelliOrani,GencGirisimciOrani)))))</f>
        <v/>
      </c>
      <c r="D467" s="22" t="str">
        <f aca="false">IF($C467="","",$C467*AySayisi)</f>
        <v/>
      </c>
      <c r="E467" s="23"/>
    </row>
    <row r="468" customFormat="false" ht="15" hidden="false" customHeight="false" outlineLevel="0" collapsed="false">
      <c r="A468" s="19"/>
      <c r="B468" s="23"/>
      <c r="C468" s="22" t="str">
        <f aca="false">IF(OR($A468="",$B468=""),"",INDEX(tblCalisan[Brüt Ücret (₺)],MATCH($A468,tblCalisan[Çalışan Adı],0))*IF($B468="5 Puan İndirimi",BesPuanOrani,IF($B468="İlave İstihdam",IlaveIstihdamOrani,IF($B468="Kadın/Genç",KadinGencOrani,IF($B468="Engelli",EngelliOrani,GencGirisimciOrani)))))</f>
        <v/>
      </c>
      <c r="D468" s="22" t="str">
        <f aca="false">IF($C468="","",$C468*AySayisi)</f>
        <v/>
      </c>
      <c r="E468" s="23"/>
    </row>
    <row r="469" customFormat="false" ht="15" hidden="false" customHeight="false" outlineLevel="0" collapsed="false">
      <c r="A469" s="19"/>
      <c r="B469" s="23"/>
      <c r="C469" s="22" t="str">
        <f aca="false">IF(OR($A469="",$B469=""),"",INDEX(tblCalisan[Brüt Ücret (₺)],MATCH($A469,tblCalisan[Çalışan Adı],0))*IF($B469="5 Puan İndirimi",BesPuanOrani,IF($B469="İlave İstihdam",IlaveIstihdamOrani,IF($B469="Kadın/Genç",KadinGencOrani,IF($B469="Engelli",EngelliOrani,GencGirisimciOrani)))))</f>
        <v/>
      </c>
      <c r="D469" s="22" t="str">
        <f aca="false">IF($C469="","",$C469*AySayisi)</f>
        <v/>
      </c>
      <c r="E469" s="23"/>
    </row>
    <row r="470" customFormat="false" ht="15" hidden="false" customHeight="false" outlineLevel="0" collapsed="false">
      <c r="A470" s="19"/>
      <c r="B470" s="23"/>
      <c r="C470" s="22" t="str">
        <f aca="false">IF(OR($A470="",$B470=""),"",INDEX(tblCalisan[Brüt Ücret (₺)],MATCH($A470,tblCalisan[Çalışan Adı],0))*IF($B470="5 Puan İndirimi",BesPuanOrani,IF($B470="İlave İstihdam",IlaveIstihdamOrani,IF($B470="Kadın/Genç",KadinGencOrani,IF($B470="Engelli",EngelliOrani,GencGirisimciOrani)))))</f>
        <v/>
      </c>
      <c r="D470" s="22" t="str">
        <f aca="false">IF($C470="","",$C470*AySayisi)</f>
        <v/>
      </c>
      <c r="E470" s="23"/>
    </row>
    <row r="471" customFormat="false" ht="15" hidden="false" customHeight="false" outlineLevel="0" collapsed="false">
      <c r="A471" s="19"/>
      <c r="B471" s="23"/>
      <c r="C471" s="22" t="str">
        <f aca="false">IF(OR($A471="",$B471=""),"",INDEX(tblCalisan[Brüt Ücret (₺)],MATCH($A471,tblCalisan[Çalışan Adı],0))*IF($B471="5 Puan İndirimi",BesPuanOrani,IF($B471="İlave İstihdam",IlaveIstihdamOrani,IF($B471="Kadın/Genç",KadinGencOrani,IF($B471="Engelli",EngelliOrani,GencGirisimciOrani)))))</f>
        <v/>
      </c>
      <c r="D471" s="22" t="str">
        <f aca="false">IF($C471="","",$C471*AySayisi)</f>
        <v/>
      </c>
      <c r="E471" s="23"/>
    </row>
    <row r="472" customFormat="false" ht="15" hidden="false" customHeight="false" outlineLevel="0" collapsed="false">
      <c r="A472" s="19"/>
      <c r="B472" s="23"/>
      <c r="C472" s="22" t="str">
        <f aca="false">IF(OR($A472="",$B472=""),"",INDEX(tblCalisan[Brüt Ücret (₺)],MATCH($A472,tblCalisan[Çalışan Adı],0))*IF($B472="5 Puan İndirimi",BesPuanOrani,IF($B472="İlave İstihdam",IlaveIstihdamOrani,IF($B472="Kadın/Genç",KadinGencOrani,IF($B472="Engelli",EngelliOrani,GencGirisimciOrani)))))</f>
        <v/>
      </c>
      <c r="D472" s="22" t="str">
        <f aca="false">IF($C472="","",$C472*AySayisi)</f>
        <v/>
      </c>
      <c r="E472" s="23"/>
    </row>
    <row r="473" customFormat="false" ht="15" hidden="false" customHeight="false" outlineLevel="0" collapsed="false">
      <c r="A473" s="19"/>
      <c r="B473" s="23"/>
      <c r="C473" s="22" t="str">
        <f aca="false">IF(OR($A473="",$B473=""),"",INDEX(tblCalisan[Brüt Ücret (₺)],MATCH($A473,tblCalisan[Çalışan Adı],0))*IF($B473="5 Puan İndirimi",BesPuanOrani,IF($B473="İlave İstihdam",IlaveIstihdamOrani,IF($B473="Kadın/Genç",KadinGencOrani,IF($B473="Engelli",EngelliOrani,GencGirisimciOrani)))))</f>
        <v/>
      </c>
      <c r="D473" s="22" t="str">
        <f aca="false">IF($C473="","",$C473*AySayisi)</f>
        <v/>
      </c>
      <c r="E473" s="23"/>
    </row>
    <row r="474" customFormat="false" ht="15" hidden="false" customHeight="false" outlineLevel="0" collapsed="false">
      <c r="A474" s="19"/>
      <c r="B474" s="23"/>
      <c r="C474" s="22" t="str">
        <f aca="false">IF(OR($A474="",$B474=""),"",INDEX(tblCalisan[Brüt Ücret (₺)],MATCH($A474,tblCalisan[Çalışan Adı],0))*IF($B474="5 Puan İndirimi",BesPuanOrani,IF($B474="İlave İstihdam",IlaveIstihdamOrani,IF($B474="Kadın/Genç",KadinGencOrani,IF($B474="Engelli",EngelliOrani,GencGirisimciOrani)))))</f>
        <v/>
      </c>
      <c r="D474" s="22" t="str">
        <f aca="false">IF($C474="","",$C474*AySayisi)</f>
        <v/>
      </c>
      <c r="E474" s="23"/>
    </row>
    <row r="475" customFormat="false" ht="15" hidden="false" customHeight="false" outlineLevel="0" collapsed="false">
      <c r="A475" s="19"/>
      <c r="B475" s="23"/>
      <c r="C475" s="22" t="str">
        <f aca="false">IF(OR($A475="",$B475=""),"",INDEX(tblCalisan[Brüt Ücret (₺)],MATCH($A475,tblCalisan[Çalışan Adı],0))*IF($B475="5 Puan İndirimi",BesPuanOrani,IF($B475="İlave İstihdam",IlaveIstihdamOrani,IF($B475="Kadın/Genç",KadinGencOrani,IF($B475="Engelli",EngelliOrani,GencGirisimciOrani)))))</f>
        <v/>
      </c>
      <c r="D475" s="22" t="str">
        <f aca="false">IF($C475="","",$C475*AySayisi)</f>
        <v/>
      </c>
      <c r="E475" s="23"/>
    </row>
    <row r="476" customFormat="false" ht="15" hidden="false" customHeight="false" outlineLevel="0" collapsed="false">
      <c r="A476" s="19"/>
      <c r="B476" s="23"/>
      <c r="C476" s="22" t="str">
        <f aca="false">IF(OR($A476="",$B476=""),"",INDEX(tblCalisan[Brüt Ücret (₺)],MATCH($A476,tblCalisan[Çalışan Adı],0))*IF($B476="5 Puan İndirimi",BesPuanOrani,IF($B476="İlave İstihdam",IlaveIstihdamOrani,IF($B476="Kadın/Genç",KadinGencOrani,IF($B476="Engelli",EngelliOrani,GencGirisimciOrani)))))</f>
        <v/>
      </c>
      <c r="D476" s="22" t="str">
        <f aca="false">IF($C476="","",$C476*AySayisi)</f>
        <v/>
      </c>
      <c r="E476" s="23"/>
    </row>
    <row r="477" customFormat="false" ht="15" hidden="false" customHeight="false" outlineLevel="0" collapsed="false">
      <c r="A477" s="19"/>
      <c r="B477" s="23"/>
      <c r="C477" s="22" t="str">
        <f aca="false">IF(OR($A477="",$B477=""),"",INDEX(tblCalisan[Brüt Ücret (₺)],MATCH($A477,tblCalisan[Çalışan Adı],0))*IF($B477="5 Puan İndirimi",BesPuanOrani,IF($B477="İlave İstihdam",IlaveIstihdamOrani,IF($B477="Kadın/Genç",KadinGencOrani,IF($B477="Engelli",EngelliOrani,GencGirisimciOrani)))))</f>
        <v/>
      </c>
      <c r="D477" s="22" t="str">
        <f aca="false">IF($C477="","",$C477*AySayisi)</f>
        <v/>
      </c>
      <c r="E477" s="23"/>
    </row>
    <row r="478" customFormat="false" ht="15" hidden="false" customHeight="false" outlineLevel="0" collapsed="false">
      <c r="A478" s="19"/>
      <c r="B478" s="23"/>
      <c r="C478" s="22" t="str">
        <f aca="false">IF(OR($A478="",$B478=""),"",INDEX(tblCalisan[Brüt Ücret (₺)],MATCH($A478,tblCalisan[Çalışan Adı],0))*IF($B478="5 Puan İndirimi",BesPuanOrani,IF($B478="İlave İstihdam",IlaveIstihdamOrani,IF($B478="Kadın/Genç",KadinGencOrani,IF($B478="Engelli",EngelliOrani,GencGirisimciOrani)))))</f>
        <v/>
      </c>
      <c r="D478" s="22" t="str">
        <f aca="false">IF($C478="","",$C478*AySayisi)</f>
        <v/>
      </c>
      <c r="E478" s="23"/>
    </row>
    <row r="479" customFormat="false" ht="15" hidden="false" customHeight="false" outlineLevel="0" collapsed="false">
      <c r="A479" s="19"/>
      <c r="B479" s="23"/>
      <c r="C479" s="22" t="str">
        <f aca="false">IF(OR($A479="",$B479=""),"",INDEX(tblCalisan[Brüt Ücret (₺)],MATCH($A479,tblCalisan[Çalışan Adı],0))*IF($B479="5 Puan İndirimi",BesPuanOrani,IF($B479="İlave İstihdam",IlaveIstihdamOrani,IF($B479="Kadın/Genç",KadinGencOrani,IF($B479="Engelli",EngelliOrani,GencGirisimciOrani)))))</f>
        <v/>
      </c>
      <c r="D479" s="22" t="str">
        <f aca="false">IF($C479="","",$C479*AySayisi)</f>
        <v/>
      </c>
      <c r="E479" s="23"/>
    </row>
    <row r="480" customFormat="false" ht="15" hidden="false" customHeight="false" outlineLevel="0" collapsed="false">
      <c r="A480" s="19"/>
      <c r="B480" s="23"/>
      <c r="C480" s="22" t="str">
        <f aca="false">IF(OR($A480="",$B480=""),"",INDEX(tblCalisan[Brüt Ücret (₺)],MATCH($A480,tblCalisan[Çalışan Adı],0))*IF($B480="5 Puan İndirimi",BesPuanOrani,IF($B480="İlave İstihdam",IlaveIstihdamOrani,IF($B480="Kadın/Genç",KadinGencOrani,IF($B480="Engelli",EngelliOrani,GencGirisimciOrani)))))</f>
        <v/>
      </c>
      <c r="D480" s="22" t="str">
        <f aca="false">IF($C480="","",$C480*AySayisi)</f>
        <v/>
      </c>
      <c r="E480" s="23"/>
    </row>
    <row r="481" customFormat="false" ht="15" hidden="false" customHeight="false" outlineLevel="0" collapsed="false">
      <c r="A481" s="19"/>
      <c r="B481" s="23"/>
      <c r="C481" s="22" t="str">
        <f aca="false">IF(OR($A481="",$B481=""),"",INDEX(tblCalisan[Brüt Ücret (₺)],MATCH($A481,tblCalisan[Çalışan Adı],0))*IF($B481="5 Puan İndirimi",BesPuanOrani,IF($B481="İlave İstihdam",IlaveIstihdamOrani,IF($B481="Kadın/Genç",KadinGencOrani,IF($B481="Engelli",EngelliOrani,GencGirisimciOrani)))))</f>
        <v/>
      </c>
      <c r="D481" s="22" t="str">
        <f aca="false">IF($C481="","",$C481*AySayisi)</f>
        <v/>
      </c>
      <c r="E481" s="23"/>
    </row>
    <row r="482" customFormat="false" ht="15" hidden="false" customHeight="false" outlineLevel="0" collapsed="false">
      <c r="A482" s="19"/>
      <c r="B482" s="23"/>
      <c r="C482" s="22" t="str">
        <f aca="false">IF(OR($A482="",$B482=""),"",INDEX(tblCalisan[Brüt Ücret (₺)],MATCH($A482,tblCalisan[Çalışan Adı],0))*IF($B482="5 Puan İndirimi",BesPuanOrani,IF($B482="İlave İstihdam",IlaveIstihdamOrani,IF($B482="Kadın/Genç",KadinGencOrani,IF($B482="Engelli",EngelliOrani,GencGirisimciOrani)))))</f>
        <v/>
      </c>
      <c r="D482" s="22" t="str">
        <f aca="false">IF($C482="","",$C482*AySayisi)</f>
        <v/>
      </c>
      <c r="E482" s="23"/>
    </row>
    <row r="483" customFormat="false" ht="15" hidden="false" customHeight="false" outlineLevel="0" collapsed="false">
      <c r="A483" s="19"/>
      <c r="B483" s="23"/>
      <c r="C483" s="22" t="str">
        <f aca="false">IF(OR($A483="",$B483=""),"",INDEX(tblCalisan[Brüt Ücret (₺)],MATCH($A483,tblCalisan[Çalışan Adı],0))*IF($B483="5 Puan İndirimi",BesPuanOrani,IF($B483="İlave İstihdam",IlaveIstihdamOrani,IF($B483="Kadın/Genç",KadinGencOrani,IF($B483="Engelli",EngelliOrani,GencGirisimciOrani)))))</f>
        <v/>
      </c>
      <c r="D483" s="22" t="str">
        <f aca="false">IF($C483="","",$C483*AySayisi)</f>
        <v/>
      </c>
      <c r="E483" s="23"/>
    </row>
    <row r="484" customFormat="false" ht="15" hidden="false" customHeight="false" outlineLevel="0" collapsed="false">
      <c r="A484" s="19"/>
      <c r="B484" s="23"/>
      <c r="C484" s="22" t="str">
        <f aca="false">IF(OR($A484="",$B484=""),"",INDEX(tblCalisan[Brüt Ücret (₺)],MATCH($A484,tblCalisan[Çalışan Adı],0))*IF($B484="5 Puan İndirimi",BesPuanOrani,IF($B484="İlave İstihdam",IlaveIstihdamOrani,IF($B484="Kadın/Genç",KadinGencOrani,IF($B484="Engelli",EngelliOrani,GencGirisimciOrani)))))</f>
        <v/>
      </c>
      <c r="D484" s="22" t="str">
        <f aca="false">IF($C484="","",$C484*AySayisi)</f>
        <v/>
      </c>
      <c r="E484" s="23"/>
    </row>
    <row r="485" customFormat="false" ht="15" hidden="false" customHeight="false" outlineLevel="0" collapsed="false">
      <c r="A485" s="19"/>
      <c r="B485" s="23"/>
      <c r="C485" s="22" t="str">
        <f aca="false">IF(OR($A485="",$B485=""),"",INDEX(tblCalisan[Brüt Ücret (₺)],MATCH($A485,tblCalisan[Çalışan Adı],0))*IF($B485="5 Puan İndirimi",BesPuanOrani,IF($B485="İlave İstihdam",IlaveIstihdamOrani,IF($B485="Kadın/Genç",KadinGencOrani,IF($B485="Engelli",EngelliOrani,GencGirisimciOrani)))))</f>
        <v/>
      </c>
      <c r="D485" s="22" t="str">
        <f aca="false">IF($C485="","",$C485*AySayisi)</f>
        <v/>
      </c>
      <c r="E485" s="23"/>
    </row>
    <row r="486" customFormat="false" ht="15" hidden="false" customHeight="false" outlineLevel="0" collapsed="false">
      <c r="A486" s="19"/>
      <c r="B486" s="23"/>
      <c r="C486" s="22" t="str">
        <f aca="false">IF(OR($A486="",$B486=""),"",INDEX(tblCalisan[Brüt Ücret (₺)],MATCH($A486,tblCalisan[Çalışan Adı],0))*IF($B486="5 Puan İndirimi",BesPuanOrani,IF($B486="İlave İstihdam",IlaveIstihdamOrani,IF($B486="Kadın/Genç",KadinGencOrani,IF($B486="Engelli",EngelliOrani,GencGirisimciOrani)))))</f>
        <v/>
      </c>
      <c r="D486" s="22" t="str">
        <f aca="false">IF($C486="","",$C486*AySayisi)</f>
        <v/>
      </c>
      <c r="E486" s="23"/>
    </row>
    <row r="487" customFormat="false" ht="15" hidden="false" customHeight="false" outlineLevel="0" collapsed="false">
      <c r="A487" s="19"/>
      <c r="B487" s="23"/>
      <c r="C487" s="22" t="str">
        <f aca="false">IF(OR($A487="",$B487=""),"",INDEX(tblCalisan[Brüt Ücret (₺)],MATCH($A487,tblCalisan[Çalışan Adı],0))*IF($B487="5 Puan İndirimi",BesPuanOrani,IF($B487="İlave İstihdam",IlaveIstihdamOrani,IF($B487="Kadın/Genç",KadinGencOrani,IF($B487="Engelli",EngelliOrani,GencGirisimciOrani)))))</f>
        <v/>
      </c>
      <c r="D487" s="22" t="str">
        <f aca="false">IF($C487="","",$C487*AySayisi)</f>
        <v/>
      </c>
      <c r="E487" s="23"/>
    </row>
    <row r="488" customFormat="false" ht="15" hidden="false" customHeight="false" outlineLevel="0" collapsed="false">
      <c r="A488" s="19"/>
      <c r="B488" s="23"/>
      <c r="C488" s="22" t="str">
        <f aca="false">IF(OR($A488="",$B488=""),"",INDEX(tblCalisan[Brüt Ücret (₺)],MATCH($A488,tblCalisan[Çalışan Adı],0))*IF($B488="5 Puan İndirimi",BesPuanOrani,IF($B488="İlave İstihdam",IlaveIstihdamOrani,IF($B488="Kadın/Genç",KadinGencOrani,IF($B488="Engelli",EngelliOrani,GencGirisimciOrani)))))</f>
        <v/>
      </c>
      <c r="D488" s="22" t="str">
        <f aca="false">IF($C488="","",$C488*AySayisi)</f>
        <v/>
      </c>
      <c r="E488" s="23"/>
    </row>
    <row r="489" customFormat="false" ht="15" hidden="false" customHeight="false" outlineLevel="0" collapsed="false">
      <c r="A489" s="19"/>
      <c r="B489" s="23"/>
      <c r="C489" s="22" t="str">
        <f aca="false">IF(OR($A489="",$B489=""),"",INDEX(tblCalisan[Brüt Ücret (₺)],MATCH($A489,tblCalisan[Çalışan Adı],0))*IF($B489="5 Puan İndirimi",BesPuanOrani,IF($B489="İlave İstihdam",IlaveIstihdamOrani,IF($B489="Kadın/Genç",KadinGencOrani,IF($B489="Engelli",EngelliOrani,GencGirisimciOrani)))))</f>
        <v/>
      </c>
      <c r="D489" s="22" t="str">
        <f aca="false">IF($C489="","",$C489*AySayisi)</f>
        <v/>
      </c>
      <c r="E489" s="23"/>
    </row>
    <row r="490" customFormat="false" ht="15" hidden="false" customHeight="false" outlineLevel="0" collapsed="false">
      <c r="A490" s="19"/>
      <c r="B490" s="23"/>
      <c r="C490" s="22" t="str">
        <f aca="false">IF(OR($A490="",$B490=""),"",INDEX(tblCalisan[Brüt Ücret (₺)],MATCH($A490,tblCalisan[Çalışan Adı],0))*IF($B490="5 Puan İndirimi",BesPuanOrani,IF($B490="İlave İstihdam",IlaveIstihdamOrani,IF($B490="Kadın/Genç",KadinGencOrani,IF($B490="Engelli",EngelliOrani,GencGirisimciOrani)))))</f>
        <v/>
      </c>
      <c r="D490" s="22" t="str">
        <f aca="false">IF($C490="","",$C490*AySayisi)</f>
        <v/>
      </c>
      <c r="E490" s="23"/>
    </row>
    <row r="491" customFormat="false" ht="15" hidden="false" customHeight="false" outlineLevel="0" collapsed="false">
      <c r="A491" s="19"/>
      <c r="B491" s="23"/>
      <c r="C491" s="22" t="str">
        <f aca="false">IF(OR($A491="",$B491=""),"",INDEX(tblCalisan[Brüt Ücret (₺)],MATCH($A491,tblCalisan[Çalışan Adı],0))*IF($B491="5 Puan İndirimi",BesPuanOrani,IF($B491="İlave İstihdam",IlaveIstihdamOrani,IF($B491="Kadın/Genç",KadinGencOrani,IF($B491="Engelli",EngelliOrani,GencGirisimciOrani)))))</f>
        <v/>
      </c>
      <c r="D491" s="22" t="str">
        <f aca="false">IF($C491="","",$C491*AySayisi)</f>
        <v/>
      </c>
      <c r="E491" s="23"/>
    </row>
    <row r="492" customFormat="false" ht="15" hidden="false" customHeight="false" outlineLevel="0" collapsed="false">
      <c r="A492" s="19"/>
      <c r="B492" s="23"/>
      <c r="C492" s="22" t="str">
        <f aca="false">IF(OR($A492="",$B492=""),"",INDEX(tblCalisan[Brüt Ücret (₺)],MATCH($A492,tblCalisan[Çalışan Adı],0))*IF($B492="5 Puan İndirimi",BesPuanOrani,IF($B492="İlave İstihdam",IlaveIstihdamOrani,IF($B492="Kadın/Genç",KadinGencOrani,IF($B492="Engelli",EngelliOrani,GencGirisimciOrani)))))</f>
        <v/>
      </c>
      <c r="D492" s="22" t="str">
        <f aca="false">IF($C492="","",$C492*AySayisi)</f>
        <v/>
      </c>
      <c r="E492" s="23"/>
    </row>
    <row r="493" customFormat="false" ht="15" hidden="false" customHeight="false" outlineLevel="0" collapsed="false">
      <c r="A493" s="19"/>
      <c r="B493" s="23"/>
      <c r="C493" s="22" t="str">
        <f aca="false">IF(OR($A493="",$B493=""),"",INDEX(tblCalisan[Brüt Ücret (₺)],MATCH($A493,tblCalisan[Çalışan Adı],0))*IF($B493="5 Puan İndirimi",BesPuanOrani,IF($B493="İlave İstihdam",IlaveIstihdamOrani,IF($B493="Kadın/Genç",KadinGencOrani,IF($B493="Engelli",EngelliOrani,GencGirisimciOrani)))))</f>
        <v/>
      </c>
      <c r="D493" s="22" t="str">
        <f aca="false">IF($C493="","",$C493*AySayisi)</f>
        <v/>
      </c>
      <c r="E493" s="23"/>
    </row>
    <row r="494" customFormat="false" ht="15" hidden="false" customHeight="false" outlineLevel="0" collapsed="false">
      <c r="A494" s="19"/>
      <c r="B494" s="23"/>
      <c r="C494" s="22" t="str">
        <f aca="false">IF(OR($A494="",$B494=""),"",INDEX(tblCalisan[Brüt Ücret (₺)],MATCH($A494,tblCalisan[Çalışan Adı],0))*IF($B494="5 Puan İndirimi",BesPuanOrani,IF($B494="İlave İstihdam",IlaveIstihdamOrani,IF($B494="Kadın/Genç",KadinGencOrani,IF($B494="Engelli",EngelliOrani,GencGirisimciOrani)))))</f>
        <v/>
      </c>
      <c r="D494" s="22" t="str">
        <f aca="false">IF($C494="","",$C494*AySayisi)</f>
        <v/>
      </c>
      <c r="E494" s="23"/>
    </row>
    <row r="495" customFormat="false" ht="15" hidden="false" customHeight="false" outlineLevel="0" collapsed="false">
      <c r="A495" s="19"/>
      <c r="B495" s="23"/>
      <c r="C495" s="22" t="str">
        <f aca="false">IF(OR($A495="",$B495=""),"",INDEX(tblCalisan[Brüt Ücret (₺)],MATCH($A495,tblCalisan[Çalışan Adı],0))*IF($B495="5 Puan İndirimi",BesPuanOrani,IF($B495="İlave İstihdam",IlaveIstihdamOrani,IF($B495="Kadın/Genç",KadinGencOrani,IF($B495="Engelli",EngelliOrani,GencGirisimciOrani)))))</f>
        <v/>
      </c>
      <c r="D495" s="22" t="str">
        <f aca="false">IF($C495="","",$C495*AySayisi)</f>
        <v/>
      </c>
      <c r="E495" s="23"/>
    </row>
    <row r="496" customFormat="false" ht="15" hidden="false" customHeight="false" outlineLevel="0" collapsed="false">
      <c r="A496" s="19"/>
      <c r="B496" s="23"/>
      <c r="C496" s="22" t="str">
        <f aca="false">IF(OR($A496="",$B496=""),"",INDEX(tblCalisan[Brüt Ücret (₺)],MATCH($A496,tblCalisan[Çalışan Adı],0))*IF($B496="5 Puan İndirimi",BesPuanOrani,IF($B496="İlave İstihdam",IlaveIstihdamOrani,IF($B496="Kadın/Genç",KadinGencOrani,IF($B496="Engelli",EngelliOrani,GencGirisimciOrani)))))</f>
        <v/>
      </c>
      <c r="D496" s="22" t="str">
        <f aca="false">IF($C496="","",$C496*AySayisi)</f>
        <v/>
      </c>
      <c r="E496" s="23"/>
    </row>
    <row r="497" customFormat="false" ht="15" hidden="false" customHeight="false" outlineLevel="0" collapsed="false">
      <c r="A497" s="19"/>
      <c r="B497" s="23"/>
      <c r="C497" s="22" t="str">
        <f aca="false">IF(OR($A497="",$B497=""),"",INDEX(tblCalisan[Brüt Ücret (₺)],MATCH($A497,tblCalisan[Çalışan Adı],0))*IF($B497="5 Puan İndirimi",BesPuanOrani,IF($B497="İlave İstihdam",IlaveIstihdamOrani,IF($B497="Kadın/Genç",KadinGencOrani,IF($B497="Engelli",EngelliOrani,GencGirisimciOrani)))))</f>
        <v/>
      </c>
      <c r="D497" s="22" t="str">
        <f aca="false">IF($C497="","",$C497*AySayisi)</f>
        <v/>
      </c>
      <c r="E497" s="23"/>
    </row>
    <row r="498" customFormat="false" ht="15" hidden="false" customHeight="false" outlineLevel="0" collapsed="false">
      <c r="A498" s="19"/>
      <c r="B498" s="23"/>
      <c r="C498" s="22" t="str">
        <f aca="false">IF(OR($A498="",$B498=""),"",INDEX(tblCalisan[Brüt Ücret (₺)],MATCH($A498,tblCalisan[Çalışan Adı],0))*IF($B498="5 Puan İndirimi",BesPuanOrani,IF($B498="İlave İstihdam",IlaveIstihdamOrani,IF($B498="Kadın/Genç",KadinGencOrani,IF($B498="Engelli",EngelliOrani,GencGirisimciOrani)))))</f>
        <v/>
      </c>
      <c r="D498" s="22" t="str">
        <f aca="false">IF($C498="","",$C498*AySayisi)</f>
        <v/>
      </c>
      <c r="E498" s="23"/>
    </row>
    <row r="499" customFormat="false" ht="15" hidden="false" customHeight="false" outlineLevel="0" collapsed="false">
      <c r="A499" s="19"/>
      <c r="B499" s="23"/>
      <c r="C499" s="22" t="str">
        <f aca="false">IF(OR($A499="",$B499=""),"",INDEX(tblCalisan[Brüt Ücret (₺)],MATCH($A499,tblCalisan[Çalışan Adı],0))*IF($B499="5 Puan İndirimi",BesPuanOrani,IF($B499="İlave İstihdam",IlaveIstihdamOrani,IF($B499="Kadın/Genç",KadinGencOrani,IF($B499="Engelli",EngelliOrani,GencGirisimciOrani)))))</f>
        <v/>
      </c>
      <c r="D499" s="22" t="str">
        <f aca="false">IF($C499="","",$C499*AySayisi)</f>
        <v/>
      </c>
      <c r="E499" s="23"/>
    </row>
    <row r="500" customFormat="false" ht="15" hidden="false" customHeight="false" outlineLevel="0" collapsed="false">
      <c r="A500" s="19"/>
      <c r="B500" s="23"/>
      <c r="C500" s="22" t="str">
        <f aca="false">IF(OR($A500="",$B500=""),"",INDEX(tblCalisan[Brüt Ücret (₺)],MATCH($A500,tblCalisan[Çalışan Adı],0))*IF($B500="5 Puan İndirimi",BesPuanOrani,IF($B500="İlave İstihdam",IlaveIstihdamOrani,IF($B500="Kadın/Genç",KadinGencOrani,IF($B500="Engelli",EngelliOrani,GencGirisimciOrani)))))</f>
        <v/>
      </c>
      <c r="D500" s="22" t="str">
        <f aca="false">IF($C500="","",$C500*AySayisi)</f>
        <v/>
      </c>
      <c r="E500" s="23"/>
    </row>
    <row r="501" customFormat="false" ht="15" hidden="false" customHeight="false" outlineLevel="0" collapsed="false">
      <c r="A501" s="19"/>
      <c r="B501" s="23"/>
      <c r="C501" s="22" t="str">
        <f aca="false">IF(OR($A501="",$B501=""),"",INDEX(tblCalisan[Brüt Ücret (₺)],MATCH($A501,tblCalisan[Çalışan Adı],0))*IF($B501="5 Puan İndirimi",BesPuanOrani,IF($B501="İlave İstihdam",IlaveIstihdamOrani,IF($B501="Kadın/Genç",KadinGencOrani,IF($B501="Engelli",EngelliOrani,GencGirisimciOrani)))))</f>
        <v/>
      </c>
      <c r="D501" s="22" t="str">
        <f aca="false">IF($C501="","",$C501*AySayisi)</f>
        <v/>
      </c>
      <c r="E501" s="23"/>
    </row>
    <row r="502" customFormat="false" ht="15" hidden="false" customHeight="false" outlineLevel="0" collapsed="false">
      <c r="A502" s="19"/>
      <c r="B502" s="23"/>
      <c r="C502" s="22" t="str">
        <f aca="false">IF(OR($A502="",$B502=""),"",INDEX(tblCalisan[Brüt Ücret (₺)],MATCH($A502,tblCalisan[Çalışan Adı],0))*IF($B502="5 Puan İndirimi",BesPuanOrani,IF($B502="İlave İstihdam",IlaveIstihdamOrani,IF($B502="Kadın/Genç",KadinGencOrani,IF($B502="Engelli",EngelliOrani,GencGirisimciOrani)))))</f>
        <v/>
      </c>
      <c r="D502" s="22" t="str">
        <f aca="false">IF($C502="","",$C502*AySayisi)</f>
        <v/>
      </c>
      <c r="E502" s="23"/>
    </row>
    <row r="503" customFormat="false" ht="15" hidden="false" customHeight="false" outlineLevel="0" collapsed="false">
      <c r="A503" s="19"/>
      <c r="B503" s="23"/>
      <c r="C503" s="22" t="str">
        <f aca="false">IF(OR($A503="",$B503=""),"",INDEX(tblCalisan[Brüt Ücret (₺)],MATCH($A503,tblCalisan[Çalışan Adı],0))*IF($B503="5 Puan İndirimi",BesPuanOrani,IF($B503="İlave İstihdam",IlaveIstihdamOrani,IF($B503="Kadın/Genç",KadinGencOrani,IF($B503="Engelli",EngelliOrani,GencGirisimciOrani)))))</f>
        <v/>
      </c>
      <c r="D503" s="22" t="str">
        <f aca="false">IF($C503="","",$C503*AySayisi)</f>
        <v/>
      </c>
      <c r="E503" s="23"/>
    </row>
    <row r="504" customFormat="false" ht="15" hidden="false" customHeight="false" outlineLevel="0" collapsed="false">
      <c r="A504" s="19"/>
      <c r="B504" s="23"/>
      <c r="C504" s="22" t="str">
        <f aca="false">IF(OR($A504="",$B504=""),"",INDEX(tblCalisan[Brüt Ücret (₺)],MATCH($A504,tblCalisan[Çalışan Adı],0))*IF($B504="5 Puan İndirimi",BesPuanOrani,IF($B504="İlave İstihdam",IlaveIstihdamOrani,IF($B504="Kadın/Genç",KadinGencOrani,IF($B504="Engelli",EngelliOrani,GencGirisimciOrani)))))</f>
        <v/>
      </c>
      <c r="D504" s="22" t="str">
        <f aca="false">IF($C504="","",$C504*AySayisi)</f>
        <v/>
      </c>
      <c r="E504" s="23"/>
    </row>
    <row r="505" customFormat="false" ht="15" hidden="false" customHeight="false" outlineLevel="0" collapsed="false">
      <c r="A505" s="19"/>
      <c r="B505" s="23"/>
      <c r="C505" s="22" t="str">
        <f aca="false">IF(OR($A505="",$B505=""),"",INDEX(tblCalisan[Brüt Ücret (₺)],MATCH($A505,tblCalisan[Çalışan Adı],0))*IF($B505="5 Puan İndirimi",BesPuanOrani,IF($B505="İlave İstihdam",IlaveIstihdamOrani,IF($B505="Kadın/Genç",KadinGencOrani,IF($B505="Engelli",EngelliOrani,GencGirisimciOrani)))))</f>
        <v/>
      </c>
      <c r="D505" s="22" t="str">
        <f aca="false">IF($C505="","",$C505*AySayisi)</f>
        <v/>
      </c>
      <c r="E505" s="23"/>
    </row>
    <row r="506" customFormat="false" ht="15" hidden="false" customHeight="false" outlineLevel="0" collapsed="false">
      <c r="A506" s="19"/>
      <c r="B506" s="23"/>
      <c r="C506" s="22" t="str">
        <f aca="false">IF(OR($A506="",$B506=""),"",INDEX(tblCalisan[Brüt Ücret (₺)],MATCH($A506,tblCalisan[Çalışan Adı],0))*IF($B506="5 Puan İndirimi",BesPuanOrani,IF($B506="İlave İstihdam",IlaveIstihdamOrani,IF($B506="Kadın/Genç",KadinGencOrani,IF($B506="Engelli",EngelliOrani,GencGirisimciOrani)))))</f>
        <v/>
      </c>
      <c r="D506" s="22" t="str">
        <f aca="false">IF($C506="","",$C506*AySayisi)</f>
        <v/>
      </c>
      <c r="E506" s="23"/>
    </row>
    <row r="507" customFormat="false" ht="15" hidden="false" customHeight="false" outlineLevel="0" collapsed="false">
      <c r="A507" s="19"/>
      <c r="B507" s="23"/>
      <c r="C507" s="22" t="str">
        <f aca="false">IF(OR($A507="",$B507=""),"",INDEX(tblCalisan[Brüt Ücret (₺)],MATCH($A507,tblCalisan[Çalışan Adı],0))*IF($B507="5 Puan İndirimi",BesPuanOrani,IF($B507="İlave İstihdam",IlaveIstihdamOrani,IF($B507="Kadın/Genç",KadinGencOrani,IF($B507="Engelli",EngelliOrani,GencGirisimciOrani)))))</f>
        <v/>
      </c>
      <c r="D507" s="22" t="str">
        <f aca="false">IF($C507="","",$C507*AySayisi)</f>
        <v/>
      </c>
      <c r="E507" s="23"/>
    </row>
    <row r="508" customFormat="false" ht="15" hidden="false" customHeight="false" outlineLevel="0" collapsed="false">
      <c r="A508" s="19"/>
      <c r="B508" s="23"/>
      <c r="C508" s="22" t="str">
        <f aca="false">IF(OR($A508="",$B508=""),"",INDEX(tblCalisan[Brüt Ücret (₺)],MATCH($A508,tblCalisan[Çalışan Adı],0))*IF($B508="5 Puan İndirimi",BesPuanOrani,IF($B508="İlave İstihdam",IlaveIstihdamOrani,IF($B508="Kadın/Genç",KadinGencOrani,IF($B508="Engelli",EngelliOrani,GencGirisimciOrani)))))</f>
        <v/>
      </c>
      <c r="D508" s="22" t="str">
        <f aca="false">IF($C508="","",$C508*AySayisi)</f>
        <v/>
      </c>
      <c r="E508" s="23"/>
    </row>
    <row r="509" customFormat="false" ht="15" hidden="false" customHeight="false" outlineLevel="0" collapsed="false">
      <c r="A509" s="19"/>
      <c r="B509" s="23"/>
      <c r="C509" s="22" t="str">
        <f aca="false">IF(OR($A509="",$B509=""),"",INDEX(tblCalisan[Brüt Ücret (₺)],MATCH($A509,tblCalisan[Çalışan Adı],0))*IF($B509="5 Puan İndirimi",BesPuanOrani,IF($B509="İlave İstihdam",IlaveIstihdamOrani,IF($B509="Kadın/Genç",KadinGencOrani,IF($B509="Engelli",EngelliOrani,GencGirisimciOrani)))))</f>
        <v/>
      </c>
      <c r="D509" s="22" t="str">
        <f aca="false">IF($C509="","",$C509*AySayisi)</f>
        <v/>
      </c>
      <c r="E509" s="23"/>
    </row>
    <row r="510" customFormat="false" ht="15" hidden="false" customHeight="false" outlineLevel="0" collapsed="false">
      <c r="A510" s="19"/>
      <c r="B510" s="23"/>
      <c r="C510" s="22" t="str">
        <f aca="false">IF(OR($A510="",$B510=""),"",INDEX(tblCalisan[Brüt Ücret (₺)],MATCH($A510,tblCalisan[Çalışan Adı],0))*IF($B510="5 Puan İndirimi",BesPuanOrani,IF($B510="İlave İstihdam",IlaveIstihdamOrani,IF($B510="Kadın/Genç",KadinGencOrani,IF($B510="Engelli",EngelliOrani,GencGirisimciOrani)))))</f>
        <v/>
      </c>
      <c r="D510" s="22" t="str">
        <f aca="false">IF($C510="","",$C510*AySayisi)</f>
        <v/>
      </c>
      <c r="E510" s="23"/>
    </row>
    <row r="511" customFormat="false" ht="15" hidden="false" customHeight="false" outlineLevel="0" collapsed="false">
      <c r="A511" s="19"/>
      <c r="B511" s="23"/>
      <c r="C511" s="22" t="str">
        <f aca="false">IF(OR($A511="",$B511=""),"",INDEX(tblCalisan[Brüt Ücret (₺)],MATCH($A511,tblCalisan[Çalışan Adı],0))*IF($B511="5 Puan İndirimi",BesPuanOrani,IF($B511="İlave İstihdam",IlaveIstihdamOrani,IF($B511="Kadın/Genç",KadinGencOrani,IF($B511="Engelli",EngelliOrani,GencGirisimciOrani)))))</f>
        <v/>
      </c>
      <c r="D511" s="22" t="str">
        <f aca="false">IF($C511="","",$C511*AySayisi)</f>
        <v/>
      </c>
      <c r="E511" s="23"/>
    </row>
    <row r="512" customFormat="false" ht="15" hidden="false" customHeight="false" outlineLevel="0" collapsed="false">
      <c r="A512" s="19"/>
      <c r="B512" s="23"/>
      <c r="C512" s="22" t="str">
        <f aca="false">IF(OR($A512="",$B512=""),"",INDEX(tblCalisan[Brüt Ücret (₺)],MATCH($A512,tblCalisan[Çalışan Adı],0))*IF($B512="5 Puan İndirimi",BesPuanOrani,IF($B512="İlave İstihdam",IlaveIstihdamOrani,IF($B512="Kadın/Genç",KadinGencOrani,IF($B512="Engelli",EngelliOrani,GencGirisimciOrani)))))</f>
        <v/>
      </c>
      <c r="D512" s="22" t="str">
        <f aca="false">IF($C512="","",$C512*AySayisi)</f>
        <v/>
      </c>
      <c r="E512" s="23"/>
    </row>
    <row r="513" customFormat="false" ht="15" hidden="false" customHeight="false" outlineLevel="0" collapsed="false">
      <c r="A513" s="19"/>
      <c r="B513" s="23"/>
      <c r="C513" s="22" t="str">
        <f aca="false">IF(OR($A513="",$B513=""),"",INDEX(tblCalisan[Brüt Ücret (₺)],MATCH($A513,tblCalisan[Çalışan Adı],0))*IF($B513="5 Puan İndirimi",BesPuanOrani,IF($B513="İlave İstihdam",IlaveIstihdamOrani,IF($B513="Kadın/Genç",KadinGencOrani,IF($B513="Engelli",EngelliOrani,GencGirisimciOrani)))))</f>
        <v/>
      </c>
      <c r="D513" s="22" t="str">
        <f aca="false">IF($C513="","",$C513*AySayisi)</f>
        <v/>
      </c>
      <c r="E513" s="23"/>
    </row>
    <row r="514" customFormat="false" ht="15" hidden="false" customHeight="false" outlineLevel="0" collapsed="false">
      <c r="A514" s="19"/>
      <c r="B514" s="23"/>
      <c r="C514" s="22" t="str">
        <f aca="false">IF(OR($A514="",$B514=""),"",INDEX(tblCalisan[Brüt Ücret (₺)],MATCH($A514,tblCalisan[Çalışan Adı],0))*IF($B514="5 Puan İndirimi",BesPuanOrani,IF($B514="İlave İstihdam",IlaveIstihdamOrani,IF($B514="Kadın/Genç",KadinGencOrani,IF($B514="Engelli",EngelliOrani,GencGirisimciOrani)))))</f>
        <v/>
      </c>
      <c r="D514" s="22" t="str">
        <f aca="false">IF($C514="","",$C514*AySayisi)</f>
        <v/>
      </c>
      <c r="E514" s="23"/>
    </row>
    <row r="515" customFormat="false" ht="15" hidden="false" customHeight="false" outlineLevel="0" collapsed="false">
      <c r="A515" s="19"/>
      <c r="B515" s="23"/>
      <c r="C515" s="22" t="str">
        <f aca="false">IF(OR($A515="",$B515=""),"",INDEX(tblCalisan[Brüt Ücret (₺)],MATCH($A515,tblCalisan[Çalışan Adı],0))*IF($B515="5 Puan İndirimi",BesPuanOrani,IF($B515="İlave İstihdam",IlaveIstihdamOrani,IF($B515="Kadın/Genç",KadinGencOrani,IF($B515="Engelli",EngelliOrani,GencGirisimciOrani)))))</f>
        <v/>
      </c>
      <c r="D515" s="22" t="str">
        <f aca="false">IF($C515="","",$C515*AySayisi)</f>
        <v/>
      </c>
      <c r="E515" s="23"/>
    </row>
    <row r="516" customFormat="false" ht="15" hidden="false" customHeight="false" outlineLevel="0" collapsed="false">
      <c r="A516" s="19"/>
      <c r="B516" s="23"/>
      <c r="C516" s="22" t="str">
        <f aca="false">IF(OR($A516="",$B516=""),"",INDEX(tblCalisan[Brüt Ücret (₺)],MATCH($A516,tblCalisan[Çalışan Adı],0))*IF($B516="5 Puan İndirimi",BesPuanOrani,IF($B516="İlave İstihdam",IlaveIstihdamOrani,IF($B516="Kadın/Genç",KadinGencOrani,IF($B516="Engelli",EngelliOrani,GencGirisimciOrani)))))</f>
        <v/>
      </c>
      <c r="D516" s="22" t="str">
        <f aca="false">IF($C516="","",$C516*AySayisi)</f>
        <v/>
      </c>
      <c r="E516" s="23"/>
    </row>
    <row r="517" customFormat="false" ht="15" hidden="false" customHeight="false" outlineLevel="0" collapsed="false">
      <c r="A517" s="19"/>
      <c r="B517" s="23"/>
      <c r="C517" s="22" t="str">
        <f aca="false">IF(OR($A517="",$B517=""),"",INDEX(tblCalisan[Brüt Ücret (₺)],MATCH($A517,tblCalisan[Çalışan Adı],0))*IF($B517="5 Puan İndirimi",BesPuanOrani,IF($B517="İlave İstihdam",IlaveIstihdamOrani,IF($B517="Kadın/Genç",KadinGencOrani,IF($B517="Engelli",EngelliOrani,GencGirisimciOrani)))))</f>
        <v/>
      </c>
      <c r="D517" s="22" t="str">
        <f aca="false">IF($C517="","",$C517*AySayisi)</f>
        <v/>
      </c>
      <c r="E517" s="23"/>
    </row>
    <row r="518" customFormat="false" ht="15" hidden="false" customHeight="false" outlineLevel="0" collapsed="false">
      <c r="A518" s="19"/>
      <c r="B518" s="23"/>
      <c r="C518" s="22" t="str">
        <f aca="false">IF(OR($A518="",$B518=""),"",INDEX(tblCalisan[Brüt Ücret (₺)],MATCH($A518,tblCalisan[Çalışan Adı],0))*IF($B518="5 Puan İndirimi",BesPuanOrani,IF($B518="İlave İstihdam",IlaveIstihdamOrani,IF($B518="Kadın/Genç",KadinGencOrani,IF($B518="Engelli",EngelliOrani,GencGirisimciOrani)))))</f>
        <v/>
      </c>
      <c r="D518" s="22" t="str">
        <f aca="false">IF($C518="","",$C518*AySayisi)</f>
        <v/>
      </c>
      <c r="E518" s="23"/>
    </row>
    <row r="519" customFormat="false" ht="15" hidden="false" customHeight="false" outlineLevel="0" collapsed="false">
      <c r="A519" s="19"/>
      <c r="B519" s="23"/>
      <c r="C519" s="22" t="str">
        <f aca="false">IF(OR($A519="",$B519=""),"",INDEX(tblCalisan[Brüt Ücret (₺)],MATCH($A519,tblCalisan[Çalışan Adı],0))*IF($B519="5 Puan İndirimi",BesPuanOrani,IF($B519="İlave İstihdam",IlaveIstihdamOrani,IF($B519="Kadın/Genç",KadinGencOrani,IF($B519="Engelli",EngelliOrani,GencGirisimciOrani)))))</f>
        <v/>
      </c>
      <c r="D519" s="22" t="str">
        <f aca="false">IF($C519="","",$C519*AySayisi)</f>
        <v/>
      </c>
      <c r="E519" s="23"/>
    </row>
    <row r="520" customFormat="false" ht="15" hidden="false" customHeight="false" outlineLevel="0" collapsed="false">
      <c r="A520" s="19"/>
      <c r="B520" s="23"/>
      <c r="C520" s="22" t="str">
        <f aca="false">IF(OR($A520="",$B520=""),"",INDEX(tblCalisan[Brüt Ücret (₺)],MATCH($A520,tblCalisan[Çalışan Adı],0))*IF($B520="5 Puan İndirimi",BesPuanOrani,IF($B520="İlave İstihdam",IlaveIstihdamOrani,IF($B520="Kadın/Genç",KadinGencOrani,IF($B520="Engelli",EngelliOrani,GencGirisimciOrani)))))</f>
        <v/>
      </c>
      <c r="D520" s="22" t="str">
        <f aca="false">IF($C520="","",$C520*AySayisi)</f>
        <v/>
      </c>
      <c r="E520" s="23"/>
    </row>
    <row r="521" customFormat="false" ht="15" hidden="false" customHeight="false" outlineLevel="0" collapsed="false">
      <c r="A521" s="19"/>
      <c r="B521" s="23"/>
      <c r="C521" s="22" t="str">
        <f aca="false">IF(OR($A521="",$B521=""),"",INDEX(tblCalisan[Brüt Ücret (₺)],MATCH($A521,tblCalisan[Çalışan Adı],0))*IF($B521="5 Puan İndirimi",BesPuanOrani,IF($B521="İlave İstihdam",IlaveIstihdamOrani,IF($B521="Kadın/Genç",KadinGencOrani,IF($B521="Engelli",EngelliOrani,GencGirisimciOrani)))))</f>
        <v/>
      </c>
      <c r="D521" s="22" t="str">
        <f aca="false">IF($C521="","",$C521*AySayisi)</f>
        <v/>
      </c>
      <c r="E521" s="23"/>
    </row>
    <row r="522" customFormat="false" ht="15" hidden="false" customHeight="false" outlineLevel="0" collapsed="false">
      <c r="A522" s="19"/>
      <c r="B522" s="23"/>
      <c r="C522" s="22" t="str">
        <f aca="false">IF(OR($A522="",$B522=""),"",INDEX(tblCalisan[Brüt Ücret (₺)],MATCH($A522,tblCalisan[Çalışan Adı],0))*IF($B522="5 Puan İndirimi",BesPuanOrani,IF($B522="İlave İstihdam",IlaveIstihdamOrani,IF($B522="Kadın/Genç",KadinGencOrani,IF($B522="Engelli",EngelliOrani,GencGirisimciOrani)))))</f>
        <v/>
      </c>
      <c r="D522" s="22" t="str">
        <f aca="false">IF($C522="","",$C522*AySayisi)</f>
        <v/>
      </c>
      <c r="E522" s="23"/>
    </row>
    <row r="523" customFormat="false" ht="15" hidden="false" customHeight="false" outlineLevel="0" collapsed="false">
      <c r="A523" s="19"/>
      <c r="B523" s="23"/>
      <c r="C523" s="22" t="str">
        <f aca="false">IF(OR($A523="",$B523=""),"",INDEX(tblCalisan[Brüt Ücret (₺)],MATCH($A523,tblCalisan[Çalışan Adı],0))*IF($B523="5 Puan İndirimi",BesPuanOrani,IF($B523="İlave İstihdam",IlaveIstihdamOrani,IF($B523="Kadın/Genç",KadinGencOrani,IF($B523="Engelli",EngelliOrani,GencGirisimciOrani)))))</f>
        <v/>
      </c>
      <c r="D523" s="22" t="str">
        <f aca="false">IF($C523="","",$C523*AySayisi)</f>
        <v/>
      </c>
      <c r="E523" s="23"/>
    </row>
    <row r="524" customFormat="false" ht="15" hidden="false" customHeight="false" outlineLevel="0" collapsed="false">
      <c r="A524" s="19"/>
      <c r="B524" s="23"/>
      <c r="C524" s="22" t="str">
        <f aca="false">IF(OR($A524="",$B524=""),"",INDEX(tblCalisan[Brüt Ücret (₺)],MATCH($A524,tblCalisan[Çalışan Adı],0))*IF($B524="5 Puan İndirimi",BesPuanOrani,IF($B524="İlave İstihdam",IlaveIstihdamOrani,IF($B524="Kadın/Genç",KadinGencOrani,IF($B524="Engelli",EngelliOrani,GencGirisimciOrani)))))</f>
        <v/>
      </c>
      <c r="D524" s="22" t="str">
        <f aca="false">IF($C524="","",$C524*AySayisi)</f>
        <v/>
      </c>
      <c r="E524" s="23"/>
    </row>
    <row r="525" customFormat="false" ht="15" hidden="false" customHeight="false" outlineLevel="0" collapsed="false">
      <c r="A525" s="19"/>
      <c r="B525" s="23"/>
      <c r="C525" s="22" t="str">
        <f aca="false">IF(OR($A525="",$B525=""),"",INDEX(tblCalisan[Brüt Ücret (₺)],MATCH($A525,tblCalisan[Çalışan Adı],0))*IF($B525="5 Puan İndirimi",BesPuanOrani,IF($B525="İlave İstihdam",IlaveIstihdamOrani,IF($B525="Kadın/Genç",KadinGencOrani,IF($B525="Engelli",EngelliOrani,GencGirisimciOrani)))))</f>
        <v/>
      </c>
      <c r="D525" s="22" t="str">
        <f aca="false">IF($C525="","",$C525*AySayisi)</f>
        <v/>
      </c>
      <c r="E525" s="23"/>
    </row>
    <row r="526" customFormat="false" ht="15" hidden="false" customHeight="false" outlineLevel="0" collapsed="false">
      <c r="A526" s="19"/>
      <c r="B526" s="23"/>
      <c r="C526" s="22" t="str">
        <f aca="false">IF(OR($A526="",$B526=""),"",INDEX(tblCalisan[Brüt Ücret (₺)],MATCH($A526,tblCalisan[Çalışan Adı],0))*IF($B526="5 Puan İndirimi",BesPuanOrani,IF($B526="İlave İstihdam",IlaveIstihdamOrani,IF($B526="Kadın/Genç",KadinGencOrani,IF($B526="Engelli",EngelliOrani,GencGirisimciOrani)))))</f>
        <v/>
      </c>
      <c r="D526" s="22" t="str">
        <f aca="false">IF($C526="","",$C526*AySayisi)</f>
        <v/>
      </c>
      <c r="E526" s="23"/>
    </row>
    <row r="527" customFormat="false" ht="15" hidden="false" customHeight="false" outlineLevel="0" collapsed="false">
      <c r="A527" s="19"/>
      <c r="B527" s="23"/>
      <c r="C527" s="22" t="str">
        <f aca="false">IF(OR($A527="",$B527=""),"",INDEX(tblCalisan[Brüt Ücret (₺)],MATCH($A527,tblCalisan[Çalışan Adı],0))*IF($B527="5 Puan İndirimi",BesPuanOrani,IF($B527="İlave İstihdam",IlaveIstihdamOrani,IF($B527="Kadın/Genç",KadinGencOrani,IF($B527="Engelli",EngelliOrani,GencGirisimciOrani)))))</f>
        <v/>
      </c>
      <c r="D527" s="22" t="str">
        <f aca="false">IF($C527="","",$C527*AySayisi)</f>
        <v/>
      </c>
      <c r="E527" s="23"/>
    </row>
    <row r="528" customFormat="false" ht="15" hidden="false" customHeight="false" outlineLevel="0" collapsed="false">
      <c r="A528" s="19"/>
      <c r="B528" s="23"/>
      <c r="C528" s="22" t="str">
        <f aca="false">IF(OR($A528="",$B528=""),"",INDEX(tblCalisan[Brüt Ücret (₺)],MATCH($A528,tblCalisan[Çalışan Adı],0))*IF($B528="5 Puan İndirimi",BesPuanOrani,IF($B528="İlave İstihdam",IlaveIstihdamOrani,IF($B528="Kadın/Genç",KadinGencOrani,IF($B528="Engelli",EngelliOrani,GencGirisimciOrani)))))</f>
        <v/>
      </c>
      <c r="D528" s="22" t="str">
        <f aca="false">IF($C528="","",$C528*AySayisi)</f>
        <v/>
      </c>
      <c r="E528" s="23"/>
    </row>
    <row r="529" customFormat="false" ht="15" hidden="false" customHeight="false" outlineLevel="0" collapsed="false">
      <c r="A529" s="19"/>
      <c r="B529" s="23"/>
      <c r="C529" s="22" t="str">
        <f aca="false">IF(OR($A529="",$B529=""),"",INDEX(tblCalisan[Brüt Ücret (₺)],MATCH($A529,tblCalisan[Çalışan Adı],0))*IF($B529="5 Puan İndirimi",BesPuanOrani,IF($B529="İlave İstihdam",IlaveIstihdamOrani,IF($B529="Kadın/Genç",KadinGencOrani,IF($B529="Engelli",EngelliOrani,GencGirisimciOrani)))))</f>
        <v/>
      </c>
      <c r="D529" s="22" t="str">
        <f aca="false">IF($C529="","",$C529*AySayisi)</f>
        <v/>
      </c>
      <c r="E529" s="23"/>
    </row>
    <row r="530" customFormat="false" ht="15" hidden="false" customHeight="false" outlineLevel="0" collapsed="false">
      <c r="A530" s="19"/>
      <c r="B530" s="23"/>
      <c r="C530" s="22" t="str">
        <f aca="false">IF(OR($A530="",$B530=""),"",INDEX(tblCalisan[Brüt Ücret (₺)],MATCH($A530,tblCalisan[Çalışan Adı],0))*IF($B530="5 Puan İndirimi",BesPuanOrani,IF($B530="İlave İstihdam",IlaveIstihdamOrani,IF($B530="Kadın/Genç",KadinGencOrani,IF($B530="Engelli",EngelliOrani,GencGirisimciOrani)))))</f>
        <v/>
      </c>
      <c r="D530" s="22" t="str">
        <f aca="false">IF($C530="","",$C530*AySayisi)</f>
        <v/>
      </c>
      <c r="E530" s="23"/>
    </row>
    <row r="531" customFormat="false" ht="15" hidden="false" customHeight="false" outlineLevel="0" collapsed="false">
      <c r="A531" s="19"/>
      <c r="B531" s="23"/>
      <c r="C531" s="22" t="str">
        <f aca="false">IF(OR($A531="",$B531=""),"",INDEX(tblCalisan[Brüt Ücret (₺)],MATCH($A531,tblCalisan[Çalışan Adı],0))*IF($B531="5 Puan İndirimi",BesPuanOrani,IF($B531="İlave İstihdam",IlaveIstihdamOrani,IF($B531="Kadın/Genç",KadinGencOrani,IF($B531="Engelli",EngelliOrani,GencGirisimciOrani)))))</f>
        <v/>
      </c>
      <c r="D531" s="22" t="str">
        <f aca="false">IF($C531="","",$C531*AySayisi)</f>
        <v/>
      </c>
      <c r="E531" s="23"/>
    </row>
    <row r="532" customFormat="false" ht="15" hidden="false" customHeight="false" outlineLevel="0" collapsed="false">
      <c r="A532" s="19"/>
      <c r="B532" s="23"/>
      <c r="C532" s="22" t="str">
        <f aca="false">IF(OR($A532="",$B532=""),"",INDEX(tblCalisan[Brüt Ücret (₺)],MATCH($A532,tblCalisan[Çalışan Adı],0))*IF($B532="5 Puan İndirimi",BesPuanOrani,IF($B532="İlave İstihdam",IlaveIstihdamOrani,IF($B532="Kadın/Genç",KadinGencOrani,IF($B532="Engelli",EngelliOrani,GencGirisimciOrani)))))</f>
        <v/>
      </c>
      <c r="D532" s="22" t="str">
        <f aca="false">IF($C532="","",$C532*AySayisi)</f>
        <v/>
      </c>
      <c r="E532" s="23"/>
    </row>
    <row r="533" customFormat="false" ht="15" hidden="false" customHeight="false" outlineLevel="0" collapsed="false">
      <c r="A533" s="19"/>
      <c r="B533" s="23"/>
      <c r="C533" s="22" t="str">
        <f aca="false">IF(OR($A533="",$B533=""),"",INDEX(tblCalisan[Brüt Ücret (₺)],MATCH($A533,tblCalisan[Çalışan Adı],0))*IF($B533="5 Puan İndirimi",BesPuanOrani,IF($B533="İlave İstihdam",IlaveIstihdamOrani,IF($B533="Kadın/Genç",KadinGencOrani,IF($B533="Engelli",EngelliOrani,GencGirisimciOrani)))))</f>
        <v/>
      </c>
      <c r="D533" s="22" t="str">
        <f aca="false">IF($C533="","",$C533*AySayisi)</f>
        <v/>
      </c>
      <c r="E533" s="23"/>
    </row>
    <row r="534" customFormat="false" ht="15" hidden="false" customHeight="false" outlineLevel="0" collapsed="false">
      <c r="A534" s="19"/>
      <c r="B534" s="23"/>
      <c r="C534" s="22" t="str">
        <f aca="false">IF(OR($A534="",$B534=""),"",INDEX(tblCalisan[Brüt Ücret (₺)],MATCH($A534,tblCalisan[Çalışan Adı],0))*IF($B534="5 Puan İndirimi",BesPuanOrani,IF($B534="İlave İstihdam",IlaveIstihdamOrani,IF($B534="Kadın/Genç",KadinGencOrani,IF($B534="Engelli",EngelliOrani,GencGirisimciOrani)))))</f>
        <v/>
      </c>
      <c r="D534" s="22" t="str">
        <f aca="false">IF($C534="","",$C534*AySayisi)</f>
        <v/>
      </c>
      <c r="E534" s="23"/>
    </row>
    <row r="535" customFormat="false" ht="15" hidden="false" customHeight="false" outlineLevel="0" collapsed="false">
      <c r="A535" s="19"/>
      <c r="B535" s="23"/>
      <c r="C535" s="22" t="str">
        <f aca="false">IF(OR($A535="",$B535=""),"",INDEX(tblCalisan[Brüt Ücret (₺)],MATCH($A535,tblCalisan[Çalışan Adı],0))*IF($B535="5 Puan İndirimi",BesPuanOrani,IF($B535="İlave İstihdam",IlaveIstihdamOrani,IF($B535="Kadın/Genç",KadinGencOrani,IF($B535="Engelli",EngelliOrani,GencGirisimciOrani)))))</f>
        <v/>
      </c>
      <c r="D535" s="22" t="str">
        <f aca="false">IF($C535="","",$C535*AySayisi)</f>
        <v/>
      </c>
      <c r="E535" s="23"/>
    </row>
    <row r="536" customFormat="false" ht="15" hidden="false" customHeight="false" outlineLevel="0" collapsed="false">
      <c r="A536" s="19"/>
      <c r="B536" s="23"/>
      <c r="C536" s="22" t="str">
        <f aca="false">IF(OR($A536="",$B536=""),"",INDEX(tblCalisan[Brüt Ücret (₺)],MATCH($A536,tblCalisan[Çalışan Adı],0))*IF($B536="5 Puan İndirimi",BesPuanOrani,IF($B536="İlave İstihdam",IlaveIstihdamOrani,IF($B536="Kadın/Genç",KadinGencOrani,IF($B536="Engelli",EngelliOrani,GencGirisimciOrani)))))</f>
        <v/>
      </c>
      <c r="D536" s="22" t="str">
        <f aca="false">IF($C536="","",$C536*AySayisi)</f>
        <v/>
      </c>
      <c r="E536" s="23"/>
    </row>
    <row r="537" customFormat="false" ht="15" hidden="false" customHeight="false" outlineLevel="0" collapsed="false">
      <c r="A537" s="19"/>
      <c r="B537" s="23"/>
      <c r="C537" s="22" t="str">
        <f aca="false">IF(OR($A537="",$B537=""),"",INDEX(tblCalisan[Brüt Ücret (₺)],MATCH($A537,tblCalisan[Çalışan Adı],0))*IF($B537="5 Puan İndirimi",BesPuanOrani,IF($B537="İlave İstihdam",IlaveIstihdamOrani,IF($B537="Kadın/Genç",KadinGencOrani,IF($B537="Engelli",EngelliOrani,GencGirisimciOrani)))))</f>
        <v/>
      </c>
      <c r="D537" s="22" t="str">
        <f aca="false">IF($C537="","",$C537*AySayisi)</f>
        <v/>
      </c>
      <c r="E537" s="23"/>
    </row>
    <row r="538" customFormat="false" ht="15" hidden="false" customHeight="false" outlineLevel="0" collapsed="false">
      <c r="A538" s="19"/>
      <c r="B538" s="23"/>
      <c r="C538" s="22" t="str">
        <f aca="false">IF(OR($A538="",$B538=""),"",INDEX(tblCalisan[Brüt Ücret (₺)],MATCH($A538,tblCalisan[Çalışan Adı],0))*IF($B538="5 Puan İndirimi",BesPuanOrani,IF($B538="İlave İstihdam",IlaveIstihdamOrani,IF($B538="Kadın/Genç",KadinGencOrani,IF($B538="Engelli",EngelliOrani,GencGirisimciOrani)))))</f>
        <v/>
      </c>
      <c r="D538" s="22" t="str">
        <f aca="false">IF($C538="","",$C538*AySayisi)</f>
        <v/>
      </c>
      <c r="E538" s="23"/>
    </row>
    <row r="539" customFormat="false" ht="15" hidden="false" customHeight="false" outlineLevel="0" collapsed="false">
      <c r="A539" s="19"/>
      <c r="B539" s="23"/>
      <c r="C539" s="22" t="str">
        <f aca="false">IF(OR($A539="",$B539=""),"",INDEX(tblCalisan[Brüt Ücret (₺)],MATCH($A539,tblCalisan[Çalışan Adı],0))*IF($B539="5 Puan İndirimi",BesPuanOrani,IF($B539="İlave İstihdam",IlaveIstihdamOrani,IF($B539="Kadın/Genç",KadinGencOrani,IF($B539="Engelli",EngelliOrani,GencGirisimciOrani)))))</f>
        <v/>
      </c>
      <c r="D539" s="22" t="str">
        <f aca="false">IF($C539="","",$C539*AySayisi)</f>
        <v/>
      </c>
      <c r="E539" s="23"/>
    </row>
    <row r="540" customFormat="false" ht="15" hidden="false" customHeight="false" outlineLevel="0" collapsed="false">
      <c r="A540" s="19"/>
      <c r="B540" s="23"/>
      <c r="C540" s="22" t="str">
        <f aca="false">IF(OR($A540="",$B540=""),"",INDEX(tblCalisan[Brüt Ücret (₺)],MATCH($A540,tblCalisan[Çalışan Adı],0))*IF($B540="5 Puan İndirimi",BesPuanOrani,IF($B540="İlave İstihdam",IlaveIstihdamOrani,IF($B540="Kadın/Genç",KadinGencOrani,IF($B540="Engelli",EngelliOrani,GencGirisimciOrani)))))</f>
        <v/>
      </c>
      <c r="D540" s="22" t="str">
        <f aca="false">IF($C540="","",$C540*AySayisi)</f>
        <v/>
      </c>
      <c r="E540" s="23"/>
    </row>
    <row r="541" customFormat="false" ht="15" hidden="false" customHeight="false" outlineLevel="0" collapsed="false">
      <c r="A541" s="19"/>
      <c r="B541" s="23"/>
      <c r="C541" s="22" t="str">
        <f aca="false">IF(OR($A541="",$B541=""),"",INDEX(tblCalisan[Brüt Ücret (₺)],MATCH($A541,tblCalisan[Çalışan Adı],0))*IF($B541="5 Puan İndirimi",BesPuanOrani,IF($B541="İlave İstihdam",IlaveIstihdamOrani,IF($B541="Kadın/Genç",KadinGencOrani,IF($B541="Engelli",EngelliOrani,GencGirisimciOrani)))))</f>
        <v/>
      </c>
      <c r="D541" s="22" t="str">
        <f aca="false">IF($C541="","",$C541*AySayisi)</f>
        <v/>
      </c>
      <c r="E541" s="23"/>
    </row>
    <row r="542" customFormat="false" ht="15" hidden="false" customHeight="false" outlineLevel="0" collapsed="false">
      <c r="A542" s="19"/>
      <c r="B542" s="23"/>
      <c r="C542" s="22" t="str">
        <f aca="false">IF(OR($A542="",$B542=""),"",INDEX(tblCalisan[Brüt Ücret (₺)],MATCH($A542,tblCalisan[Çalışan Adı],0))*IF($B542="5 Puan İndirimi",BesPuanOrani,IF($B542="İlave İstihdam",IlaveIstihdamOrani,IF($B542="Kadın/Genç",KadinGencOrani,IF($B542="Engelli",EngelliOrani,GencGirisimciOrani)))))</f>
        <v/>
      </c>
      <c r="D542" s="22" t="str">
        <f aca="false">IF($C542="","",$C542*AySayisi)</f>
        <v/>
      </c>
      <c r="E542" s="23"/>
    </row>
    <row r="543" customFormat="false" ht="15" hidden="false" customHeight="false" outlineLevel="0" collapsed="false">
      <c r="A543" s="19"/>
      <c r="B543" s="23"/>
      <c r="C543" s="22" t="str">
        <f aca="false">IF(OR($A543="",$B543=""),"",INDEX(tblCalisan[Brüt Ücret (₺)],MATCH($A543,tblCalisan[Çalışan Adı],0))*IF($B543="5 Puan İndirimi",BesPuanOrani,IF($B543="İlave İstihdam",IlaveIstihdamOrani,IF($B543="Kadın/Genç",KadinGencOrani,IF($B543="Engelli",EngelliOrani,GencGirisimciOrani)))))</f>
        <v/>
      </c>
      <c r="D543" s="22" t="str">
        <f aca="false">IF($C543="","",$C543*AySayisi)</f>
        <v/>
      </c>
      <c r="E543" s="23"/>
    </row>
    <row r="544" customFormat="false" ht="15" hidden="false" customHeight="false" outlineLevel="0" collapsed="false">
      <c r="A544" s="19"/>
      <c r="B544" s="23"/>
      <c r="C544" s="22" t="str">
        <f aca="false">IF(OR($A544="",$B544=""),"",INDEX(tblCalisan[Brüt Ücret (₺)],MATCH($A544,tblCalisan[Çalışan Adı],0))*IF($B544="5 Puan İndirimi",BesPuanOrani,IF($B544="İlave İstihdam",IlaveIstihdamOrani,IF($B544="Kadın/Genç",KadinGencOrani,IF($B544="Engelli",EngelliOrani,GencGirisimciOrani)))))</f>
        <v/>
      </c>
      <c r="D544" s="22" t="str">
        <f aca="false">IF($C544="","",$C544*AySayisi)</f>
        <v/>
      </c>
      <c r="E544" s="23"/>
    </row>
    <row r="545" customFormat="false" ht="15" hidden="false" customHeight="false" outlineLevel="0" collapsed="false">
      <c r="A545" s="19"/>
      <c r="B545" s="23"/>
      <c r="C545" s="22" t="str">
        <f aca="false">IF(OR($A545="",$B545=""),"",INDEX(tblCalisan[Brüt Ücret (₺)],MATCH($A545,tblCalisan[Çalışan Adı],0))*IF($B545="5 Puan İndirimi",BesPuanOrani,IF($B545="İlave İstihdam",IlaveIstihdamOrani,IF($B545="Kadın/Genç",KadinGencOrani,IF($B545="Engelli",EngelliOrani,GencGirisimciOrani)))))</f>
        <v/>
      </c>
      <c r="D545" s="22" t="str">
        <f aca="false">IF($C545="","",$C545*AySayisi)</f>
        <v/>
      </c>
      <c r="E545" s="23"/>
    </row>
    <row r="546" customFormat="false" ht="15" hidden="false" customHeight="false" outlineLevel="0" collapsed="false">
      <c r="A546" s="19"/>
      <c r="B546" s="23"/>
      <c r="C546" s="22" t="str">
        <f aca="false">IF(OR($A546="",$B546=""),"",INDEX(tblCalisan[Brüt Ücret (₺)],MATCH($A546,tblCalisan[Çalışan Adı],0))*IF($B546="5 Puan İndirimi",BesPuanOrani,IF($B546="İlave İstihdam",IlaveIstihdamOrani,IF($B546="Kadın/Genç",KadinGencOrani,IF($B546="Engelli",EngelliOrani,GencGirisimciOrani)))))</f>
        <v/>
      </c>
      <c r="D546" s="22" t="str">
        <f aca="false">IF($C546="","",$C546*AySayisi)</f>
        <v/>
      </c>
      <c r="E546" s="23"/>
    </row>
    <row r="547" customFormat="false" ht="15" hidden="false" customHeight="false" outlineLevel="0" collapsed="false">
      <c r="A547" s="19"/>
      <c r="B547" s="23"/>
      <c r="C547" s="22" t="str">
        <f aca="false">IF(OR($A547="",$B547=""),"",INDEX(tblCalisan[Brüt Ücret (₺)],MATCH($A547,tblCalisan[Çalışan Adı],0))*IF($B547="5 Puan İndirimi",BesPuanOrani,IF($B547="İlave İstihdam",IlaveIstihdamOrani,IF($B547="Kadın/Genç",KadinGencOrani,IF($B547="Engelli",EngelliOrani,GencGirisimciOrani)))))</f>
        <v/>
      </c>
      <c r="D547" s="22" t="str">
        <f aca="false">IF($C547="","",$C547*AySayisi)</f>
        <v/>
      </c>
      <c r="E547" s="23"/>
    </row>
    <row r="548" customFormat="false" ht="15" hidden="false" customHeight="false" outlineLevel="0" collapsed="false">
      <c r="A548" s="19"/>
      <c r="B548" s="23"/>
      <c r="C548" s="22" t="str">
        <f aca="false">IF(OR($A548="",$B548=""),"",INDEX(tblCalisan[Brüt Ücret (₺)],MATCH($A548,tblCalisan[Çalışan Adı],0))*IF($B548="5 Puan İndirimi",BesPuanOrani,IF($B548="İlave İstihdam",IlaveIstihdamOrani,IF($B548="Kadın/Genç",KadinGencOrani,IF($B548="Engelli",EngelliOrani,GencGirisimciOrani)))))</f>
        <v/>
      </c>
      <c r="D548" s="22" t="str">
        <f aca="false">IF($C548="","",$C548*AySayisi)</f>
        <v/>
      </c>
      <c r="E548" s="23"/>
    </row>
    <row r="549" customFormat="false" ht="15" hidden="false" customHeight="false" outlineLevel="0" collapsed="false">
      <c r="A549" s="19"/>
      <c r="B549" s="23"/>
      <c r="C549" s="22" t="str">
        <f aca="false">IF(OR($A549="",$B549=""),"",INDEX(tblCalisan[Brüt Ücret (₺)],MATCH($A549,tblCalisan[Çalışan Adı],0))*IF($B549="5 Puan İndirimi",BesPuanOrani,IF($B549="İlave İstihdam",IlaveIstihdamOrani,IF($B549="Kadın/Genç",KadinGencOrani,IF($B549="Engelli",EngelliOrani,GencGirisimciOrani)))))</f>
        <v/>
      </c>
      <c r="D549" s="22" t="str">
        <f aca="false">IF($C549="","",$C549*AySayisi)</f>
        <v/>
      </c>
      <c r="E549" s="23"/>
    </row>
    <row r="550" customFormat="false" ht="15" hidden="false" customHeight="false" outlineLevel="0" collapsed="false">
      <c r="A550" s="19"/>
      <c r="B550" s="23"/>
      <c r="C550" s="22" t="str">
        <f aca="false">IF(OR($A550="",$B550=""),"",INDEX(tblCalisan[Brüt Ücret (₺)],MATCH($A550,tblCalisan[Çalışan Adı],0))*IF($B550="5 Puan İndirimi",BesPuanOrani,IF($B550="İlave İstihdam",IlaveIstihdamOrani,IF($B550="Kadın/Genç",KadinGencOrani,IF($B550="Engelli",EngelliOrani,GencGirisimciOrani)))))</f>
        <v/>
      </c>
      <c r="D550" s="22" t="str">
        <f aca="false">IF($C550="","",$C550*AySayisi)</f>
        <v/>
      </c>
      <c r="E550" s="23"/>
    </row>
    <row r="551" customFormat="false" ht="15" hidden="false" customHeight="false" outlineLevel="0" collapsed="false">
      <c r="A551" s="19"/>
      <c r="B551" s="23"/>
      <c r="C551" s="22" t="str">
        <f aca="false">IF(OR($A551="",$B551=""),"",INDEX(tblCalisan[Brüt Ücret (₺)],MATCH($A551,tblCalisan[Çalışan Adı],0))*IF($B551="5 Puan İndirimi",BesPuanOrani,IF($B551="İlave İstihdam",IlaveIstihdamOrani,IF($B551="Kadın/Genç",KadinGencOrani,IF($B551="Engelli",EngelliOrani,GencGirisimciOrani)))))</f>
        <v/>
      </c>
      <c r="D551" s="22" t="str">
        <f aca="false">IF($C551="","",$C551*AySayisi)</f>
        <v/>
      </c>
      <c r="E551" s="23"/>
    </row>
    <row r="552" customFormat="false" ht="15" hidden="false" customHeight="false" outlineLevel="0" collapsed="false">
      <c r="A552" s="19"/>
      <c r="B552" s="23"/>
      <c r="C552" s="22" t="str">
        <f aca="false">IF(OR($A552="",$B552=""),"",INDEX(tblCalisan[Brüt Ücret (₺)],MATCH($A552,tblCalisan[Çalışan Adı],0))*IF($B552="5 Puan İndirimi",BesPuanOrani,IF($B552="İlave İstihdam",IlaveIstihdamOrani,IF($B552="Kadın/Genç",KadinGencOrani,IF($B552="Engelli",EngelliOrani,GencGirisimciOrani)))))</f>
        <v/>
      </c>
      <c r="D552" s="22" t="str">
        <f aca="false">IF($C552="","",$C552*AySayisi)</f>
        <v/>
      </c>
      <c r="E552" s="23"/>
    </row>
    <row r="553" customFormat="false" ht="15" hidden="false" customHeight="false" outlineLevel="0" collapsed="false">
      <c r="A553" s="19"/>
      <c r="B553" s="23"/>
      <c r="C553" s="22" t="str">
        <f aca="false">IF(OR($A553="",$B553=""),"",INDEX(tblCalisan[Brüt Ücret (₺)],MATCH($A553,tblCalisan[Çalışan Adı],0))*IF($B553="5 Puan İndirimi",BesPuanOrani,IF($B553="İlave İstihdam",IlaveIstihdamOrani,IF($B553="Kadın/Genç",KadinGencOrani,IF($B553="Engelli",EngelliOrani,GencGirisimciOrani)))))</f>
        <v/>
      </c>
      <c r="D553" s="22" t="str">
        <f aca="false">IF($C553="","",$C553*AySayisi)</f>
        <v/>
      </c>
      <c r="E553" s="23"/>
    </row>
    <row r="554" customFormat="false" ht="15" hidden="false" customHeight="false" outlineLevel="0" collapsed="false">
      <c r="A554" s="19"/>
      <c r="B554" s="23"/>
      <c r="C554" s="22" t="str">
        <f aca="false">IF(OR($A554="",$B554=""),"",INDEX(tblCalisan[Brüt Ücret (₺)],MATCH($A554,tblCalisan[Çalışan Adı],0))*IF($B554="5 Puan İndirimi",BesPuanOrani,IF($B554="İlave İstihdam",IlaveIstihdamOrani,IF($B554="Kadın/Genç",KadinGencOrani,IF($B554="Engelli",EngelliOrani,GencGirisimciOrani)))))</f>
        <v/>
      </c>
      <c r="D554" s="22" t="str">
        <f aca="false">IF($C554="","",$C554*AySayisi)</f>
        <v/>
      </c>
      <c r="E554" s="23"/>
    </row>
    <row r="555" customFormat="false" ht="15" hidden="false" customHeight="false" outlineLevel="0" collapsed="false">
      <c r="A555" s="19"/>
      <c r="B555" s="23"/>
      <c r="C555" s="22" t="str">
        <f aca="false">IF(OR($A555="",$B555=""),"",INDEX(tblCalisan[Brüt Ücret (₺)],MATCH($A555,tblCalisan[Çalışan Adı],0))*IF($B555="5 Puan İndirimi",BesPuanOrani,IF($B555="İlave İstihdam",IlaveIstihdamOrani,IF($B555="Kadın/Genç",KadinGencOrani,IF($B555="Engelli",EngelliOrani,GencGirisimciOrani)))))</f>
        <v/>
      </c>
      <c r="D555" s="22" t="str">
        <f aca="false">IF($C555="","",$C555*AySayisi)</f>
        <v/>
      </c>
      <c r="E555" s="23"/>
    </row>
    <row r="556" customFormat="false" ht="15" hidden="false" customHeight="false" outlineLevel="0" collapsed="false">
      <c r="A556" s="19"/>
      <c r="B556" s="23"/>
      <c r="C556" s="22" t="str">
        <f aca="false">IF(OR($A556="",$B556=""),"",INDEX(tblCalisan[Brüt Ücret (₺)],MATCH($A556,tblCalisan[Çalışan Adı],0))*IF($B556="5 Puan İndirimi",BesPuanOrani,IF($B556="İlave İstihdam",IlaveIstihdamOrani,IF($B556="Kadın/Genç",KadinGencOrani,IF($B556="Engelli",EngelliOrani,GencGirisimciOrani)))))</f>
        <v/>
      </c>
      <c r="D556" s="22" t="str">
        <f aca="false">IF($C556="","",$C556*AySayisi)</f>
        <v/>
      </c>
      <c r="E556" s="23"/>
    </row>
    <row r="557" customFormat="false" ht="15" hidden="false" customHeight="false" outlineLevel="0" collapsed="false">
      <c r="A557" s="19"/>
      <c r="B557" s="23"/>
      <c r="C557" s="22" t="str">
        <f aca="false">IF(OR($A557="",$B557=""),"",INDEX(tblCalisan[Brüt Ücret (₺)],MATCH($A557,tblCalisan[Çalışan Adı],0))*IF($B557="5 Puan İndirimi",BesPuanOrani,IF($B557="İlave İstihdam",IlaveIstihdamOrani,IF($B557="Kadın/Genç",KadinGencOrani,IF($B557="Engelli",EngelliOrani,GencGirisimciOrani)))))</f>
        <v/>
      </c>
      <c r="D557" s="22" t="str">
        <f aca="false">IF($C557="","",$C557*AySayisi)</f>
        <v/>
      </c>
      <c r="E557" s="23"/>
    </row>
    <row r="558" customFormat="false" ht="15" hidden="false" customHeight="false" outlineLevel="0" collapsed="false">
      <c r="A558" s="19"/>
      <c r="B558" s="23"/>
      <c r="C558" s="22" t="str">
        <f aca="false">IF(OR($A558="",$B558=""),"",INDEX(tblCalisan[Brüt Ücret (₺)],MATCH($A558,tblCalisan[Çalışan Adı],0))*IF($B558="5 Puan İndirimi",BesPuanOrani,IF($B558="İlave İstihdam",IlaveIstihdamOrani,IF($B558="Kadın/Genç",KadinGencOrani,IF($B558="Engelli",EngelliOrani,GencGirisimciOrani)))))</f>
        <v/>
      </c>
      <c r="D558" s="22" t="str">
        <f aca="false">IF($C558="","",$C558*AySayisi)</f>
        <v/>
      </c>
      <c r="E558" s="23"/>
    </row>
    <row r="559" customFormat="false" ht="15" hidden="false" customHeight="false" outlineLevel="0" collapsed="false">
      <c r="A559" s="19"/>
      <c r="B559" s="23"/>
      <c r="C559" s="22" t="str">
        <f aca="false">IF(OR($A559="",$B559=""),"",INDEX(tblCalisan[Brüt Ücret (₺)],MATCH($A559,tblCalisan[Çalışan Adı],0))*IF($B559="5 Puan İndirimi",BesPuanOrani,IF($B559="İlave İstihdam",IlaveIstihdamOrani,IF($B559="Kadın/Genç",KadinGencOrani,IF($B559="Engelli",EngelliOrani,GencGirisimciOrani)))))</f>
        <v/>
      </c>
      <c r="D559" s="22" t="str">
        <f aca="false">IF($C559="","",$C559*AySayisi)</f>
        <v/>
      </c>
      <c r="E559" s="23"/>
    </row>
    <row r="560" customFormat="false" ht="15" hidden="false" customHeight="false" outlineLevel="0" collapsed="false">
      <c r="A560" s="19"/>
      <c r="B560" s="23"/>
      <c r="C560" s="22" t="str">
        <f aca="false">IF(OR($A560="",$B560=""),"",INDEX(tblCalisan[Brüt Ücret (₺)],MATCH($A560,tblCalisan[Çalışan Adı],0))*IF($B560="5 Puan İndirimi",BesPuanOrani,IF($B560="İlave İstihdam",IlaveIstihdamOrani,IF($B560="Kadın/Genç",KadinGencOrani,IF($B560="Engelli",EngelliOrani,GencGirisimciOrani)))))</f>
        <v/>
      </c>
      <c r="D560" s="22" t="str">
        <f aca="false">IF($C560="","",$C560*AySayisi)</f>
        <v/>
      </c>
      <c r="E560" s="23"/>
    </row>
    <row r="561" customFormat="false" ht="15" hidden="false" customHeight="false" outlineLevel="0" collapsed="false">
      <c r="A561" s="19"/>
      <c r="B561" s="23"/>
      <c r="C561" s="22" t="str">
        <f aca="false">IF(OR($A561="",$B561=""),"",INDEX(tblCalisan[Brüt Ücret (₺)],MATCH($A561,tblCalisan[Çalışan Adı],0))*IF($B561="5 Puan İndirimi",BesPuanOrani,IF($B561="İlave İstihdam",IlaveIstihdamOrani,IF($B561="Kadın/Genç",KadinGencOrani,IF($B561="Engelli",EngelliOrani,GencGirisimciOrani)))))</f>
        <v/>
      </c>
      <c r="D561" s="22" t="str">
        <f aca="false">IF($C561="","",$C561*AySayisi)</f>
        <v/>
      </c>
      <c r="E561" s="23"/>
    </row>
    <row r="562" customFormat="false" ht="15" hidden="false" customHeight="false" outlineLevel="0" collapsed="false">
      <c r="A562" s="19"/>
      <c r="B562" s="23"/>
      <c r="C562" s="22" t="str">
        <f aca="false">IF(OR($A562="",$B562=""),"",INDEX(tblCalisan[Brüt Ücret (₺)],MATCH($A562,tblCalisan[Çalışan Adı],0))*IF($B562="5 Puan İndirimi",BesPuanOrani,IF($B562="İlave İstihdam",IlaveIstihdamOrani,IF($B562="Kadın/Genç",KadinGencOrani,IF($B562="Engelli",EngelliOrani,GencGirisimciOrani)))))</f>
        <v/>
      </c>
      <c r="D562" s="22" t="str">
        <f aca="false">IF($C562="","",$C562*AySayisi)</f>
        <v/>
      </c>
      <c r="E562" s="23"/>
    </row>
    <row r="563" customFormat="false" ht="15" hidden="false" customHeight="false" outlineLevel="0" collapsed="false">
      <c r="A563" s="19"/>
      <c r="B563" s="23"/>
      <c r="C563" s="22" t="str">
        <f aca="false">IF(OR($A563="",$B563=""),"",INDEX(tblCalisan[Brüt Ücret (₺)],MATCH($A563,tblCalisan[Çalışan Adı],0))*IF($B563="5 Puan İndirimi",BesPuanOrani,IF($B563="İlave İstihdam",IlaveIstihdamOrani,IF($B563="Kadın/Genç",KadinGencOrani,IF($B563="Engelli",EngelliOrani,GencGirisimciOrani)))))</f>
        <v/>
      </c>
      <c r="D563" s="22" t="str">
        <f aca="false">IF($C563="","",$C563*AySayisi)</f>
        <v/>
      </c>
      <c r="E563" s="23"/>
    </row>
    <row r="564" customFormat="false" ht="15" hidden="false" customHeight="false" outlineLevel="0" collapsed="false">
      <c r="A564" s="19"/>
      <c r="B564" s="23"/>
      <c r="C564" s="22" t="str">
        <f aca="false">IF(OR($A564="",$B564=""),"",INDEX(tblCalisan[Brüt Ücret (₺)],MATCH($A564,tblCalisan[Çalışan Adı],0))*IF($B564="5 Puan İndirimi",BesPuanOrani,IF($B564="İlave İstihdam",IlaveIstihdamOrani,IF($B564="Kadın/Genç",KadinGencOrani,IF($B564="Engelli",EngelliOrani,GencGirisimciOrani)))))</f>
        <v/>
      </c>
      <c r="D564" s="22" t="str">
        <f aca="false">IF($C564="","",$C564*AySayisi)</f>
        <v/>
      </c>
      <c r="E564" s="23"/>
    </row>
    <row r="565" customFormat="false" ht="15" hidden="false" customHeight="false" outlineLevel="0" collapsed="false">
      <c r="A565" s="19"/>
      <c r="B565" s="23"/>
      <c r="C565" s="22" t="str">
        <f aca="false">IF(OR($A565="",$B565=""),"",INDEX(tblCalisan[Brüt Ücret (₺)],MATCH($A565,tblCalisan[Çalışan Adı],0))*IF($B565="5 Puan İndirimi",BesPuanOrani,IF($B565="İlave İstihdam",IlaveIstihdamOrani,IF($B565="Kadın/Genç",KadinGencOrani,IF($B565="Engelli",EngelliOrani,GencGirisimciOrani)))))</f>
        <v/>
      </c>
      <c r="D565" s="22" t="str">
        <f aca="false">IF($C565="","",$C565*AySayisi)</f>
        <v/>
      </c>
      <c r="E565" s="23"/>
    </row>
    <row r="566" customFormat="false" ht="15" hidden="false" customHeight="false" outlineLevel="0" collapsed="false">
      <c r="A566" s="19"/>
      <c r="B566" s="23"/>
      <c r="C566" s="22" t="str">
        <f aca="false">IF(OR($A566="",$B566=""),"",INDEX(tblCalisan[Brüt Ücret (₺)],MATCH($A566,tblCalisan[Çalışan Adı],0))*IF($B566="5 Puan İndirimi",BesPuanOrani,IF($B566="İlave İstihdam",IlaveIstihdamOrani,IF($B566="Kadın/Genç",KadinGencOrani,IF($B566="Engelli",EngelliOrani,GencGirisimciOrani)))))</f>
        <v/>
      </c>
      <c r="D566" s="22" t="str">
        <f aca="false">IF($C566="","",$C566*AySayisi)</f>
        <v/>
      </c>
      <c r="E566" s="23"/>
    </row>
    <row r="567" customFormat="false" ht="15" hidden="false" customHeight="false" outlineLevel="0" collapsed="false">
      <c r="A567" s="19"/>
      <c r="B567" s="23"/>
      <c r="C567" s="22" t="str">
        <f aca="false">IF(OR($A567="",$B567=""),"",INDEX(tblCalisan[Brüt Ücret (₺)],MATCH($A567,tblCalisan[Çalışan Adı],0))*IF($B567="5 Puan İndirimi",BesPuanOrani,IF($B567="İlave İstihdam",IlaveIstihdamOrani,IF($B567="Kadın/Genç",KadinGencOrani,IF($B567="Engelli",EngelliOrani,GencGirisimciOrani)))))</f>
        <v/>
      </c>
      <c r="D567" s="22" t="str">
        <f aca="false">IF($C567="","",$C567*AySayisi)</f>
        <v/>
      </c>
      <c r="E567" s="23"/>
    </row>
    <row r="568" customFormat="false" ht="15" hidden="false" customHeight="false" outlineLevel="0" collapsed="false">
      <c r="A568" s="19"/>
      <c r="B568" s="23"/>
      <c r="C568" s="22" t="str">
        <f aca="false">IF(OR($A568="",$B568=""),"",INDEX(tblCalisan[Brüt Ücret (₺)],MATCH($A568,tblCalisan[Çalışan Adı],0))*IF($B568="5 Puan İndirimi",BesPuanOrani,IF($B568="İlave İstihdam",IlaveIstihdamOrani,IF($B568="Kadın/Genç",KadinGencOrani,IF($B568="Engelli",EngelliOrani,GencGirisimciOrani)))))</f>
        <v/>
      </c>
      <c r="D568" s="22" t="str">
        <f aca="false">IF($C568="","",$C568*AySayisi)</f>
        <v/>
      </c>
      <c r="E568" s="23"/>
    </row>
    <row r="569" customFormat="false" ht="15" hidden="false" customHeight="false" outlineLevel="0" collapsed="false">
      <c r="A569" s="19"/>
      <c r="B569" s="23"/>
      <c r="C569" s="22" t="str">
        <f aca="false">IF(OR($A569="",$B569=""),"",INDEX(tblCalisan[Brüt Ücret (₺)],MATCH($A569,tblCalisan[Çalışan Adı],0))*IF($B569="5 Puan İndirimi",BesPuanOrani,IF($B569="İlave İstihdam",IlaveIstihdamOrani,IF($B569="Kadın/Genç",KadinGencOrani,IF($B569="Engelli",EngelliOrani,GencGirisimciOrani)))))</f>
        <v/>
      </c>
      <c r="D569" s="22" t="str">
        <f aca="false">IF($C569="","",$C569*AySayisi)</f>
        <v/>
      </c>
      <c r="E569" s="23"/>
    </row>
    <row r="570" customFormat="false" ht="15" hidden="false" customHeight="false" outlineLevel="0" collapsed="false">
      <c r="A570" s="19"/>
      <c r="B570" s="23"/>
      <c r="C570" s="22" t="str">
        <f aca="false">IF(OR($A570="",$B570=""),"",INDEX(tblCalisan[Brüt Ücret (₺)],MATCH($A570,tblCalisan[Çalışan Adı],0))*IF($B570="5 Puan İndirimi",BesPuanOrani,IF($B570="İlave İstihdam",IlaveIstihdamOrani,IF($B570="Kadın/Genç",KadinGencOrani,IF($B570="Engelli",EngelliOrani,GencGirisimciOrani)))))</f>
        <v/>
      </c>
      <c r="D570" s="22" t="str">
        <f aca="false">IF($C570="","",$C570*AySayisi)</f>
        <v/>
      </c>
      <c r="E570" s="23"/>
    </row>
    <row r="571" customFormat="false" ht="15" hidden="false" customHeight="false" outlineLevel="0" collapsed="false">
      <c r="A571" s="19"/>
      <c r="B571" s="23"/>
      <c r="C571" s="22" t="str">
        <f aca="false">IF(OR($A571="",$B571=""),"",INDEX(tblCalisan[Brüt Ücret (₺)],MATCH($A571,tblCalisan[Çalışan Adı],0))*IF($B571="5 Puan İndirimi",BesPuanOrani,IF($B571="İlave İstihdam",IlaveIstihdamOrani,IF($B571="Kadın/Genç",KadinGencOrani,IF($B571="Engelli",EngelliOrani,GencGirisimciOrani)))))</f>
        <v/>
      </c>
      <c r="D571" s="22" t="str">
        <f aca="false">IF($C571="","",$C571*AySayisi)</f>
        <v/>
      </c>
      <c r="E571" s="23"/>
    </row>
    <row r="572" customFormat="false" ht="15" hidden="false" customHeight="false" outlineLevel="0" collapsed="false">
      <c r="A572" s="19"/>
      <c r="B572" s="23"/>
      <c r="C572" s="22" t="str">
        <f aca="false">IF(OR($A572="",$B572=""),"",INDEX(tblCalisan[Brüt Ücret (₺)],MATCH($A572,tblCalisan[Çalışan Adı],0))*IF($B572="5 Puan İndirimi",BesPuanOrani,IF($B572="İlave İstihdam",IlaveIstihdamOrani,IF($B572="Kadın/Genç",KadinGencOrani,IF($B572="Engelli",EngelliOrani,GencGirisimciOrani)))))</f>
        <v/>
      </c>
      <c r="D572" s="22" t="str">
        <f aca="false">IF($C572="","",$C572*AySayisi)</f>
        <v/>
      </c>
      <c r="E572" s="23"/>
    </row>
    <row r="573" customFormat="false" ht="15" hidden="false" customHeight="false" outlineLevel="0" collapsed="false">
      <c r="A573" s="19"/>
      <c r="B573" s="23"/>
      <c r="C573" s="22" t="str">
        <f aca="false">IF(OR($A573="",$B573=""),"",INDEX(tblCalisan[Brüt Ücret (₺)],MATCH($A573,tblCalisan[Çalışan Adı],0))*IF($B573="5 Puan İndirimi",BesPuanOrani,IF($B573="İlave İstihdam",IlaveIstihdamOrani,IF($B573="Kadın/Genç",KadinGencOrani,IF($B573="Engelli",EngelliOrani,GencGirisimciOrani)))))</f>
        <v/>
      </c>
      <c r="D573" s="22" t="str">
        <f aca="false">IF($C573="","",$C573*AySayisi)</f>
        <v/>
      </c>
      <c r="E573" s="23"/>
    </row>
    <row r="574" customFormat="false" ht="15" hidden="false" customHeight="false" outlineLevel="0" collapsed="false">
      <c r="A574" s="19"/>
      <c r="B574" s="23"/>
      <c r="C574" s="22" t="str">
        <f aca="false">IF(OR($A574="",$B574=""),"",INDEX(tblCalisan[Brüt Ücret (₺)],MATCH($A574,tblCalisan[Çalışan Adı],0))*IF($B574="5 Puan İndirimi",BesPuanOrani,IF($B574="İlave İstihdam",IlaveIstihdamOrani,IF($B574="Kadın/Genç",KadinGencOrani,IF($B574="Engelli",EngelliOrani,GencGirisimciOrani)))))</f>
        <v/>
      </c>
      <c r="D574" s="22" t="str">
        <f aca="false">IF($C574="","",$C574*AySayisi)</f>
        <v/>
      </c>
      <c r="E574" s="23"/>
    </row>
    <row r="575" customFormat="false" ht="15" hidden="false" customHeight="false" outlineLevel="0" collapsed="false">
      <c r="A575" s="19"/>
      <c r="B575" s="23"/>
      <c r="C575" s="22" t="str">
        <f aca="false">IF(OR($A575="",$B575=""),"",INDEX(tblCalisan[Brüt Ücret (₺)],MATCH($A575,tblCalisan[Çalışan Adı],0))*IF($B575="5 Puan İndirimi",BesPuanOrani,IF($B575="İlave İstihdam",IlaveIstihdamOrani,IF($B575="Kadın/Genç",KadinGencOrani,IF($B575="Engelli",EngelliOrani,GencGirisimciOrani)))))</f>
        <v/>
      </c>
      <c r="D575" s="22" t="str">
        <f aca="false">IF($C575="","",$C575*AySayisi)</f>
        <v/>
      </c>
      <c r="E575" s="23"/>
    </row>
    <row r="576" customFormat="false" ht="15" hidden="false" customHeight="false" outlineLevel="0" collapsed="false">
      <c r="A576" s="19"/>
      <c r="B576" s="23"/>
      <c r="C576" s="22" t="str">
        <f aca="false">IF(OR($A576="",$B576=""),"",INDEX(tblCalisan[Brüt Ücret (₺)],MATCH($A576,tblCalisan[Çalışan Adı],0))*IF($B576="5 Puan İndirimi",BesPuanOrani,IF($B576="İlave İstihdam",IlaveIstihdamOrani,IF($B576="Kadın/Genç",KadinGencOrani,IF($B576="Engelli",EngelliOrani,GencGirisimciOrani)))))</f>
        <v/>
      </c>
      <c r="D576" s="22" t="str">
        <f aca="false">IF($C576="","",$C576*AySayisi)</f>
        <v/>
      </c>
      <c r="E576" s="23"/>
    </row>
    <row r="577" customFormat="false" ht="15" hidden="false" customHeight="false" outlineLevel="0" collapsed="false">
      <c r="A577" s="19"/>
      <c r="B577" s="23"/>
      <c r="C577" s="22" t="str">
        <f aca="false">IF(OR($A577="",$B577=""),"",INDEX(tblCalisan[Brüt Ücret (₺)],MATCH($A577,tblCalisan[Çalışan Adı],0))*IF($B577="5 Puan İndirimi",BesPuanOrani,IF($B577="İlave İstihdam",IlaveIstihdamOrani,IF($B577="Kadın/Genç",KadinGencOrani,IF($B577="Engelli",EngelliOrani,GencGirisimciOrani)))))</f>
        <v/>
      </c>
      <c r="D577" s="22" t="str">
        <f aca="false">IF($C577="","",$C577*AySayisi)</f>
        <v/>
      </c>
      <c r="E577" s="23"/>
    </row>
    <row r="578" customFormat="false" ht="15" hidden="false" customHeight="false" outlineLevel="0" collapsed="false">
      <c r="A578" s="19"/>
      <c r="B578" s="23"/>
      <c r="C578" s="22" t="str">
        <f aca="false">IF(OR($A578="",$B578=""),"",INDEX(tblCalisan[Brüt Ücret (₺)],MATCH($A578,tblCalisan[Çalışan Adı],0))*IF($B578="5 Puan İndirimi",BesPuanOrani,IF($B578="İlave İstihdam",IlaveIstihdamOrani,IF($B578="Kadın/Genç",KadinGencOrani,IF($B578="Engelli",EngelliOrani,GencGirisimciOrani)))))</f>
        <v/>
      </c>
      <c r="D578" s="22" t="str">
        <f aca="false">IF($C578="","",$C578*AySayisi)</f>
        <v/>
      </c>
      <c r="E578" s="23"/>
    </row>
    <row r="579" customFormat="false" ht="15" hidden="false" customHeight="false" outlineLevel="0" collapsed="false">
      <c r="A579" s="19"/>
      <c r="B579" s="23"/>
      <c r="C579" s="22" t="str">
        <f aca="false">IF(OR($A579="",$B579=""),"",INDEX(tblCalisan[Brüt Ücret (₺)],MATCH($A579,tblCalisan[Çalışan Adı],0))*IF($B579="5 Puan İndirimi",BesPuanOrani,IF($B579="İlave İstihdam",IlaveIstihdamOrani,IF($B579="Kadın/Genç",KadinGencOrani,IF($B579="Engelli",EngelliOrani,GencGirisimciOrani)))))</f>
        <v/>
      </c>
      <c r="D579" s="22" t="str">
        <f aca="false">IF($C579="","",$C579*AySayisi)</f>
        <v/>
      </c>
      <c r="E579" s="23"/>
    </row>
    <row r="580" customFormat="false" ht="15" hidden="false" customHeight="false" outlineLevel="0" collapsed="false">
      <c r="A580" s="19"/>
      <c r="B580" s="23"/>
      <c r="C580" s="22" t="str">
        <f aca="false">IF(OR($A580="",$B580=""),"",INDEX(tblCalisan[Brüt Ücret (₺)],MATCH($A580,tblCalisan[Çalışan Adı],0))*IF($B580="5 Puan İndirimi",BesPuanOrani,IF($B580="İlave İstihdam",IlaveIstihdamOrani,IF($B580="Kadın/Genç",KadinGencOrani,IF($B580="Engelli",EngelliOrani,GencGirisimciOrani)))))</f>
        <v/>
      </c>
      <c r="D580" s="22" t="str">
        <f aca="false">IF($C580="","",$C580*AySayisi)</f>
        <v/>
      </c>
      <c r="E580" s="23"/>
    </row>
    <row r="581" customFormat="false" ht="15" hidden="false" customHeight="false" outlineLevel="0" collapsed="false">
      <c r="A581" s="19"/>
      <c r="B581" s="23"/>
      <c r="C581" s="22" t="str">
        <f aca="false">IF(OR($A581="",$B581=""),"",INDEX(tblCalisan[Brüt Ücret (₺)],MATCH($A581,tblCalisan[Çalışan Adı],0))*IF($B581="5 Puan İndirimi",BesPuanOrani,IF($B581="İlave İstihdam",IlaveIstihdamOrani,IF($B581="Kadın/Genç",KadinGencOrani,IF($B581="Engelli",EngelliOrani,GencGirisimciOrani)))))</f>
        <v/>
      </c>
      <c r="D581" s="22" t="str">
        <f aca="false">IF($C581="","",$C581*AySayisi)</f>
        <v/>
      </c>
      <c r="E581" s="23"/>
    </row>
    <row r="582" customFormat="false" ht="15" hidden="false" customHeight="false" outlineLevel="0" collapsed="false">
      <c r="A582" s="19"/>
      <c r="B582" s="23"/>
      <c r="C582" s="22" t="str">
        <f aca="false">IF(OR($A582="",$B582=""),"",INDEX(tblCalisan[Brüt Ücret (₺)],MATCH($A582,tblCalisan[Çalışan Adı],0))*IF($B582="5 Puan İndirimi",BesPuanOrani,IF($B582="İlave İstihdam",IlaveIstihdamOrani,IF($B582="Kadın/Genç",KadinGencOrani,IF($B582="Engelli",EngelliOrani,GencGirisimciOrani)))))</f>
        <v/>
      </c>
      <c r="D582" s="22" t="str">
        <f aca="false">IF($C582="","",$C582*AySayisi)</f>
        <v/>
      </c>
      <c r="E582" s="23"/>
    </row>
    <row r="583" customFormat="false" ht="15" hidden="false" customHeight="false" outlineLevel="0" collapsed="false">
      <c r="A583" s="19"/>
      <c r="B583" s="23"/>
      <c r="C583" s="22" t="str">
        <f aca="false">IF(OR($A583="",$B583=""),"",INDEX(tblCalisan[Brüt Ücret (₺)],MATCH($A583,tblCalisan[Çalışan Adı],0))*IF($B583="5 Puan İndirimi",BesPuanOrani,IF($B583="İlave İstihdam",IlaveIstihdamOrani,IF($B583="Kadın/Genç",KadinGencOrani,IF($B583="Engelli",EngelliOrani,GencGirisimciOrani)))))</f>
        <v/>
      </c>
      <c r="D583" s="22" t="str">
        <f aca="false">IF($C583="","",$C583*AySayisi)</f>
        <v/>
      </c>
      <c r="E583" s="23"/>
    </row>
    <row r="584" customFormat="false" ht="15" hidden="false" customHeight="false" outlineLevel="0" collapsed="false">
      <c r="A584" s="19"/>
      <c r="B584" s="23"/>
      <c r="C584" s="22" t="str">
        <f aca="false">IF(OR($A584="",$B584=""),"",INDEX(tblCalisan[Brüt Ücret (₺)],MATCH($A584,tblCalisan[Çalışan Adı],0))*IF($B584="5 Puan İndirimi",BesPuanOrani,IF($B584="İlave İstihdam",IlaveIstihdamOrani,IF($B584="Kadın/Genç",KadinGencOrani,IF($B584="Engelli",EngelliOrani,GencGirisimciOrani)))))</f>
        <v/>
      </c>
      <c r="D584" s="22" t="str">
        <f aca="false">IF($C584="","",$C584*AySayisi)</f>
        <v/>
      </c>
      <c r="E584" s="23"/>
    </row>
    <row r="585" customFormat="false" ht="15" hidden="false" customHeight="false" outlineLevel="0" collapsed="false">
      <c r="A585" s="19"/>
      <c r="B585" s="23"/>
      <c r="C585" s="22" t="str">
        <f aca="false">IF(OR($A585="",$B585=""),"",INDEX(tblCalisan[Brüt Ücret (₺)],MATCH($A585,tblCalisan[Çalışan Adı],0))*IF($B585="5 Puan İndirimi",BesPuanOrani,IF($B585="İlave İstihdam",IlaveIstihdamOrani,IF($B585="Kadın/Genç",KadinGencOrani,IF($B585="Engelli",EngelliOrani,GencGirisimciOrani)))))</f>
        <v/>
      </c>
      <c r="D585" s="22" t="str">
        <f aca="false">IF($C585="","",$C585*AySayisi)</f>
        <v/>
      </c>
      <c r="E585" s="23"/>
    </row>
    <row r="586" customFormat="false" ht="15" hidden="false" customHeight="false" outlineLevel="0" collapsed="false">
      <c r="A586" s="19"/>
      <c r="B586" s="23"/>
      <c r="C586" s="22" t="str">
        <f aca="false">IF(OR($A586="",$B586=""),"",INDEX(tblCalisan[Brüt Ücret (₺)],MATCH($A586,tblCalisan[Çalışan Adı],0))*IF($B586="5 Puan İndirimi",BesPuanOrani,IF($B586="İlave İstihdam",IlaveIstihdamOrani,IF($B586="Kadın/Genç",KadinGencOrani,IF($B586="Engelli",EngelliOrani,GencGirisimciOrani)))))</f>
        <v/>
      </c>
      <c r="D586" s="22" t="str">
        <f aca="false">IF($C586="","",$C586*AySayisi)</f>
        <v/>
      </c>
      <c r="E586" s="23"/>
    </row>
    <row r="587" customFormat="false" ht="15" hidden="false" customHeight="false" outlineLevel="0" collapsed="false">
      <c r="A587" s="19"/>
      <c r="B587" s="23"/>
      <c r="C587" s="22" t="str">
        <f aca="false">IF(OR($A587="",$B587=""),"",INDEX(tblCalisan[Brüt Ücret (₺)],MATCH($A587,tblCalisan[Çalışan Adı],0))*IF($B587="5 Puan İndirimi",BesPuanOrani,IF($B587="İlave İstihdam",IlaveIstihdamOrani,IF($B587="Kadın/Genç",KadinGencOrani,IF($B587="Engelli",EngelliOrani,GencGirisimciOrani)))))</f>
        <v/>
      </c>
      <c r="D587" s="22" t="str">
        <f aca="false">IF($C587="","",$C587*AySayisi)</f>
        <v/>
      </c>
      <c r="E587" s="23"/>
    </row>
    <row r="588" customFormat="false" ht="15" hidden="false" customHeight="false" outlineLevel="0" collapsed="false">
      <c r="A588" s="19"/>
      <c r="B588" s="23"/>
      <c r="C588" s="22" t="str">
        <f aca="false">IF(OR($A588="",$B588=""),"",INDEX(tblCalisan[Brüt Ücret (₺)],MATCH($A588,tblCalisan[Çalışan Adı],0))*IF($B588="5 Puan İndirimi",BesPuanOrani,IF($B588="İlave İstihdam",IlaveIstihdamOrani,IF($B588="Kadın/Genç",KadinGencOrani,IF($B588="Engelli",EngelliOrani,GencGirisimciOrani)))))</f>
        <v/>
      </c>
      <c r="D588" s="22" t="str">
        <f aca="false">IF($C588="","",$C588*AySayisi)</f>
        <v/>
      </c>
      <c r="E588" s="23"/>
    </row>
    <row r="589" customFormat="false" ht="15" hidden="false" customHeight="false" outlineLevel="0" collapsed="false">
      <c r="A589" s="19"/>
      <c r="B589" s="23"/>
      <c r="C589" s="22" t="str">
        <f aca="false">IF(OR($A589="",$B589=""),"",INDEX(tblCalisan[Brüt Ücret (₺)],MATCH($A589,tblCalisan[Çalışan Adı],0))*IF($B589="5 Puan İndirimi",BesPuanOrani,IF($B589="İlave İstihdam",IlaveIstihdamOrani,IF($B589="Kadın/Genç",KadinGencOrani,IF($B589="Engelli",EngelliOrani,GencGirisimciOrani)))))</f>
        <v/>
      </c>
      <c r="D589" s="22" t="str">
        <f aca="false">IF($C589="","",$C589*AySayisi)</f>
        <v/>
      </c>
      <c r="E589" s="23"/>
    </row>
    <row r="590" customFormat="false" ht="15" hidden="false" customHeight="false" outlineLevel="0" collapsed="false">
      <c r="A590" s="19"/>
      <c r="B590" s="23"/>
      <c r="C590" s="22" t="str">
        <f aca="false">IF(OR($A590="",$B590=""),"",INDEX(tblCalisan[Brüt Ücret (₺)],MATCH($A590,tblCalisan[Çalışan Adı],0))*IF($B590="5 Puan İndirimi",BesPuanOrani,IF($B590="İlave İstihdam",IlaveIstihdamOrani,IF($B590="Kadın/Genç",KadinGencOrani,IF($B590="Engelli",EngelliOrani,GencGirisimciOrani)))))</f>
        <v/>
      </c>
      <c r="D590" s="22" t="str">
        <f aca="false">IF($C590="","",$C590*AySayisi)</f>
        <v/>
      </c>
      <c r="E590" s="23"/>
    </row>
    <row r="591" customFormat="false" ht="15" hidden="false" customHeight="false" outlineLevel="0" collapsed="false">
      <c r="A591" s="19"/>
      <c r="B591" s="23"/>
      <c r="C591" s="22" t="str">
        <f aca="false">IF(OR($A591="",$B591=""),"",INDEX(tblCalisan[Brüt Ücret (₺)],MATCH($A591,tblCalisan[Çalışan Adı],0))*IF($B591="5 Puan İndirimi",BesPuanOrani,IF($B591="İlave İstihdam",IlaveIstihdamOrani,IF($B591="Kadın/Genç",KadinGencOrani,IF($B591="Engelli",EngelliOrani,GencGirisimciOrani)))))</f>
        <v/>
      </c>
      <c r="D591" s="22" t="str">
        <f aca="false">IF($C591="","",$C591*AySayisi)</f>
        <v/>
      </c>
      <c r="E591" s="23"/>
    </row>
    <row r="592" customFormat="false" ht="15" hidden="false" customHeight="false" outlineLevel="0" collapsed="false">
      <c r="A592" s="19"/>
      <c r="B592" s="23"/>
      <c r="C592" s="22" t="str">
        <f aca="false">IF(OR($A592="",$B592=""),"",INDEX(tblCalisan[Brüt Ücret (₺)],MATCH($A592,tblCalisan[Çalışan Adı],0))*IF($B592="5 Puan İndirimi",BesPuanOrani,IF($B592="İlave İstihdam",IlaveIstihdamOrani,IF($B592="Kadın/Genç",KadinGencOrani,IF($B592="Engelli",EngelliOrani,GencGirisimciOrani)))))</f>
        <v/>
      </c>
      <c r="D592" s="22" t="str">
        <f aca="false">IF($C592="","",$C592*AySayisi)</f>
        <v/>
      </c>
      <c r="E592" s="23"/>
    </row>
    <row r="593" customFormat="false" ht="15" hidden="false" customHeight="false" outlineLevel="0" collapsed="false">
      <c r="A593" s="19"/>
      <c r="B593" s="23"/>
      <c r="C593" s="22" t="str">
        <f aca="false">IF(OR($A593="",$B593=""),"",INDEX(tblCalisan[Brüt Ücret (₺)],MATCH($A593,tblCalisan[Çalışan Adı],0))*IF($B593="5 Puan İndirimi",BesPuanOrani,IF($B593="İlave İstihdam",IlaveIstihdamOrani,IF($B593="Kadın/Genç",KadinGencOrani,IF($B593="Engelli",EngelliOrani,GencGirisimciOrani)))))</f>
        <v/>
      </c>
      <c r="D593" s="22" t="str">
        <f aca="false">IF($C593="","",$C593*AySayisi)</f>
        <v/>
      </c>
      <c r="E593" s="23"/>
    </row>
    <row r="594" customFormat="false" ht="15" hidden="false" customHeight="false" outlineLevel="0" collapsed="false">
      <c r="A594" s="19"/>
      <c r="B594" s="23"/>
      <c r="C594" s="22" t="str">
        <f aca="false">IF(OR($A594="",$B594=""),"",INDEX(tblCalisan[Brüt Ücret (₺)],MATCH($A594,tblCalisan[Çalışan Adı],0))*IF($B594="5 Puan İndirimi",BesPuanOrani,IF($B594="İlave İstihdam",IlaveIstihdamOrani,IF($B594="Kadın/Genç",KadinGencOrani,IF($B594="Engelli",EngelliOrani,GencGirisimciOrani)))))</f>
        <v/>
      </c>
      <c r="D594" s="22" t="str">
        <f aca="false">IF($C594="","",$C594*AySayisi)</f>
        <v/>
      </c>
      <c r="E594" s="23"/>
    </row>
    <row r="595" customFormat="false" ht="15" hidden="false" customHeight="false" outlineLevel="0" collapsed="false">
      <c r="A595" s="19"/>
      <c r="B595" s="23"/>
      <c r="C595" s="22" t="str">
        <f aca="false">IF(OR($A595="",$B595=""),"",INDEX(tblCalisan[Brüt Ücret (₺)],MATCH($A595,tblCalisan[Çalışan Adı],0))*IF($B595="5 Puan İndirimi",BesPuanOrani,IF($B595="İlave İstihdam",IlaveIstihdamOrani,IF($B595="Kadın/Genç",KadinGencOrani,IF($B595="Engelli",EngelliOrani,GencGirisimciOrani)))))</f>
        <v/>
      </c>
      <c r="D595" s="22" t="str">
        <f aca="false">IF($C595="","",$C595*AySayisi)</f>
        <v/>
      </c>
      <c r="E595" s="23"/>
    </row>
    <row r="596" customFormat="false" ht="15" hidden="false" customHeight="false" outlineLevel="0" collapsed="false">
      <c r="A596" s="19"/>
      <c r="B596" s="23"/>
      <c r="C596" s="22" t="str">
        <f aca="false">IF(OR($A596="",$B596=""),"",INDEX(tblCalisan[Brüt Ücret (₺)],MATCH($A596,tblCalisan[Çalışan Adı],0))*IF($B596="5 Puan İndirimi",BesPuanOrani,IF($B596="İlave İstihdam",IlaveIstihdamOrani,IF($B596="Kadın/Genç",KadinGencOrani,IF($B596="Engelli",EngelliOrani,GencGirisimciOrani)))))</f>
        <v/>
      </c>
      <c r="D596" s="22" t="str">
        <f aca="false">IF($C596="","",$C596*AySayisi)</f>
        <v/>
      </c>
      <c r="E596" s="23"/>
    </row>
    <row r="597" customFormat="false" ht="15" hidden="false" customHeight="false" outlineLevel="0" collapsed="false">
      <c r="A597" s="19"/>
      <c r="B597" s="23"/>
      <c r="C597" s="22" t="str">
        <f aca="false">IF(OR($A597="",$B597=""),"",INDEX(tblCalisan[Brüt Ücret (₺)],MATCH($A597,tblCalisan[Çalışan Adı],0))*IF($B597="5 Puan İndirimi",BesPuanOrani,IF($B597="İlave İstihdam",IlaveIstihdamOrani,IF($B597="Kadın/Genç",KadinGencOrani,IF($B597="Engelli",EngelliOrani,GencGirisimciOrani)))))</f>
        <v/>
      </c>
      <c r="D597" s="22" t="str">
        <f aca="false">IF($C597="","",$C597*AySayisi)</f>
        <v/>
      </c>
      <c r="E597" s="23"/>
    </row>
    <row r="598" customFormat="false" ht="15" hidden="false" customHeight="false" outlineLevel="0" collapsed="false">
      <c r="A598" s="19"/>
      <c r="B598" s="23"/>
      <c r="C598" s="22" t="str">
        <f aca="false">IF(OR($A598="",$B598=""),"",INDEX(tblCalisan[Brüt Ücret (₺)],MATCH($A598,tblCalisan[Çalışan Adı],0))*IF($B598="5 Puan İndirimi",BesPuanOrani,IF($B598="İlave İstihdam",IlaveIstihdamOrani,IF($B598="Kadın/Genç",KadinGencOrani,IF($B598="Engelli",EngelliOrani,GencGirisimciOrani)))))</f>
        <v/>
      </c>
      <c r="D598" s="22" t="str">
        <f aca="false">IF($C598="","",$C598*AySayisi)</f>
        <v/>
      </c>
      <c r="E598" s="23"/>
    </row>
    <row r="599" customFormat="false" ht="15" hidden="false" customHeight="false" outlineLevel="0" collapsed="false">
      <c r="A599" s="19"/>
      <c r="B599" s="23"/>
      <c r="C599" s="22" t="str">
        <f aca="false">IF(OR($A599="",$B599=""),"",INDEX(tblCalisan[Brüt Ücret (₺)],MATCH($A599,tblCalisan[Çalışan Adı],0))*IF($B599="5 Puan İndirimi",BesPuanOrani,IF($B599="İlave İstihdam",IlaveIstihdamOrani,IF($B599="Kadın/Genç",KadinGencOrani,IF($B599="Engelli",EngelliOrani,GencGirisimciOrani)))))</f>
        <v/>
      </c>
      <c r="D599" s="22" t="str">
        <f aca="false">IF($C599="","",$C599*AySayisi)</f>
        <v/>
      </c>
      <c r="E599" s="23"/>
    </row>
    <row r="600" customFormat="false" ht="15" hidden="false" customHeight="false" outlineLevel="0" collapsed="false">
      <c r="A600" s="19"/>
      <c r="B600" s="23"/>
      <c r="C600" s="22" t="str">
        <f aca="false">IF(OR($A600="",$B600=""),"",INDEX(tblCalisan[Brüt Ücret (₺)],MATCH($A600,tblCalisan[Çalışan Adı],0))*IF($B600="5 Puan İndirimi",BesPuanOrani,IF($B600="İlave İstihdam",IlaveIstihdamOrani,IF($B600="Kadın/Genç",KadinGencOrani,IF($B600="Engelli",EngelliOrani,GencGirisimciOrani)))))</f>
        <v/>
      </c>
      <c r="D600" s="22" t="str">
        <f aca="false">IF($C600="","",$C600*AySayisi)</f>
        <v/>
      </c>
      <c r="E600" s="23"/>
    </row>
    <row r="601" customFormat="false" ht="15" hidden="false" customHeight="false" outlineLevel="0" collapsed="false">
      <c r="A601" s="19"/>
      <c r="B601" s="23"/>
      <c r="C601" s="22" t="str">
        <f aca="false">IF(OR($A601="",$B601=""),"",INDEX(tblCalisan[Brüt Ücret (₺)],MATCH($A601,tblCalisan[Çalışan Adı],0))*IF($B601="5 Puan İndirimi",BesPuanOrani,IF($B601="İlave İstihdam",IlaveIstihdamOrani,IF($B601="Kadın/Genç",KadinGencOrani,IF($B601="Engelli",EngelliOrani,GencGirisimciOrani)))))</f>
        <v/>
      </c>
      <c r="D601" s="22" t="str">
        <f aca="false">IF($C601="","",$C601*AySayisi)</f>
        <v/>
      </c>
      <c r="E601" s="23"/>
    </row>
    <row r="602" customFormat="false" ht="15" hidden="false" customHeight="false" outlineLevel="0" collapsed="false">
      <c r="A602" s="19"/>
      <c r="B602" s="23"/>
      <c r="C602" s="22" t="str">
        <f aca="false">IF(OR($A602="",$B602=""),"",INDEX(tblCalisan[Brüt Ücret (₺)],MATCH($A602,tblCalisan[Çalışan Adı],0))*IF($B602="5 Puan İndirimi",BesPuanOrani,IF($B602="İlave İstihdam",IlaveIstihdamOrani,IF($B602="Kadın/Genç",KadinGencOrani,IF($B602="Engelli",EngelliOrani,GencGirisimciOrani)))))</f>
        <v/>
      </c>
      <c r="D602" s="22" t="str">
        <f aca="false">IF($C602="","",$C602*AySayisi)</f>
        <v/>
      </c>
      <c r="E602" s="23"/>
    </row>
    <row r="603" customFormat="false" ht="15" hidden="false" customHeight="false" outlineLevel="0" collapsed="false">
      <c r="A603" s="19"/>
      <c r="B603" s="23"/>
      <c r="C603" s="22" t="str">
        <f aca="false">IF(OR($A603="",$B603=""),"",INDEX(tblCalisan[Brüt Ücret (₺)],MATCH($A603,tblCalisan[Çalışan Adı],0))*IF($B603="5 Puan İndirimi",BesPuanOrani,IF($B603="İlave İstihdam",IlaveIstihdamOrani,IF($B603="Kadın/Genç",KadinGencOrani,IF($B603="Engelli",EngelliOrani,GencGirisimciOrani)))))</f>
        <v/>
      </c>
      <c r="D603" s="22" t="str">
        <f aca="false">IF($C603="","",$C603*AySayisi)</f>
        <v/>
      </c>
      <c r="E603" s="23"/>
    </row>
    <row r="604" customFormat="false" ht="15" hidden="false" customHeight="false" outlineLevel="0" collapsed="false">
      <c r="A604" s="19"/>
      <c r="B604" s="23"/>
      <c r="C604" s="22" t="str">
        <f aca="false">IF(OR($A604="",$B604=""),"",INDEX(tblCalisan[Brüt Ücret (₺)],MATCH($A604,tblCalisan[Çalışan Adı],0))*IF($B604="5 Puan İndirimi",BesPuanOrani,IF($B604="İlave İstihdam",IlaveIstihdamOrani,IF($B604="Kadın/Genç",KadinGencOrani,IF($B604="Engelli",EngelliOrani,GencGirisimciOrani)))))</f>
        <v/>
      </c>
      <c r="D604" s="22" t="str">
        <f aca="false">IF($C604="","",$C604*AySayisi)</f>
        <v/>
      </c>
      <c r="E604" s="23"/>
    </row>
    <row r="605" customFormat="false" ht="15" hidden="false" customHeight="false" outlineLevel="0" collapsed="false">
      <c r="A605" s="19"/>
      <c r="B605" s="23"/>
      <c r="C605" s="22" t="str">
        <f aca="false">IF(OR($A605="",$B605=""),"",INDEX(tblCalisan[Brüt Ücret (₺)],MATCH($A605,tblCalisan[Çalışan Adı],0))*IF($B605="5 Puan İndirimi",BesPuanOrani,IF($B605="İlave İstihdam",IlaveIstihdamOrani,IF($B605="Kadın/Genç",KadinGencOrani,IF($B605="Engelli",EngelliOrani,GencGirisimciOrani)))))</f>
        <v/>
      </c>
      <c r="D605" s="22" t="str">
        <f aca="false">IF($C605="","",$C605*AySayisi)</f>
        <v/>
      </c>
      <c r="E605" s="23"/>
    </row>
    <row r="606" customFormat="false" ht="15" hidden="false" customHeight="false" outlineLevel="0" collapsed="false">
      <c r="A606" s="19"/>
      <c r="B606" s="23"/>
      <c r="C606" s="22" t="str">
        <f aca="false">IF(OR($A606="",$B606=""),"",INDEX(tblCalisan[Brüt Ücret (₺)],MATCH($A606,tblCalisan[Çalışan Adı],0))*IF($B606="5 Puan İndirimi",BesPuanOrani,IF($B606="İlave İstihdam",IlaveIstihdamOrani,IF($B606="Kadın/Genç",KadinGencOrani,IF($B606="Engelli",EngelliOrani,GencGirisimciOrani)))))</f>
        <v/>
      </c>
      <c r="D606" s="22" t="str">
        <f aca="false">IF($C606="","",$C606*AySayisi)</f>
        <v/>
      </c>
      <c r="E606" s="23"/>
    </row>
    <row r="607" customFormat="false" ht="15" hidden="false" customHeight="false" outlineLevel="0" collapsed="false">
      <c r="A607" s="19"/>
      <c r="B607" s="23"/>
      <c r="C607" s="22" t="str">
        <f aca="false">IF(OR($A607="",$B607=""),"",INDEX(tblCalisan[Brüt Ücret (₺)],MATCH($A607,tblCalisan[Çalışan Adı],0))*IF($B607="5 Puan İndirimi",BesPuanOrani,IF($B607="İlave İstihdam",IlaveIstihdamOrani,IF($B607="Kadın/Genç",KadinGencOrani,IF($B607="Engelli",EngelliOrani,GencGirisimciOrani)))))</f>
        <v/>
      </c>
      <c r="D607" s="22" t="str">
        <f aca="false">IF($C607="","",$C607*AySayisi)</f>
        <v/>
      </c>
      <c r="E607" s="23"/>
    </row>
    <row r="608" customFormat="false" ht="15" hidden="false" customHeight="false" outlineLevel="0" collapsed="false">
      <c r="A608" s="19"/>
      <c r="B608" s="23"/>
      <c r="C608" s="22" t="str">
        <f aca="false">IF(OR($A608="",$B608=""),"",INDEX(tblCalisan[Brüt Ücret (₺)],MATCH($A608,tblCalisan[Çalışan Adı],0))*IF($B608="5 Puan İndirimi",BesPuanOrani,IF($B608="İlave İstihdam",IlaveIstihdamOrani,IF($B608="Kadın/Genç",KadinGencOrani,IF($B608="Engelli",EngelliOrani,GencGirisimciOrani)))))</f>
        <v/>
      </c>
      <c r="D608" s="22" t="str">
        <f aca="false">IF($C608="","",$C608*AySayisi)</f>
        <v/>
      </c>
      <c r="E608" s="23"/>
    </row>
    <row r="609" customFormat="false" ht="15" hidden="false" customHeight="false" outlineLevel="0" collapsed="false">
      <c r="A609" s="19"/>
      <c r="B609" s="23"/>
      <c r="C609" s="22" t="str">
        <f aca="false">IF(OR($A609="",$B609=""),"",INDEX(tblCalisan[Brüt Ücret (₺)],MATCH($A609,tblCalisan[Çalışan Adı],0))*IF($B609="5 Puan İndirimi",BesPuanOrani,IF($B609="İlave İstihdam",IlaveIstihdamOrani,IF($B609="Kadın/Genç",KadinGencOrani,IF($B609="Engelli",EngelliOrani,GencGirisimciOrani)))))</f>
        <v/>
      </c>
      <c r="D609" s="22" t="str">
        <f aca="false">IF($C609="","",$C609*AySayisi)</f>
        <v/>
      </c>
      <c r="E609" s="23"/>
    </row>
    <row r="610" customFormat="false" ht="15" hidden="false" customHeight="false" outlineLevel="0" collapsed="false">
      <c r="A610" s="19"/>
      <c r="B610" s="23"/>
      <c r="C610" s="22" t="str">
        <f aca="false">IF(OR($A610="",$B610=""),"",INDEX(tblCalisan[Brüt Ücret (₺)],MATCH($A610,tblCalisan[Çalışan Adı],0))*IF($B610="5 Puan İndirimi",BesPuanOrani,IF($B610="İlave İstihdam",IlaveIstihdamOrani,IF($B610="Kadın/Genç",KadinGencOrani,IF($B610="Engelli",EngelliOrani,GencGirisimciOrani)))))</f>
        <v/>
      </c>
      <c r="D610" s="22" t="str">
        <f aca="false">IF($C610="","",$C610*AySayisi)</f>
        <v/>
      </c>
      <c r="E610" s="23"/>
    </row>
    <row r="611" customFormat="false" ht="15" hidden="false" customHeight="false" outlineLevel="0" collapsed="false">
      <c r="A611" s="19"/>
      <c r="B611" s="23"/>
      <c r="C611" s="22" t="str">
        <f aca="false">IF(OR($A611="",$B611=""),"",INDEX(tblCalisan[Brüt Ücret (₺)],MATCH($A611,tblCalisan[Çalışan Adı],0))*IF($B611="5 Puan İndirimi",BesPuanOrani,IF($B611="İlave İstihdam",IlaveIstihdamOrani,IF($B611="Kadın/Genç",KadinGencOrani,IF($B611="Engelli",EngelliOrani,GencGirisimciOrani)))))</f>
        <v/>
      </c>
      <c r="D611" s="22" t="str">
        <f aca="false">IF($C611="","",$C611*AySayisi)</f>
        <v/>
      </c>
      <c r="E611" s="23"/>
    </row>
    <row r="612" customFormat="false" ht="15" hidden="false" customHeight="false" outlineLevel="0" collapsed="false">
      <c r="A612" s="19"/>
      <c r="B612" s="23"/>
      <c r="C612" s="22" t="str">
        <f aca="false">IF(OR($A612="",$B612=""),"",INDEX(tblCalisan[Brüt Ücret (₺)],MATCH($A612,tblCalisan[Çalışan Adı],0))*IF($B612="5 Puan İndirimi",BesPuanOrani,IF($B612="İlave İstihdam",IlaveIstihdamOrani,IF($B612="Kadın/Genç",KadinGencOrani,IF($B612="Engelli",EngelliOrani,GencGirisimciOrani)))))</f>
        <v/>
      </c>
      <c r="D612" s="22" t="str">
        <f aca="false">IF($C612="","",$C612*AySayisi)</f>
        <v/>
      </c>
      <c r="E612" s="23"/>
    </row>
    <row r="613" customFormat="false" ht="15" hidden="false" customHeight="false" outlineLevel="0" collapsed="false">
      <c r="A613" s="19"/>
      <c r="B613" s="23"/>
      <c r="C613" s="22" t="str">
        <f aca="false">IF(OR($A613="",$B613=""),"",INDEX(tblCalisan[Brüt Ücret (₺)],MATCH($A613,tblCalisan[Çalışan Adı],0))*IF($B613="5 Puan İndirimi",BesPuanOrani,IF($B613="İlave İstihdam",IlaveIstihdamOrani,IF($B613="Kadın/Genç",KadinGencOrani,IF($B613="Engelli",EngelliOrani,GencGirisimciOrani)))))</f>
        <v/>
      </c>
      <c r="D613" s="22" t="str">
        <f aca="false">IF($C613="","",$C613*AySayisi)</f>
        <v/>
      </c>
      <c r="E613" s="23"/>
    </row>
    <row r="614" customFormat="false" ht="15" hidden="false" customHeight="false" outlineLevel="0" collapsed="false">
      <c r="A614" s="19"/>
      <c r="B614" s="23"/>
      <c r="C614" s="22" t="str">
        <f aca="false">IF(OR($A614="",$B614=""),"",INDEX(tblCalisan[Brüt Ücret (₺)],MATCH($A614,tblCalisan[Çalışan Adı],0))*IF($B614="5 Puan İndirimi",BesPuanOrani,IF($B614="İlave İstihdam",IlaveIstihdamOrani,IF($B614="Kadın/Genç",KadinGencOrani,IF($B614="Engelli",EngelliOrani,GencGirisimciOrani)))))</f>
        <v/>
      </c>
      <c r="D614" s="22" t="str">
        <f aca="false">IF($C614="","",$C614*AySayisi)</f>
        <v/>
      </c>
      <c r="E614" s="23"/>
    </row>
    <row r="615" customFormat="false" ht="15" hidden="false" customHeight="false" outlineLevel="0" collapsed="false">
      <c r="A615" s="19"/>
      <c r="B615" s="23"/>
      <c r="C615" s="22" t="str">
        <f aca="false">IF(OR($A615="",$B615=""),"",INDEX(tblCalisan[Brüt Ücret (₺)],MATCH($A615,tblCalisan[Çalışan Adı],0))*IF($B615="5 Puan İndirimi",BesPuanOrani,IF($B615="İlave İstihdam",IlaveIstihdamOrani,IF($B615="Kadın/Genç",KadinGencOrani,IF($B615="Engelli",EngelliOrani,GencGirisimciOrani)))))</f>
        <v/>
      </c>
      <c r="D615" s="22" t="str">
        <f aca="false">IF($C615="","",$C615*AySayisi)</f>
        <v/>
      </c>
      <c r="E615" s="23"/>
    </row>
    <row r="616" customFormat="false" ht="15" hidden="false" customHeight="false" outlineLevel="0" collapsed="false">
      <c r="A616" s="19"/>
      <c r="B616" s="23"/>
      <c r="C616" s="22" t="str">
        <f aca="false">IF(OR($A616="",$B616=""),"",INDEX(tblCalisan[Brüt Ücret (₺)],MATCH($A616,tblCalisan[Çalışan Adı],0))*IF($B616="5 Puan İndirimi",BesPuanOrani,IF($B616="İlave İstihdam",IlaveIstihdamOrani,IF($B616="Kadın/Genç",KadinGencOrani,IF($B616="Engelli",EngelliOrani,GencGirisimciOrani)))))</f>
        <v/>
      </c>
      <c r="D616" s="22" t="str">
        <f aca="false">IF($C616="","",$C616*AySayisi)</f>
        <v/>
      </c>
      <c r="E616" s="23"/>
    </row>
    <row r="617" customFormat="false" ht="15" hidden="false" customHeight="false" outlineLevel="0" collapsed="false">
      <c r="A617" s="19"/>
      <c r="B617" s="23"/>
      <c r="C617" s="22" t="str">
        <f aca="false">IF(OR($A617="",$B617=""),"",INDEX(tblCalisan[Brüt Ücret (₺)],MATCH($A617,tblCalisan[Çalışan Adı],0))*IF($B617="5 Puan İndirimi",BesPuanOrani,IF($B617="İlave İstihdam",IlaveIstihdamOrani,IF($B617="Kadın/Genç",KadinGencOrani,IF($B617="Engelli",EngelliOrani,GencGirisimciOrani)))))</f>
        <v/>
      </c>
      <c r="D617" s="22" t="str">
        <f aca="false">IF($C617="","",$C617*AySayisi)</f>
        <v/>
      </c>
      <c r="E617" s="23"/>
    </row>
    <row r="618" customFormat="false" ht="15" hidden="false" customHeight="false" outlineLevel="0" collapsed="false">
      <c r="A618" s="19"/>
      <c r="B618" s="23"/>
      <c r="C618" s="22" t="str">
        <f aca="false">IF(OR($A618="",$B618=""),"",INDEX(tblCalisan[Brüt Ücret (₺)],MATCH($A618,tblCalisan[Çalışan Adı],0))*IF($B618="5 Puan İndirimi",BesPuanOrani,IF($B618="İlave İstihdam",IlaveIstihdamOrani,IF($B618="Kadın/Genç",KadinGencOrani,IF($B618="Engelli",EngelliOrani,GencGirisimciOrani)))))</f>
        <v/>
      </c>
      <c r="D618" s="22" t="str">
        <f aca="false">IF($C618="","",$C618*AySayisi)</f>
        <v/>
      </c>
      <c r="E618" s="23"/>
    </row>
    <row r="619" customFormat="false" ht="15" hidden="false" customHeight="false" outlineLevel="0" collapsed="false">
      <c r="A619" s="19"/>
      <c r="B619" s="23"/>
      <c r="C619" s="22" t="str">
        <f aca="false">IF(OR($A619="",$B619=""),"",INDEX(tblCalisan[Brüt Ücret (₺)],MATCH($A619,tblCalisan[Çalışan Adı],0))*IF($B619="5 Puan İndirimi",BesPuanOrani,IF($B619="İlave İstihdam",IlaveIstihdamOrani,IF($B619="Kadın/Genç",KadinGencOrani,IF($B619="Engelli",EngelliOrani,GencGirisimciOrani)))))</f>
        <v/>
      </c>
      <c r="D619" s="22" t="str">
        <f aca="false">IF($C619="","",$C619*AySayisi)</f>
        <v/>
      </c>
      <c r="E619" s="23"/>
    </row>
    <row r="620" customFormat="false" ht="15" hidden="false" customHeight="false" outlineLevel="0" collapsed="false">
      <c r="A620" s="19"/>
      <c r="B620" s="23"/>
      <c r="C620" s="22" t="str">
        <f aca="false">IF(OR($A620="",$B620=""),"",INDEX(tblCalisan[Brüt Ücret (₺)],MATCH($A620,tblCalisan[Çalışan Adı],0))*IF($B620="5 Puan İndirimi",BesPuanOrani,IF($B620="İlave İstihdam",IlaveIstihdamOrani,IF($B620="Kadın/Genç",KadinGencOrani,IF($B620="Engelli",EngelliOrani,GencGirisimciOrani)))))</f>
        <v/>
      </c>
      <c r="D620" s="22" t="str">
        <f aca="false">IF($C620="","",$C620*AySayisi)</f>
        <v/>
      </c>
      <c r="E620" s="23"/>
    </row>
    <row r="621" customFormat="false" ht="15" hidden="false" customHeight="false" outlineLevel="0" collapsed="false">
      <c r="A621" s="19"/>
      <c r="B621" s="23"/>
      <c r="C621" s="22" t="str">
        <f aca="false">IF(OR($A621="",$B621=""),"",INDEX(tblCalisan[Brüt Ücret (₺)],MATCH($A621,tblCalisan[Çalışan Adı],0))*IF($B621="5 Puan İndirimi",BesPuanOrani,IF($B621="İlave İstihdam",IlaveIstihdamOrani,IF($B621="Kadın/Genç",KadinGencOrani,IF($B621="Engelli",EngelliOrani,GencGirisimciOrani)))))</f>
        <v/>
      </c>
      <c r="D621" s="22" t="str">
        <f aca="false">IF($C621="","",$C621*AySayisi)</f>
        <v/>
      </c>
      <c r="E621" s="23"/>
    </row>
    <row r="622" customFormat="false" ht="15" hidden="false" customHeight="false" outlineLevel="0" collapsed="false">
      <c r="A622" s="19"/>
      <c r="B622" s="23"/>
      <c r="C622" s="22" t="str">
        <f aca="false">IF(OR($A622="",$B622=""),"",INDEX(tblCalisan[Brüt Ücret (₺)],MATCH($A622,tblCalisan[Çalışan Adı],0))*IF($B622="5 Puan İndirimi",BesPuanOrani,IF($B622="İlave İstihdam",IlaveIstihdamOrani,IF($B622="Kadın/Genç",KadinGencOrani,IF($B622="Engelli",EngelliOrani,GencGirisimciOrani)))))</f>
        <v/>
      </c>
      <c r="D622" s="22" t="str">
        <f aca="false">IF($C622="","",$C622*AySayisi)</f>
        <v/>
      </c>
      <c r="E622" s="23"/>
    </row>
    <row r="623" customFormat="false" ht="15" hidden="false" customHeight="false" outlineLevel="0" collapsed="false">
      <c r="A623" s="19"/>
      <c r="B623" s="23"/>
      <c r="C623" s="22" t="str">
        <f aca="false">IF(OR($A623="",$B623=""),"",INDEX(tblCalisan[Brüt Ücret (₺)],MATCH($A623,tblCalisan[Çalışan Adı],0))*IF($B623="5 Puan İndirimi",BesPuanOrani,IF($B623="İlave İstihdam",IlaveIstihdamOrani,IF($B623="Kadın/Genç",KadinGencOrani,IF($B623="Engelli",EngelliOrani,GencGirisimciOrani)))))</f>
        <v/>
      </c>
      <c r="D623" s="22" t="str">
        <f aca="false">IF($C623="","",$C623*AySayisi)</f>
        <v/>
      </c>
      <c r="E623" s="23"/>
    </row>
    <row r="624" customFormat="false" ht="15" hidden="false" customHeight="false" outlineLevel="0" collapsed="false">
      <c r="A624" s="19"/>
      <c r="B624" s="23"/>
      <c r="C624" s="22" t="str">
        <f aca="false">IF(OR($A624="",$B624=""),"",INDEX(tblCalisan[Brüt Ücret (₺)],MATCH($A624,tblCalisan[Çalışan Adı],0))*IF($B624="5 Puan İndirimi",BesPuanOrani,IF($B624="İlave İstihdam",IlaveIstihdamOrani,IF($B624="Kadın/Genç",KadinGencOrani,IF($B624="Engelli",EngelliOrani,GencGirisimciOrani)))))</f>
        <v/>
      </c>
      <c r="D624" s="22" t="str">
        <f aca="false">IF($C624="","",$C624*AySayisi)</f>
        <v/>
      </c>
      <c r="E624" s="23"/>
    </row>
    <row r="625" customFormat="false" ht="15" hidden="false" customHeight="false" outlineLevel="0" collapsed="false">
      <c r="A625" s="19"/>
      <c r="B625" s="23"/>
      <c r="C625" s="22" t="str">
        <f aca="false">IF(OR($A625="",$B625=""),"",INDEX(tblCalisan[Brüt Ücret (₺)],MATCH($A625,tblCalisan[Çalışan Adı],0))*IF($B625="5 Puan İndirimi",BesPuanOrani,IF($B625="İlave İstihdam",IlaveIstihdamOrani,IF($B625="Kadın/Genç",KadinGencOrani,IF($B625="Engelli",EngelliOrani,GencGirisimciOrani)))))</f>
        <v/>
      </c>
      <c r="D625" s="22" t="str">
        <f aca="false">IF($C625="","",$C625*AySayisi)</f>
        <v/>
      </c>
      <c r="E625" s="23"/>
    </row>
    <row r="626" customFormat="false" ht="15" hidden="false" customHeight="false" outlineLevel="0" collapsed="false">
      <c r="A626" s="19"/>
      <c r="B626" s="23"/>
      <c r="C626" s="22" t="str">
        <f aca="false">IF(OR($A626="",$B626=""),"",INDEX(tblCalisan[Brüt Ücret (₺)],MATCH($A626,tblCalisan[Çalışan Adı],0))*IF($B626="5 Puan İndirimi",BesPuanOrani,IF($B626="İlave İstihdam",IlaveIstihdamOrani,IF($B626="Kadın/Genç",KadinGencOrani,IF($B626="Engelli",EngelliOrani,GencGirisimciOrani)))))</f>
        <v/>
      </c>
      <c r="D626" s="22" t="str">
        <f aca="false">IF($C626="","",$C626*AySayisi)</f>
        <v/>
      </c>
      <c r="E626" s="23"/>
    </row>
    <row r="627" customFormat="false" ht="15" hidden="false" customHeight="false" outlineLevel="0" collapsed="false">
      <c r="A627" s="19"/>
      <c r="B627" s="23"/>
      <c r="C627" s="22" t="str">
        <f aca="false">IF(OR($A627="",$B627=""),"",INDEX(tblCalisan[Brüt Ücret (₺)],MATCH($A627,tblCalisan[Çalışan Adı],0))*IF($B627="5 Puan İndirimi",BesPuanOrani,IF($B627="İlave İstihdam",IlaveIstihdamOrani,IF($B627="Kadın/Genç",KadinGencOrani,IF($B627="Engelli",EngelliOrani,GencGirisimciOrani)))))</f>
        <v/>
      </c>
      <c r="D627" s="22" t="str">
        <f aca="false">IF($C627="","",$C627*AySayisi)</f>
        <v/>
      </c>
      <c r="E627" s="23"/>
    </row>
    <row r="628" customFormat="false" ht="15" hidden="false" customHeight="false" outlineLevel="0" collapsed="false">
      <c r="A628" s="19"/>
      <c r="B628" s="23"/>
      <c r="C628" s="22" t="str">
        <f aca="false">IF(OR($A628="",$B628=""),"",INDEX(tblCalisan[Brüt Ücret (₺)],MATCH($A628,tblCalisan[Çalışan Adı],0))*IF($B628="5 Puan İndirimi",BesPuanOrani,IF($B628="İlave İstihdam",IlaveIstihdamOrani,IF($B628="Kadın/Genç",KadinGencOrani,IF($B628="Engelli",EngelliOrani,GencGirisimciOrani)))))</f>
        <v/>
      </c>
      <c r="D628" s="22" t="str">
        <f aca="false">IF($C628="","",$C628*AySayisi)</f>
        <v/>
      </c>
      <c r="E628" s="23"/>
    </row>
    <row r="629" customFormat="false" ht="15" hidden="false" customHeight="false" outlineLevel="0" collapsed="false">
      <c r="A629" s="19"/>
      <c r="B629" s="23"/>
      <c r="C629" s="22" t="str">
        <f aca="false">IF(OR($A629="",$B629=""),"",INDEX(tblCalisan[Brüt Ücret (₺)],MATCH($A629,tblCalisan[Çalışan Adı],0))*IF($B629="5 Puan İndirimi",BesPuanOrani,IF($B629="İlave İstihdam",IlaveIstihdamOrani,IF($B629="Kadın/Genç",KadinGencOrani,IF($B629="Engelli",EngelliOrani,GencGirisimciOrani)))))</f>
        <v/>
      </c>
      <c r="D629" s="22" t="str">
        <f aca="false">IF($C629="","",$C629*AySayisi)</f>
        <v/>
      </c>
      <c r="E629" s="23"/>
    </row>
    <row r="630" customFormat="false" ht="15" hidden="false" customHeight="false" outlineLevel="0" collapsed="false">
      <c r="A630" s="19"/>
      <c r="B630" s="23"/>
      <c r="C630" s="22" t="str">
        <f aca="false">IF(OR($A630="",$B630=""),"",INDEX(tblCalisan[Brüt Ücret (₺)],MATCH($A630,tblCalisan[Çalışan Adı],0))*IF($B630="5 Puan İndirimi",BesPuanOrani,IF($B630="İlave İstihdam",IlaveIstihdamOrani,IF($B630="Kadın/Genç",KadinGencOrani,IF($B630="Engelli",EngelliOrani,GencGirisimciOrani)))))</f>
        <v/>
      </c>
      <c r="D630" s="22" t="str">
        <f aca="false">IF($C630="","",$C630*AySayisi)</f>
        <v/>
      </c>
      <c r="E630" s="23"/>
    </row>
    <row r="631" customFormat="false" ht="15" hidden="false" customHeight="false" outlineLevel="0" collapsed="false">
      <c r="A631" s="19"/>
      <c r="B631" s="23"/>
      <c r="C631" s="22" t="str">
        <f aca="false">IF(OR($A631="",$B631=""),"",INDEX(tblCalisan[Brüt Ücret (₺)],MATCH($A631,tblCalisan[Çalışan Adı],0))*IF($B631="5 Puan İndirimi",BesPuanOrani,IF($B631="İlave İstihdam",IlaveIstihdamOrani,IF($B631="Kadın/Genç",KadinGencOrani,IF($B631="Engelli",EngelliOrani,GencGirisimciOrani)))))</f>
        <v/>
      </c>
      <c r="D631" s="22" t="str">
        <f aca="false">IF($C631="","",$C631*AySayisi)</f>
        <v/>
      </c>
      <c r="E631" s="23"/>
    </row>
    <row r="632" customFormat="false" ht="15" hidden="false" customHeight="false" outlineLevel="0" collapsed="false">
      <c r="A632" s="19"/>
      <c r="B632" s="23"/>
      <c r="C632" s="22" t="str">
        <f aca="false">IF(OR($A632="",$B632=""),"",INDEX(tblCalisan[Brüt Ücret (₺)],MATCH($A632,tblCalisan[Çalışan Adı],0))*IF($B632="5 Puan İndirimi",BesPuanOrani,IF($B632="İlave İstihdam",IlaveIstihdamOrani,IF($B632="Kadın/Genç",KadinGencOrani,IF($B632="Engelli",EngelliOrani,GencGirisimciOrani)))))</f>
        <v/>
      </c>
      <c r="D632" s="22" t="str">
        <f aca="false">IF($C632="","",$C632*AySayisi)</f>
        <v/>
      </c>
      <c r="E632" s="23"/>
    </row>
    <row r="633" customFormat="false" ht="15" hidden="false" customHeight="false" outlineLevel="0" collapsed="false">
      <c r="A633" s="19"/>
      <c r="B633" s="23"/>
      <c r="C633" s="22" t="str">
        <f aca="false">IF(OR($A633="",$B633=""),"",INDEX(tblCalisan[Brüt Ücret (₺)],MATCH($A633,tblCalisan[Çalışan Adı],0))*IF($B633="5 Puan İndirimi",BesPuanOrani,IF($B633="İlave İstihdam",IlaveIstihdamOrani,IF($B633="Kadın/Genç",KadinGencOrani,IF($B633="Engelli",EngelliOrani,GencGirisimciOrani)))))</f>
        <v/>
      </c>
      <c r="D633" s="22" t="str">
        <f aca="false">IF($C633="","",$C633*AySayisi)</f>
        <v/>
      </c>
      <c r="E633" s="23"/>
    </row>
    <row r="634" customFormat="false" ht="15" hidden="false" customHeight="false" outlineLevel="0" collapsed="false">
      <c r="A634" s="19"/>
      <c r="B634" s="23"/>
      <c r="C634" s="22" t="str">
        <f aca="false">IF(OR($A634="",$B634=""),"",INDEX(tblCalisan[Brüt Ücret (₺)],MATCH($A634,tblCalisan[Çalışan Adı],0))*IF($B634="5 Puan İndirimi",BesPuanOrani,IF($B634="İlave İstihdam",IlaveIstihdamOrani,IF($B634="Kadın/Genç",KadinGencOrani,IF($B634="Engelli",EngelliOrani,GencGirisimciOrani)))))</f>
        <v/>
      </c>
      <c r="D634" s="22" t="str">
        <f aca="false">IF($C634="","",$C634*AySayisi)</f>
        <v/>
      </c>
      <c r="E634" s="23"/>
    </row>
    <row r="635" customFormat="false" ht="15" hidden="false" customHeight="false" outlineLevel="0" collapsed="false">
      <c r="A635" s="19"/>
      <c r="B635" s="23"/>
      <c r="C635" s="22" t="str">
        <f aca="false">IF(OR($A635="",$B635=""),"",INDEX(tblCalisan[Brüt Ücret (₺)],MATCH($A635,tblCalisan[Çalışan Adı],0))*IF($B635="5 Puan İndirimi",BesPuanOrani,IF($B635="İlave İstihdam",IlaveIstihdamOrani,IF($B635="Kadın/Genç",KadinGencOrani,IF($B635="Engelli",EngelliOrani,GencGirisimciOrani)))))</f>
        <v/>
      </c>
      <c r="D635" s="22" t="str">
        <f aca="false">IF($C635="","",$C635*AySayisi)</f>
        <v/>
      </c>
      <c r="E635" s="23"/>
    </row>
    <row r="636" customFormat="false" ht="15" hidden="false" customHeight="false" outlineLevel="0" collapsed="false">
      <c r="A636" s="19"/>
      <c r="B636" s="23"/>
      <c r="C636" s="22" t="str">
        <f aca="false">IF(OR($A636="",$B636=""),"",INDEX(tblCalisan[Brüt Ücret (₺)],MATCH($A636,tblCalisan[Çalışan Adı],0))*IF($B636="5 Puan İndirimi",BesPuanOrani,IF($B636="İlave İstihdam",IlaveIstihdamOrani,IF($B636="Kadın/Genç",KadinGencOrani,IF($B636="Engelli",EngelliOrani,GencGirisimciOrani)))))</f>
        <v/>
      </c>
      <c r="D636" s="22" t="str">
        <f aca="false">IF($C636="","",$C636*AySayisi)</f>
        <v/>
      </c>
      <c r="E636" s="23"/>
    </row>
    <row r="637" customFormat="false" ht="15" hidden="false" customHeight="false" outlineLevel="0" collapsed="false">
      <c r="A637" s="19"/>
      <c r="B637" s="23"/>
      <c r="C637" s="22" t="str">
        <f aca="false">IF(OR($A637="",$B637=""),"",INDEX(tblCalisan[Brüt Ücret (₺)],MATCH($A637,tblCalisan[Çalışan Adı],0))*IF($B637="5 Puan İndirimi",BesPuanOrani,IF($B637="İlave İstihdam",IlaveIstihdamOrani,IF($B637="Kadın/Genç",KadinGencOrani,IF($B637="Engelli",EngelliOrani,GencGirisimciOrani)))))</f>
        <v/>
      </c>
      <c r="D637" s="22" t="str">
        <f aca="false">IF($C637="","",$C637*AySayisi)</f>
        <v/>
      </c>
      <c r="E637" s="23"/>
    </row>
    <row r="638" customFormat="false" ht="15" hidden="false" customHeight="false" outlineLevel="0" collapsed="false">
      <c r="A638" s="19"/>
      <c r="B638" s="23"/>
      <c r="C638" s="22" t="str">
        <f aca="false">IF(OR($A638="",$B638=""),"",INDEX(tblCalisan[Brüt Ücret (₺)],MATCH($A638,tblCalisan[Çalışan Adı],0))*IF($B638="5 Puan İndirimi",BesPuanOrani,IF($B638="İlave İstihdam",IlaveIstihdamOrani,IF($B638="Kadın/Genç",KadinGencOrani,IF($B638="Engelli",EngelliOrani,GencGirisimciOrani)))))</f>
        <v/>
      </c>
      <c r="D638" s="22" t="str">
        <f aca="false">IF($C638="","",$C638*AySayisi)</f>
        <v/>
      </c>
      <c r="E638" s="23"/>
    </row>
    <row r="639" customFormat="false" ht="15" hidden="false" customHeight="false" outlineLevel="0" collapsed="false">
      <c r="A639" s="19"/>
      <c r="B639" s="23"/>
      <c r="C639" s="22" t="str">
        <f aca="false">IF(OR($A639="",$B639=""),"",INDEX(tblCalisan[Brüt Ücret (₺)],MATCH($A639,tblCalisan[Çalışan Adı],0))*IF($B639="5 Puan İndirimi",BesPuanOrani,IF($B639="İlave İstihdam",IlaveIstihdamOrani,IF($B639="Kadın/Genç",KadinGencOrani,IF($B639="Engelli",EngelliOrani,GencGirisimciOrani)))))</f>
        <v/>
      </c>
      <c r="D639" s="22" t="str">
        <f aca="false">IF($C639="","",$C639*AySayisi)</f>
        <v/>
      </c>
      <c r="E639" s="23"/>
    </row>
    <row r="640" customFormat="false" ht="15" hidden="false" customHeight="false" outlineLevel="0" collapsed="false">
      <c r="A640" s="19"/>
      <c r="B640" s="23"/>
      <c r="C640" s="22" t="str">
        <f aca="false">IF(OR($A640="",$B640=""),"",INDEX(tblCalisan[Brüt Ücret (₺)],MATCH($A640,tblCalisan[Çalışan Adı],0))*IF($B640="5 Puan İndirimi",BesPuanOrani,IF($B640="İlave İstihdam",IlaveIstihdamOrani,IF($B640="Kadın/Genç",KadinGencOrani,IF($B640="Engelli",EngelliOrani,GencGirisimciOrani)))))</f>
        <v/>
      </c>
      <c r="D640" s="22" t="str">
        <f aca="false">IF($C640="","",$C640*AySayisi)</f>
        <v/>
      </c>
      <c r="E640" s="23"/>
    </row>
    <row r="641" customFormat="false" ht="15" hidden="false" customHeight="false" outlineLevel="0" collapsed="false">
      <c r="A641" s="19"/>
      <c r="B641" s="23"/>
      <c r="C641" s="22" t="str">
        <f aca="false">IF(OR($A641="",$B641=""),"",INDEX(tblCalisan[Brüt Ücret (₺)],MATCH($A641,tblCalisan[Çalışan Adı],0))*IF($B641="5 Puan İndirimi",BesPuanOrani,IF($B641="İlave İstihdam",IlaveIstihdamOrani,IF($B641="Kadın/Genç",KadinGencOrani,IF($B641="Engelli",EngelliOrani,GencGirisimciOrani)))))</f>
        <v/>
      </c>
      <c r="D641" s="22" t="str">
        <f aca="false">IF($C641="","",$C641*AySayisi)</f>
        <v/>
      </c>
      <c r="E641" s="23"/>
    </row>
    <row r="642" customFormat="false" ht="15" hidden="false" customHeight="false" outlineLevel="0" collapsed="false">
      <c r="A642" s="19"/>
      <c r="B642" s="23"/>
      <c r="C642" s="22" t="str">
        <f aca="false">IF(OR($A642="",$B642=""),"",INDEX(tblCalisan[Brüt Ücret (₺)],MATCH($A642,tblCalisan[Çalışan Adı],0))*IF($B642="5 Puan İndirimi",BesPuanOrani,IF($B642="İlave İstihdam",IlaveIstihdamOrani,IF($B642="Kadın/Genç",KadinGencOrani,IF($B642="Engelli",EngelliOrani,GencGirisimciOrani)))))</f>
        <v/>
      </c>
      <c r="D642" s="22" t="str">
        <f aca="false">IF($C642="","",$C642*AySayisi)</f>
        <v/>
      </c>
      <c r="E642" s="23"/>
    </row>
    <row r="643" customFormat="false" ht="15" hidden="false" customHeight="false" outlineLevel="0" collapsed="false">
      <c r="A643" s="19"/>
      <c r="B643" s="23"/>
      <c r="C643" s="22" t="str">
        <f aca="false">IF(OR($A643="",$B643=""),"",INDEX(tblCalisan[Brüt Ücret (₺)],MATCH($A643,tblCalisan[Çalışan Adı],0))*IF($B643="5 Puan İndirimi",BesPuanOrani,IF($B643="İlave İstihdam",IlaveIstihdamOrani,IF($B643="Kadın/Genç",KadinGencOrani,IF($B643="Engelli",EngelliOrani,GencGirisimciOrani)))))</f>
        <v/>
      </c>
      <c r="D643" s="22" t="str">
        <f aca="false">IF($C643="","",$C643*AySayisi)</f>
        <v/>
      </c>
      <c r="E643" s="23"/>
    </row>
    <row r="644" customFormat="false" ht="15" hidden="false" customHeight="false" outlineLevel="0" collapsed="false">
      <c r="A644" s="19"/>
      <c r="B644" s="23"/>
      <c r="C644" s="22" t="str">
        <f aca="false">IF(OR($A644="",$B644=""),"",INDEX(tblCalisan[Brüt Ücret (₺)],MATCH($A644,tblCalisan[Çalışan Adı],0))*IF($B644="5 Puan İndirimi",BesPuanOrani,IF($B644="İlave İstihdam",IlaveIstihdamOrani,IF($B644="Kadın/Genç",KadinGencOrani,IF($B644="Engelli",EngelliOrani,GencGirisimciOrani)))))</f>
        <v/>
      </c>
      <c r="D644" s="22" t="str">
        <f aca="false">IF($C644="","",$C644*AySayisi)</f>
        <v/>
      </c>
      <c r="E644" s="23"/>
    </row>
    <row r="645" customFormat="false" ht="15" hidden="false" customHeight="false" outlineLevel="0" collapsed="false">
      <c r="A645" s="19"/>
      <c r="B645" s="23"/>
      <c r="C645" s="22" t="str">
        <f aca="false">IF(OR($A645="",$B645=""),"",INDEX(tblCalisan[Brüt Ücret (₺)],MATCH($A645,tblCalisan[Çalışan Adı],0))*IF($B645="5 Puan İndirimi",BesPuanOrani,IF($B645="İlave İstihdam",IlaveIstihdamOrani,IF($B645="Kadın/Genç",KadinGencOrani,IF($B645="Engelli",EngelliOrani,GencGirisimciOrani)))))</f>
        <v/>
      </c>
      <c r="D645" s="22" t="str">
        <f aca="false">IF($C645="","",$C645*AySayisi)</f>
        <v/>
      </c>
      <c r="E645" s="23"/>
    </row>
    <row r="646" customFormat="false" ht="15" hidden="false" customHeight="false" outlineLevel="0" collapsed="false">
      <c r="A646" s="19"/>
      <c r="B646" s="23"/>
      <c r="C646" s="22" t="str">
        <f aca="false">IF(OR($A646="",$B646=""),"",INDEX(tblCalisan[Brüt Ücret (₺)],MATCH($A646,tblCalisan[Çalışan Adı],0))*IF($B646="5 Puan İndirimi",BesPuanOrani,IF($B646="İlave İstihdam",IlaveIstihdamOrani,IF($B646="Kadın/Genç",KadinGencOrani,IF($B646="Engelli",EngelliOrani,GencGirisimciOrani)))))</f>
        <v/>
      </c>
      <c r="D646" s="22" t="str">
        <f aca="false">IF($C646="","",$C646*AySayisi)</f>
        <v/>
      </c>
      <c r="E646" s="23"/>
    </row>
    <row r="647" customFormat="false" ht="15" hidden="false" customHeight="false" outlineLevel="0" collapsed="false">
      <c r="A647" s="19"/>
      <c r="B647" s="23"/>
      <c r="C647" s="22" t="str">
        <f aca="false">IF(OR($A647="",$B647=""),"",INDEX(tblCalisan[Brüt Ücret (₺)],MATCH($A647,tblCalisan[Çalışan Adı],0))*IF($B647="5 Puan İndirimi",BesPuanOrani,IF($B647="İlave İstihdam",IlaveIstihdamOrani,IF($B647="Kadın/Genç",KadinGencOrani,IF($B647="Engelli",EngelliOrani,GencGirisimciOrani)))))</f>
        <v/>
      </c>
      <c r="D647" s="22" t="str">
        <f aca="false">IF($C647="","",$C647*AySayisi)</f>
        <v/>
      </c>
      <c r="E647" s="23"/>
    </row>
    <row r="648" customFormat="false" ht="15" hidden="false" customHeight="false" outlineLevel="0" collapsed="false">
      <c r="A648" s="19"/>
      <c r="B648" s="23"/>
      <c r="C648" s="22" t="str">
        <f aca="false">IF(OR($A648="",$B648=""),"",INDEX(tblCalisan[Brüt Ücret (₺)],MATCH($A648,tblCalisan[Çalışan Adı],0))*IF($B648="5 Puan İndirimi",BesPuanOrani,IF($B648="İlave İstihdam",IlaveIstihdamOrani,IF($B648="Kadın/Genç",KadinGencOrani,IF($B648="Engelli",EngelliOrani,GencGirisimciOrani)))))</f>
        <v/>
      </c>
      <c r="D648" s="22" t="str">
        <f aca="false">IF($C648="","",$C648*AySayisi)</f>
        <v/>
      </c>
      <c r="E648" s="23"/>
    </row>
    <row r="649" customFormat="false" ht="15" hidden="false" customHeight="false" outlineLevel="0" collapsed="false">
      <c r="A649" s="19"/>
      <c r="B649" s="23"/>
      <c r="C649" s="22" t="str">
        <f aca="false">IF(OR($A649="",$B649=""),"",INDEX(tblCalisan[Brüt Ücret (₺)],MATCH($A649,tblCalisan[Çalışan Adı],0))*IF($B649="5 Puan İndirimi",BesPuanOrani,IF($B649="İlave İstihdam",IlaveIstihdamOrani,IF($B649="Kadın/Genç",KadinGencOrani,IF($B649="Engelli",EngelliOrani,GencGirisimciOrani)))))</f>
        <v/>
      </c>
      <c r="D649" s="22" t="str">
        <f aca="false">IF($C649="","",$C649*AySayisi)</f>
        <v/>
      </c>
      <c r="E649" s="23"/>
    </row>
    <row r="650" customFormat="false" ht="15" hidden="false" customHeight="false" outlineLevel="0" collapsed="false">
      <c r="A650" s="19"/>
      <c r="B650" s="23"/>
      <c r="C650" s="22" t="str">
        <f aca="false">IF(OR($A650="",$B650=""),"",INDEX(tblCalisan[Brüt Ücret (₺)],MATCH($A650,tblCalisan[Çalışan Adı],0))*IF($B650="5 Puan İndirimi",BesPuanOrani,IF($B650="İlave İstihdam",IlaveIstihdamOrani,IF($B650="Kadın/Genç",KadinGencOrani,IF($B650="Engelli",EngelliOrani,GencGirisimciOrani)))))</f>
        <v/>
      </c>
      <c r="D650" s="22" t="str">
        <f aca="false">IF($C650="","",$C650*AySayisi)</f>
        <v/>
      </c>
      <c r="E650" s="23"/>
    </row>
    <row r="651" customFormat="false" ht="15" hidden="false" customHeight="false" outlineLevel="0" collapsed="false">
      <c r="A651" s="19"/>
      <c r="B651" s="23"/>
      <c r="C651" s="22" t="str">
        <f aca="false">IF(OR($A651="",$B651=""),"",INDEX(tblCalisan[Brüt Ücret (₺)],MATCH($A651,tblCalisan[Çalışan Adı],0))*IF($B651="5 Puan İndirimi",BesPuanOrani,IF($B651="İlave İstihdam",IlaveIstihdamOrani,IF($B651="Kadın/Genç",KadinGencOrani,IF($B651="Engelli",EngelliOrani,GencGirisimciOrani)))))</f>
        <v/>
      </c>
      <c r="D651" s="22" t="str">
        <f aca="false">IF($C651="","",$C651*AySayisi)</f>
        <v/>
      </c>
      <c r="E651" s="23"/>
    </row>
    <row r="652" customFormat="false" ht="15" hidden="false" customHeight="false" outlineLevel="0" collapsed="false">
      <c r="A652" s="19"/>
      <c r="B652" s="23"/>
      <c r="C652" s="22" t="str">
        <f aca="false">IF(OR($A652="",$B652=""),"",INDEX(tblCalisan[Brüt Ücret (₺)],MATCH($A652,tblCalisan[Çalışan Adı],0))*IF($B652="5 Puan İndirimi",BesPuanOrani,IF($B652="İlave İstihdam",IlaveIstihdamOrani,IF($B652="Kadın/Genç",KadinGencOrani,IF($B652="Engelli",EngelliOrani,GencGirisimciOrani)))))</f>
        <v/>
      </c>
      <c r="D652" s="22" t="str">
        <f aca="false">IF($C652="","",$C652*AySayisi)</f>
        <v/>
      </c>
      <c r="E652" s="23"/>
    </row>
    <row r="653" customFormat="false" ht="15" hidden="false" customHeight="false" outlineLevel="0" collapsed="false">
      <c r="A653" s="19"/>
      <c r="B653" s="23"/>
      <c r="C653" s="22" t="str">
        <f aca="false">IF(OR($A653="",$B653=""),"",INDEX(tblCalisan[Brüt Ücret (₺)],MATCH($A653,tblCalisan[Çalışan Adı],0))*IF($B653="5 Puan İndirimi",BesPuanOrani,IF($B653="İlave İstihdam",IlaveIstihdamOrani,IF($B653="Kadın/Genç",KadinGencOrani,IF($B653="Engelli",EngelliOrani,GencGirisimciOrani)))))</f>
        <v/>
      </c>
      <c r="D653" s="22" t="str">
        <f aca="false">IF($C653="","",$C653*AySayisi)</f>
        <v/>
      </c>
      <c r="E653" s="23"/>
    </row>
    <row r="654" customFormat="false" ht="15" hidden="false" customHeight="false" outlineLevel="0" collapsed="false">
      <c r="A654" s="19"/>
      <c r="B654" s="23"/>
      <c r="C654" s="22" t="str">
        <f aca="false">IF(OR($A654="",$B654=""),"",INDEX(tblCalisan[Brüt Ücret (₺)],MATCH($A654,tblCalisan[Çalışan Adı],0))*IF($B654="5 Puan İndirimi",BesPuanOrani,IF($B654="İlave İstihdam",IlaveIstihdamOrani,IF($B654="Kadın/Genç",KadinGencOrani,IF($B654="Engelli",EngelliOrani,GencGirisimciOrani)))))</f>
        <v/>
      </c>
      <c r="D654" s="22" t="str">
        <f aca="false">IF($C654="","",$C654*AySayisi)</f>
        <v/>
      </c>
      <c r="E654" s="23"/>
    </row>
    <row r="655" customFormat="false" ht="15" hidden="false" customHeight="false" outlineLevel="0" collapsed="false">
      <c r="A655" s="19"/>
      <c r="B655" s="23"/>
      <c r="C655" s="22" t="str">
        <f aca="false">IF(OR($A655="",$B655=""),"",INDEX(tblCalisan[Brüt Ücret (₺)],MATCH($A655,tblCalisan[Çalışan Adı],0))*IF($B655="5 Puan İndirimi",BesPuanOrani,IF($B655="İlave İstihdam",IlaveIstihdamOrani,IF($B655="Kadın/Genç",KadinGencOrani,IF($B655="Engelli",EngelliOrani,GencGirisimciOrani)))))</f>
        <v/>
      </c>
      <c r="D655" s="22" t="str">
        <f aca="false">IF($C655="","",$C655*AySayisi)</f>
        <v/>
      </c>
      <c r="E655" s="23"/>
    </row>
    <row r="656" customFormat="false" ht="15" hidden="false" customHeight="false" outlineLevel="0" collapsed="false">
      <c r="A656" s="19"/>
      <c r="B656" s="23"/>
      <c r="C656" s="22" t="str">
        <f aca="false">IF(OR($A656="",$B656=""),"",INDEX(tblCalisan[Brüt Ücret (₺)],MATCH($A656,tblCalisan[Çalışan Adı],0))*IF($B656="5 Puan İndirimi",BesPuanOrani,IF($B656="İlave İstihdam",IlaveIstihdamOrani,IF($B656="Kadın/Genç",KadinGencOrani,IF($B656="Engelli",EngelliOrani,GencGirisimciOrani)))))</f>
        <v/>
      </c>
      <c r="D656" s="22" t="str">
        <f aca="false">IF($C656="","",$C656*AySayisi)</f>
        <v/>
      </c>
      <c r="E656" s="23"/>
    </row>
    <row r="657" customFormat="false" ht="15" hidden="false" customHeight="false" outlineLevel="0" collapsed="false">
      <c r="A657" s="19"/>
      <c r="B657" s="23"/>
      <c r="C657" s="22" t="str">
        <f aca="false">IF(OR($A657="",$B657=""),"",INDEX(tblCalisan[Brüt Ücret (₺)],MATCH($A657,tblCalisan[Çalışan Adı],0))*IF($B657="5 Puan İndirimi",BesPuanOrani,IF($B657="İlave İstihdam",IlaveIstihdamOrani,IF($B657="Kadın/Genç",KadinGencOrani,IF($B657="Engelli",EngelliOrani,GencGirisimciOrani)))))</f>
        <v/>
      </c>
      <c r="D657" s="22" t="str">
        <f aca="false">IF($C657="","",$C657*AySayisi)</f>
        <v/>
      </c>
      <c r="E657" s="23"/>
    </row>
    <row r="658" customFormat="false" ht="15" hidden="false" customHeight="false" outlineLevel="0" collapsed="false">
      <c r="A658" s="19"/>
      <c r="B658" s="23"/>
      <c r="C658" s="22" t="str">
        <f aca="false">IF(OR($A658="",$B658=""),"",INDEX(tblCalisan[Brüt Ücret (₺)],MATCH($A658,tblCalisan[Çalışan Adı],0))*IF($B658="5 Puan İndirimi",BesPuanOrani,IF($B658="İlave İstihdam",IlaveIstihdamOrani,IF($B658="Kadın/Genç",KadinGencOrani,IF($B658="Engelli",EngelliOrani,GencGirisimciOrani)))))</f>
        <v/>
      </c>
      <c r="D658" s="22" t="str">
        <f aca="false">IF($C658="","",$C658*AySayisi)</f>
        <v/>
      </c>
      <c r="E658" s="23"/>
    </row>
    <row r="659" customFormat="false" ht="15" hidden="false" customHeight="false" outlineLevel="0" collapsed="false">
      <c r="A659" s="19"/>
      <c r="B659" s="23"/>
      <c r="C659" s="22" t="str">
        <f aca="false">IF(OR($A659="",$B659=""),"",INDEX(tblCalisan[Brüt Ücret (₺)],MATCH($A659,tblCalisan[Çalışan Adı],0))*IF($B659="5 Puan İndirimi",BesPuanOrani,IF($B659="İlave İstihdam",IlaveIstihdamOrani,IF($B659="Kadın/Genç",KadinGencOrani,IF($B659="Engelli",EngelliOrani,GencGirisimciOrani)))))</f>
        <v/>
      </c>
      <c r="D659" s="22" t="str">
        <f aca="false">IF($C659="","",$C659*AySayisi)</f>
        <v/>
      </c>
      <c r="E659" s="23"/>
    </row>
    <row r="660" customFormat="false" ht="15" hidden="false" customHeight="false" outlineLevel="0" collapsed="false">
      <c r="A660" s="19"/>
      <c r="B660" s="23"/>
      <c r="C660" s="22" t="str">
        <f aca="false">IF(OR($A660="",$B660=""),"",INDEX(tblCalisan[Brüt Ücret (₺)],MATCH($A660,tblCalisan[Çalışan Adı],0))*IF($B660="5 Puan İndirimi",BesPuanOrani,IF($B660="İlave İstihdam",IlaveIstihdamOrani,IF($B660="Kadın/Genç",KadinGencOrani,IF($B660="Engelli",EngelliOrani,GencGirisimciOrani)))))</f>
        <v/>
      </c>
      <c r="D660" s="22" t="str">
        <f aca="false">IF($C660="","",$C660*AySayisi)</f>
        <v/>
      </c>
      <c r="E660" s="23"/>
    </row>
    <row r="661" customFormat="false" ht="15" hidden="false" customHeight="false" outlineLevel="0" collapsed="false">
      <c r="A661" s="19"/>
      <c r="B661" s="23"/>
      <c r="C661" s="22" t="str">
        <f aca="false">IF(OR($A661="",$B661=""),"",INDEX(tblCalisan[Brüt Ücret (₺)],MATCH($A661,tblCalisan[Çalışan Adı],0))*IF($B661="5 Puan İndirimi",BesPuanOrani,IF($B661="İlave İstihdam",IlaveIstihdamOrani,IF($B661="Kadın/Genç",KadinGencOrani,IF($B661="Engelli",EngelliOrani,GencGirisimciOrani)))))</f>
        <v/>
      </c>
      <c r="D661" s="22" t="str">
        <f aca="false">IF($C661="","",$C661*AySayisi)</f>
        <v/>
      </c>
      <c r="E661" s="23"/>
    </row>
    <row r="662" customFormat="false" ht="15" hidden="false" customHeight="false" outlineLevel="0" collapsed="false">
      <c r="A662" s="19"/>
      <c r="B662" s="23"/>
      <c r="C662" s="22" t="str">
        <f aca="false">IF(OR($A662="",$B662=""),"",INDEX(tblCalisan[Brüt Ücret (₺)],MATCH($A662,tblCalisan[Çalışan Adı],0))*IF($B662="5 Puan İndirimi",BesPuanOrani,IF($B662="İlave İstihdam",IlaveIstihdamOrani,IF($B662="Kadın/Genç",KadinGencOrani,IF($B662="Engelli",EngelliOrani,GencGirisimciOrani)))))</f>
        <v/>
      </c>
      <c r="D662" s="22" t="str">
        <f aca="false">IF($C662="","",$C662*AySayisi)</f>
        <v/>
      </c>
      <c r="E662" s="23"/>
    </row>
    <row r="663" customFormat="false" ht="15" hidden="false" customHeight="false" outlineLevel="0" collapsed="false">
      <c r="A663" s="19"/>
      <c r="B663" s="23"/>
      <c r="C663" s="22" t="str">
        <f aca="false">IF(OR($A663="",$B663=""),"",INDEX(tblCalisan[Brüt Ücret (₺)],MATCH($A663,tblCalisan[Çalışan Adı],0))*IF($B663="5 Puan İndirimi",BesPuanOrani,IF($B663="İlave İstihdam",IlaveIstihdamOrani,IF($B663="Kadın/Genç",KadinGencOrani,IF($B663="Engelli",EngelliOrani,GencGirisimciOrani)))))</f>
        <v/>
      </c>
      <c r="D663" s="22" t="str">
        <f aca="false">IF($C663="","",$C663*AySayisi)</f>
        <v/>
      </c>
      <c r="E663" s="23"/>
    </row>
    <row r="664" customFormat="false" ht="15" hidden="false" customHeight="false" outlineLevel="0" collapsed="false">
      <c r="A664" s="19"/>
      <c r="B664" s="23"/>
      <c r="C664" s="22" t="str">
        <f aca="false">IF(OR($A664="",$B664=""),"",INDEX(tblCalisan[Brüt Ücret (₺)],MATCH($A664,tblCalisan[Çalışan Adı],0))*IF($B664="5 Puan İndirimi",BesPuanOrani,IF($B664="İlave İstihdam",IlaveIstihdamOrani,IF($B664="Kadın/Genç",KadinGencOrani,IF($B664="Engelli",EngelliOrani,GencGirisimciOrani)))))</f>
        <v/>
      </c>
      <c r="D664" s="22" t="str">
        <f aca="false">IF($C664="","",$C664*AySayisi)</f>
        <v/>
      </c>
      <c r="E664" s="23"/>
    </row>
    <row r="665" customFormat="false" ht="15" hidden="false" customHeight="false" outlineLevel="0" collapsed="false">
      <c r="A665" s="19"/>
      <c r="B665" s="23"/>
      <c r="C665" s="22" t="str">
        <f aca="false">IF(OR($A665="",$B665=""),"",INDEX(tblCalisan[Brüt Ücret (₺)],MATCH($A665,tblCalisan[Çalışan Adı],0))*IF($B665="5 Puan İndirimi",BesPuanOrani,IF($B665="İlave İstihdam",IlaveIstihdamOrani,IF($B665="Kadın/Genç",KadinGencOrani,IF($B665="Engelli",EngelliOrani,GencGirisimciOrani)))))</f>
        <v/>
      </c>
      <c r="D665" s="22" t="str">
        <f aca="false">IF($C665="","",$C665*AySayisi)</f>
        <v/>
      </c>
      <c r="E665" s="23"/>
    </row>
    <row r="666" customFormat="false" ht="15" hidden="false" customHeight="false" outlineLevel="0" collapsed="false">
      <c r="A666" s="19"/>
      <c r="B666" s="23"/>
      <c r="C666" s="22" t="str">
        <f aca="false">IF(OR($A666="",$B666=""),"",INDEX(tblCalisan[Brüt Ücret (₺)],MATCH($A666,tblCalisan[Çalışan Adı],0))*IF($B666="5 Puan İndirimi",BesPuanOrani,IF($B666="İlave İstihdam",IlaveIstihdamOrani,IF($B666="Kadın/Genç",KadinGencOrani,IF($B666="Engelli",EngelliOrani,GencGirisimciOrani)))))</f>
        <v/>
      </c>
      <c r="D666" s="22" t="str">
        <f aca="false">IF($C666="","",$C666*AySayisi)</f>
        <v/>
      </c>
      <c r="E666" s="23"/>
    </row>
    <row r="667" customFormat="false" ht="15" hidden="false" customHeight="false" outlineLevel="0" collapsed="false">
      <c r="A667" s="19"/>
      <c r="B667" s="23"/>
      <c r="C667" s="22" t="str">
        <f aca="false">IF(OR($A667="",$B667=""),"",INDEX(tblCalisan[Brüt Ücret (₺)],MATCH($A667,tblCalisan[Çalışan Adı],0))*IF($B667="5 Puan İndirimi",BesPuanOrani,IF($B667="İlave İstihdam",IlaveIstihdamOrani,IF($B667="Kadın/Genç",KadinGencOrani,IF($B667="Engelli",EngelliOrani,GencGirisimciOrani)))))</f>
        <v/>
      </c>
      <c r="D667" s="22" t="str">
        <f aca="false">IF($C667="","",$C667*AySayisi)</f>
        <v/>
      </c>
      <c r="E667" s="23"/>
    </row>
    <row r="668" customFormat="false" ht="15" hidden="false" customHeight="false" outlineLevel="0" collapsed="false">
      <c r="A668" s="19"/>
      <c r="B668" s="23"/>
      <c r="C668" s="22" t="str">
        <f aca="false">IF(OR($A668="",$B668=""),"",INDEX(tblCalisan[Brüt Ücret (₺)],MATCH($A668,tblCalisan[Çalışan Adı],0))*IF($B668="5 Puan İndirimi",BesPuanOrani,IF($B668="İlave İstihdam",IlaveIstihdamOrani,IF($B668="Kadın/Genç",KadinGencOrani,IF($B668="Engelli",EngelliOrani,GencGirisimciOrani)))))</f>
        <v/>
      </c>
      <c r="D668" s="22" t="str">
        <f aca="false">IF($C668="","",$C668*AySayisi)</f>
        <v/>
      </c>
      <c r="E668" s="23"/>
    </row>
    <row r="669" customFormat="false" ht="15" hidden="false" customHeight="false" outlineLevel="0" collapsed="false">
      <c r="A669" s="19"/>
      <c r="B669" s="23"/>
      <c r="C669" s="22" t="str">
        <f aca="false">IF(OR($A669="",$B669=""),"",INDEX(tblCalisan[Brüt Ücret (₺)],MATCH($A669,tblCalisan[Çalışan Adı],0))*IF($B669="5 Puan İndirimi",BesPuanOrani,IF($B669="İlave İstihdam",IlaveIstihdamOrani,IF($B669="Kadın/Genç",KadinGencOrani,IF($B669="Engelli",EngelliOrani,GencGirisimciOrani)))))</f>
        <v/>
      </c>
      <c r="D669" s="22" t="str">
        <f aca="false">IF($C669="","",$C669*AySayisi)</f>
        <v/>
      </c>
      <c r="E669" s="23"/>
    </row>
    <row r="670" customFormat="false" ht="15" hidden="false" customHeight="false" outlineLevel="0" collapsed="false">
      <c r="A670" s="19"/>
      <c r="B670" s="23"/>
      <c r="C670" s="22" t="str">
        <f aca="false">IF(OR($A670="",$B670=""),"",INDEX(tblCalisan[Brüt Ücret (₺)],MATCH($A670,tblCalisan[Çalışan Adı],0))*IF($B670="5 Puan İndirimi",BesPuanOrani,IF($B670="İlave İstihdam",IlaveIstihdamOrani,IF($B670="Kadın/Genç",KadinGencOrani,IF($B670="Engelli",EngelliOrani,GencGirisimciOrani)))))</f>
        <v/>
      </c>
      <c r="D670" s="22" t="str">
        <f aca="false">IF($C670="","",$C670*AySayisi)</f>
        <v/>
      </c>
      <c r="E670" s="23"/>
    </row>
    <row r="671" customFormat="false" ht="15" hidden="false" customHeight="false" outlineLevel="0" collapsed="false">
      <c r="A671" s="19"/>
      <c r="B671" s="23"/>
      <c r="C671" s="22" t="str">
        <f aca="false">IF(OR($A671="",$B671=""),"",INDEX(tblCalisan[Brüt Ücret (₺)],MATCH($A671,tblCalisan[Çalışan Adı],0))*IF($B671="5 Puan İndirimi",BesPuanOrani,IF($B671="İlave İstihdam",IlaveIstihdamOrani,IF($B671="Kadın/Genç",KadinGencOrani,IF($B671="Engelli",EngelliOrani,GencGirisimciOrani)))))</f>
        <v/>
      </c>
      <c r="D671" s="22" t="str">
        <f aca="false">IF($C671="","",$C671*AySayisi)</f>
        <v/>
      </c>
      <c r="E671" s="23"/>
    </row>
    <row r="672" customFormat="false" ht="15" hidden="false" customHeight="false" outlineLevel="0" collapsed="false">
      <c r="A672" s="19"/>
      <c r="B672" s="23"/>
      <c r="C672" s="22" t="str">
        <f aca="false">IF(OR($A672="",$B672=""),"",INDEX(tblCalisan[Brüt Ücret (₺)],MATCH($A672,tblCalisan[Çalışan Adı],0))*IF($B672="5 Puan İndirimi",BesPuanOrani,IF($B672="İlave İstihdam",IlaveIstihdamOrani,IF($B672="Kadın/Genç",KadinGencOrani,IF($B672="Engelli",EngelliOrani,GencGirisimciOrani)))))</f>
        <v/>
      </c>
      <c r="D672" s="22" t="str">
        <f aca="false">IF($C672="","",$C672*AySayisi)</f>
        <v/>
      </c>
      <c r="E672" s="23"/>
    </row>
    <row r="673" customFormat="false" ht="15" hidden="false" customHeight="false" outlineLevel="0" collapsed="false">
      <c r="A673" s="19"/>
      <c r="B673" s="23"/>
      <c r="C673" s="22" t="str">
        <f aca="false">IF(OR($A673="",$B673=""),"",INDEX(tblCalisan[Brüt Ücret (₺)],MATCH($A673,tblCalisan[Çalışan Adı],0))*IF($B673="5 Puan İndirimi",BesPuanOrani,IF($B673="İlave İstihdam",IlaveIstihdamOrani,IF($B673="Kadın/Genç",KadinGencOrani,IF($B673="Engelli",EngelliOrani,GencGirisimciOrani)))))</f>
        <v/>
      </c>
      <c r="D673" s="22" t="str">
        <f aca="false">IF($C673="","",$C673*AySayisi)</f>
        <v/>
      </c>
      <c r="E673" s="23"/>
    </row>
    <row r="674" customFormat="false" ht="15" hidden="false" customHeight="false" outlineLevel="0" collapsed="false">
      <c r="A674" s="19"/>
      <c r="B674" s="23"/>
      <c r="C674" s="22" t="str">
        <f aca="false">IF(OR($A674="",$B674=""),"",INDEX(tblCalisan[Brüt Ücret (₺)],MATCH($A674,tblCalisan[Çalışan Adı],0))*IF($B674="5 Puan İndirimi",BesPuanOrani,IF($B674="İlave İstihdam",IlaveIstihdamOrani,IF($B674="Kadın/Genç",KadinGencOrani,IF($B674="Engelli",EngelliOrani,GencGirisimciOrani)))))</f>
        <v/>
      </c>
      <c r="D674" s="22" t="str">
        <f aca="false">IF($C674="","",$C674*AySayisi)</f>
        <v/>
      </c>
      <c r="E674" s="23"/>
    </row>
    <row r="675" customFormat="false" ht="15" hidden="false" customHeight="false" outlineLevel="0" collapsed="false">
      <c r="A675" s="19"/>
      <c r="B675" s="23"/>
      <c r="C675" s="22" t="str">
        <f aca="false">IF(OR($A675="",$B675=""),"",INDEX(tblCalisan[Brüt Ücret (₺)],MATCH($A675,tblCalisan[Çalışan Adı],0))*IF($B675="5 Puan İndirimi",BesPuanOrani,IF($B675="İlave İstihdam",IlaveIstihdamOrani,IF($B675="Kadın/Genç",KadinGencOrani,IF($B675="Engelli",EngelliOrani,GencGirisimciOrani)))))</f>
        <v/>
      </c>
      <c r="D675" s="22" t="str">
        <f aca="false">IF($C675="","",$C675*AySayisi)</f>
        <v/>
      </c>
      <c r="E675" s="23"/>
    </row>
    <row r="676" customFormat="false" ht="15" hidden="false" customHeight="false" outlineLevel="0" collapsed="false">
      <c r="A676" s="19"/>
      <c r="B676" s="23"/>
      <c r="C676" s="22" t="str">
        <f aca="false">IF(OR($A676="",$B676=""),"",INDEX(tblCalisan[Brüt Ücret (₺)],MATCH($A676,tblCalisan[Çalışan Adı],0))*IF($B676="5 Puan İndirimi",BesPuanOrani,IF($B676="İlave İstihdam",IlaveIstihdamOrani,IF($B676="Kadın/Genç",KadinGencOrani,IF($B676="Engelli",EngelliOrani,GencGirisimciOrani)))))</f>
        <v/>
      </c>
      <c r="D676" s="22" t="str">
        <f aca="false">IF($C676="","",$C676*AySayisi)</f>
        <v/>
      </c>
      <c r="E676" s="23"/>
    </row>
    <row r="677" customFormat="false" ht="15" hidden="false" customHeight="false" outlineLevel="0" collapsed="false">
      <c r="A677" s="19"/>
      <c r="B677" s="23"/>
      <c r="C677" s="22" t="str">
        <f aca="false">IF(OR($A677="",$B677=""),"",INDEX(tblCalisan[Brüt Ücret (₺)],MATCH($A677,tblCalisan[Çalışan Adı],0))*IF($B677="5 Puan İndirimi",BesPuanOrani,IF($B677="İlave İstihdam",IlaveIstihdamOrani,IF($B677="Kadın/Genç",KadinGencOrani,IF($B677="Engelli",EngelliOrani,GencGirisimciOrani)))))</f>
        <v/>
      </c>
      <c r="D677" s="22" t="str">
        <f aca="false">IF($C677="","",$C677*AySayisi)</f>
        <v/>
      </c>
      <c r="E677" s="23"/>
    </row>
    <row r="678" customFormat="false" ht="15" hidden="false" customHeight="false" outlineLevel="0" collapsed="false">
      <c r="A678" s="19"/>
      <c r="B678" s="23"/>
      <c r="C678" s="22" t="str">
        <f aca="false">IF(OR($A678="",$B678=""),"",INDEX(tblCalisan[Brüt Ücret (₺)],MATCH($A678,tblCalisan[Çalışan Adı],0))*IF($B678="5 Puan İndirimi",BesPuanOrani,IF($B678="İlave İstihdam",IlaveIstihdamOrani,IF($B678="Kadın/Genç",KadinGencOrani,IF($B678="Engelli",EngelliOrani,GencGirisimciOrani)))))</f>
        <v/>
      </c>
      <c r="D678" s="22" t="str">
        <f aca="false">IF($C678="","",$C678*AySayisi)</f>
        <v/>
      </c>
      <c r="E678" s="23"/>
    </row>
    <row r="679" customFormat="false" ht="15" hidden="false" customHeight="false" outlineLevel="0" collapsed="false">
      <c r="A679" s="19"/>
      <c r="B679" s="23"/>
      <c r="C679" s="22" t="str">
        <f aca="false">IF(OR($A679="",$B679=""),"",INDEX(tblCalisan[Brüt Ücret (₺)],MATCH($A679,tblCalisan[Çalışan Adı],0))*IF($B679="5 Puan İndirimi",BesPuanOrani,IF($B679="İlave İstihdam",IlaveIstihdamOrani,IF($B679="Kadın/Genç",KadinGencOrani,IF($B679="Engelli",EngelliOrani,GencGirisimciOrani)))))</f>
        <v/>
      </c>
      <c r="D679" s="22" t="str">
        <f aca="false">IF($C679="","",$C679*AySayisi)</f>
        <v/>
      </c>
      <c r="E679" s="23"/>
    </row>
    <row r="680" customFormat="false" ht="15" hidden="false" customHeight="false" outlineLevel="0" collapsed="false">
      <c r="A680" s="19"/>
      <c r="B680" s="23"/>
      <c r="C680" s="22" t="str">
        <f aca="false">IF(OR($A680="",$B680=""),"",INDEX(tblCalisan[Brüt Ücret (₺)],MATCH($A680,tblCalisan[Çalışan Adı],0))*IF($B680="5 Puan İndirimi",BesPuanOrani,IF($B680="İlave İstihdam",IlaveIstihdamOrani,IF($B680="Kadın/Genç",KadinGencOrani,IF($B680="Engelli",EngelliOrani,GencGirisimciOrani)))))</f>
        <v/>
      </c>
      <c r="D680" s="22" t="str">
        <f aca="false">IF($C680="","",$C680*AySayisi)</f>
        <v/>
      </c>
      <c r="E680" s="23"/>
    </row>
    <row r="681" customFormat="false" ht="15" hidden="false" customHeight="false" outlineLevel="0" collapsed="false">
      <c r="A681" s="19"/>
      <c r="B681" s="23"/>
      <c r="C681" s="22" t="str">
        <f aca="false">IF(OR($A681="",$B681=""),"",INDEX(tblCalisan[Brüt Ücret (₺)],MATCH($A681,tblCalisan[Çalışan Adı],0))*IF($B681="5 Puan İndirimi",BesPuanOrani,IF($B681="İlave İstihdam",IlaveIstihdamOrani,IF($B681="Kadın/Genç",KadinGencOrani,IF($B681="Engelli",EngelliOrani,GencGirisimciOrani)))))</f>
        <v/>
      </c>
      <c r="D681" s="22" t="str">
        <f aca="false">IF($C681="","",$C681*AySayisi)</f>
        <v/>
      </c>
      <c r="E681" s="23"/>
    </row>
    <row r="682" customFormat="false" ht="15" hidden="false" customHeight="false" outlineLevel="0" collapsed="false">
      <c r="A682" s="19"/>
      <c r="B682" s="23"/>
      <c r="C682" s="22" t="str">
        <f aca="false">IF(OR($A682="",$B682=""),"",INDEX(tblCalisan[Brüt Ücret (₺)],MATCH($A682,tblCalisan[Çalışan Adı],0))*IF($B682="5 Puan İndirimi",BesPuanOrani,IF($B682="İlave İstihdam",IlaveIstihdamOrani,IF($B682="Kadın/Genç",KadinGencOrani,IF($B682="Engelli",EngelliOrani,GencGirisimciOrani)))))</f>
        <v/>
      </c>
      <c r="D682" s="22" t="str">
        <f aca="false">IF($C682="","",$C682*AySayisi)</f>
        <v/>
      </c>
      <c r="E682" s="23"/>
    </row>
    <row r="683" customFormat="false" ht="15" hidden="false" customHeight="false" outlineLevel="0" collapsed="false">
      <c r="A683" s="19"/>
      <c r="B683" s="23"/>
      <c r="C683" s="22" t="str">
        <f aca="false">IF(OR($A683="",$B683=""),"",INDEX(tblCalisan[Brüt Ücret (₺)],MATCH($A683,tblCalisan[Çalışan Adı],0))*IF($B683="5 Puan İndirimi",BesPuanOrani,IF($B683="İlave İstihdam",IlaveIstihdamOrani,IF($B683="Kadın/Genç",KadinGencOrani,IF($B683="Engelli",EngelliOrani,GencGirisimciOrani)))))</f>
        <v/>
      </c>
      <c r="D683" s="22" t="str">
        <f aca="false">IF($C683="","",$C683*AySayisi)</f>
        <v/>
      </c>
      <c r="E683" s="23"/>
    </row>
    <row r="684" customFormat="false" ht="15" hidden="false" customHeight="false" outlineLevel="0" collapsed="false">
      <c r="A684" s="19"/>
      <c r="B684" s="23"/>
      <c r="C684" s="22" t="str">
        <f aca="false">IF(OR($A684="",$B684=""),"",INDEX(tblCalisan[Brüt Ücret (₺)],MATCH($A684,tblCalisan[Çalışan Adı],0))*IF($B684="5 Puan İndirimi",BesPuanOrani,IF($B684="İlave İstihdam",IlaveIstihdamOrani,IF($B684="Kadın/Genç",KadinGencOrani,IF($B684="Engelli",EngelliOrani,GencGirisimciOrani)))))</f>
        <v/>
      </c>
      <c r="D684" s="22" t="str">
        <f aca="false">IF($C684="","",$C684*AySayisi)</f>
        <v/>
      </c>
      <c r="E684" s="23"/>
    </row>
    <row r="685" customFormat="false" ht="15" hidden="false" customHeight="false" outlineLevel="0" collapsed="false">
      <c r="A685" s="19"/>
      <c r="B685" s="23"/>
      <c r="C685" s="22" t="str">
        <f aca="false">IF(OR($A685="",$B685=""),"",INDEX(tblCalisan[Brüt Ücret (₺)],MATCH($A685,tblCalisan[Çalışan Adı],0))*IF($B685="5 Puan İndirimi",BesPuanOrani,IF($B685="İlave İstihdam",IlaveIstihdamOrani,IF($B685="Kadın/Genç",KadinGencOrani,IF($B685="Engelli",EngelliOrani,GencGirisimciOrani)))))</f>
        <v/>
      </c>
      <c r="D685" s="22" t="str">
        <f aca="false">IF($C685="","",$C685*AySayisi)</f>
        <v/>
      </c>
      <c r="E685" s="23"/>
    </row>
    <row r="686" customFormat="false" ht="15" hidden="false" customHeight="false" outlineLevel="0" collapsed="false">
      <c r="A686" s="19"/>
      <c r="B686" s="23"/>
      <c r="C686" s="22" t="str">
        <f aca="false">IF(OR($A686="",$B686=""),"",INDEX(tblCalisan[Brüt Ücret (₺)],MATCH($A686,tblCalisan[Çalışan Adı],0))*IF($B686="5 Puan İndirimi",BesPuanOrani,IF($B686="İlave İstihdam",IlaveIstihdamOrani,IF($B686="Kadın/Genç",KadinGencOrani,IF($B686="Engelli",EngelliOrani,GencGirisimciOrani)))))</f>
        <v/>
      </c>
      <c r="D686" s="22" t="str">
        <f aca="false">IF($C686="","",$C686*AySayisi)</f>
        <v/>
      </c>
      <c r="E686" s="23"/>
    </row>
    <row r="687" customFormat="false" ht="15" hidden="false" customHeight="false" outlineLevel="0" collapsed="false">
      <c r="A687" s="19"/>
      <c r="B687" s="23"/>
      <c r="C687" s="22" t="str">
        <f aca="false">IF(OR($A687="",$B687=""),"",INDEX(tblCalisan[Brüt Ücret (₺)],MATCH($A687,tblCalisan[Çalışan Adı],0))*IF($B687="5 Puan İndirimi",BesPuanOrani,IF($B687="İlave İstihdam",IlaveIstihdamOrani,IF($B687="Kadın/Genç",KadinGencOrani,IF($B687="Engelli",EngelliOrani,GencGirisimciOrani)))))</f>
        <v/>
      </c>
      <c r="D687" s="22" t="str">
        <f aca="false">IF($C687="","",$C687*AySayisi)</f>
        <v/>
      </c>
      <c r="E687" s="23"/>
    </row>
    <row r="688" customFormat="false" ht="15" hidden="false" customHeight="false" outlineLevel="0" collapsed="false">
      <c r="A688" s="19"/>
      <c r="B688" s="23"/>
      <c r="C688" s="22" t="str">
        <f aca="false">IF(OR($A688="",$B688=""),"",INDEX(tblCalisan[Brüt Ücret (₺)],MATCH($A688,tblCalisan[Çalışan Adı],0))*IF($B688="5 Puan İndirimi",BesPuanOrani,IF($B688="İlave İstihdam",IlaveIstihdamOrani,IF($B688="Kadın/Genç",KadinGencOrani,IF($B688="Engelli",EngelliOrani,GencGirisimciOrani)))))</f>
        <v/>
      </c>
      <c r="D688" s="22" t="str">
        <f aca="false">IF($C688="","",$C688*AySayisi)</f>
        <v/>
      </c>
      <c r="E688" s="23"/>
    </row>
    <row r="689" customFormat="false" ht="15" hidden="false" customHeight="false" outlineLevel="0" collapsed="false">
      <c r="A689" s="19"/>
      <c r="B689" s="23"/>
      <c r="C689" s="22" t="str">
        <f aca="false">IF(OR($A689="",$B689=""),"",INDEX(tblCalisan[Brüt Ücret (₺)],MATCH($A689,tblCalisan[Çalışan Adı],0))*IF($B689="5 Puan İndirimi",BesPuanOrani,IF($B689="İlave İstihdam",IlaveIstihdamOrani,IF($B689="Kadın/Genç",KadinGencOrani,IF($B689="Engelli",EngelliOrani,GencGirisimciOrani)))))</f>
        <v/>
      </c>
      <c r="D689" s="22" t="str">
        <f aca="false">IF($C689="","",$C689*AySayisi)</f>
        <v/>
      </c>
      <c r="E689" s="23"/>
    </row>
    <row r="690" customFormat="false" ht="15" hidden="false" customHeight="false" outlineLevel="0" collapsed="false">
      <c r="A690" s="19"/>
      <c r="B690" s="23"/>
      <c r="C690" s="22" t="str">
        <f aca="false">IF(OR($A690="",$B690=""),"",INDEX(tblCalisan[Brüt Ücret (₺)],MATCH($A690,tblCalisan[Çalışan Adı],0))*IF($B690="5 Puan İndirimi",BesPuanOrani,IF($B690="İlave İstihdam",IlaveIstihdamOrani,IF($B690="Kadın/Genç",KadinGencOrani,IF($B690="Engelli",EngelliOrani,GencGirisimciOrani)))))</f>
        <v/>
      </c>
      <c r="D690" s="22" t="str">
        <f aca="false">IF($C690="","",$C690*AySayisi)</f>
        <v/>
      </c>
      <c r="E690" s="23"/>
    </row>
    <row r="691" customFormat="false" ht="15" hidden="false" customHeight="false" outlineLevel="0" collapsed="false">
      <c r="A691" s="19"/>
      <c r="B691" s="23"/>
      <c r="C691" s="22" t="str">
        <f aca="false">IF(OR($A691="",$B691=""),"",INDEX(tblCalisan[Brüt Ücret (₺)],MATCH($A691,tblCalisan[Çalışan Adı],0))*IF($B691="5 Puan İndirimi",BesPuanOrani,IF($B691="İlave İstihdam",IlaveIstihdamOrani,IF($B691="Kadın/Genç",KadinGencOrani,IF($B691="Engelli",EngelliOrani,GencGirisimciOrani)))))</f>
        <v/>
      </c>
      <c r="D691" s="22" t="str">
        <f aca="false">IF($C691="","",$C691*AySayisi)</f>
        <v/>
      </c>
      <c r="E691" s="23"/>
    </row>
    <row r="692" customFormat="false" ht="15" hidden="false" customHeight="false" outlineLevel="0" collapsed="false">
      <c r="A692" s="19"/>
      <c r="B692" s="23"/>
      <c r="C692" s="22" t="str">
        <f aca="false">IF(OR($A692="",$B692=""),"",INDEX(tblCalisan[Brüt Ücret (₺)],MATCH($A692,tblCalisan[Çalışan Adı],0))*IF($B692="5 Puan İndirimi",BesPuanOrani,IF($B692="İlave İstihdam",IlaveIstihdamOrani,IF($B692="Kadın/Genç",KadinGencOrani,IF($B692="Engelli",EngelliOrani,GencGirisimciOrani)))))</f>
        <v/>
      </c>
      <c r="D692" s="22" t="str">
        <f aca="false">IF($C692="","",$C692*AySayisi)</f>
        <v/>
      </c>
      <c r="E692" s="23"/>
    </row>
    <row r="693" customFormat="false" ht="15" hidden="false" customHeight="false" outlineLevel="0" collapsed="false">
      <c r="A693" s="19"/>
      <c r="B693" s="23"/>
      <c r="C693" s="22" t="str">
        <f aca="false">IF(OR($A693="",$B693=""),"",INDEX(tblCalisan[Brüt Ücret (₺)],MATCH($A693,tblCalisan[Çalışan Adı],0))*IF($B693="5 Puan İndirimi",BesPuanOrani,IF($B693="İlave İstihdam",IlaveIstihdamOrani,IF($B693="Kadın/Genç",KadinGencOrani,IF($B693="Engelli",EngelliOrani,GencGirisimciOrani)))))</f>
        <v/>
      </c>
      <c r="D693" s="22" t="str">
        <f aca="false">IF($C693="","",$C693*AySayisi)</f>
        <v/>
      </c>
      <c r="E693" s="23"/>
    </row>
    <row r="694" customFormat="false" ht="15" hidden="false" customHeight="false" outlineLevel="0" collapsed="false">
      <c r="A694" s="19"/>
      <c r="B694" s="23"/>
      <c r="C694" s="22" t="str">
        <f aca="false">IF(OR($A694="",$B694=""),"",INDEX(tblCalisan[Brüt Ücret (₺)],MATCH($A694,tblCalisan[Çalışan Adı],0))*IF($B694="5 Puan İndirimi",BesPuanOrani,IF($B694="İlave İstihdam",IlaveIstihdamOrani,IF($B694="Kadın/Genç",KadinGencOrani,IF($B694="Engelli",EngelliOrani,GencGirisimciOrani)))))</f>
        <v/>
      </c>
      <c r="D694" s="22" t="str">
        <f aca="false">IF($C694="","",$C694*AySayisi)</f>
        <v/>
      </c>
      <c r="E694" s="23"/>
    </row>
    <row r="695" customFormat="false" ht="15" hidden="false" customHeight="false" outlineLevel="0" collapsed="false">
      <c r="A695" s="19"/>
      <c r="B695" s="23"/>
      <c r="C695" s="22" t="str">
        <f aca="false">IF(OR($A695="",$B695=""),"",INDEX(tblCalisan[Brüt Ücret (₺)],MATCH($A695,tblCalisan[Çalışan Adı],0))*IF($B695="5 Puan İndirimi",BesPuanOrani,IF($B695="İlave İstihdam",IlaveIstihdamOrani,IF($B695="Kadın/Genç",KadinGencOrani,IF($B695="Engelli",EngelliOrani,GencGirisimciOrani)))))</f>
        <v/>
      </c>
      <c r="D695" s="22" t="str">
        <f aca="false">IF($C695="","",$C695*AySayisi)</f>
        <v/>
      </c>
      <c r="E695" s="23"/>
    </row>
    <row r="696" customFormat="false" ht="15" hidden="false" customHeight="false" outlineLevel="0" collapsed="false">
      <c r="A696" s="19"/>
      <c r="B696" s="23"/>
      <c r="C696" s="22" t="str">
        <f aca="false">IF(OR($A696="",$B696=""),"",INDEX(tblCalisan[Brüt Ücret (₺)],MATCH($A696,tblCalisan[Çalışan Adı],0))*IF($B696="5 Puan İndirimi",BesPuanOrani,IF($B696="İlave İstihdam",IlaveIstihdamOrani,IF($B696="Kadın/Genç",KadinGencOrani,IF($B696="Engelli",EngelliOrani,GencGirisimciOrani)))))</f>
        <v/>
      </c>
      <c r="D696" s="22" t="str">
        <f aca="false">IF($C696="","",$C696*AySayisi)</f>
        <v/>
      </c>
      <c r="E696" s="23"/>
    </row>
    <row r="697" customFormat="false" ht="15" hidden="false" customHeight="false" outlineLevel="0" collapsed="false">
      <c r="A697" s="19"/>
      <c r="B697" s="23"/>
      <c r="C697" s="22" t="str">
        <f aca="false">IF(OR($A697="",$B697=""),"",INDEX(tblCalisan[Brüt Ücret (₺)],MATCH($A697,tblCalisan[Çalışan Adı],0))*IF($B697="5 Puan İndirimi",BesPuanOrani,IF($B697="İlave İstihdam",IlaveIstihdamOrani,IF($B697="Kadın/Genç",KadinGencOrani,IF($B697="Engelli",EngelliOrani,GencGirisimciOrani)))))</f>
        <v/>
      </c>
      <c r="D697" s="22" t="str">
        <f aca="false">IF($C697="","",$C697*AySayisi)</f>
        <v/>
      </c>
      <c r="E697" s="23"/>
    </row>
    <row r="698" customFormat="false" ht="15" hidden="false" customHeight="false" outlineLevel="0" collapsed="false">
      <c r="A698" s="19"/>
      <c r="B698" s="23"/>
      <c r="C698" s="22" t="str">
        <f aca="false">IF(OR($A698="",$B698=""),"",INDEX(tblCalisan[Brüt Ücret (₺)],MATCH($A698,tblCalisan[Çalışan Adı],0))*IF($B698="5 Puan İndirimi",BesPuanOrani,IF($B698="İlave İstihdam",IlaveIstihdamOrani,IF($B698="Kadın/Genç",KadinGencOrani,IF($B698="Engelli",EngelliOrani,GencGirisimciOrani)))))</f>
        <v/>
      </c>
      <c r="D698" s="22" t="str">
        <f aca="false">IF($C698="","",$C698*AySayisi)</f>
        <v/>
      </c>
      <c r="E698" s="23"/>
    </row>
    <row r="699" customFormat="false" ht="15" hidden="false" customHeight="false" outlineLevel="0" collapsed="false">
      <c r="A699" s="19"/>
      <c r="B699" s="23"/>
      <c r="C699" s="22" t="str">
        <f aca="false">IF(OR($A699="",$B699=""),"",INDEX(tblCalisan[Brüt Ücret (₺)],MATCH($A699,tblCalisan[Çalışan Adı],0))*IF($B699="5 Puan İndirimi",BesPuanOrani,IF($B699="İlave İstihdam",IlaveIstihdamOrani,IF($B699="Kadın/Genç",KadinGencOrani,IF($B699="Engelli",EngelliOrani,GencGirisimciOrani)))))</f>
        <v/>
      </c>
      <c r="D699" s="22" t="str">
        <f aca="false">IF($C699="","",$C699*AySayisi)</f>
        <v/>
      </c>
      <c r="E699" s="23"/>
    </row>
    <row r="700" customFormat="false" ht="15" hidden="false" customHeight="false" outlineLevel="0" collapsed="false">
      <c r="A700" s="19"/>
      <c r="B700" s="23"/>
      <c r="C700" s="22" t="str">
        <f aca="false">IF(OR($A700="",$B700=""),"",INDEX(tblCalisan[Brüt Ücret (₺)],MATCH($A700,tblCalisan[Çalışan Adı],0))*IF($B700="5 Puan İndirimi",BesPuanOrani,IF($B700="İlave İstihdam",IlaveIstihdamOrani,IF($B700="Kadın/Genç",KadinGencOrani,IF($B700="Engelli",EngelliOrani,GencGirisimciOrani)))))</f>
        <v/>
      </c>
      <c r="D700" s="22" t="str">
        <f aca="false">IF($C700="","",$C700*AySayisi)</f>
        <v/>
      </c>
      <c r="E700" s="23"/>
    </row>
    <row r="701" customFormat="false" ht="15" hidden="false" customHeight="false" outlineLevel="0" collapsed="false">
      <c r="A701" s="19"/>
      <c r="B701" s="23"/>
      <c r="C701" s="22" t="str">
        <f aca="false">IF(OR($A701="",$B701=""),"",INDEX(tblCalisan[Brüt Ücret (₺)],MATCH($A701,tblCalisan[Çalışan Adı],0))*IF($B701="5 Puan İndirimi",BesPuanOrani,IF($B701="İlave İstihdam",IlaveIstihdamOrani,IF($B701="Kadın/Genç",KadinGencOrani,IF($B701="Engelli",EngelliOrani,GencGirisimciOrani)))))</f>
        <v/>
      </c>
      <c r="D701" s="22" t="str">
        <f aca="false">IF($C701="","",$C701*AySayisi)</f>
        <v/>
      </c>
      <c r="E701" s="23"/>
    </row>
    <row r="702" customFormat="false" ht="15" hidden="false" customHeight="false" outlineLevel="0" collapsed="false">
      <c r="A702" s="19"/>
      <c r="B702" s="23"/>
      <c r="C702" s="22" t="str">
        <f aca="false">IF(OR($A702="",$B702=""),"",INDEX(tblCalisan[Brüt Ücret (₺)],MATCH($A702,tblCalisan[Çalışan Adı],0))*IF($B702="5 Puan İndirimi",BesPuanOrani,IF($B702="İlave İstihdam",IlaveIstihdamOrani,IF($B702="Kadın/Genç",KadinGencOrani,IF($B702="Engelli",EngelliOrani,GencGirisimciOrani)))))</f>
        <v/>
      </c>
      <c r="D702" s="22" t="str">
        <f aca="false">IF($C702="","",$C702*AySayisi)</f>
        <v/>
      </c>
      <c r="E702" s="23"/>
    </row>
    <row r="703" customFormat="false" ht="15" hidden="false" customHeight="false" outlineLevel="0" collapsed="false">
      <c r="A703" s="19"/>
      <c r="B703" s="23"/>
      <c r="C703" s="22" t="str">
        <f aca="false">IF(OR($A703="",$B703=""),"",INDEX(tblCalisan[Brüt Ücret (₺)],MATCH($A703,tblCalisan[Çalışan Adı],0))*IF($B703="5 Puan İndirimi",BesPuanOrani,IF($B703="İlave İstihdam",IlaveIstihdamOrani,IF($B703="Kadın/Genç",KadinGencOrani,IF($B703="Engelli",EngelliOrani,GencGirisimciOrani)))))</f>
        <v/>
      </c>
      <c r="D703" s="22" t="str">
        <f aca="false">IF($C703="","",$C703*AySayisi)</f>
        <v/>
      </c>
      <c r="E703" s="23"/>
    </row>
    <row r="704" customFormat="false" ht="15" hidden="false" customHeight="false" outlineLevel="0" collapsed="false">
      <c r="A704" s="19"/>
      <c r="B704" s="23"/>
      <c r="C704" s="22" t="str">
        <f aca="false">IF(OR($A704="",$B704=""),"",INDEX(tblCalisan[Brüt Ücret (₺)],MATCH($A704,tblCalisan[Çalışan Adı],0))*IF($B704="5 Puan İndirimi",BesPuanOrani,IF($B704="İlave İstihdam",IlaveIstihdamOrani,IF($B704="Kadın/Genç",KadinGencOrani,IF($B704="Engelli",EngelliOrani,GencGirisimciOrani)))))</f>
        <v/>
      </c>
      <c r="D704" s="22" t="str">
        <f aca="false">IF($C704="","",$C704*AySayisi)</f>
        <v/>
      </c>
      <c r="E704" s="23"/>
    </row>
    <row r="705" customFormat="false" ht="15" hidden="false" customHeight="false" outlineLevel="0" collapsed="false">
      <c r="A705" s="19"/>
      <c r="B705" s="23"/>
      <c r="C705" s="22" t="str">
        <f aca="false">IF(OR($A705="",$B705=""),"",INDEX(tblCalisan[Brüt Ücret (₺)],MATCH($A705,tblCalisan[Çalışan Adı],0))*IF($B705="5 Puan İndirimi",BesPuanOrani,IF($B705="İlave İstihdam",IlaveIstihdamOrani,IF($B705="Kadın/Genç",KadinGencOrani,IF($B705="Engelli",EngelliOrani,GencGirisimciOrani)))))</f>
        <v/>
      </c>
      <c r="D705" s="22" t="str">
        <f aca="false">IF($C705="","",$C705*AySayisi)</f>
        <v/>
      </c>
      <c r="E705" s="23"/>
    </row>
    <row r="706" customFormat="false" ht="15" hidden="false" customHeight="false" outlineLevel="0" collapsed="false">
      <c r="A706" s="19"/>
      <c r="B706" s="23"/>
      <c r="C706" s="22" t="str">
        <f aca="false">IF(OR($A706="",$B706=""),"",INDEX(tblCalisan[Brüt Ücret (₺)],MATCH($A706,tblCalisan[Çalışan Adı],0))*IF($B706="5 Puan İndirimi",BesPuanOrani,IF($B706="İlave İstihdam",IlaveIstihdamOrani,IF($B706="Kadın/Genç",KadinGencOrani,IF($B706="Engelli",EngelliOrani,GencGirisimciOrani)))))</f>
        <v/>
      </c>
      <c r="D706" s="22" t="str">
        <f aca="false">IF($C706="","",$C706*AySayisi)</f>
        <v/>
      </c>
      <c r="E706" s="23"/>
    </row>
    <row r="707" customFormat="false" ht="15" hidden="false" customHeight="false" outlineLevel="0" collapsed="false">
      <c r="A707" s="19"/>
      <c r="B707" s="23"/>
      <c r="C707" s="22" t="str">
        <f aca="false">IF(OR($A707="",$B707=""),"",INDEX(tblCalisan[Brüt Ücret (₺)],MATCH($A707,tblCalisan[Çalışan Adı],0))*IF($B707="5 Puan İndirimi",BesPuanOrani,IF($B707="İlave İstihdam",IlaveIstihdamOrani,IF($B707="Kadın/Genç",KadinGencOrani,IF($B707="Engelli",EngelliOrani,GencGirisimciOrani)))))</f>
        <v/>
      </c>
      <c r="D707" s="22" t="str">
        <f aca="false">IF($C707="","",$C707*AySayisi)</f>
        <v/>
      </c>
      <c r="E707" s="23"/>
    </row>
    <row r="708" customFormat="false" ht="15" hidden="false" customHeight="false" outlineLevel="0" collapsed="false">
      <c r="A708" s="19"/>
      <c r="B708" s="23"/>
      <c r="C708" s="22" t="str">
        <f aca="false">IF(OR($A708="",$B708=""),"",INDEX(tblCalisan[Brüt Ücret (₺)],MATCH($A708,tblCalisan[Çalışan Adı],0))*IF($B708="5 Puan İndirimi",BesPuanOrani,IF($B708="İlave İstihdam",IlaveIstihdamOrani,IF($B708="Kadın/Genç",KadinGencOrani,IF($B708="Engelli",EngelliOrani,GencGirisimciOrani)))))</f>
        <v/>
      </c>
      <c r="D708" s="22" t="str">
        <f aca="false">IF($C708="","",$C708*AySayisi)</f>
        <v/>
      </c>
      <c r="E708" s="23"/>
    </row>
    <row r="709" customFormat="false" ht="15" hidden="false" customHeight="false" outlineLevel="0" collapsed="false">
      <c r="A709" s="19"/>
      <c r="B709" s="23"/>
      <c r="C709" s="22" t="str">
        <f aca="false">IF(OR($A709="",$B709=""),"",INDEX(tblCalisan[Brüt Ücret (₺)],MATCH($A709,tblCalisan[Çalışan Adı],0))*IF($B709="5 Puan İndirimi",BesPuanOrani,IF($B709="İlave İstihdam",IlaveIstihdamOrani,IF($B709="Kadın/Genç",KadinGencOrani,IF($B709="Engelli",EngelliOrani,GencGirisimciOrani)))))</f>
        <v/>
      </c>
      <c r="D709" s="22" t="str">
        <f aca="false">IF($C709="","",$C709*AySayisi)</f>
        <v/>
      </c>
      <c r="E709" s="23"/>
    </row>
    <row r="710" customFormat="false" ht="15" hidden="false" customHeight="false" outlineLevel="0" collapsed="false">
      <c r="A710" s="19"/>
      <c r="B710" s="23"/>
      <c r="C710" s="22" t="str">
        <f aca="false">IF(OR($A710="",$B710=""),"",INDEX(tblCalisan[Brüt Ücret (₺)],MATCH($A710,tblCalisan[Çalışan Adı],0))*IF($B710="5 Puan İndirimi",BesPuanOrani,IF($B710="İlave İstihdam",IlaveIstihdamOrani,IF($B710="Kadın/Genç",KadinGencOrani,IF($B710="Engelli",EngelliOrani,GencGirisimciOrani)))))</f>
        <v/>
      </c>
      <c r="D710" s="22" t="str">
        <f aca="false">IF($C710="","",$C710*AySayisi)</f>
        <v/>
      </c>
      <c r="E710" s="23"/>
    </row>
    <row r="711" customFormat="false" ht="15" hidden="false" customHeight="false" outlineLevel="0" collapsed="false">
      <c r="A711" s="19"/>
      <c r="B711" s="23"/>
      <c r="C711" s="22" t="str">
        <f aca="false">IF(OR($A711="",$B711=""),"",INDEX(tblCalisan[Brüt Ücret (₺)],MATCH($A711,tblCalisan[Çalışan Adı],0))*IF($B711="5 Puan İndirimi",BesPuanOrani,IF($B711="İlave İstihdam",IlaveIstihdamOrani,IF($B711="Kadın/Genç",KadinGencOrani,IF($B711="Engelli",EngelliOrani,GencGirisimciOrani)))))</f>
        <v/>
      </c>
      <c r="D711" s="22" t="str">
        <f aca="false">IF($C711="","",$C711*AySayisi)</f>
        <v/>
      </c>
      <c r="E711" s="23"/>
    </row>
    <row r="712" customFormat="false" ht="15" hidden="false" customHeight="false" outlineLevel="0" collapsed="false">
      <c r="A712" s="19"/>
      <c r="B712" s="23"/>
      <c r="C712" s="22" t="str">
        <f aca="false">IF(OR($A712="",$B712=""),"",INDEX(tblCalisan[Brüt Ücret (₺)],MATCH($A712,tblCalisan[Çalışan Adı],0))*IF($B712="5 Puan İndirimi",BesPuanOrani,IF($B712="İlave İstihdam",IlaveIstihdamOrani,IF($B712="Kadın/Genç",KadinGencOrani,IF($B712="Engelli",EngelliOrani,GencGirisimciOrani)))))</f>
        <v/>
      </c>
      <c r="D712" s="22" t="str">
        <f aca="false">IF($C712="","",$C712*AySayisi)</f>
        <v/>
      </c>
      <c r="E712" s="23"/>
    </row>
    <row r="713" customFormat="false" ht="15" hidden="false" customHeight="false" outlineLevel="0" collapsed="false">
      <c r="A713" s="19"/>
      <c r="B713" s="23"/>
      <c r="C713" s="22" t="str">
        <f aca="false">IF(OR($A713="",$B713=""),"",INDEX(tblCalisan[Brüt Ücret (₺)],MATCH($A713,tblCalisan[Çalışan Adı],0))*IF($B713="5 Puan İndirimi",BesPuanOrani,IF($B713="İlave İstihdam",IlaveIstihdamOrani,IF($B713="Kadın/Genç",KadinGencOrani,IF($B713="Engelli",EngelliOrani,GencGirisimciOrani)))))</f>
        <v/>
      </c>
      <c r="D713" s="22" t="str">
        <f aca="false">IF($C713="","",$C713*AySayisi)</f>
        <v/>
      </c>
      <c r="E713" s="23"/>
    </row>
    <row r="714" customFormat="false" ht="15" hidden="false" customHeight="false" outlineLevel="0" collapsed="false">
      <c r="A714" s="19"/>
      <c r="B714" s="23"/>
      <c r="C714" s="22" t="str">
        <f aca="false">IF(OR($A714="",$B714=""),"",INDEX(tblCalisan[Brüt Ücret (₺)],MATCH($A714,tblCalisan[Çalışan Adı],0))*IF($B714="5 Puan İndirimi",BesPuanOrani,IF($B714="İlave İstihdam",IlaveIstihdamOrani,IF($B714="Kadın/Genç",KadinGencOrani,IF($B714="Engelli",EngelliOrani,GencGirisimciOrani)))))</f>
        <v/>
      </c>
      <c r="D714" s="22" t="str">
        <f aca="false">IF($C714="","",$C714*AySayisi)</f>
        <v/>
      </c>
      <c r="E714" s="23"/>
    </row>
    <row r="715" customFormat="false" ht="15" hidden="false" customHeight="false" outlineLevel="0" collapsed="false">
      <c r="A715" s="19"/>
      <c r="B715" s="23"/>
      <c r="C715" s="22" t="str">
        <f aca="false">IF(OR($A715="",$B715=""),"",INDEX(tblCalisan[Brüt Ücret (₺)],MATCH($A715,tblCalisan[Çalışan Adı],0))*IF($B715="5 Puan İndirimi",BesPuanOrani,IF($B715="İlave İstihdam",IlaveIstihdamOrani,IF($B715="Kadın/Genç",KadinGencOrani,IF($B715="Engelli",EngelliOrani,GencGirisimciOrani)))))</f>
        <v/>
      </c>
      <c r="D715" s="22" t="str">
        <f aca="false">IF($C715="","",$C715*AySayisi)</f>
        <v/>
      </c>
      <c r="E715" s="23"/>
    </row>
    <row r="716" customFormat="false" ht="15" hidden="false" customHeight="false" outlineLevel="0" collapsed="false">
      <c r="A716" s="19"/>
      <c r="B716" s="23"/>
      <c r="C716" s="22" t="str">
        <f aca="false">IF(OR($A716="",$B716=""),"",INDEX(tblCalisan[Brüt Ücret (₺)],MATCH($A716,tblCalisan[Çalışan Adı],0))*IF($B716="5 Puan İndirimi",BesPuanOrani,IF($B716="İlave İstihdam",IlaveIstihdamOrani,IF($B716="Kadın/Genç",KadinGencOrani,IF($B716="Engelli",EngelliOrani,GencGirisimciOrani)))))</f>
        <v/>
      </c>
      <c r="D716" s="22" t="str">
        <f aca="false">IF($C716="","",$C716*AySayisi)</f>
        <v/>
      </c>
      <c r="E716" s="23"/>
    </row>
    <row r="717" customFormat="false" ht="15" hidden="false" customHeight="false" outlineLevel="0" collapsed="false">
      <c r="A717" s="19"/>
      <c r="B717" s="23"/>
      <c r="C717" s="22" t="str">
        <f aca="false">IF(OR($A717="",$B717=""),"",INDEX(tblCalisan[Brüt Ücret (₺)],MATCH($A717,tblCalisan[Çalışan Adı],0))*IF($B717="5 Puan İndirimi",BesPuanOrani,IF($B717="İlave İstihdam",IlaveIstihdamOrani,IF($B717="Kadın/Genç",KadinGencOrani,IF($B717="Engelli",EngelliOrani,GencGirisimciOrani)))))</f>
        <v/>
      </c>
      <c r="D717" s="22" t="str">
        <f aca="false">IF($C717="","",$C717*AySayisi)</f>
        <v/>
      </c>
      <c r="E717" s="23"/>
    </row>
    <row r="718" customFormat="false" ht="15" hidden="false" customHeight="false" outlineLevel="0" collapsed="false">
      <c r="A718" s="19"/>
      <c r="B718" s="23"/>
      <c r="C718" s="22" t="str">
        <f aca="false">IF(OR($A718="",$B718=""),"",INDEX(tblCalisan[Brüt Ücret (₺)],MATCH($A718,tblCalisan[Çalışan Adı],0))*IF($B718="5 Puan İndirimi",BesPuanOrani,IF($B718="İlave İstihdam",IlaveIstihdamOrani,IF($B718="Kadın/Genç",KadinGencOrani,IF($B718="Engelli",EngelliOrani,GencGirisimciOrani)))))</f>
        <v/>
      </c>
      <c r="D718" s="22" t="str">
        <f aca="false">IF($C718="","",$C718*AySayisi)</f>
        <v/>
      </c>
      <c r="E718" s="23"/>
    </row>
    <row r="719" customFormat="false" ht="15" hidden="false" customHeight="false" outlineLevel="0" collapsed="false">
      <c r="A719" s="19"/>
      <c r="B719" s="23"/>
      <c r="C719" s="22" t="str">
        <f aca="false">IF(OR($A719="",$B719=""),"",INDEX(tblCalisan[Brüt Ücret (₺)],MATCH($A719,tblCalisan[Çalışan Adı],0))*IF($B719="5 Puan İndirimi",BesPuanOrani,IF($B719="İlave İstihdam",IlaveIstihdamOrani,IF($B719="Kadın/Genç",KadinGencOrani,IF($B719="Engelli",EngelliOrani,GencGirisimciOrani)))))</f>
        <v/>
      </c>
      <c r="D719" s="22" t="str">
        <f aca="false">IF($C719="","",$C719*AySayisi)</f>
        <v/>
      </c>
      <c r="E719" s="23"/>
    </row>
    <row r="720" customFormat="false" ht="15" hidden="false" customHeight="false" outlineLevel="0" collapsed="false">
      <c r="A720" s="19"/>
      <c r="B720" s="23"/>
      <c r="C720" s="22" t="str">
        <f aca="false">IF(OR($A720="",$B720=""),"",INDEX(tblCalisan[Brüt Ücret (₺)],MATCH($A720,tblCalisan[Çalışan Adı],0))*IF($B720="5 Puan İndirimi",BesPuanOrani,IF($B720="İlave İstihdam",IlaveIstihdamOrani,IF($B720="Kadın/Genç",KadinGencOrani,IF($B720="Engelli",EngelliOrani,GencGirisimciOrani)))))</f>
        <v/>
      </c>
      <c r="D720" s="22" t="str">
        <f aca="false">IF($C720="","",$C720*AySayisi)</f>
        <v/>
      </c>
      <c r="E720" s="23"/>
    </row>
    <row r="721" customFormat="false" ht="15" hidden="false" customHeight="false" outlineLevel="0" collapsed="false">
      <c r="A721" s="19"/>
      <c r="B721" s="23"/>
      <c r="C721" s="22" t="str">
        <f aca="false">IF(OR($A721="",$B721=""),"",INDEX(tblCalisan[Brüt Ücret (₺)],MATCH($A721,tblCalisan[Çalışan Adı],0))*IF($B721="5 Puan İndirimi",BesPuanOrani,IF($B721="İlave İstihdam",IlaveIstihdamOrani,IF($B721="Kadın/Genç",KadinGencOrani,IF($B721="Engelli",EngelliOrani,GencGirisimciOrani)))))</f>
        <v/>
      </c>
      <c r="D721" s="22" t="str">
        <f aca="false">IF($C721="","",$C721*AySayisi)</f>
        <v/>
      </c>
      <c r="E721" s="23"/>
    </row>
    <row r="722" customFormat="false" ht="15" hidden="false" customHeight="false" outlineLevel="0" collapsed="false">
      <c r="A722" s="19"/>
      <c r="B722" s="23"/>
      <c r="C722" s="22" t="str">
        <f aca="false">IF(OR($A722="",$B722=""),"",INDEX(tblCalisan[Brüt Ücret (₺)],MATCH($A722,tblCalisan[Çalışan Adı],0))*IF($B722="5 Puan İndirimi",BesPuanOrani,IF($B722="İlave İstihdam",IlaveIstihdamOrani,IF($B722="Kadın/Genç",KadinGencOrani,IF($B722="Engelli",EngelliOrani,GencGirisimciOrani)))))</f>
        <v/>
      </c>
      <c r="D722" s="22" t="str">
        <f aca="false">IF($C722="","",$C722*AySayisi)</f>
        <v/>
      </c>
      <c r="E722" s="23"/>
    </row>
    <row r="723" customFormat="false" ht="15" hidden="false" customHeight="false" outlineLevel="0" collapsed="false">
      <c r="A723" s="19"/>
      <c r="B723" s="23"/>
      <c r="C723" s="22" t="str">
        <f aca="false">IF(OR($A723="",$B723=""),"",INDEX(tblCalisan[Brüt Ücret (₺)],MATCH($A723,tblCalisan[Çalışan Adı],0))*IF($B723="5 Puan İndirimi",BesPuanOrani,IF($B723="İlave İstihdam",IlaveIstihdamOrani,IF($B723="Kadın/Genç",KadinGencOrani,IF($B723="Engelli",EngelliOrani,GencGirisimciOrani)))))</f>
        <v/>
      </c>
      <c r="D723" s="22" t="str">
        <f aca="false">IF($C723="","",$C723*AySayisi)</f>
        <v/>
      </c>
      <c r="E723" s="23"/>
    </row>
    <row r="724" customFormat="false" ht="15" hidden="false" customHeight="false" outlineLevel="0" collapsed="false">
      <c r="A724" s="19"/>
      <c r="B724" s="23"/>
      <c r="C724" s="22" t="str">
        <f aca="false">IF(OR($A724="",$B724=""),"",INDEX(tblCalisan[Brüt Ücret (₺)],MATCH($A724,tblCalisan[Çalışan Adı],0))*IF($B724="5 Puan İndirimi",BesPuanOrani,IF($B724="İlave İstihdam",IlaveIstihdamOrani,IF($B724="Kadın/Genç",KadinGencOrani,IF($B724="Engelli",EngelliOrani,GencGirisimciOrani)))))</f>
        <v/>
      </c>
      <c r="D724" s="22" t="str">
        <f aca="false">IF($C724="","",$C724*AySayisi)</f>
        <v/>
      </c>
      <c r="E724" s="23"/>
    </row>
    <row r="725" customFormat="false" ht="15" hidden="false" customHeight="false" outlineLevel="0" collapsed="false">
      <c r="A725" s="19"/>
      <c r="B725" s="23"/>
      <c r="C725" s="22" t="str">
        <f aca="false">IF(OR($A725="",$B725=""),"",INDEX(tblCalisan[Brüt Ücret (₺)],MATCH($A725,tblCalisan[Çalışan Adı],0))*IF($B725="5 Puan İndirimi",BesPuanOrani,IF($B725="İlave İstihdam",IlaveIstihdamOrani,IF($B725="Kadın/Genç",KadinGencOrani,IF($B725="Engelli",EngelliOrani,GencGirisimciOrani)))))</f>
        <v/>
      </c>
      <c r="D725" s="22" t="str">
        <f aca="false">IF($C725="","",$C725*AySayisi)</f>
        <v/>
      </c>
      <c r="E725" s="23"/>
    </row>
    <row r="726" customFormat="false" ht="15" hidden="false" customHeight="false" outlineLevel="0" collapsed="false">
      <c r="A726" s="19"/>
      <c r="B726" s="23"/>
      <c r="C726" s="22" t="str">
        <f aca="false">IF(OR($A726="",$B726=""),"",INDEX(tblCalisan[Brüt Ücret (₺)],MATCH($A726,tblCalisan[Çalışan Adı],0))*IF($B726="5 Puan İndirimi",BesPuanOrani,IF($B726="İlave İstihdam",IlaveIstihdamOrani,IF($B726="Kadın/Genç",KadinGencOrani,IF($B726="Engelli",EngelliOrani,GencGirisimciOrani)))))</f>
        <v/>
      </c>
      <c r="D726" s="22" t="str">
        <f aca="false">IF($C726="","",$C726*AySayisi)</f>
        <v/>
      </c>
      <c r="E726" s="23"/>
    </row>
    <row r="727" customFormat="false" ht="15" hidden="false" customHeight="false" outlineLevel="0" collapsed="false">
      <c r="A727" s="19"/>
      <c r="B727" s="23"/>
      <c r="C727" s="22" t="str">
        <f aca="false">IF(OR($A727="",$B727=""),"",INDEX(tblCalisan[Brüt Ücret (₺)],MATCH($A727,tblCalisan[Çalışan Adı],0))*IF($B727="5 Puan İndirimi",BesPuanOrani,IF($B727="İlave İstihdam",IlaveIstihdamOrani,IF($B727="Kadın/Genç",KadinGencOrani,IF($B727="Engelli",EngelliOrani,GencGirisimciOrani)))))</f>
        <v/>
      </c>
      <c r="D727" s="22" t="str">
        <f aca="false">IF($C727="","",$C727*AySayisi)</f>
        <v/>
      </c>
      <c r="E727" s="23"/>
    </row>
    <row r="728" customFormat="false" ht="15" hidden="false" customHeight="false" outlineLevel="0" collapsed="false">
      <c r="A728" s="19"/>
      <c r="B728" s="23"/>
      <c r="C728" s="22" t="str">
        <f aca="false">IF(OR($A728="",$B728=""),"",INDEX(tblCalisan[Brüt Ücret (₺)],MATCH($A728,tblCalisan[Çalışan Adı],0))*IF($B728="5 Puan İndirimi",BesPuanOrani,IF($B728="İlave İstihdam",IlaveIstihdamOrani,IF($B728="Kadın/Genç",KadinGencOrani,IF($B728="Engelli",EngelliOrani,GencGirisimciOrani)))))</f>
        <v/>
      </c>
      <c r="D728" s="22" t="str">
        <f aca="false">IF($C728="","",$C728*AySayisi)</f>
        <v/>
      </c>
      <c r="E728" s="23"/>
    </row>
    <row r="729" customFormat="false" ht="15" hidden="false" customHeight="false" outlineLevel="0" collapsed="false">
      <c r="A729" s="19"/>
      <c r="B729" s="23"/>
      <c r="C729" s="22" t="str">
        <f aca="false">IF(OR($A729="",$B729=""),"",INDEX(tblCalisan[Brüt Ücret (₺)],MATCH($A729,tblCalisan[Çalışan Adı],0))*IF($B729="5 Puan İndirimi",BesPuanOrani,IF($B729="İlave İstihdam",IlaveIstihdamOrani,IF($B729="Kadın/Genç",KadinGencOrani,IF($B729="Engelli",EngelliOrani,GencGirisimciOrani)))))</f>
        <v/>
      </c>
      <c r="D729" s="22" t="str">
        <f aca="false">IF($C729="","",$C729*AySayisi)</f>
        <v/>
      </c>
      <c r="E729" s="23"/>
    </row>
    <row r="730" customFormat="false" ht="15" hidden="false" customHeight="false" outlineLevel="0" collapsed="false">
      <c r="A730" s="19"/>
      <c r="B730" s="23"/>
      <c r="C730" s="22" t="str">
        <f aca="false">IF(OR($A730="",$B730=""),"",INDEX(tblCalisan[Brüt Ücret (₺)],MATCH($A730,tblCalisan[Çalışan Adı],0))*IF($B730="5 Puan İndirimi",BesPuanOrani,IF($B730="İlave İstihdam",IlaveIstihdamOrani,IF($B730="Kadın/Genç",KadinGencOrani,IF($B730="Engelli",EngelliOrani,GencGirisimciOrani)))))</f>
        <v/>
      </c>
      <c r="D730" s="22" t="str">
        <f aca="false">IF($C730="","",$C730*AySayisi)</f>
        <v/>
      </c>
      <c r="E730" s="23"/>
    </row>
    <row r="731" customFormat="false" ht="15" hidden="false" customHeight="false" outlineLevel="0" collapsed="false">
      <c r="A731" s="19"/>
      <c r="B731" s="23"/>
      <c r="C731" s="22" t="str">
        <f aca="false">IF(OR($A731="",$B731=""),"",INDEX(tblCalisan[Brüt Ücret (₺)],MATCH($A731,tblCalisan[Çalışan Adı],0))*IF($B731="5 Puan İndirimi",BesPuanOrani,IF($B731="İlave İstihdam",IlaveIstihdamOrani,IF($B731="Kadın/Genç",KadinGencOrani,IF($B731="Engelli",EngelliOrani,GencGirisimciOrani)))))</f>
        <v/>
      </c>
      <c r="D731" s="22" t="str">
        <f aca="false">IF($C731="","",$C731*AySayisi)</f>
        <v/>
      </c>
      <c r="E731" s="23"/>
    </row>
    <row r="732" customFormat="false" ht="15" hidden="false" customHeight="false" outlineLevel="0" collapsed="false">
      <c r="A732" s="19"/>
      <c r="B732" s="23"/>
      <c r="C732" s="22" t="str">
        <f aca="false">IF(OR($A732="",$B732=""),"",INDEX(tblCalisan[Brüt Ücret (₺)],MATCH($A732,tblCalisan[Çalışan Adı],0))*IF($B732="5 Puan İndirimi",BesPuanOrani,IF($B732="İlave İstihdam",IlaveIstihdamOrani,IF($B732="Kadın/Genç",KadinGencOrani,IF($B732="Engelli",EngelliOrani,GencGirisimciOrani)))))</f>
        <v/>
      </c>
      <c r="D732" s="22" t="str">
        <f aca="false">IF($C732="","",$C732*AySayisi)</f>
        <v/>
      </c>
      <c r="E732" s="23"/>
    </row>
    <row r="733" customFormat="false" ht="15" hidden="false" customHeight="false" outlineLevel="0" collapsed="false">
      <c r="A733" s="19"/>
      <c r="B733" s="23"/>
      <c r="C733" s="22" t="str">
        <f aca="false">IF(OR($A733="",$B733=""),"",INDEX(tblCalisan[Brüt Ücret (₺)],MATCH($A733,tblCalisan[Çalışan Adı],0))*IF($B733="5 Puan İndirimi",BesPuanOrani,IF($B733="İlave İstihdam",IlaveIstihdamOrani,IF($B733="Kadın/Genç",KadinGencOrani,IF($B733="Engelli",EngelliOrani,GencGirisimciOrani)))))</f>
        <v/>
      </c>
      <c r="D733" s="22" t="str">
        <f aca="false">IF($C733="","",$C733*AySayisi)</f>
        <v/>
      </c>
      <c r="E733" s="23"/>
    </row>
    <row r="734" customFormat="false" ht="15" hidden="false" customHeight="false" outlineLevel="0" collapsed="false">
      <c r="A734" s="19"/>
      <c r="B734" s="23"/>
      <c r="C734" s="22" t="str">
        <f aca="false">IF(OR($A734="",$B734=""),"",INDEX(tblCalisan[Brüt Ücret (₺)],MATCH($A734,tblCalisan[Çalışan Adı],0))*IF($B734="5 Puan İndirimi",BesPuanOrani,IF($B734="İlave İstihdam",IlaveIstihdamOrani,IF($B734="Kadın/Genç",KadinGencOrani,IF($B734="Engelli",EngelliOrani,GencGirisimciOrani)))))</f>
        <v/>
      </c>
      <c r="D734" s="22" t="str">
        <f aca="false">IF($C734="","",$C734*AySayisi)</f>
        <v/>
      </c>
      <c r="E734" s="23"/>
    </row>
    <row r="735" customFormat="false" ht="15" hidden="false" customHeight="false" outlineLevel="0" collapsed="false">
      <c r="A735" s="19"/>
      <c r="B735" s="23"/>
      <c r="C735" s="22" t="str">
        <f aca="false">IF(OR($A735="",$B735=""),"",INDEX(tblCalisan[Brüt Ücret (₺)],MATCH($A735,tblCalisan[Çalışan Adı],0))*IF($B735="5 Puan İndirimi",BesPuanOrani,IF($B735="İlave İstihdam",IlaveIstihdamOrani,IF($B735="Kadın/Genç",KadinGencOrani,IF($B735="Engelli",EngelliOrani,GencGirisimciOrani)))))</f>
        <v/>
      </c>
      <c r="D735" s="22" t="str">
        <f aca="false">IF($C735="","",$C735*AySayisi)</f>
        <v/>
      </c>
      <c r="E735" s="23"/>
    </row>
    <row r="736" customFormat="false" ht="15" hidden="false" customHeight="false" outlineLevel="0" collapsed="false">
      <c r="A736" s="19"/>
      <c r="B736" s="23"/>
      <c r="C736" s="22" t="str">
        <f aca="false">IF(OR($A736="",$B736=""),"",INDEX(tblCalisan[Brüt Ücret (₺)],MATCH($A736,tblCalisan[Çalışan Adı],0))*IF($B736="5 Puan İndirimi",BesPuanOrani,IF($B736="İlave İstihdam",IlaveIstihdamOrani,IF($B736="Kadın/Genç",KadinGencOrani,IF($B736="Engelli",EngelliOrani,GencGirisimciOrani)))))</f>
        <v/>
      </c>
      <c r="D736" s="22" t="str">
        <f aca="false">IF($C736="","",$C736*AySayisi)</f>
        <v/>
      </c>
      <c r="E736" s="23"/>
    </row>
    <row r="737" customFormat="false" ht="15" hidden="false" customHeight="false" outlineLevel="0" collapsed="false">
      <c r="A737" s="19"/>
      <c r="B737" s="23"/>
      <c r="C737" s="22" t="str">
        <f aca="false">IF(OR($A737="",$B737=""),"",INDEX(tblCalisan[Brüt Ücret (₺)],MATCH($A737,tblCalisan[Çalışan Adı],0))*IF($B737="5 Puan İndirimi",BesPuanOrani,IF($B737="İlave İstihdam",IlaveIstihdamOrani,IF($B737="Kadın/Genç",KadinGencOrani,IF($B737="Engelli",EngelliOrani,GencGirisimciOrani)))))</f>
        <v/>
      </c>
      <c r="D737" s="22" t="str">
        <f aca="false">IF($C737="","",$C737*AySayisi)</f>
        <v/>
      </c>
      <c r="E737" s="23"/>
    </row>
    <row r="738" customFormat="false" ht="15" hidden="false" customHeight="false" outlineLevel="0" collapsed="false">
      <c r="A738" s="19"/>
      <c r="B738" s="23"/>
      <c r="C738" s="22" t="str">
        <f aca="false">IF(OR($A738="",$B738=""),"",INDEX(tblCalisan[Brüt Ücret (₺)],MATCH($A738,tblCalisan[Çalışan Adı],0))*IF($B738="5 Puan İndirimi",BesPuanOrani,IF($B738="İlave İstihdam",IlaveIstihdamOrani,IF($B738="Kadın/Genç",KadinGencOrani,IF($B738="Engelli",EngelliOrani,GencGirisimciOrani)))))</f>
        <v/>
      </c>
      <c r="D738" s="22" t="str">
        <f aca="false">IF($C738="","",$C738*AySayisi)</f>
        <v/>
      </c>
      <c r="E738" s="23"/>
    </row>
    <row r="739" customFormat="false" ht="15" hidden="false" customHeight="false" outlineLevel="0" collapsed="false">
      <c r="A739" s="19"/>
      <c r="B739" s="23"/>
      <c r="C739" s="22" t="str">
        <f aca="false">IF(OR($A739="",$B739=""),"",INDEX(tblCalisan[Brüt Ücret (₺)],MATCH($A739,tblCalisan[Çalışan Adı],0))*IF($B739="5 Puan İndirimi",BesPuanOrani,IF($B739="İlave İstihdam",IlaveIstihdamOrani,IF($B739="Kadın/Genç",KadinGencOrani,IF($B739="Engelli",EngelliOrani,GencGirisimciOrani)))))</f>
        <v/>
      </c>
      <c r="D739" s="22" t="str">
        <f aca="false">IF($C739="","",$C739*AySayisi)</f>
        <v/>
      </c>
      <c r="E739" s="23"/>
    </row>
    <row r="740" customFormat="false" ht="15" hidden="false" customHeight="false" outlineLevel="0" collapsed="false">
      <c r="A740" s="19"/>
      <c r="B740" s="23"/>
      <c r="C740" s="22" t="str">
        <f aca="false">IF(OR($A740="",$B740=""),"",INDEX(tblCalisan[Brüt Ücret (₺)],MATCH($A740,tblCalisan[Çalışan Adı],0))*IF($B740="5 Puan İndirimi",BesPuanOrani,IF($B740="İlave İstihdam",IlaveIstihdamOrani,IF($B740="Kadın/Genç",KadinGencOrani,IF($B740="Engelli",EngelliOrani,GencGirisimciOrani)))))</f>
        <v/>
      </c>
      <c r="D740" s="22" t="str">
        <f aca="false">IF($C740="","",$C740*AySayisi)</f>
        <v/>
      </c>
      <c r="E740" s="23"/>
    </row>
    <row r="741" customFormat="false" ht="15" hidden="false" customHeight="false" outlineLevel="0" collapsed="false">
      <c r="A741" s="19"/>
      <c r="B741" s="23"/>
      <c r="C741" s="22" t="str">
        <f aca="false">IF(OR($A741="",$B741=""),"",INDEX(tblCalisan[Brüt Ücret (₺)],MATCH($A741,tblCalisan[Çalışan Adı],0))*IF($B741="5 Puan İndirimi",BesPuanOrani,IF($B741="İlave İstihdam",IlaveIstihdamOrani,IF($B741="Kadın/Genç",KadinGencOrani,IF($B741="Engelli",EngelliOrani,GencGirisimciOrani)))))</f>
        <v/>
      </c>
      <c r="D741" s="22" t="str">
        <f aca="false">IF($C741="","",$C741*AySayisi)</f>
        <v/>
      </c>
      <c r="E741" s="23"/>
    </row>
    <row r="742" customFormat="false" ht="15" hidden="false" customHeight="false" outlineLevel="0" collapsed="false">
      <c r="A742" s="19"/>
      <c r="B742" s="23"/>
      <c r="C742" s="22" t="str">
        <f aca="false">IF(OR($A742="",$B742=""),"",INDEX(tblCalisan[Brüt Ücret (₺)],MATCH($A742,tblCalisan[Çalışan Adı],0))*IF($B742="5 Puan İndirimi",BesPuanOrani,IF($B742="İlave İstihdam",IlaveIstihdamOrani,IF($B742="Kadın/Genç",KadinGencOrani,IF($B742="Engelli",EngelliOrani,GencGirisimciOrani)))))</f>
        <v/>
      </c>
      <c r="D742" s="22" t="str">
        <f aca="false">IF($C742="","",$C742*AySayisi)</f>
        <v/>
      </c>
      <c r="E742" s="23"/>
    </row>
    <row r="743" customFormat="false" ht="15" hidden="false" customHeight="false" outlineLevel="0" collapsed="false">
      <c r="A743" s="19"/>
      <c r="B743" s="23"/>
      <c r="C743" s="22" t="str">
        <f aca="false">IF(OR($A743="",$B743=""),"",INDEX(tblCalisan[Brüt Ücret (₺)],MATCH($A743,tblCalisan[Çalışan Adı],0))*IF($B743="5 Puan İndirimi",BesPuanOrani,IF($B743="İlave İstihdam",IlaveIstihdamOrani,IF($B743="Kadın/Genç",KadinGencOrani,IF($B743="Engelli",EngelliOrani,GencGirisimciOrani)))))</f>
        <v/>
      </c>
      <c r="D743" s="22" t="str">
        <f aca="false">IF($C743="","",$C743*AySayisi)</f>
        <v/>
      </c>
      <c r="E743" s="23"/>
    </row>
    <row r="744" customFormat="false" ht="15" hidden="false" customHeight="false" outlineLevel="0" collapsed="false">
      <c r="A744" s="19"/>
      <c r="B744" s="23"/>
      <c r="C744" s="22" t="str">
        <f aca="false">IF(OR($A744="",$B744=""),"",INDEX(tblCalisan[Brüt Ücret (₺)],MATCH($A744,tblCalisan[Çalışan Adı],0))*IF($B744="5 Puan İndirimi",BesPuanOrani,IF($B744="İlave İstihdam",IlaveIstihdamOrani,IF($B744="Kadın/Genç",KadinGencOrani,IF($B744="Engelli",EngelliOrani,GencGirisimciOrani)))))</f>
        <v/>
      </c>
      <c r="D744" s="22" t="str">
        <f aca="false">IF($C744="","",$C744*AySayisi)</f>
        <v/>
      </c>
      <c r="E744" s="23"/>
    </row>
    <row r="745" customFormat="false" ht="15" hidden="false" customHeight="false" outlineLevel="0" collapsed="false">
      <c r="A745" s="19"/>
      <c r="B745" s="23"/>
      <c r="C745" s="22" t="str">
        <f aca="false">IF(OR($A745="",$B745=""),"",INDEX(tblCalisan[Brüt Ücret (₺)],MATCH($A745,tblCalisan[Çalışan Adı],0))*IF($B745="5 Puan İndirimi",BesPuanOrani,IF($B745="İlave İstihdam",IlaveIstihdamOrani,IF($B745="Kadın/Genç",KadinGencOrani,IF($B745="Engelli",EngelliOrani,GencGirisimciOrani)))))</f>
        <v/>
      </c>
      <c r="D745" s="22" t="str">
        <f aca="false">IF($C745="","",$C745*AySayisi)</f>
        <v/>
      </c>
      <c r="E745" s="23"/>
    </row>
    <row r="746" customFormat="false" ht="15" hidden="false" customHeight="false" outlineLevel="0" collapsed="false">
      <c r="A746" s="19"/>
      <c r="B746" s="23"/>
      <c r="C746" s="22" t="str">
        <f aca="false">IF(OR($A746="",$B746=""),"",INDEX(tblCalisan[Brüt Ücret (₺)],MATCH($A746,tblCalisan[Çalışan Adı],0))*IF($B746="5 Puan İndirimi",BesPuanOrani,IF($B746="İlave İstihdam",IlaveIstihdamOrani,IF($B746="Kadın/Genç",KadinGencOrani,IF($B746="Engelli",EngelliOrani,GencGirisimciOrani)))))</f>
        <v/>
      </c>
      <c r="D746" s="22" t="str">
        <f aca="false">IF($C746="","",$C746*AySayisi)</f>
        <v/>
      </c>
      <c r="E746" s="23"/>
    </row>
    <row r="747" customFormat="false" ht="15" hidden="false" customHeight="false" outlineLevel="0" collapsed="false">
      <c r="A747" s="19"/>
      <c r="B747" s="23"/>
      <c r="C747" s="22" t="str">
        <f aca="false">IF(OR($A747="",$B747=""),"",INDEX(tblCalisan[Brüt Ücret (₺)],MATCH($A747,tblCalisan[Çalışan Adı],0))*IF($B747="5 Puan İndirimi",BesPuanOrani,IF($B747="İlave İstihdam",IlaveIstihdamOrani,IF($B747="Kadın/Genç",KadinGencOrani,IF($B747="Engelli",EngelliOrani,GencGirisimciOrani)))))</f>
        <v/>
      </c>
      <c r="D747" s="22" t="str">
        <f aca="false">IF($C747="","",$C747*AySayisi)</f>
        <v/>
      </c>
      <c r="E747" s="23"/>
    </row>
    <row r="748" customFormat="false" ht="15" hidden="false" customHeight="false" outlineLevel="0" collapsed="false">
      <c r="A748" s="19"/>
      <c r="B748" s="23"/>
      <c r="C748" s="22" t="str">
        <f aca="false">IF(OR($A748="",$B748=""),"",INDEX(tblCalisan[Brüt Ücret (₺)],MATCH($A748,tblCalisan[Çalışan Adı],0))*IF($B748="5 Puan İndirimi",BesPuanOrani,IF($B748="İlave İstihdam",IlaveIstihdamOrani,IF($B748="Kadın/Genç",KadinGencOrani,IF($B748="Engelli",EngelliOrani,GencGirisimciOrani)))))</f>
        <v/>
      </c>
      <c r="D748" s="22" t="str">
        <f aca="false">IF($C748="","",$C748*AySayisi)</f>
        <v/>
      </c>
      <c r="E748" s="23"/>
    </row>
    <row r="749" customFormat="false" ht="15" hidden="false" customHeight="false" outlineLevel="0" collapsed="false">
      <c r="A749" s="19"/>
      <c r="B749" s="23"/>
      <c r="C749" s="22" t="str">
        <f aca="false">IF(OR($A749="",$B749=""),"",INDEX(tblCalisan[Brüt Ücret (₺)],MATCH($A749,tblCalisan[Çalışan Adı],0))*IF($B749="5 Puan İndirimi",BesPuanOrani,IF($B749="İlave İstihdam",IlaveIstihdamOrani,IF($B749="Kadın/Genç",KadinGencOrani,IF($B749="Engelli",EngelliOrani,GencGirisimciOrani)))))</f>
        <v/>
      </c>
      <c r="D749" s="22" t="str">
        <f aca="false">IF($C749="","",$C749*AySayisi)</f>
        <v/>
      </c>
      <c r="E749" s="23"/>
    </row>
    <row r="750" customFormat="false" ht="15" hidden="false" customHeight="false" outlineLevel="0" collapsed="false">
      <c r="A750" s="19"/>
      <c r="B750" s="23"/>
      <c r="C750" s="22" t="str">
        <f aca="false">IF(OR($A750="",$B750=""),"",INDEX(tblCalisan[Brüt Ücret (₺)],MATCH($A750,tblCalisan[Çalışan Adı],0))*IF($B750="5 Puan İndirimi",BesPuanOrani,IF($B750="İlave İstihdam",IlaveIstihdamOrani,IF($B750="Kadın/Genç",KadinGencOrani,IF($B750="Engelli",EngelliOrani,GencGirisimciOrani)))))</f>
        <v/>
      </c>
      <c r="D750" s="22" t="str">
        <f aca="false">IF($C750="","",$C750*AySayisi)</f>
        <v/>
      </c>
      <c r="E750" s="23"/>
    </row>
    <row r="751" customFormat="false" ht="15" hidden="false" customHeight="false" outlineLevel="0" collapsed="false">
      <c r="A751" s="19"/>
      <c r="B751" s="23"/>
      <c r="C751" s="22" t="str">
        <f aca="false">IF(OR($A751="",$B751=""),"",INDEX(tblCalisan[Brüt Ücret (₺)],MATCH($A751,tblCalisan[Çalışan Adı],0))*IF($B751="5 Puan İndirimi",BesPuanOrani,IF($B751="İlave İstihdam",IlaveIstihdamOrani,IF($B751="Kadın/Genç",KadinGencOrani,IF($B751="Engelli",EngelliOrani,GencGirisimciOrani)))))</f>
        <v/>
      </c>
      <c r="D751" s="22" t="str">
        <f aca="false">IF($C751="","",$C751*AySayisi)</f>
        <v/>
      </c>
      <c r="E751" s="23"/>
    </row>
    <row r="752" customFormat="false" ht="15" hidden="false" customHeight="false" outlineLevel="0" collapsed="false">
      <c r="A752" s="19"/>
      <c r="B752" s="23"/>
      <c r="C752" s="22" t="str">
        <f aca="false">IF(OR($A752="",$B752=""),"",INDEX(tblCalisan[Brüt Ücret (₺)],MATCH($A752,tblCalisan[Çalışan Adı],0))*IF($B752="5 Puan İndirimi",BesPuanOrani,IF($B752="İlave İstihdam",IlaveIstihdamOrani,IF($B752="Kadın/Genç",KadinGencOrani,IF($B752="Engelli",EngelliOrani,GencGirisimciOrani)))))</f>
        <v/>
      </c>
      <c r="D752" s="22" t="str">
        <f aca="false">IF($C752="","",$C752*AySayisi)</f>
        <v/>
      </c>
      <c r="E752" s="23"/>
    </row>
    <row r="753" customFormat="false" ht="15" hidden="false" customHeight="false" outlineLevel="0" collapsed="false">
      <c r="A753" s="19"/>
      <c r="B753" s="23"/>
      <c r="C753" s="22" t="str">
        <f aca="false">IF(OR($A753="",$B753=""),"",INDEX(tblCalisan[Brüt Ücret (₺)],MATCH($A753,tblCalisan[Çalışan Adı],0))*IF($B753="5 Puan İndirimi",BesPuanOrani,IF($B753="İlave İstihdam",IlaveIstihdamOrani,IF($B753="Kadın/Genç",KadinGencOrani,IF($B753="Engelli",EngelliOrani,GencGirisimciOrani)))))</f>
        <v/>
      </c>
      <c r="D753" s="22" t="str">
        <f aca="false">IF($C753="","",$C753*AySayisi)</f>
        <v/>
      </c>
      <c r="E753" s="23"/>
    </row>
    <row r="754" customFormat="false" ht="15" hidden="false" customHeight="false" outlineLevel="0" collapsed="false">
      <c r="A754" s="19"/>
      <c r="B754" s="23"/>
      <c r="C754" s="22" t="str">
        <f aca="false">IF(OR($A754="",$B754=""),"",INDEX(tblCalisan[Brüt Ücret (₺)],MATCH($A754,tblCalisan[Çalışan Adı],0))*IF($B754="5 Puan İndirimi",BesPuanOrani,IF($B754="İlave İstihdam",IlaveIstihdamOrani,IF($B754="Kadın/Genç",KadinGencOrani,IF($B754="Engelli",EngelliOrani,GencGirisimciOrani)))))</f>
        <v/>
      </c>
      <c r="D754" s="22" t="str">
        <f aca="false">IF($C754="","",$C754*AySayisi)</f>
        <v/>
      </c>
      <c r="E754" s="23"/>
    </row>
    <row r="755" customFormat="false" ht="15" hidden="false" customHeight="false" outlineLevel="0" collapsed="false">
      <c r="A755" s="19"/>
      <c r="B755" s="23"/>
      <c r="C755" s="22" t="str">
        <f aca="false">IF(OR($A755="",$B755=""),"",INDEX(tblCalisan[Brüt Ücret (₺)],MATCH($A755,tblCalisan[Çalışan Adı],0))*IF($B755="5 Puan İndirimi",BesPuanOrani,IF($B755="İlave İstihdam",IlaveIstihdamOrani,IF($B755="Kadın/Genç",KadinGencOrani,IF($B755="Engelli",EngelliOrani,GencGirisimciOrani)))))</f>
        <v/>
      </c>
      <c r="D755" s="22" t="str">
        <f aca="false">IF($C755="","",$C755*AySayisi)</f>
        <v/>
      </c>
      <c r="E755" s="23"/>
    </row>
    <row r="756" customFormat="false" ht="15" hidden="false" customHeight="false" outlineLevel="0" collapsed="false">
      <c r="A756" s="19"/>
      <c r="B756" s="23"/>
      <c r="C756" s="22" t="str">
        <f aca="false">IF(OR($A756="",$B756=""),"",INDEX(tblCalisan[Brüt Ücret (₺)],MATCH($A756,tblCalisan[Çalışan Adı],0))*IF($B756="5 Puan İndirimi",BesPuanOrani,IF($B756="İlave İstihdam",IlaveIstihdamOrani,IF($B756="Kadın/Genç",KadinGencOrani,IF($B756="Engelli",EngelliOrani,GencGirisimciOrani)))))</f>
        <v/>
      </c>
      <c r="D756" s="22" t="str">
        <f aca="false">IF($C756="","",$C756*AySayisi)</f>
        <v/>
      </c>
      <c r="E756" s="23"/>
    </row>
    <row r="757" customFormat="false" ht="15" hidden="false" customHeight="false" outlineLevel="0" collapsed="false">
      <c r="A757" s="19"/>
      <c r="B757" s="23"/>
      <c r="C757" s="22" t="str">
        <f aca="false">IF(OR($A757="",$B757=""),"",INDEX(tblCalisan[Brüt Ücret (₺)],MATCH($A757,tblCalisan[Çalışan Adı],0))*IF($B757="5 Puan İndirimi",BesPuanOrani,IF($B757="İlave İstihdam",IlaveIstihdamOrani,IF($B757="Kadın/Genç",KadinGencOrani,IF($B757="Engelli",EngelliOrani,GencGirisimciOrani)))))</f>
        <v/>
      </c>
      <c r="D757" s="22" t="str">
        <f aca="false">IF($C757="","",$C757*AySayisi)</f>
        <v/>
      </c>
      <c r="E757" s="23"/>
    </row>
    <row r="758" customFormat="false" ht="15" hidden="false" customHeight="false" outlineLevel="0" collapsed="false">
      <c r="A758" s="19"/>
      <c r="B758" s="23"/>
      <c r="C758" s="22" t="str">
        <f aca="false">IF(OR($A758="",$B758=""),"",INDEX(tblCalisan[Brüt Ücret (₺)],MATCH($A758,tblCalisan[Çalışan Adı],0))*IF($B758="5 Puan İndirimi",BesPuanOrani,IF($B758="İlave İstihdam",IlaveIstihdamOrani,IF($B758="Kadın/Genç",KadinGencOrani,IF($B758="Engelli",EngelliOrani,GencGirisimciOrani)))))</f>
        <v/>
      </c>
      <c r="D758" s="22" t="str">
        <f aca="false">IF($C758="","",$C758*AySayisi)</f>
        <v/>
      </c>
      <c r="E758" s="23"/>
    </row>
    <row r="759" customFormat="false" ht="15" hidden="false" customHeight="false" outlineLevel="0" collapsed="false">
      <c r="A759" s="19"/>
      <c r="B759" s="23"/>
      <c r="C759" s="22" t="str">
        <f aca="false">IF(OR($A759="",$B759=""),"",INDEX(tblCalisan[Brüt Ücret (₺)],MATCH($A759,tblCalisan[Çalışan Adı],0))*IF($B759="5 Puan İndirimi",BesPuanOrani,IF($B759="İlave İstihdam",IlaveIstihdamOrani,IF($B759="Kadın/Genç",KadinGencOrani,IF($B759="Engelli",EngelliOrani,GencGirisimciOrani)))))</f>
        <v/>
      </c>
      <c r="D759" s="22" t="str">
        <f aca="false">IF($C759="","",$C759*AySayisi)</f>
        <v/>
      </c>
      <c r="E759" s="23"/>
    </row>
    <row r="760" customFormat="false" ht="15" hidden="false" customHeight="false" outlineLevel="0" collapsed="false">
      <c r="A760" s="19"/>
      <c r="B760" s="23"/>
      <c r="C760" s="22" t="str">
        <f aca="false">IF(OR($A760="",$B760=""),"",INDEX(tblCalisan[Brüt Ücret (₺)],MATCH($A760,tblCalisan[Çalışan Adı],0))*IF($B760="5 Puan İndirimi",BesPuanOrani,IF($B760="İlave İstihdam",IlaveIstihdamOrani,IF($B760="Kadın/Genç",KadinGencOrani,IF($B760="Engelli",EngelliOrani,GencGirisimciOrani)))))</f>
        <v/>
      </c>
      <c r="D760" s="22" t="str">
        <f aca="false">IF($C760="","",$C760*AySayisi)</f>
        <v/>
      </c>
      <c r="E760" s="23"/>
    </row>
    <row r="761" customFormat="false" ht="15" hidden="false" customHeight="false" outlineLevel="0" collapsed="false">
      <c r="A761" s="19"/>
      <c r="B761" s="23"/>
      <c r="C761" s="22" t="str">
        <f aca="false">IF(OR($A761="",$B761=""),"",INDEX(tblCalisan[Brüt Ücret (₺)],MATCH($A761,tblCalisan[Çalışan Adı],0))*IF($B761="5 Puan İndirimi",BesPuanOrani,IF($B761="İlave İstihdam",IlaveIstihdamOrani,IF($B761="Kadın/Genç",KadinGencOrani,IF($B761="Engelli",EngelliOrani,GencGirisimciOrani)))))</f>
        <v/>
      </c>
      <c r="D761" s="22" t="str">
        <f aca="false">IF($C761="","",$C761*AySayisi)</f>
        <v/>
      </c>
      <c r="E761" s="23"/>
    </row>
    <row r="762" customFormat="false" ht="15" hidden="false" customHeight="false" outlineLevel="0" collapsed="false">
      <c r="A762" s="19"/>
      <c r="B762" s="23"/>
      <c r="C762" s="22" t="str">
        <f aca="false">IF(OR($A762="",$B762=""),"",INDEX(tblCalisan[Brüt Ücret (₺)],MATCH($A762,tblCalisan[Çalışan Adı],0))*IF($B762="5 Puan İndirimi",BesPuanOrani,IF($B762="İlave İstihdam",IlaveIstihdamOrani,IF($B762="Kadın/Genç",KadinGencOrani,IF($B762="Engelli",EngelliOrani,GencGirisimciOrani)))))</f>
        <v/>
      </c>
      <c r="D762" s="22" t="str">
        <f aca="false">IF($C762="","",$C762*AySayisi)</f>
        <v/>
      </c>
      <c r="E762" s="23"/>
    </row>
    <row r="763" customFormat="false" ht="15" hidden="false" customHeight="false" outlineLevel="0" collapsed="false">
      <c r="A763" s="19"/>
      <c r="B763" s="23"/>
      <c r="C763" s="22" t="str">
        <f aca="false">IF(OR($A763="",$B763=""),"",INDEX(tblCalisan[Brüt Ücret (₺)],MATCH($A763,tblCalisan[Çalışan Adı],0))*IF($B763="5 Puan İndirimi",BesPuanOrani,IF($B763="İlave İstihdam",IlaveIstihdamOrani,IF($B763="Kadın/Genç",KadinGencOrani,IF($B763="Engelli",EngelliOrani,GencGirisimciOrani)))))</f>
        <v/>
      </c>
      <c r="D763" s="22" t="str">
        <f aca="false">IF($C763="","",$C763*AySayisi)</f>
        <v/>
      </c>
      <c r="E763" s="23"/>
    </row>
    <row r="764" customFormat="false" ht="15" hidden="false" customHeight="false" outlineLevel="0" collapsed="false">
      <c r="A764" s="19"/>
      <c r="B764" s="23"/>
      <c r="C764" s="22" t="str">
        <f aca="false">IF(OR($A764="",$B764=""),"",INDEX(tblCalisan[Brüt Ücret (₺)],MATCH($A764,tblCalisan[Çalışan Adı],0))*IF($B764="5 Puan İndirimi",BesPuanOrani,IF($B764="İlave İstihdam",IlaveIstihdamOrani,IF($B764="Kadın/Genç",KadinGencOrani,IF($B764="Engelli",EngelliOrani,GencGirisimciOrani)))))</f>
        <v/>
      </c>
      <c r="D764" s="22" t="str">
        <f aca="false">IF($C764="","",$C764*AySayisi)</f>
        <v/>
      </c>
      <c r="E764" s="23"/>
    </row>
    <row r="765" customFormat="false" ht="15" hidden="false" customHeight="false" outlineLevel="0" collapsed="false">
      <c r="A765" s="19"/>
      <c r="B765" s="23"/>
      <c r="C765" s="22" t="str">
        <f aca="false">IF(OR($A765="",$B765=""),"",INDEX(tblCalisan[Brüt Ücret (₺)],MATCH($A765,tblCalisan[Çalışan Adı],0))*IF($B765="5 Puan İndirimi",BesPuanOrani,IF($B765="İlave İstihdam",IlaveIstihdamOrani,IF($B765="Kadın/Genç",KadinGencOrani,IF($B765="Engelli",EngelliOrani,GencGirisimciOrani)))))</f>
        <v/>
      </c>
      <c r="D765" s="22" t="str">
        <f aca="false">IF($C765="","",$C765*AySayisi)</f>
        <v/>
      </c>
      <c r="E765" s="23"/>
    </row>
    <row r="766" customFormat="false" ht="15" hidden="false" customHeight="false" outlineLevel="0" collapsed="false">
      <c r="A766" s="19"/>
      <c r="B766" s="23"/>
      <c r="C766" s="22" t="str">
        <f aca="false">IF(OR($A766="",$B766=""),"",INDEX(tblCalisan[Brüt Ücret (₺)],MATCH($A766,tblCalisan[Çalışan Adı],0))*IF($B766="5 Puan İndirimi",BesPuanOrani,IF($B766="İlave İstihdam",IlaveIstihdamOrani,IF($B766="Kadın/Genç",KadinGencOrani,IF($B766="Engelli",EngelliOrani,GencGirisimciOrani)))))</f>
        <v/>
      </c>
      <c r="D766" s="22" t="str">
        <f aca="false">IF($C766="","",$C766*AySayisi)</f>
        <v/>
      </c>
      <c r="E766" s="23"/>
    </row>
    <row r="767" customFormat="false" ht="15" hidden="false" customHeight="false" outlineLevel="0" collapsed="false">
      <c r="A767" s="19"/>
      <c r="B767" s="23"/>
      <c r="C767" s="22" t="str">
        <f aca="false">IF(OR($A767="",$B767=""),"",INDEX(tblCalisan[Brüt Ücret (₺)],MATCH($A767,tblCalisan[Çalışan Adı],0))*IF($B767="5 Puan İndirimi",BesPuanOrani,IF($B767="İlave İstihdam",IlaveIstihdamOrani,IF($B767="Kadın/Genç",KadinGencOrani,IF($B767="Engelli",EngelliOrani,GencGirisimciOrani)))))</f>
        <v/>
      </c>
      <c r="D767" s="22" t="str">
        <f aca="false">IF($C767="","",$C767*AySayisi)</f>
        <v/>
      </c>
      <c r="E767" s="23"/>
    </row>
    <row r="768" customFormat="false" ht="15" hidden="false" customHeight="false" outlineLevel="0" collapsed="false">
      <c r="A768" s="19"/>
      <c r="B768" s="23"/>
      <c r="C768" s="22" t="str">
        <f aca="false">IF(OR($A768="",$B768=""),"",INDEX(tblCalisan[Brüt Ücret (₺)],MATCH($A768,tblCalisan[Çalışan Adı],0))*IF($B768="5 Puan İndirimi",BesPuanOrani,IF($B768="İlave İstihdam",IlaveIstihdamOrani,IF($B768="Kadın/Genç",KadinGencOrani,IF($B768="Engelli",EngelliOrani,GencGirisimciOrani)))))</f>
        <v/>
      </c>
      <c r="D768" s="22" t="str">
        <f aca="false">IF($C768="","",$C768*AySayisi)</f>
        <v/>
      </c>
      <c r="E768" s="23"/>
    </row>
    <row r="769" customFormat="false" ht="15" hidden="false" customHeight="false" outlineLevel="0" collapsed="false">
      <c r="A769" s="19"/>
      <c r="B769" s="23"/>
      <c r="C769" s="22" t="str">
        <f aca="false">IF(OR($A769="",$B769=""),"",INDEX(tblCalisan[Brüt Ücret (₺)],MATCH($A769,tblCalisan[Çalışan Adı],0))*IF($B769="5 Puan İndirimi",BesPuanOrani,IF($B769="İlave İstihdam",IlaveIstihdamOrani,IF($B769="Kadın/Genç",KadinGencOrani,IF($B769="Engelli",EngelliOrani,GencGirisimciOrani)))))</f>
        <v/>
      </c>
      <c r="D769" s="22" t="str">
        <f aca="false">IF($C769="","",$C769*AySayisi)</f>
        <v/>
      </c>
      <c r="E769" s="23"/>
    </row>
    <row r="770" customFormat="false" ht="15" hidden="false" customHeight="false" outlineLevel="0" collapsed="false">
      <c r="A770" s="19"/>
      <c r="B770" s="23"/>
      <c r="C770" s="22" t="str">
        <f aca="false">IF(OR($A770="",$B770=""),"",INDEX(tblCalisan[Brüt Ücret (₺)],MATCH($A770,tblCalisan[Çalışan Adı],0))*IF($B770="5 Puan İndirimi",BesPuanOrani,IF($B770="İlave İstihdam",IlaveIstihdamOrani,IF($B770="Kadın/Genç",KadinGencOrani,IF($B770="Engelli",EngelliOrani,GencGirisimciOrani)))))</f>
        <v/>
      </c>
      <c r="D770" s="22" t="str">
        <f aca="false">IF($C770="","",$C770*AySayisi)</f>
        <v/>
      </c>
      <c r="E770" s="23"/>
    </row>
    <row r="771" customFormat="false" ht="15" hidden="false" customHeight="false" outlineLevel="0" collapsed="false">
      <c r="A771" s="19"/>
      <c r="B771" s="23"/>
      <c r="C771" s="22" t="str">
        <f aca="false">IF(OR($A771="",$B771=""),"",INDEX(tblCalisan[Brüt Ücret (₺)],MATCH($A771,tblCalisan[Çalışan Adı],0))*IF($B771="5 Puan İndirimi",BesPuanOrani,IF($B771="İlave İstihdam",IlaveIstihdamOrani,IF($B771="Kadın/Genç",KadinGencOrani,IF($B771="Engelli",EngelliOrani,GencGirisimciOrani)))))</f>
        <v/>
      </c>
      <c r="D771" s="22" t="str">
        <f aca="false">IF($C771="","",$C771*AySayisi)</f>
        <v/>
      </c>
      <c r="E771" s="23"/>
    </row>
    <row r="772" customFormat="false" ht="15" hidden="false" customHeight="false" outlineLevel="0" collapsed="false">
      <c r="A772" s="19"/>
      <c r="B772" s="23"/>
      <c r="C772" s="22" t="str">
        <f aca="false">IF(OR($A772="",$B772=""),"",INDEX(tblCalisan[Brüt Ücret (₺)],MATCH($A772,tblCalisan[Çalışan Adı],0))*IF($B772="5 Puan İndirimi",BesPuanOrani,IF($B772="İlave İstihdam",IlaveIstihdamOrani,IF($B772="Kadın/Genç",KadinGencOrani,IF($B772="Engelli",EngelliOrani,GencGirisimciOrani)))))</f>
        <v/>
      </c>
      <c r="D772" s="22" t="str">
        <f aca="false">IF($C772="","",$C772*AySayisi)</f>
        <v/>
      </c>
      <c r="E772" s="23"/>
    </row>
    <row r="773" customFormat="false" ht="15" hidden="false" customHeight="false" outlineLevel="0" collapsed="false">
      <c r="A773" s="19"/>
      <c r="B773" s="23"/>
      <c r="C773" s="22" t="str">
        <f aca="false">IF(OR($A773="",$B773=""),"",INDEX(tblCalisan[Brüt Ücret (₺)],MATCH($A773,tblCalisan[Çalışan Adı],0))*IF($B773="5 Puan İndirimi",BesPuanOrani,IF($B773="İlave İstihdam",IlaveIstihdamOrani,IF($B773="Kadın/Genç",KadinGencOrani,IF($B773="Engelli",EngelliOrani,GencGirisimciOrani)))))</f>
        <v/>
      </c>
      <c r="D773" s="22" t="str">
        <f aca="false">IF($C773="","",$C773*AySayisi)</f>
        <v/>
      </c>
      <c r="E773" s="23"/>
    </row>
    <row r="774" customFormat="false" ht="15" hidden="false" customHeight="false" outlineLevel="0" collapsed="false">
      <c r="A774" s="19"/>
      <c r="B774" s="23"/>
      <c r="C774" s="22" t="str">
        <f aca="false">IF(OR($A774="",$B774=""),"",INDEX(tblCalisan[Brüt Ücret (₺)],MATCH($A774,tblCalisan[Çalışan Adı],0))*IF($B774="5 Puan İndirimi",BesPuanOrani,IF($B774="İlave İstihdam",IlaveIstihdamOrani,IF($B774="Kadın/Genç",KadinGencOrani,IF($B774="Engelli",EngelliOrani,GencGirisimciOrani)))))</f>
        <v/>
      </c>
      <c r="D774" s="22" t="str">
        <f aca="false">IF($C774="","",$C774*AySayisi)</f>
        <v/>
      </c>
      <c r="E774" s="23"/>
    </row>
    <row r="775" customFormat="false" ht="15" hidden="false" customHeight="false" outlineLevel="0" collapsed="false">
      <c r="A775" s="19"/>
      <c r="B775" s="23"/>
      <c r="C775" s="22" t="str">
        <f aca="false">IF(OR($A775="",$B775=""),"",INDEX(tblCalisan[Brüt Ücret (₺)],MATCH($A775,tblCalisan[Çalışan Adı],0))*IF($B775="5 Puan İndirimi",BesPuanOrani,IF($B775="İlave İstihdam",IlaveIstihdamOrani,IF($B775="Kadın/Genç",KadinGencOrani,IF($B775="Engelli",EngelliOrani,GencGirisimciOrani)))))</f>
        <v/>
      </c>
      <c r="D775" s="22" t="str">
        <f aca="false">IF($C775="","",$C775*AySayisi)</f>
        <v/>
      </c>
      <c r="E775" s="23"/>
    </row>
    <row r="776" customFormat="false" ht="15" hidden="false" customHeight="false" outlineLevel="0" collapsed="false">
      <c r="A776" s="19"/>
      <c r="B776" s="23"/>
      <c r="C776" s="22" t="str">
        <f aca="false">IF(OR($A776="",$B776=""),"",INDEX(tblCalisan[Brüt Ücret (₺)],MATCH($A776,tblCalisan[Çalışan Adı],0))*IF($B776="5 Puan İndirimi",BesPuanOrani,IF($B776="İlave İstihdam",IlaveIstihdamOrani,IF($B776="Kadın/Genç",KadinGencOrani,IF($B776="Engelli",EngelliOrani,GencGirisimciOrani)))))</f>
        <v/>
      </c>
      <c r="D776" s="22" t="str">
        <f aca="false">IF($C776="","",$C776*AySayisi)</f>
        <v/>
      </c>
      <c r="E776" s="23"/>
    </row>
    <row r="777" customFormat="false" ht="15" hidden="false" customHeight="false" outlineLevel="0" collapsed="false">
      <c r="A777" s="19"/>
      <c r="B777" s="23"/>
      <c r="C777" s="22" t="str">
        <f aca="false">IF(OR($A777="",$B777=""),"",INDEX(tblCalisan[Brüt Ücret (₺)],MATCH($A777,tblCalisan[Çalışan Adı],0))*IF($B777="5 Puan İndirimi",BesPuanOrani,IF($B777="İlave İstihdam",IlaveIstihdamOrani,IF($B777="Kadın/Genç",KadinGencOrani,IF($B777="Engelli",EngelliOrani,GencGirisimciOrani)))))</f>
        <v/>
      </c>
      <c r="D777" s="22" t="str">
        <f aca="false">IF($C777="","",$C777*AySayisi)</f>
        <v/>
      </c>
      <c r="E777" s="23"/>
    </row>
    <row r="778" customFormat="false" ht="15" hidden="false" customHeight="false" outlineLevel="0" collapsed="false">
      <c r="A778" s="19"/>
      <c r="B778" s="23"/>
      <c r="C778" s="22" t="str">
        <f aca="false">IF(OR($A778="",$B778=""),"",INDEX(tblCalisan[Brüt Ücret (₺)],MATCH($A778,tblCalisan[Çalışan Adı],0))*IF($B778="5 Puan İndirimi",BesPuanOrani,IF($B778="İlave İstihdam",IlaveIstihdamOrani,IF($B778="Kadın/Genç",KadinGencOrani,IF($B778="Engelli",EngelliOrani,GencGirisimciOrani)))))</f>
        <v/>
      </c>
      <c r="D778" s="22" t="str">
        <f aca="false">IF($C778="","",$C778*AySayisi)</f>
        <v/>
      </c>
      <c r="E778" s="23"/>
    </row>
    <row r="779" customFormat="false" ht="15" hidden="false" customHeight="false" outlineLevel="0" collapsed="false">
      <c r="A779" s="19"/>
      <c r="B779" s="23"/>
      <c r="C779" s="22" t="str">
        <f aca="false">IF(OR($A779="",$B779=""),"",INDEX(tblCalisan[Brüt Ücret (₺)],MATCH($A779,tblCalisan[Çalışan Adı],0))*IF($B779="5 Puan İndirimi",BesPuanOrani,IF($B779="İlave İstihdam",IlaveIstihdamOrani,IF($B779="Kadın/Genç",KadinGencOrani,IF($B779="Engelli",EngelliOrani,GencGirisimciOrani)))))</f>
        <v/>
      </c>
      <c r="D779" s="22" t="str">
        <f aca="false">IF($C779="","",$C779*AySayisi)</f>
        <v/>
      </c>
      <c r="E779" s="23"/>
    </row>
    <row r="780" customFormat="false" ht="15" hidden="false" customHeight="false" outlineLevel="0" collapsed="false">
      <c r="A780" s="19"/>
      <c r="B780" s="23"/>
      <c r="C780" s="22" t="str">
        <f aca="false">IF(OR($A780="",$B780=""),"",INDEX(tblCalisan[Brüt Ücret (₺)],MATCH($A780,tblCalisan[Çalışan Adı],0))*IF($B780="5 Puan İndirimi",BesPuanOrani,IF($B780="İlave İstihdam",IlaveIstihdamOrani,IF($B780="Kadın/Genç",KadinGencOrani,IF($B780="Engelli",EngelliOrani,GencGirisimciOrani)))))</f>
        <v/>
      </c>
      <c r="D780" s="22" t="str">
        <f aca="false">IF($C780="","",$C780*AySayisi)</f>
        <v/>
      </c>
      <c r="E780" s="23"/>
    </row>
    <row r="781" customFormat="false" ht="15" hidden="false" customHeight="false" outlineLevel="0" collapsed="false">
      <c r="A781" s="19"/>
      <c r="B781" s="23"/>
      <c r="C781" s="22" t="str">
        <f aca="false">IF(OR($A781="",$B781=""),"",INDEX(tblCalisan[Brüt Ücret (₺)],MATCH($A781,tblCalisan[Çalışan Adı],0))*IF($B781="5 Puan İndirimi",BesPuanOrani,IF($B781="İlave İstihdam",IlaveIstihdamOrani,IF($B781="Kadın/Genç",KadinGencOrani,IF($B781="Engelli",EngelliOrani,GencGirisimciOrani)))))</f>
        <v/>
      </c>
      <c r="D781" s="22" t="str">
        <f aca="false">IF($C781="","",$C781*AySayisi)</f>
        <v/>
      </c>
      <c r="E781" s="23"/>
    </row>
    <row r="782" customFormat="false" ht="15" hidden="false" customHeight="false" outlineLevel="0" collapsed="false">
      <c r="A782" s="19"/>
      <c r="B782" s="23"/>
      <c r="C782" s="22" t="str">
        <f aca="false">IF(OR($A782="",$B782=""),"",INDEX(tblCalisan[Brüt Ücret (₺)],MATCH($A782,tblCalisan[Çalışan Adı],0))*IF($B782="5 Puan İndirimi",BesPuanOrani,IF($B782="İlave İstihdam",IlaveIstihdamOrani,IF($B782="Kadın/Genç",KadinGencOrani,IF($B782="Engelli",EngelliOrani,GencGirisimciOrani)))))</f>
        <v/>
      </c>
      <c r="D782" s="22" t="str">
        <f aca="false">IF($C782="","",$C782*AySayisi)</f>
        <v/>
      </c>
      <c r="E782" s="23"/>
    </row>
    <row r="783" customFormat="false" ht="15" hidden="false" customHeight="false" outlineLevel="0" collapsed="false">
      <c r="A783" s="19"/>
      <c r="B783" s="23"/>
      <c r="C783" s="22" t="str">
        <f aca="false">IF(OR($A783="",$B783=""),"",INDEX(tblCalisan[Brüt Ücret (₺)],MATCH($A783,tblCalisan[Çalışan Adı],0))*IF($B783="5 Puan İndirimi",BesPuanOrani,IF($B783="İlave İstihdam",IlaveIstihdamOrani,IF($B783="Kadın/Genç",KadinGencOrani,IF($B783="Engelli",EngelliOrani,GencGirisimciOrani)))))</f>
        <v/>
      </c>
      <c r="D783" s="22" t="str">
        <f aca="false">IF($C783="","",$C783*AySayisi)</f>
        <v/>
      </c>
      <c r="E783" s="23"/>
    </row>
    <row r="784" customFormat="false" ht="15" hidden="false" customHeight="false" outlineLevel="0" collapsed="false">
      <c r="A784" s="19"/>
      <c r="B784" s="23"/>
      <c r="C784" s="22" t="str">
        <f aca="false">IF(OR($A784="",$B784=""),"",INDEX(tblCalisan[Brüt Ücret (₺)],MATCH($A784,tblCalisan[Çalışan Adı],0))*IF($B784="5 Puan İndirimi",BesPuanOrani,IF($B784="İlave İstihdam",IlaveIstihdamOrani,IF($B784="Kadın/Genç",KadinGencOrani,IF($B784="Engelli",EngelliOrani,GencGirisimciOrani)))))</f>
        <v/>
      </c>
      <c r="D784" s="22" t="str">
        <f aca="false">IF($C784="","",$C784*AySayisi)</f>
        <v/>
      </c>
      <c r="E784" s="23"/>
    </row>
    <row r="785" customFormat="false" ht="15" hidden="false" customHeight="false" outlineLevel="0" collapsed="false">
      <c r="A785" s="19"/>
      <c r="B785" s="23"/>
      <c r="C785" s="22" t="str">
        <f aca="false">IF(OR($A785="",$B785=""),"",INDEX(tblCalisan[Brüt Ücret (₺)],MATCH($A785,tblCalisan[Çalışan Adı],0))*IF($B785="5 Puan İndirimi",BesPuanOrani,IF($B785="İlave İstihdam",IlaveIstihdamOrani,IF($B785="Kadın/Genç",KadinGencOrani,IF($B785="Engelli",EngelliOrani,GencGirisimciOrani)))))</f>
        <v/>
      </c>
      <c r="D785" s="22" t="str">
        <f aca="false">IF($C785="","",$C785*AySayisi)</f>
        <v/>
      </c>
      <c r="E785" s="23"/>
    </row>
    <row r="786" customFormat="false" ht="15" hidden="false" customHeight="false" outlineLevel="0" collapsed="false">
      <c r="A786" s="19"/>
      <c r="B786" s="23"/>
      <c r="C786" s="22" t="str">
        <f aca="false">IF(OR($A786="",$B786=""),"",INDEX(tblCalisan[Brüt Ücret (₺)],MATCH($A786,tblCalisan[Çalışan Adı],0))*IF($B786="5 Puan İndirimi",BesPuanOrani,IF($B786="İlave İstihdam",IlaveIstihdamOrani,IF($B786="Kadın/Genç",KadinGencOrani,IF($B786="Engelli",EngelliOrani,GencGirisimciOrani)))))</f>
        <v/>
      </c>
      <c r="D786" s="22" t="str">
        <f aca="false">IF($C786="","",$C786*AySayisi)</f>
        <v/>
      </c>
      <c r="E786" s="23"/>
    </row>
    <row r="787" customFormat="false" ht="15" hidden="false" customHeight="false" outlineLevel="0" collapsed="false">
      <c r="A787" s="19"/>
      <c r="B787" s="23"/>
      <c r="C787" s="22" t="str">
        <f aca="false">IF(OR($A787="",$B787=""),"",INDEX(tblCalisan[Brüt Ücret (₺)],MATCH($A787,tblCalisan[Çalışan Adı],0))*IF($B787="5 Puan İndirimi",BesPuanOrani,IF($B787="İlave İstihdam",IlaveIstihdamOrani,IF($B787="Kadın/Genç",KadinGencOrani,IF($B787="Engelli",EngelliOrani,GencGirisimciOrani)))))</f>
        <v/>
      </c>
      <c r="D787" s="22" t="str">
        <f aca="false">IF($C787="","",$C787*AySayisi)</f>
        <v/>
      </c>
      <c r="E787" s="23"/>
    </row>
    <row r="788" customFormat="false" ht="15" hidden="false" customHeight="false" outlineLevel="0" collapsed="false">
      <c r="A788" s="19"/>
      <c r="B788" s="23"/>
      <c r="C788" s="22" t="str">
        <f aca="false">IF(OR($A788="",$B788=""),"",INDEX(tblCalisan[Brüt Ücret (₺)],MATCH($A788,tblCalisan[Çalışan Adı],0))*IF($B788="5 Puan İndirimi",BesPuanOrani,IF($B788="İlave İstihdam",IlaveIstihdamOrani,IF($B788="Kadın/Genç",KadinGencOrani,IF($B788="Engelli",EngelliOrani,GencGirisimciOrani)))))</f>
        <v/>
      </c>
      <c r="D788" s="22" t="str">
        <f aca="false">IF($C788="","",$C788*AySayisi)</f>
        <v/>
      </c>
      <c r="E788" s="23"/>
    </row>
    <row r="789" customFormat="false" ht="15" hidden="false" customHeight="false" outlineLevel="0" collapsed="false">
      <c r="A789" s="19"/>
      <c r="B789" s="23"/>
      <c r="C789" s="22" t="str">
        <f aca="false">IF(OR($A789="",$B789=""),"",INDEX(tblCalisan[Brüt Ücret (₺)],MATCH($A789,tblCalisan[Çalışan Adı],0))*IF($B789="5 Puan İndirimi",BesPuanOrani,IF($B789="İlave İstihdam",IlaveIstihdamOrani,IF($B789="Kadın/Genç",KadinGencOrani,IF($B789="Engelli",EngelliOrani,GencGirisimciOrani)))))</f>
        <v/>
      </c>
      <c r="D789" s="22" t="str">
        <f aca="false">IF($C789="","",$C789*AySayisi)</f>
        <v/>
      </c>
      <c r="E789" s="23"/>
    </row>
    <row r="790" customFormat="false" ht="15" hidden="false" customHeight="false" outlineLevel="0" collapsed="false">
      <c r="A790" s="19"/>
      <c r="B790" s="23"/>
      <c r="C790" s="22" t="str">
        <f aca="false">IF(OR($A790="",$B790=""),"",INDEX(tblCalisan[Brüt Ücret (₺)],MATCH($A790,tblCalisan[Çalışan Adı],0))*IF($B790="5 Puan İndirimi",BesPuanOrani,IF($B790="İlave İstihdam",IlaveIstihdamOrani,IF($B790="Kadın/Genç",KadinGencOrani,IF($B790="Engelli",EngelliOrani,GencGirisimciOrani)))))</f>
        <v/>
      </c>
      <c r="D790" s="22" t="str">
        <f aca="false">IF($C790="","",$C790*AySayisi)</f>
        <v/>
      </c>
      <c r="E790" s="23"/>
    </row>
    <row r="791" customFormat="false" ht="15" hidden="false" customHeight="false" outlineLevel="0" collapsed="false">
      <c r="A791" s="19"/>
      <c r="B791" s="23"/>
      <c r="C791" s="22" t="str">
        <f aca="false">IF(OR($A791="",$B791=""),"",INDEX(tblCalisan[Brüt Ücret (₺)],MATCH($A791,tblCalisan[Çalışan Adı],0))*IF($B791="5 Puan İndirimi",BesPuanOrani,IF($B791="İlave İstihdam",IlaveIstihdamOrani,IF($B791="Kadın/Genç",KadinGencOrani,IF($B791="Engelli",EngelliOrani,GencGirisimciOrani)))))</f>
        <v/>
      </c>
      <c r="D791" s="22" t="str">
        <f aca="false">IF($C791="","",$C791*AySayisi)</f>
        <v/>
      </c>
      <c r="E791" s="23"/>
    </row>
    <row r="792" customFormat="false" ht="15" hidden="false" customHeight="false" outlineLevel="0" collapsed="false">
      <c r="A792" s="19"/>
      <c r="B792" s="23"/>
      <c r="C792" s="22" t="str">
        <f aca="false">IF(OR($A792="",$B792=""),"",INDEX(tblCalisan[Brüt Ücret (₺)],MATCH($A792,tblCalisan[Çalışan Adı],0))*IF($B792="5 Puan İndirimi",BesPuanOrani,IF($B792="İlave İstihdam",IlaveIstihdamOrani,IF($B792="Kadın/Genç",KadinGencOrani,IF($B792="Engelli",EngelliOrani,GencGirisimciOrani)))))</f>
        <v/>
      </c>
      <c r="D792" s="22" t="str">
        <f aca="false">IF($C792="","",$C792*AySayisi)</f>
        <v/>
      </c>
      <c r="E792" s="23"/>
    </row>
    <row r="793" customFormat="false" ht="15" hidden="false" customHeight="false" outlineLevel="0" collapsed="false">
      <c r="A793" s="19"/>
      <c r="B793" s="23"/>
      <c r="C793" s="22" t="str">
        <f aca="false">IF(OR($A793="",$B793=""),"",INDEX(tblCalisan[Brüt Ücret (₺)],MATCH($A793,tblCalisan[Çalışan Adı],0))*IF($B793="5 Puan İndirimi",BesPuanOrani,IF($B793="İlave İstihdam",IlaveIstihdamOrani,IF($B793="Kadın/Genç",KadinGencOrani,IF($B793="Engelli",EngelliOrani,GencGirisimciOrani)))))</f>
        <v/>
      </c>
      <c r="D793" s="22" t="str">
        <f aca="false">IF($C793="","",$C793*AySayisi)</f>
        <v/>
      </c>
      <c r="E793" s="23"/>
    </row>
    <row r="794" customFormat="false" ht="15" hidden="false" customHeight="false" outlineLevel="0" collapsed="false">
      <c r="A794" s="19"/>
      <c r="B794" s="23"/>
      <c r="C794" s="22" t="str">
        <f aca="false">IF(OR($A794="",$B794=""),"",INDEX(tblCalisan[Brüt Ücret (₺)],MATCH($A794,tblCalisan[Çalışan Adı],0))*IF($B794="5 Puan İndirimi",BesPuanOrani,IF($B794="İlave İstihdam",IlaveIstihdamOrani,IF($B794="Kadın/Genç",KadinGencOrani,IF($B794="Engelli",EngelliOrani,GencGirisimciOrani)))))</f>
        <v/>
      </c>
      <c r="D794" s="22" t="str">
        <f aca="false">IF($C794="","",$C794*AySayisi)</f>
        <v/>
      </c>
      <c r="E794" s="23"/>
    </row>
    <row r="795" customFormat="false" ht="15" hidden="false" customHeight="false" outlineLevel="0" collapsed="false">
      <c r="A795" s="19"/>
      <c r="B795" s="23"/>
      <c r="C795" s="22" t="str">
        <f aca="false">IF(OR($A795="",$B795=""),"",INDEX(tblCalisan[Brüt Ücret (₺)],MATCH($A795,tblCalisan[Çalışan Adı],0))*IF($B795="5 Puan İndirimi",BesPuanOrani,IF($B795="İlave İstihdam",IlaveIstihdamOrani,IF($B795="Kadın/Genç",KadinGencOrani,IF($B795="Engelli",EngelliOrani,GencGirisimciOrani)))))</f>
        <v/>
      </c>
      <c r="D795" s="22" t="str">
        <f aca="false">IF($C795="","",$C795*AySayisi)</f>
        <v/>
      </c>
      <c r="E795" s="23"/>
    </row>
    <row r="796" customFormat="false" ht="15" hidden="false" customHeight="false" outlineLevel="0" collapsed="false">
      <c r="A796" s="19"/>
      <c r="B796" s="23"/>
      <c r="C796" s="22" t="str">
        <f aca="false">IF(OR($A796="",$B796=""),"",INDEX(tblCalisan[Brüt Ücret (₺)],MATCH($A796,tblCalisan[Çalışan Adı],0))*IF($B796="5 Puan İndirimi",BesPuanOrani,IF($B796="İlave İstihdam",IlaveIstihdamOrani,IF($B796="Kadın/Genç",KadinGencOrani,IF($B796="Engelli",EngelliOrani,GencGirisimciOrani)))))</f>
        <v/>
      </c>
      <c r="D796" s="22" t="str">
        <f aca="false">IF($C796="","",$C796*AySayisi)</f>
        <v/>
      </c>
      <c r="E796" s="23"/>
    </row>
    <row r="797" customFormat="false" ht="15" hidden="false" customHeight="false" outlineLevel="0" collapsed="false">
      <c r="A797" s="19"/>
      <c r="B797" s="23"/>
      <c r="C797" s="22" t="str">
        <f aca="false">IF(OR($A797="",$B797=""),"",INDEX(tblCalisan[Brüt Ücret (₺)],MATCH($A797,tblCalisan[Çalışan Adı],0))*IF($B797="5 Puan İndirimi",BesPuanOrani,IF($B797="İlave İstihdam",IlaveIstihdamOrani,IF($B797="Kadın/Genç",KadinGencOrani,IF($B797="Engelli",EngelliOrani,GencGirisimciOrani)))))</f>
        <v/>
      </c>
      <c r="D797" s="22" t="str">
        <f aca="false">IF($C797="","",$C797*AySayisi)</f>
        <v/>
      </c>
      <c r="E797" s="23"/>
    </row>
    <row r="798" customFormat="false" ht="15" hidden="false" customHeight="false" outlineLevel="0" collapsed="false">
      <c r="A798" s="19"/>
      <c r="B798" s="23"/>
      <c r="C798" s="22" t="str">
        <f aca="false">IF(OR($A798="",$B798=""),"",INDEX(tblCalisan[Brüt Ücret (₺)],MATCH($A798,tblCalisan[Çalışan Adı],0))*IF($B798="5 Puan İndirimi",BesPuanOrani,IF($B798="İlave İstihdam",IlaveIstihdamOrani,IF($B798="Kadın/Genç",KadinGencOrani,IF($B798="Engelli",EngelliOrani,GencGirisimciOrani)))))</f>
        <v/>
      </c>
      <c r="D798" s="22" t="str">
        <f aca="false">IF($C798="","",$C798*AySayisi)</f>
        <v/>
      </c>
      <c r="E798" s="23"/>
    </row>
    <row r="799" customFormat="false" ht="15" hidden="false" customHeight="false" outlineLevel="0" collapsed="false">
      <c r="A799" s="19"/>
      <c r="B799" s="23"/>
      <c r="C799" s="22" t="str">
        <f aca="false">IF(OR($A799="",$B799=""),"",INDEX(tblCalisan[Brüt Ücret (₺)],MATCH($A799,tblCalisan[Çalışan Adı],0))*IF($B799="5 Puan İndirimi",BesPuanOrani,IF($B799="İlave İstihdam",IlaveIstihdamOrani,IF($B799="Kadın/Genç",KadinGencOrani,IF($B799="Engelli",EngelliOrani,GencGirisimciOrani)))))</f>
        <v/>
      </c>
      <c r="D799" s="22" t="str">
        <f aca="false">IF($C799="","",$C799*AySayisi)</f>
        <v/>
      </c>
      <c r="E799" s="23"/>
    </row>
    <row r="800" customFormat="false" ht="15" hidden="false" customHeight="false" outlineLevel="0" collapsed="false">
      <c r="A800" s="19"/>
      <c r="B800" s="23"/>
      <c r="C800" s="22" t="str">
        <f aca="false">IF(OR($A800="",$B800=""),"",INDEX(tblCalisan[Brüt Ücret (₺)],MATCH($A800,tblCalisan[Çalışan Adı],0))*IF($B800="5 Puan İndirimi",BesPuanOrani,IF($B800="İlave İstihdam",IlaveIstihdamOrani,IF($B800="Kadın/Genç",KadinGencOrani,IF($B800="Engelli",EngelliOrani,GencGirisimciOrani)))))</f>
        <v/>
      </c>
      <c r="D800" s="22" t="str">
        <f aca="false">IF($C800="","",$C800*AySayisi)</f>
        <v/>
      </c>
      <c r="E800" s="23"/>
    </row>
    <row r="801" customFormat="false" ht="15" hidden="false" customHeight="false" outlineLevel="0" collapsed="false">
      <c r="A801" s="19"/>
      <c r="B801" s="23"/>
      <c r="C801" s="22" t="str">
        <f aca="false">IF(OR($A801="",$B801=""),"",INDEX(tblCalisan[Brüt Ücret (₺)],MATCH($A801,tblCalisan[Çalışan Adı],0))*IF($B801="5 Puan İndirimi",BesPuanOrani,IF($B801="İlave İstihdam",IlaveIstihdamOrani,IF($B801="Kadın/Genç",KadinGencOrani,IF($B801="Engelli",EngelliOrani,GencGirisimciOrani)))))</f>
        <v/>
      </c>
      <c r="D801" s="22" t="str">
        <f aca="false">IF($C801="","",$C801*AySayisi)</f>
        <v/>
      </c>
      <c r="E801" s="23"/>
    </row>
    <row r="802" customFormat="false" ht="15" hidden="false" customHeight="false" outlineLevel="0" collapsed="false">
      <c r="A802" s="19"/>
      <c r="B802" s="23"/>
      <c r="C802" s="22" t="str">
        <f aca="false">IF(OR($A802="",$B802=""),"",INDEX(tblCalisan[Brüt Ücret (₺)],MATCH($A802,tblCalisan[Çalışan Adı],0))*IF($B802="5 Puan İndirimi",BesPuanOrani,IF($B802="İlave İstihdam",IlaveIstihdamOrani,IF($B802="Kadın/Genç",KadinGencOrani,IF($B802="Engelli",EngelliOrani,GencGirisimciOrani)))))</f>
        <v/>
      </c>
      <c r="D802" s="22" t="str">
        <f aca="false">IF($C802="","",$C802*AySayisi)</f>
        <v/>
      </c>
      <c r="E802" s="23"/>
    </row>
    <row r="803" customFormat="false" ht="15" hidden="false" customHeight="false" outlineLevel="0" collapsed="false">
      <c r="A803" s="19"/>
      <c r="B803" s="23"/>
      <c r="C803" s="22" t="str">
        <f aca="false">IF(OR($A803="",$B803=""),"",INDEX(tblCalisan[Brüt Ücret (₺)],MATCH($A803,tblCalisan[Çalışan Adı],0))*IF($B803="5 Puan İndirimi",BesPuanOrani,IF($B803="İlave İstihdam",IlaveIstihdamOrani,IF($B803="Kadın/Genç",KadinGencOrani,IF($B803="Engelli",EngelliOrani,GencGirisimciOrani)))))</f>
        <v/>
      </c>
      <c r="D803" s="22" t="str">
        <f aca="false">IF($C803="","",$C803*AySayisi)</f>
        <v/>
      </c>
      <c r="E803" s="23"/>
    </row>
    <row r="804" customFormat="false" ht="15" hidden="false" customHeight="false" outlineLevel="0" collapsed="false">
      <c r="A804" s="19"/>
      <c r="B804" s="23"/>
      <c r="C804" s="22" t="str">
        <f aca="false">IF(OR($A804="",$B804=""),"",INDEX(tblCalisan[Brüt Ücret (₺)],MATCH($A804,tblCalisan[Çalışan Adı],0))*IF($B804="5 Puan İndirimi",BesPuanOrani,IF($B804="İlave İstihdam",IlaveIstihdamOrani,IF($B804="Kadın/Genç",KadinGencOrani,IF($B804="Engelli",EngelliOrani,GencGirisimciOrani)))))</f>
        <v/>
      </c>
      <c r="D804" s="22" t="str">
        <f aca="false">IF($C804="","",$C804*AySayisi)</f>
        <v/>
      </c>
      <c r="E804" s="23"/>
    </row>
    <row r="805" customFormat="false" ht="15" hidden="false" customHeight="false" outlineLevel="0" collapsed="false">
      <c r="A805" s="19"/>
      <c r="B805" s="23"/>
      <c r="C805" s="22" t="str">
        <f aca="false">IF(OR($A805="",$B805=""),"",INDEX(tblCalisan[Brüt Ücret (₺)],MATCH($A805,tblCalisan[Çalışan Adı],0))*IF($B805="5 Puan İndirimi",BesPuanOrani,IF($B805="İlave İstihdam",IlaveIstihdamOrani,IF($B805="Kadın/Genç",KadinGencOrani,IF($B805="Engelli",EngelliOrani,GencGirisimciOrani)))))</f>
        <v/>
      </c>
      <c r="D805" s="22" t="str">
        <f aca="false">IF($C805="","",$C805*AySayisi)</f>
        <v/>
      </c>
      <c r="E805" s="23"/>
    </row>
    <row r="806" customFormat="false" ht="15" hidden="false" customHeight="false" outlineLevel="0" collapsed="false">
      <c r="A806" s="19"/>
      <c r="B806" s="23"/>
      <c r="C806" s="22" t="str">
        <f aca="false">IF(OR($A806="",$B806=""),"",INDEX(tblCalisan[Brüt Ücret (₺)],MATCH($A806,tblCalisan[Çalışan Adı],0))*IF($B806="5 Puan İndirimi",BesPuanOrani,IF($B806="İlave İstihdam",IlaveIstihdamOrani,IF($B806="Kadın/Genç",KadinGencOrani,IF($B806="Engelli",EngelliOrani,GencGirisimciOrani)))))</f>
        <v/>
      </c>
      <c r="D806" s="22" t="str">
        <f aca="false">IF($C806="","",$C806*AySayisi)</f>
        <v/>
      </c>
      <c r="E806" s="23"/>
    </row>
    <row r="807" customFormat="false" ht="15" hidden="false" customHeight="false" outlineLevel="0" collapsed="false">
      <c r="A807" s="19"/>
      <c r="B807" s="23"/>
      <c r="C807" s="22" t="str">
        <f aca="false">IF(OR($A807="",$B807=""),"",INDEX(tblCalisan[Brüt Ücret (₺)],MATCH($A807,tblCalisan[Çalışan Adı],0))*IF($B807="5 Puan İndirimi",BesPuanOrani,IF($B807="İlave İstihdam",IlaveIstihdamOrani,IF($B807="Kadın/Genç",KadinGencOrani,IF($B807="Engelli",EngelliOrani,GencGirisimciOrani)))))</f>
        <v/>
      </c>
      <c r="D807" s="22" t="str">
        <f aca="false">IF($C807="","",$C807*AySayisi)</f>
        <v/>
      </c>
      <c r="E807" s="23"/>
    </row>
    <row r="808" customFormat="false" ht="15" hidden="false" customHeight="false" outlineLevel="0" collapsed="false">
      <c r="A808" s="19"/>
      <c r="B808" s="23"/>
      <c r="C808" s="22" t="str">
        <f aca="false">IF(OR($A808="",$B808=""),"",INDEX(tblCalisan[Brüt Ücret (₺)],MATCH($A808,tblCalisan[Çalışan Adı],0))*IF($B808="5 Puan İndirimi",BesPuanOrani,IF($B808="İlave İstihdam",IlaveIstihdamOrani,IF($B808="Kadın/Genç",KadinGencOrani,IF($B808="Engelli",EngelliOrani,GencGirisimciOrani)))))</f>
        <v/>
      </c>
      <c r="D808" s="22" t="str">
        <f aca="false">IF($C808="","",$C808*AySayisi)</f>
        <v/>
      </c>
      <c r="E808" s="23"/>
    </row>
    <row r="809" customFormat="false" ht="15" hidden="false" customHeight="false" outlineLevel="0" collapsed="false">
      <c r="A809" s="19"/>
      <c r="B809" s="23"/>
      <c r="C809" s="22" t="str">
        <f aca="false">IF(OR($A809="",$B809=""),"",INDEX(tblCalisan[Brüt Ücret (₺)],MATCH($A809,tblCalisan[Çalışan Adı],0))*IF($B809="5 Puan İndirimi",BesPuanOrani,IF($B809="İlave İstihdam",IlaveIstihdamOrani,IF($B809="Kadın/Genç",KadinGencOrani,IF($B809="Engelli",EngelliOrani,GencGirisimciOrani)))))</f>
        <v/>
      </c>
      <c r="D809" s="22" t="str">
        <f aca="false">IF($C809="","",$C809*AySayisi)</f>
        <v/>
      </c>
      <c r="E809" s="23"/>
    </row>
    <row r="810" customFormat="false" ht="15" hidden="false" customHeight="false" outlineLevel="0" collapsed="false">
      <c r="A810" s="19"/>
      <c r="B810" s="23"/>
      <c r="C810" s="22" t="str">
        <f aca="false">IF(OR($A810="",$B810=""),"",INDEX(tblCalisan[Brüt Ücret (₺)],MATCH($A810,tblCalisan[Çalışan Adı],0))*IF($B810="5 Puan İndirimi",BesPuanOrani,IF($B810="İlave İstihdam",IlaveIstihdamOrani,IF($B810="Kadın/Genç",KadinGencOrani,IF($B810="Engelli",EngelliOrani,GencGirisimciOrani)))))</f>
        <v/>
      </c>
      <c r="D810" s="22" t="str">
        <f aca="false">IF($C810="","",$C810*AySayisi)</f>
        <v/>
      </c>
      <c r="E810" s="23"/>
    </row>
    <row r="811" customFormat="false" ht="15" hidden="false" customHeight="false" outlineLevel="0" collapsed="false">
      <c r="A811" s="19"/>
      <c r="B811" s="23"/>
      <c r="C811" s="22" t="str">
        <f aca="false">IF(OR($A811="",$B811=""),"",INDEX(tblCalisan[Brüt Ücret (₺)],MATCH($A811,tblCalisan[Çalışan Adı],0))*IF($B811="5 Puan İndirimi",BesPuanOrani,IF($B811="İlave İstihdam",IlaveIstihdamOrani,IF($B811="Kadın/Genç",KadinGencOrani,IF($B811="Engelli",EngelliOrani,GencGirisimciOrani)))))</f>
        <v/>
      </c>
      <c r="D811" s="22" t="str">
        <f aca="false">IF($C811="","",$C811*AySayisi)</f>
        <v/>
      </c>
      <c r="E811" s="23"/>
    </row>
    <row r="812" customFormat="false" ht="15" hidden="false" customHeight="false" outlineLevel="0" collapsed="false">
      <c r="A812" s="19"/>
      <c r="B812" s="23"/>
      <c r="C812" s="22" t="str">
        <f aca="false">IF(OR($A812="",$B812=""),"",INDEX(tblCalisan[Brüt Ücret (₺)],MATCH($A812,tblCalisan[Çalışan Adı],0))*IF($B812="5 Puan İndirimi",BesPuanOrani,IF($B812="İlave İstihdam",IlaveIstihdamOrani,IF($B812="Kadın/Genç",KadinGencOrani,IF($B812="Engelli",EngelliOrani,GencGirisimciOrani)))))</f>
        <v/>
      </c>
      <c r="D812" s="22" t="str">
        <f aca="false">IF($C812="","",$C812*AySayisi)</f>
        <v/>
      </c>
      <c r="E812" s="23"/>
    </row>
    <row r="813" customFormat="false" ht="15" hidden="false" customHeight="false" outlineLevel="0" collapsed="false">
      <c r="A813" s="19"/>
      <c r="B813" s="23"/>
      <c r="C813" s="22" t="str">
        <f aca="false">IF(OR($A813="",$B813=""),"",INDEX(tblCalisan[Brüt Ücret (₺)],MATCH($A813,tblCalisan[Çalışan Adı],0))*IF($B813="5 Puan İndirimi",BesPuanOrani,IF($B813="İlave İstihdam",IlaveIstihdamOrani,IF($B813="Kadın/Genç",KadinGencOrani,IF($B813="Engelli",EngelliOrani,GencGirisimciOrani)))))</f>
        <v/>
      </c>
      <c r="D813" s="22" t="str">
        <f aca="false">IF($C813="","",$C813*AySayisi)</f>
        <v/>
      </c>
      <c r="E813" s="23"/>
    </row>
    <row r="814" customFormat="false" ht="15" hidden="false" customHeight="false" outlineLevel="0" collapsed="false">
      <c r="A814" s="19"/>
      <c r="B814" s="23"/>
      <c r="C814" s="22" t="str">
        <f aca="false">IF(OR($A814="",$B814=""),"",INDEX(tblCalisan[Brüt Ücret (₺)],MATCH($A814,tblCalisan[Çalışan Adı],0))*IF($B814="5 Puan İndirimi",BesPuanOrani,IF($B814="İlave İstihdam",IlaveIstihdamOrani,IF($B814="Kadın/Genç",KadinGencOrani,IF($B814="Engelli",EngelliOrani,GencGirisimciOrani)))))</f>
        <v/>
      </c>
      <c r="D814" s="22" t="str">
        <f aca="false">IF($C814="","",$C814*AySayisi)</f>
        <v/>
      </c>
      <c r="E814" s="23"/>
    </row>
    <row r="815" customFormat="false" ht="15" hidden="false" customHeight="false" outlineLevel="0" collapsed="false">
      <c r="A815" s="19"/>
      <c r="B815" s="23"/>
      <c r="C815" s="22" t="str">
        <f aca="false">IF(OR($A815="",$B815=""),"",INDEX(tblCalisan[Brüt Ücret (₺)],MATCH($A815,tblCalisan[Çalışan Adı],0))*IF($B815="5 Puan İndirimi",BesPuanOrani,IF($B815="İlave İstihdam",IlaveIstihdamOrani,IF($B815="Kadın/Genç",KadinGencOrani,IF($B815="Engelli",EngelliOrani,GencGirisimciOrani)))))</f>
        <v/>
      </c>
      <c r="D815" s="22" t="str">
        <f aca="false">IF($C815="","",$C815*AySayisi)</f>
        <v/>
      </c>
      <c r="E815" s="23"/>
    </row>
    <row r="816" customFormat="false" ht="15" hidden="false" customHeight="false" outlineLevel="0" collapsed="false">
      <c r="A816" s="19"/>
      <c r="B816" s="23"/>
      <c r="C816" s="22" t="str">
        <f aca="false">IF(OR($A816="",$B816=""),"",INDEX(tblCalisan[Brüt Ücret (₺)],MATCH($A816,tblCalisan[Çalışan Adı],0))*IF($B816="5 Puan İndirimi",BesPuanOrani,IF($B816="İlave İstihdam",IlaveIstihdamOrani,IF($B816="Kadın/Genç",KadinGencOrani,IF($B816="Engelli",EngelliOrani,GencGirisimciOrani)))))</f>
        <v/>
      </c>
      <c r="D816" s="22" t="str">
        <f aca="false">IF($C816="","",$C816*AySayisi)</f>
        <v/>
      </c>
      <c r="E816" s="23"/>
    </row>
    <row r="817" customFormat="false" ht="15" hidden="false" customHeight="false" outlineLevel="0" collapsed="false">
      <c r="A817" s="19"/>
      <c r="B817" s="23"/>
      <c r="C817" s="22" t="str">
        <f aca="false">IF(OR($A817="",$B817=""),"",INDEX(tblCalisan[Brüt Ücret (₺)],MATCH($A817,tblCalisan[Çalışan Adı],0))*IF($B817="5 Puan İndirimi",BesPuanOrani,IF($B817="İlave İstihdam",IlaveIstihdamOrani,IF($B817="Kadın/Genç",KadinGencOrani,IF($B817="Engelli",EngelliOrani,GencGirisimciOrani)))))</f>
        <v/>
      </c>
      <c r="D817" s="22" t="str">
        <f aca="false">IF($C817="","",$C817*AySayisi)</f>
        <v/>
      </c>
      <c r="E817" s="23"/>
    </row>
    <row r="818" customFormat="false" ht="15" hidden="false" customHeight="false" outlineLevel="0" collapsed="false">
      <c r="A818" s="19"/>
      <c r="B818" s="23"/>
      <c r="C818" s="22" t="str">
        <f aca="false">IF(OR($A818="",$B818=""),"",INDEX(tblCalisan[Brüt Ücret (₺)],MATCH($A818,tblCalisan[Çalışan Adı],0))*IF($B818="5 Puan İndirimi",BesPuanOrani,IF($B818="İlave İstihdam",IlaveIstihdamOrani,IF($B818="Kadın/Genç",KadinGencOrani,IF($B818="Engelli",EngelliOrani,GencGirisimciOrani)))))</f>
        <v/>
      </c>
      <c r="D818" s="22" t="str">
        <f aca="false">IF($C818="","",$C818*AySayisi)</f>
        <v/>
      </c>
      <c r="E818" s="23"/>
    </row>
    <row r="819" customFormat="false" ht="15" hidden="false" customHeight="false" outlineLevel="0" collapsed="false">
      <c r="A819" s="19"/>
      <c r="B819" s="23"/>
      <c r="C819" s="22" t="str">
        <f aca="false">IF(OR($A819="",$B819=""),"",INDEX(tblCalisan[Brüt Ücret (₺)],MATCH($A819,tblCalisan[Çalışan Adı],0))*IF($B819="5 Puan İndirimi",BesPuanOrani,IF($B819="İlave İstihdam",IlaveIstihdamOrani,IF($B819="Kadın/Genç",KadinGencOrani,IF($B819="Engelli",EngelliOrani,GencGirisimciOrani)))))</f>
        <v/>
      </c>
      <c r="D819" s="22" t="str">
        <f aca="false">IF($C819="","",$C819*AySayisi)</f>
        <v/>
      </c>
      <c r="E819" s="23"/>
    </row>
    <row r="820" customFormat="false" ht="15" hidden="false" customHeight="false" outlineLevel="0" collapsed="false">
      <c r="A820" s="19"/>
      <c r="B820" s="23"/>
      <c r="C820" s="22" t="str">
        <f aca="false">IF(OR($A820="",$B820=""),"",INDEX(tblCalisan[Brüt Ücret (₺)],MATCH($A820,tblCalisan[Çalışan Adı],0))*IF($B820="5 Puan İndirimi",BesPuanOrani,IF($B820="İlave İstihdam",IlaveIstihdamOrani,IF($B820="Kadın/Genç",KadinGencOrani,IF($B820="Engelli",EngelliOrani,GencGirisimciOrani)))))</f>
        <v/>
      </c>
      <c r="D820" s="22" t="str">
        <f aca="false">IF($C820="","",$C820*AySayisi)</f>
        <v/>
      </c>
      <c r="E820" s="23"/>
    </row>
    <row r="821" customFormat="false" ht="15" hidden="false" customHeight="false" outlineLevel="0" collapsed="false">
      <c r="A821" s="19"/>
      <c r="B821" s="23"/>
      <c r="C821" s="22" t="str">
        <f aca="false">IF(OR($A821="",$B821=""),"",INDEX(tblCalisan[Brüt Ücret (₺)],MATCH($A821,tblCalisan[Çalışan Adı],0))*IF($B821="5 Puan İndirimi",BesPuanOrani,IF($B821="İlave İstihdam",IlaveIstihdamOrani,IF($B821="Kadın/Genç",KadinGencOrani,IF($B821="Engelli",EngelliOrani,GencGirisimciOrani)))))</f>
        <v/>
      </c>
      <c r="D821" s="22" t="str">
        <f aca="false">IF($C821="","",$C821*AySayisi)</f>
        <v/>
      </c>
      <c r="E821" s="23"/>
    </row>
    <row r="822" customFormat="false" ht="15" hidden="false" customHeight="false" outlineLevel="0" collapsed="false">
      <c r="A822" s="19"/>
      <c r="B822" s="23"/>
      <c r="C822" s="22" t="str">
        <f aca="false">IF(OR($A822="",$B822=""),"",INDEX(tblCalisan[Brüt Ücret (₺)],MATCH($A822,tblCalisan[Çalışan Adı],0))*IF($B822="5 Puan İndirimi",BesPuanOrani,IF($B822="İlave İstihdam",IlaveIstihdamOrani,IF($B822="Kadın/Genç",KadinGencOrani,IF($B822="Engelli",EngelliOrani,GencGirisimciOrani)))))</f>
        <v/>
      </c>
      <c r="D822" s="22" t="str">
        <f aca="false">IF($C822="","",$C822*AySayisi)</f>
        <v/>
      </c>
      <c r="E822" s="23"/>
    </row>
    <row r="823" customFormat="false" ht="15" hidden="false" customHeight="false" outlineLevel="0" collapsed="false">
      <c r="A823" s="19"/>
      <c r="B823" s="23"/>
      <c r="C823" s="22" t="str">
        <f aca="false">IF(OR($A823="",$B823=""),"",INDEX(tblCalisan[Brüt Ücret (₺)],MATCH($A823,tblCalisan[Çalışan Adı],0))*IF($B823="5 Puan İndirimi",BesPuanOrani,IF($B823="İlave İstihdam",IlaveIstihdamOrani,IF($B823="Kadın/Genç",KadinGencOrani,IF($B823="Engelli",EngelliOrani,GencGirisimciOrani)))))</f>
        <v/>
      </c>
      <c r="D823" s="22" t="str">
        <f aca="false">IF($C823="","",$C823*AySayisi)</f>
        <v/>
      </c>
      <c r="E823" s="23"/>
    </row>
    <row r="824" customFormat="false" ht="15" hidden="false" customHeight="false" outlineLevel="0" collapsed="false">
      <c r="A824" s="19"/>
      <c r="B824" s="23"/>
      <c r="C824" s="22" t="str">
        <f aca="false">IF(OR($A824="",$B824=""),"",INDEX(tblCalisan[Brüt Ücret (₺)],MATCH($A824,tblCalisan[Çalışan Adı],0))*IF($B824="5 Puan İndirimi",BesPuanOrani,IF($B824="İlave İstihdam",IlaveIstihdamOrani,IF($B824="Kadın/Genç",KadinGencOrani,IF($B824="Engelli",EngelliOrani,GencGirisimciOrani)))))</f>
        <v/>
      </c>
      <c r="D824" s="22" t="str">
        <f aca="false">IF($C824="","",$C824*AySayisi)</f>
        <v/>
      </c>
      <c r="E824" s="23"/>
    </row>
    <row r="825" customFormat="false" ht="15" hidden="false" customHeight="false" outlineLevel="0" collapsed="false">
      <c r="A825" s="19"/>
      <c r="B825" s="23"/>
      <c r="C825" s="22" t="str">
        <f aca="false">IF(OR($A825="",$B825=""),"",INDEX(tblCalisan[Brüt Ücret (₺)],MATCH($A825,tblCalisan[Çalışan Adı],0))*IF($B825="5 Puan İndirimi",BesPuanOrani,IF($B825="İlave İstihdam",IlaveIstihdamOrani,IF($B825="Kadın/Genç",KadinGencOrani,IF($B825="Engelli",EngelliOrani,GencGirisimciOrani)))))</f>
        <v/>
      </c>
      <c r="D825" s="22" t="str">
        <f aca="false">IF($C825="","",$C825*AySayisi)</f>
        <v/>
      </c>
      <c r="E825" s="23"/>
    </row>
    <row r="826" customFormat="false" ht="15" hidden="false" customHeight="false" outlineLevel="0" collapsed="false">
      <c r="A826" s="19"/>
      <c r="B826" s="23"/>
      <c r="C826" s="22" t="str">
        <f aca="false">IF(OR($A826="",$B826=""),"",INDEX(tblCalisan[Brüt Ücret (₺)],MATCH($A826,tblCalisan[Çalışan Adı],0))*IF($B826="5 Puan İndirimi",BesPuanOrani,IF($B826="İlave İstihdam",IlaveIstihdamOrani,IF($B826="Kadın/Genç",KadinGencOrani,IF($B826="Engelli",EngelliOrani,GencGirisimciOrani)))))</f>
        <v/>
      </c>
      <c r="D826" s="22" t="str">
        <f aca="false">IF($C826="","",$C826*AySayisi)</f>
        <v/>
      </c>
      <c r="E826" s="23"/>
    </row>
    <row r="827" customFormat="false" ht="15" hidden="false" customHeight="false" outlineLevel="0" collapsed="false">
      <c r="A827" s="19"/>
      <c r="B827" s="23"/>
      <c r="C827" s="22" t="str">
        <f aca="false">IF(OR($A827="",$B827=""),"",INDEX(tblCalisan[Brüt Ücret (₺)],MATCH($A827,tblCalisan[Çalışan Adı],0))*IF($B827="5 Puan İndirimi",BesPuanOrani,IF($B827="İlave İstihdam",IlaveIstihdamOrani,IF($B827="Kadın/Genç",KadinGencOrani,IF($B827="Engelli",EngelliOrani,GencGirisimciOrani)))))</f>
        <v/>
      </c>
      <c r="D827" s="22" t="str">
        <f aca="false">IF($C827="","",$C827*AySayisi)</f>
        <v/>
      </c>
      <c r="E827" s="23"/>
    </row>
    <row r="828" customFormat="false" ht="15" hidden="false" customHeight="false" outlineLevel="0" collapsed="false">
      <c r="A828" s="19"/>
      <c r="B828" s="23"/>
      <c r="C828" s="22" t="str">
        <f aca="false">IF(OR($A828="",$B828=""),"",INDEX(tblCalisan[Brüt Ücret (₺)],MATCH($A828,tblCalisan[Çalışan Adı],0))*IF($B828="5 Puan İndirimi",BesPuanOrani,IF($B828="İlave İstihdam",IlaveIstihdamOrani,IF($B828="Kadın/Genç",KadinGencOrani,IF($B828="Engelli",EngelliOrani,GencGirisimciOrani)))))</f>
        <v/>
      </c>
      <c r="D828" s="22" t="str">
        <f aca="false">IF($C828="","",$C828*AySayisi)</f>
        <v/>
      </c>
      <c r="E828" s="23"/>
    </row>
    <row r="829" customFormat="false" ht="15" hidden="false" customHeight="false" outlineLevel="0" collapsed="false">
      <c r="A829" s="19"/>
      <c r="B829" s="23"/>
      <c r="C829" s="22" t="str">
        <f aca="false">IF(OR($A829="",$B829=""),"",INDEX(tblCalisan[Brüt Ücret (₺)],MATCH($A829,tblCalisan[Çalışan Adı],0))*IF($B829="5 Puan İndirimi",BesPuanOrani,IF($B829="İlave İstihdam",IlaveIstihdamOrani,IF($B829="Kadın/Genç",KadinGencOrani,IF($B829="Engelli",EngelliOrani,GencGirisimciOrani)))))</f>
        <v/>
      </c>
      <c r="D829" s="22" t="str">
        <f aca="false">IF($C829="","",$C829*AySayisi)</f>
        <v/>
      </c>
      <c r="E829" s="23"/>
    </row>
    <row r="830" customFormat="false" ht="15" hidden="false" customHeight="false" outlineLevel="0" collapsed="false">
      <c r="A830" s="19"/>
      <c r="B830" s="23"/>
      <c r="C830" s="22" t="str">
        <f aca="false">IF(OR($A830="",$B830=""),"",INDEX(tblCalisan[Brüt Ücret (₺)],MATCH($A830,tblCalisan[Çalışan Adı],0))*IF($B830="5 Puan İndirimi",BesPuanOrani,IF($B830="İlave İstihdam",IlaveIstihdamOrani,IF($B830="Kadın/Genç",KadinGencOrani,IF($B830="Engelli",EngelliOrani,GencGirisimciOrani)))))</f>
        <v/>
      </c>
      <c r="D830" s="22" t="str">
        <f aca="false">IF($C830="","",$C830*AySayisi)</f>
        <v/>
      </c>
      <c r="E830" s="23"/>
    </row>
    <row r="831" customFormat="false" ht="15" hidden="false" customHeight="false" outlineLevel="0" collapsed="false">
      <c r="A831" s="19"/>
      <c r="B831" s="23"/>
      <c r="C831" s="22" t="str">
        <f aca="false">IF(OR($A831="",$B831=""),"",INDEX(tblCalisan[Brüt Ücret (₺)],MATCH($A831,tblCalisan[Çalışan Adı],0))*IF($B831="5 Puan İndirimi",BesPuanOrani,IF($B831="İlave İstihdam",IlaveIstihdamOrani,IF($B831="Kadın/Genç",KadinGencOrani,IF($B831="Engelli",EngelliOrani,GencGirisimciOrani)))))</f>
        <v/>
      </c>
      <c r="D831" s="22" t="str">
        <f aca="false">IF($C831="","",$C831*AySayisi)</f>
        <v/>
      </c>
      <c r="E831" s="23"/>
    </row>
    <row r="832" customFormat="false" ht="15" hidden="false" customHeight="false" outlineLevel="0" collapsed="false">
      <c r="A832" s="19"/>
      <c r="B832" s="23"/>
      <c r="C832" s="22" t="str">
        <f aca="false">IF(OR($A832="",$B832=""),"",INDEX(tblCalisan[Brüt Ücret (₺)],MATCH($A832,tblCalisan[Çalışan Adı],0))*IF($B832="5 Puan İndirimi",BesPuanOrani,IF($B832="İlave İstihdam",IlaveIstihdamOrani,IF($B832="Kadın/Genç",KadinGencOrani,IF($B832="Engelli",EngelliOrani,GencGirisimciOrani)))))</f>
        <v/>
      </c>
      <c r="D832" s="22" t="str">
        <f aca="false">IF($C832="","",$C832*AySayisi)</f>
        <v/>
      </c>
      <c r="E832" s="23"/>
    </row>
    <row r="833" customFormat="false" ht="15" hidden="false" customHeight="false" outlineLevel="0" collapsed="false">
      <c r="A833" s="19"/>
      <c r="B833" s="23"/>
      <c r="C833" s="22" t="str">
        <f aca="false">IF(OR($A833="",$B833=""),"",INDEX(tblCalisan[Brüt Ücret (₺)],MATCH($A833,tblCalisan[Çalışan Adı],0))*IF($B833="5 Puan İndirimi",BesPuanOrani,IF($B833="İlave İstihdam",IlaveIstihdamOrani,IF($B833="Kadın/Genç",KadinGencOrani,IF($B833="Engelli",EngelliOrani,GencGirisimciOrani)))))</f>
        <v/>
      </c>
      <c r="D833" s="22" t="str">
        <f aca="false">IF($C833="","",$C833*AySayisi)</f>
        <v/>
      </c>
      <c r="E833" s="23"/>
    </row>
    <row r="834" customFormat="false" ht="15" hidden="false" customHeight="false" outlineLevel="0" collapsed="false">
      <c r="A834" s="19"/>
      <c r="B834" s="23"/>
      <c r="C834" s="22" t="str">
        <f aca="false">IF(OR($A834="",$B834=""),"",INDEX(tblCalisan[Brüt Ücret (₺)],MATCH($A834,tblCalisan[Çalışan Adı],0))*IF($B834="5 Puan İndirimi",BesPuanOrani,IF($B834="İlave İstihdam",IlaveIstihdamOrani,IF($B834="Kadın/Genç",KadinGencOrani,IF($B834="Engelli",EngelliOrani,GencGirisimciOrani)))))</f>
        <v/>
      </c>
      <c r="D834" s="22" t="str">
        <f aca="false">IF($C834="","",$C834*AySayisi)</f>
        <v/>
      </c>
      <c r="E834" s="23"/>
    </row>
    <row r="835" customFormat="false" ht="15" hidden="false" customHeight="false" outlineLevel="0" collapsed="false">
      <c r="A835" s="19"/>
      <c r="B835" s="23"/>
      <c r="C835" s="22" t="str">
        <f aca="false">IF(OR($A835="",$B835=""),"",INDEX(tblCalisan[Brüt Ücret (₺)],MATCH($A835,tblCalisan[Çalışan Adı],0))*IF($B835="5 Puan İndirimi",BesPuanOrani,IF($B835="İlave İstihdam",IlaveIstihdamOrani,IF($B835="Kadın/Genç",KadinGencOrani,IF($B835="Engelli",EngelliOrani,GencGirisimciOrani)))))</f>
        <v/>
      </c>
      <c r="D835" s="22" t="str">
        <f aca="false">IF($C835="","",$C835*AySayisi)</f>
        <v/>
      </c>
      <c r="E835" s="23"/>
    </row>
    <row r="836" customFormat="false" ht="15" hidden="false" customHeight="false" outlineLevel="0" collapsed="false">
      <c r="A836" s="19"/>
      <c r="B836" s="23"/>
      <c r="C836" s="22" t="str">
        <f aca="false">IF(OR($A836="",$B836=""),"",INDEX(tblCalisan[Brüt Ücret (₺)],MATCH($A836,tblCalisan[Çalışan Adı],0))*IF($B836="5 Puan İndirimi",BesPuanOrani,IF($B836="İlave İstihdam",IlaveIstihdamOrani,IF($B836="Kadın/Genç",KadinGencOrani,IF($B836="Engelli",EngelliOrani,GencGirisimciOrani)))))</f>
        <v/>
      </c>
      <c r="D836" s="22" t="str">
        <f aca="false">IF($C836="","",$C836*AySayisi)</f>
        <v/>
      </c>
      <c r="E836" s="23"/>
    </row>
    <row r="837" customFormat="false" ht="15" hidden="false" customHeight="false" outlineLevel="0" collapsed="false">
      <c r="A837" s="19"/>
      <c r="B837" s="23"/>
      <c r="C837" s="22" t="str">
        <f aca="false">IF(OR($A837="",$B837=""),"",INDEX(tblCalisan[Brüt Ücret (₺)],MATCH($A837,tblCalisan[Çalışan Adı],0))*IF($B837="5 Puan İndirimi",BesPuanOrani,IF($B837="İlave İstihdam",IlaveIstihdamOrani,IF($B837="Kadın/Genç",KadinGencOrani,IF($B837="Engelli",EngelliOrani,GencGirisimciOrani)))))</f>
        <v/>
      </c>
      <c r="D837" s="22" t="str">
        <f aca="false">IF($C837="","",$C837*AySayisi)</f>
        <v/>
      </c>
      <c r="E837" s="23"/>
    </row>
    <row r="838" customFormat="false" ht="15" hidden="false" customHeight="false" outlineLevel="0" collapsed="false">
      <c r="A838" s="19"/>
      <c r="B838" s="23"/>
      <c r="C838" s="22" t="str">
        <f aca="false">IF(OR($A838="",$B838=""),"",INDEX(tblCalisan[Brüt Ücret (₺)],MATCH($A838,tblCalisan[Çalışan Adı],0))*IF($B838="5 Puan İndirimi",BesPuanOrani,IF($B838="İlave İstihdam",IlaveIstihdamOrani,IF($B838="Kadın/Genç",KadinGencOrani,IF($B838="Engelli",EngelliOrani,GencGirisimciOrani)))))</f>
        <v/>
      </c>
      <c r="D838" s="22" t="str">
        <f aca="false">IF($C838="","",$C838*AySayisi)</f>
        <v/>
      </c>
      <c r="E838" s="23"/>
    </row>
    <row r="839" customFormat="false" ht="15" hidden="false" customHeight="false" outlineLevel="0" collapsed="false">
      <c r="A839" s="19"/>
      <c r="B839" s="23"/>
      <c r="C839" s="22" t="str">
        <f aca="false">IF(OR($A839="",$B839=""),"",INDEX(tblCalisan[Brüt Ücret (₺)],MATCH($A839,tblCalisan[Çalışan Adı],0))*IF($B839="5 Puan İndirimi",BesPuanOrani,IF($B839="İlave İstihdam",IlaveIstihdamOrani,IF($B839="Kadın/Genç",KadinGencOrani,IF($B839="Engelli",EngelliOrani,GencGirisimciOrani)))))</f>
        <v/>
      </c>
      <c r="D839" s="22" t="str">
        <f aca="false">IF($C839="","",$C839*AySayisi)</f>
        <v/>
      </c>
      <c r="E839" s="23"/>
    </row>
    <row r="840" customFormat="false" ht="15" hidden="false" customHeight="false" outlineLevel="0" collapsed="false">
      <c r="A840" s="19"/>
      <c r="B840" s="23"/>
      <c r="C840" s="22" t="str">
        <f aca="false">IF(OR($A840="",$B840=""),"",INDEX(tblCalisan[Brüt Ücret (₺)],MATCH($A840,tblCalisan[Çalışan Adı],0))*IF($B840="5 Puan İndirimi",BesPuanOrani,IF($B840="İlave İstihdam",IlaveIstihdamOrani,IF($B840="Kadın/Genç",KadinGencOrani,IF($B840="Engelli",EngelliOrani,GencGirisimciOrani)))))</f>
        <v/>
      </c>
      <c r="D840" s="22" t="str">
        <f aca="false">IF($C840="","",$C840*AySayisi)</f>
        <v/>
      </c>
      <c r="E840" s="23"/>
    </row>
    <row r="841" customFormat="false" ht="15" hidden="false" customHeight="false" outlineLevel="0" collapsed="false">
      <c r="A841" s="19"/>
      <c r="B841" s="23"/>
      <c r="C841" s="22" t="str">
        <f aca="false">IF(OR($A841="",$B841=""),"",INDEX(tblCalisan[Brüt Ücret (₺)],MATCH($A841,tblCalisan[Çalışan Adı],0))*IF($B841="5 Puan İndirimi",BesPuanOrani,IF($B841="İlave İstihdam",IlaveIstihdamOrani,IF($B841="Kadın/Genç",KadinGencOrani,IF($B841="Engelli",EngelliOrani,GencGirisimciOrani)))))</f>
        <v/>
      </c>
      <c r="D841" s="22" t="str">
        <f aca="false">IF($C841="","",$C841*AySayisi)</f>
        <v/>
      </c>
      <c r="E841" s="23"/>
    </row>
    <row r="842" customFormat="false" ht="15" hidden="false" customHeight="false" outlineLevel="0" collapsed="false">
      <c r="A842" s="19"/>
      <c r="B842" s="23"/>
      <c r="C842" s="22" t="str">
        <f aca="false">IF(OR($A842="",$B842=""),"",INDEX(tblCalisan[Brüt Ücret (₺)],MATCH($A842,tblCalisan[Çalışan Adı],0))*IF($B842="5 Puan İndirimi",BesPuanOrani,IF($B842="İlave İstihdam",IlaveIstihdamOrani,IF($B842="Kadın/Genç",KadinGencOrani,IF($B842="Engelli",EngelliOrani,GencGirisimciOrani)))))</f>
        <v/>
      </c>
      <c r="D842" s="22" t="str">
        <f aca="false">IF($C842="","",$C842*AySayisi)</f>
        <v/>
      </c>
      <c r="E842" s="23"/>
    </row>
    <row r="843" customFormat="false" ht="15" hidden="false" customHeight="false" outlineLevel="0" collapsed="false">
      <c r="A843" s="19"/>
      <c r="B843" s="23"/>
      <c r="C843" s="22" t="str">
        <f aca="false">IF(OR($A843="",$B843=""),"",INDEX(tblCalisan[Brüt Ücret (₺)],MATCH($A843,tblCalisan[Çalışan Adı],0))*IF($B843="5 Puan İndirimi",BesPuanOrani,IF($B843="İlave İstihdam",IlaveIstihdamOrani,IF($B843="Kadın/Genç",KadinGencOrani,IF($B843="Engelli",EngelliOrani,GencGirisimciOrani)))))</f>
        <v/>
      </c>
      <c r="D843" s="22" t="str">
        <f aca="false">IF($C843="","",$C843*AySayisi)</f>
        <v/>
      </c>
      <c r="E843" s="23"/>
    </row>
    <row r="844" customFormat="false" ht="15" hidden="false" customHeight="false" outlineLevel="0" collapsed="false">
      <c r="A844" s="19"/>
      <c r="B844" s="23"/>
      <c r="C844" s="22" t="str">
        <f aca="false">IF(OR($A844="",$B844=""),"",INDEX(tblCalisan[Brüt Ücret (₺)],MATCH($A844,tblCalisan[Çalışan Adı],0))*IF($B844="5 Puan İndirimi",BesPuanOrani,IF($B844="İlave İstihdam",IlaveIstihdamOrani,IF($B844="Kadın/Genç",KadinGencOrani,IF($B844="Engelli",EngelliOrani,GencGirisimciOrani)))))</f>
        <v/>
      </c>
      <c r="D844" s="22" t="str">
        <f aca="false">IF($C844="","",$C844*AySayisi)</f>
        <v/>
      </c>
      <c r="E844" s="23"/>
    </row>
    <row r="845" customFormat="false" ht="15" hidden="false" customHeight="false" outlineLevel="0" collapsed="false">
      <c r="A845" s="19"/>
      <c r="B845" s="23"/>
      <c r="C845" s="22" t="str">
        <f aca="false">IF(OR($A845="",$B845=""),"",INDEX(tblCalisan[Brüt Ücret (₺)],MATCH($A845,tblCalisan[Çalışan Adı],0))*IF($B845="5 Puan İndirimi",BesPuanOrani,IF($B845="İlave İstihdam",IlaveIstihdamOrani,IF($B845="Kadın/Genç",KadinGencOrani,IF($B845="Engelli",EngelliOrani,GencGirisimciOrani)))))</f>
        <v/>
      </c>
      <c r="D845" s="22" t="str">
        <f aca="false">IF($C845="","",$C845*AySayisi)</f>
        <v/>
      </c>
      <c r="E845" s="23"/>
    </row>
    <row r="846" customFormat="false" ht="15" hidden="false" customHeight="false" outlineLevel="0" collapsed="false">
      <c r="A846" s="19"/>
      <c r="B846" s="23"/>
      <c r="C846" s="22" t="str">
        <f aca="false">IF(OR($A846="",$B846=""),"",INDEX(tblCalisan[Brüt Ücret (₺)],MATCH($A846,tblCalisan[Çalışan Adı],0))*IF($B846="5 Puan İndirimi",BesPuanOrani,IF($B846="İlave İstihdam",IlaveIstihdamOrani,IF($B846="Kadın/Genç",KadinGencOrani,IF($B846="Engelli",EngelliOrani,GencGirisimciOrani)))))</f>
        <v/>
      </c>
      <c r="D846" s="22" t="str">
        <f aca="false">IF($C846="","",$C846*AySayisi)</f>
        <v/>
      </c>
      <c r="E846" s="23"/>
    </row>
    <row r="847" customFormat="false" ht="15" hidden="false" customHeight="false" outlineLevel="0" collapsed="false">
      <c r="A847" s="19"/>
      <c r="B847" s="23"/>
      <c r="C847" s="22" t="str">
        <f aca="false">IF(OR($A847="",$B847=""),"",INDEX(tblCalisan[Brüt Ücret (₺)],MATCH($A847,tblCalisan[Çalışan Adı],0))*IF($B847="5 Puan İndirimi",BesPuanOrani,IF($B847="İlave İstihdam",IlaveIstihdamOrani,IF($B847="Kadın/Genç",KadinGencOrani,IF($B847="Engelli",EngelliOrani,GencGirisimciOrani)))))</f>
        <v/>
      </c>
      <c r="D847" s="22" t="str">
        <f aca="false">IF($C847="","",$C847*AySayisi)</f>
        <v/>
      </c>
      <c r="E847" s="23"/>
    </row>
    <row r="848" customFormat="false" ht="15" hidden="false" customHeight="false" outlineLevel="0" collapsed="false">
      <c r="A848" s="19"/>
      <c r="B848" s="23"/>
      <c r="C848" s="22" t="str">
        <f aca="false">IF(OR($A848="",$B848=""),"",INDEX(tblCalisan[Brüt Ücret (₺)],MATCH($A848,tblCalisan[Çalışan Adı],0))*IF($B848="5 Puan İndirimi",BesPuanOrani,IF($B848="İlave İstihdam",IlaveIstihdamOrani,IF($B848="Kadın/Genç",KadinGencOrani,IF($B848="Engelli",EngelliOrani,GencGirisimciOrani)))))</f>
        <v/>
      </c>
      <c r="D848" s="22" t="str">
        <f aca="false">IF($C848="","",$C848*AySayisi)</f>
        <v/>
      </c>
      <c r="E848" s="23"/>
    </row>
    <row r="849" customFormat="false" ht="15" hidden="false" customHeight="false" outlineLevel="0" collapsed="false">
      <c r="A849" s="19"/>
      <c r="B849" s="23"/>
      <c r="C849" s="22" t="str">
        <f aca="false">IF(OR($A849="",$B849=""),"",INDEX(tblCalisan[Brüt Ücret (₺)],MATCH($A849,tblCalisan[Çalışan Adı],0))*IF($B849="5 Puan İndirimi",BesPuanOrani,IF($B849="İlave İstihdam",IlaveIstihdamOrani,IF($B849="Kadın/Genç",KadinGencOrani,IF($B849="Engelli",EngelliOrani,GencGirisimciOrani)))))</f>
        <v/>
      </c>
      <c r="D849" s="22" t="str">
        <f aca="false">IF($C849="","",$C849*AySayisi)</f>
        <v/>
      </c>
      <c r="E849" s="23"/>
    </row>
    <row r="850" customFormat="false" ht="15" hidden="false" customHeight="false" outlineLevel="0" collapsed="false">
      <c r="A850" s="19"/>
      <c r="B850" s="23"/>
      <c r="C850" s="22" t="str">
        <f aca="false">IF(OR($A850="",$B850=""),"",INDEX(tblCalisan[Brüt Ücret (₺)],MATCH($A850,tblCalisan[Çalışan Adı],0))*IF($B850="5 Puan İndirimi",BesPuanOrani,IF($B850="İlave İstihdam",IlaveIstihdamOrani,IF($B850="Kadın/Genç",KadinGencOrani,IF($B850="Engelli",EngelliOrani,GencGirisimciOrani)))))</f>
        <v/>
      </c>
      <c r="D850" s="22" t="str">
        <f aca="false">IF($C850="","",$C850*AySayisi)</f>
        <v/>
      </c>
      <c r="E850" s="23"/>
    </row>
    <row r="851" customFormat="false" ht="15" hidden="false" customHeight="false" outlineLevel="0" collapsed="false">
      <c r="A851" s="19"/>
      <c r="B851" s="23"/>
      <c r="C851" s="22" t="str">
        <f aca="false">IF(OR($A851="",$B851=""),"",INDEX(tblCalisan[Brüt Ücret (₺)],MATCH($A851,tblCalisan[Çalışan Adı],0))*IF($B851="5 Puan İndirimi",BesPuanOrani,IF($B851="İlave İstihdam",IlaveIstihdamOrani,IF($B851="Kadın/Genç",KadinGencOrani,IF($B851="Engelli",EngelliOrani,GencGirisimciOrani)))))</f>
        <v/>
      </c>
      <c r="D851" s="22" t="str">
        <f aca="false">IF($C851="","",$C851*AySayisi)</f>
        <v/>
      </c>
      <c r="E851" s="23"/>
    </row>
    <row r="852" customFormat="false" ht="15" hidden="false" customHeight="false" outlineLevel="0" collapsed="false">
      <c r="A852" s="19"/>
      <c r="B852" s="23"/>
      <c r="C852" s="22" t="str">
        <f aca="false">IF(OR($A852="",$B852=""),"",INDEX(tblCalisan[Brüt Ücret (₺)],MATCH($A852,tblCalisan[Çalışan Adı],0))*IF($B852="5 Puan İndirimi",BesPuanOrani,IF($B852="İlave İstihdam",IlaveIstihdamOrani,IF($B852="Kadın/Genç",KadinGencOrani,IF($B852="Engelli",EngelliOrani,GencGirisimciOrani)))))</f>
        <v/>
      </c>
      <c r="D852" s="22" t="str">
        <f aca="false">IF($C852="","",$C852*AySayisi)</f>
        <v/>
      </c>
      <c r="E852" s="23"/>
    </row>
    <row r="853" customFormat="false" ht="15" hidden="false" customHeight="false" outlineLevel="0" collapsed="false">
      <c r="A853" s="19"/>
      <c r="B853" s="23"/>
      <c r="C853" s="22" t="str">
        <f aca="false">IF(OR($A853="",$B853=""),"",INDEX(tblCalisan[Brüt Ücret (₺)],MATCH($A853,tblCalisan[Çalışan Adı],0))*IF($B853="5 Puan İndirimi",BesPuanOrani,IF($B853="İlave İstihdam",IlaveIstihdamOrani,IF($B853="Kadın/Genç",KadinGencOrani,IF($B853="Engelli",EngelliOrani,GencGirisimciOrani)))))</f>
        <v/>
      </c>
      <c r="D853" s="22" t="str">
        <f aca="false">IF($C853="","",$C853*AySayisi)</f>
        <v/>
      </c>
      <c r="E853" s="23"/>
    </row>
    <row r="854" customFormat="false" ht="15" hidden="false" customHeight="false" outlineLevel="0" collapsed="false">
      <c r="A854" s="19"/>
      <c r="B854" s="23"/>
      <c r="C854" s="22" t="str">
        <f aca="false">IF(OR($A854="",$B854=""),"",INDEX(tblCalisan[Brüt Ücret (₺)],MATCH($A854,tblCalisan[Çalışan Adı],0))*IF($B854="5 Puan İndirimi",BesPuanOrani,IF($B854="İlave İstihdam",IlaveIstihdamOrani,IF($B854="Kadın/Genç",KadinGencOrani,IF($B854="Engelli",EngelliOrani,GencGirisimciOrani)))))</f>
        <v/>
      </c>
      <c r="D854" s="22" t="str">
        <f aca="false">IF($C854="","",$C854*AySayisi)</f>
        <v/>
      </c>
      <c r="E854" s="23"/>
    </row>
    <row r="855" customFormat="false" ht="15" hidden="false" customHeight="false" outlineLevel="0" collapsed="false">
      <c r="A855" s="19"/>
      <c r="B855" s="23"/>
      <c r="C855" s="22" t="str">
        <f aca="false">IF(OR($A855="",$B855=""),"",INDEX(tblCalisan[Brüt Ücret (₺)],MATCH($A855,tblCalisan[Çalışan Adı],0))*IF($B855="5 Puan İndirimi",BesPuanOrani,IF($B855="İlave İstihdam",IlaveIstihdamOrani,IF($B855="Kadın/Genç",KadinGencOrani,IF($B855="Engelli",EngelliOrani,GencGirisimciOrani)))))</f>
        <v/>
      </c>
      <c r="D855" s="22" t="str">
        <f aca="false">IF($C855="","",$C855*AySayisi)</f>
        <v/>
      </c>
      <c r="E855" s="23"/>
    </row>
    <row r="856" customFormat="false" ht="15" hidden="false" customHeight="false" outlineLevel="0" collapsed="false">
      <c r="A856" s="19"/>
      <c r="B856" s="23"/>
      <c r="C856" s="22" t="str">
        <f aca="false">IF(OR($A856="",$B856=""),"",INDEX(tblCalisan[Brüt Ücret (₺)],MATCH($A856,tblCalisan[Çalışan Adı],0))*IF($B856="5 Puan İndirimi",BesPuanOrani,IF($B856="İlave İstihdam",IlaveIstihdamOrani,IF($B856="Kadın/Genç",KadinGencOrani,IF($B856="Engelli",EngelliOrani,GencGirisimciOrani)))))</f>
        <v/>
      </c>
      <c r="D856" s="22" t="str">
        <f aca="false">IF($C856="","",$C856*AySayisi)</f>
        <v/>
      </c>
      <c r="E856" s="23"/>
    </row>
    <row r="857" customFormat="false" ht="15" hidden="false" customHeight="false" outlineLevel="0" collapsed="false">
      <c r="A857" s="19"/>
      <c r="B857" s="23"/>
      <c r="C857" s="22" t="str">
        <f aca="false">IF(OR($A857="",$B857=""),"",INDEX(tblCalisan[Brüt Ücret (₺)],MATCH($A857,tblCalisan[Çalışan Adı],0))*IF($B857="5 Puan İndirimi",BesPuanOrani,IF($B857="İlave İstihdam",IlaveIstihdamOrani,IF($B857="Kadın/Genç",KadinGencOrani,IF($B857="Engelli",EngelliOrani,GencGirisimciOrani)))))</f>
        <v/>
      </c>
      <c r="D857" s="22" t="str">
        <f aca="false">IF($C857="","",$C857*AySayisi)</f>
        <v/>
      </c>
      <c r="E857" s="23"/>
    </row>
    <row r="858" customFormat="false" ht="15" hidden="false" customHeight="false" outlineLevel="0" collapsed="false">
      <c r="A858" s="19"/>
      <c r="B858" s="23"/>
      <c r="C858" s="22" t="str">
        <f aca="false">IF(OR($A858="",$B858=""),"",INDEX(tblCalisan[Brüt Ücret (₺)],MATCH($A858,tblCalisan[Çalışan Adı],0))*IF($B858="5 Puan İndirimi",BesPuanOrani,IF($B858="İlave İstihdam",IlaveIstihdamOrani,IF($B858="Kadın/Genç",KadinGencOrani,IF($B858="Engelli",EngelliOrani,GencGirisimciOrani)))))</f>
        <v/>
      </c>
      <c r="D858" s="22" t="str">
        <f aca="false">IF($C858="","",$C858*AySayisi)</f>
        <v/>
      </c>
      <c r="E858" s="23"/>
    </row>
    <row r="859" customFormat="false" ht="15" hidden="false" customHeight="false" outlineLevel="0" collapsed="false">
      <c r="A859" s="19"/>
      <c r="B859" s="23"/>
      <c r="C859" s="22" t="str">
        <f aca="false">IF(OR($A859="",$B859=""),"",INDEX(tblCalisan[Brüt Ücret (₺)],MATCH($A859,tblCalisan[Çalışan Adı],0))*IF($B859="5 Puan İndirimi",BesPuanOrani,IF($B859="İlave İstihdam",IlaveIstihdamOrani,IF($B859="Kadın/Genç",KadinGencOrani,IF($B859="Engelli",EngelliOrani,GencGirisimciOrani)))))</f>
        <v/>
      </c>
      <c r="D859" s="22" t="str">
        <f aca="false">IF($C859="","",$C859*AySayisi)</f>
        <v/>
      </c>
      <c r="E859" s="23"/>
    </row>
    <row r="860" customFormat="false" ht="15" hidden="false" customHeight="false" outlineLevel="0" collapsed="false">
      <c r="A860" s="19"/>
      <c r="B860" s="23"/>
      <c r="C860" s="22" t="str">
        <f aca="false">IF(OR($A860="",$B860=""),"",INDEX(tblCalisan[Brüt Ücret (₺)],MATCH($A860,tblCalisan[Çalışan Adı],0))*IF($B860="5 Puan İndirimi",BesPuanOrani,IF($B860="İlave İstihdam",IlaveIstihdamOrani,IF($B860="Kadın/Genç",KadinGencOrani,IF($B860="Engelli",EngelliOrani,GencGirisimciOrani)))))</f>
        <v/>
      </c>
      <c r="D860" s="22" t="str">
        <f aca="false">IF($C860="","",$C860*AySayisi)</f>
        <v/>
      </c>
      <c r="E860" s="23"/>
    </row>
    <row r="861" customFormat="false" ht="15" hidden="false" customHeight="false" outlineLevel="0" collapsed="false">
      <c r="A861" s="19"/>
      <c r="B861" s="23"/>
      <c r="C861" s="22" t="str">
        <f aca="false">IF(OR($A861="",$B861=""),"",INDEX(tblCalisan[Brüt Ücret (₺)],MATCH($A861,tblCalisan[Çalışan Adı],0))*IF($B861="5 Puan İndirimi",BesPuanOrani,IF($B861="İlave İstihdam",IlaveIstihdamOrani,IF($B861="Kadın/Genç",KadinGencOrani,IF($B861="Engelli",EngelliOrani,GencGirisimciOrani)))))</f>
        <v/>
      </c>
      <c r="D861" s="22" t="str">
        <f aca="false">IF($C861="","",$C861*AySayisi)</f>
        <v/>
      </c>
      <c r="E861" s="23"/>
    </row>
    <row r="862" customFormat="false" ht="15" hidden="false" customHeight="false" outlineLevel="0" collapsed="false">
      <c r="A862" s="19"/>
      <c r="B862" s="23"/>
      <c r="C862" s="22" t="str">
        <f aca="false">IF(OR($A862="",$B862=""),"",INDEX(tblCalisan[Brüt Ücret (₺)],MATCH($A862,tblCalisan[Çalışan Adı],0))*IF($B862="5 Puan İndirimi",BesPuanOrani,IF($B862="İlave İstihdam",IlaveIstihdamOrani,IF($B862="Kadın/Genç",KadinGencOrani,IF($B862="Engelli",EngelliOrani,GencGirisimciOrani)))))</f>
        <v/>
      </c>
      <c r="D862" s="22" t="str">
        <f aca="false">IF($C862="","",$C862*AySayisi)</f>
        <v/>
      </c>
      <c r="E862" s="23"/>
    </row>
    <row r="863" customFormat="false" ht="15" hidden="false" customHeight="false" outlineLevel="0" collapsed="false">
      <c r="A863" s="19"/>
      <c r="B863" s="23"/>
      <c r="C863" s="22" t="str">
        <f aca="false">IF(OR($A863="",$B863=""),"",INDEX(tblCalisan[Brüt Ücret (₺)],MATCH($A863,tblCalisan[Çalışan Adı],0))*IF($B863="5 Puan İndirimi",BesPuanOrani,IF($B863="İlave İstihdam",IlaveIstihdamOrani,IF($B863="Kadın/Genç",KadinGencOrani,IF($B863="Engelli",EngelliOrani,GencGirisimciOrani)))))</f>
        <v/>
      </c>
      <c r="D863" s="22" t="str">
        <f aca="false">IF($C863="","",$C863*AySayisi)</f>
        <v/>
      </c>
      <c r="E863" s="23"/>
    </row>
    <row r="864" customFormat="false" ht="15" hidden="false" customHeight="false" outlineLevel="0" collapsed="false">
      <c r="A864" s="19"/>
      <c r="B864" s="23"/>
      <c r="C864" s="22" t="str">
        <f aca="false">IF(OR($A864="",$B864=""),"",INDEX(tblCalisan[Brüt Ücret (₺)],MATCH($A864,tblCalisan[Çalışan Adı],0))*IF($B864="5 Puan İndirimi",BesPuanOrani,IF($B864="İlave İstihdam",IlaveIstihdamOrani,IF($B864="Kadın/Genç",KadinGencOrani,IF($B864="Engelli",EngelliOrani,GencGirisimciOrani)))))</f>
        <v/>
      </c>
      <c r="D864" s="22" t="str">
        <f aca="false">IF($C864="","",$C864*AySayisi)</f>
        <v/>
      </c>
      <c r="E864" s="23"/>
    </row>
    <row r="865" customFormat="false" ht="15" hidden="false" customHeight="false" outlineLevel="0" collapsed="false">
      <c r="A865" s="19"/>
      <c r="B865" s="23"/>
      <c r="C865" s="22" t="str">
        <f aca="false">IF(OR($A865="",$B865=""),"",INDEX(tblCalisan[Brüt Ücret (₺)],MATCH($A865,tblCalisan[Çalışan Adı],0))*IF($B865="5 Puan İndirimi",BesPuanOrani,IF($B865="İlave İstihdam",IlaveIstihdamOrani,IF($B865="Kadın/Genç",KadinGencOrani,IF($B865="Engelli",EngelliOrani,GencGirisimciOrani)))))</f>
        <v/>
      </c>
      <c r="D865" s="22" t="str">
        <f aca="false">IF($C865="","",$C865*AySayisi)</f>
        <v/>
      </c>
      <c r="E865" s="23"/>
    </row>
    <row r="866" customFormat="false" ht="15" hidden="false" customHeight="false" outlineLevel="0" collapsed="false">
      <c r="A866" s="19"/>
      <c r="B866" s="23"/>
      <c r="C866" s="22" t="str">
        <f aca="false">IF(OR($A866="",$B866=""),"",INDEX(tblCalisan[Brüt Ücret (₺)],MATCH($A866,tblCalisan[Çalışan Adı],0))*IF($B866="5 Puan İndirimi",BesPuanOrani,IF($B866="İlave İstihdam",IlaveIstihdamOrani,IF($B866="Kadın/Genç",KadinGencOrani,IF($B866="Engelli",EngelliOrani,GencGirisimciOrani)))))</f>
        <v/>
      </c>
      <c r="D866" s="22" t="str">
        <f aca="false">IF($C866="","",$C866*AySayisi)</f>
        <v/>
      </c>
      <c r="E866" s="23"/>
    </row>
    <row r="867" customFormat="false" ht="15" hidden="false" customHeight="false" outlineLevel="0" collapsed="false">
      <c r="A867" s="19"/>
      <c r="B867" s="23"/>
      <c r="C867" s="22" t="str">
        <f aca="false">IF(OR($A867="",$B867=""),"",INDEX(tblCalisan[Brüt Ücret (₺)],MATCH($A867,tblCalisan[Çalışan Adı],0))*IF($B867="5 Puan İndirimi",BesPuanOrani,IF($B867="İlave İstihdam",IlaveIstihdamOrani,IF($B867="Kadın/Genç",KadinGencOrani,IF($B867="Engelli",EngelliOrani,GencGirisimciOrani)))))</f>
        <v/>
      </c>
      <c r="D867" s="22" t="str">
        <f aca="false">IF($C867="","",$C867*AySayisi)</f>
        <v/>
      </c>
      <c r="E867" s="23"/>
    </row>
    <row r="868" customFormat="false" ht="15" hidden="false" customHeight="false" outlineLevel="0" collapsed="false">
      <c r="A868" s="19"/>
      <c r="B868" s="23"/>
      <c r="C868" s="22" t="str">
        <f aca="false">IF(OR($A868="",$B868=""),"",INDEX(tblCalisan[Brüt Ücret (₺)],MATCH($A868,tblCalisan[Çalışan Adı],0))*IF($B868="5 Puan İndirimi",BesPuanOrani,IF($B868="İlave İstihdam",IlaveIstihdamOrani,IF($B868="Kadın/Genç",KadinGencOrani,IF($B868="Engelli",EngelliOrani,GencGirisimciOrani)))))</f>
        <v/>
      </c>
      <c r="D868" s="22" t="str">
        <f aca="false">IF($C868="","",$C868*AySayisi)</f>
        <v/>
      </c>
      <c r="E868" s="23"/>
    </row>
    <row r="869" customFormat="false" ht="15" hidden="false" customHeight="false" outlineLevel="0" collapsed="false">
      <c r="A869" s="19"/>
      <c r="B869" s="23"/>
      <c r="C869" s="22" t="str">
        <f aca="false">IF(OR($A869="",$B869=""),"",INDEX(tblCalisan[Brüt Ücret (₺)],MATCH($A869,tblCalisan[Çalışan Adı],0))*IF($B869="5 Puan İndirimi",BesPuanOrani,IF($B869="İlave İstihdam",IlaveIstihdamOrani,IF($B869="Kadın/Genç",KadinGencOrani,IF($B869="Engelli",EngelliOrani,GencGirisimciOrani)))))</f>
        <v/>
      </c>
      <c r="D869" s="22" t="str">
        <f aca="false">IF($C869="","",$C869*AySayisi)</f>
        <v/>
      </c>
      <c r="E869" s="23"/>
    </row>
    <row r="870" customFormat="false" ht="15" hidden="false" customHeight="false" outlineLevel="0" collapsed="false">
      <c r="A870" s="19"/>
      <c r="B870" s="23"/>
      <c r="C870" s="22" t="str">
        <f aca="false">IF(OR($A870="",$B870=""),"",INDEX(tblCalisan[Brüt Ücret (₺)],MATCH($A870,tblCalisan[Çalışan Adı],0))*IF($B870="5 Puan İndirimi",BesPuanOrani,IF($B870="İlave İstihdam",IlaveIstihdamOrani,IF($B870="Kadın/Genç",KadinGencOrani,IF($B870="Engelli",EngelliOrani,GencGirisimciOrani)))))</f>
        <v/>
      </c>
      <c r="D870" s="22" t="str">
        <f aca="false">IF($C870="","",$C870*AySayisi)</f>
        <v/>
      </c>
      <c r="E870" s="23"/>
    </row>
    <row r="871" customFormat="false" ht="15" hidden="false" customHeight="false" outlineLevel="0" collapsed="false">
      <c r="A871" s="19"/>
      <c r="B871" s="23"/>
      <c r="C871" s="22" t="str">
        <f aca="false">IF(OR($A871="",$B871=""),"",INDEX(tblCalisan[Brüt Ücret (₺)],MATCH($A871,tblCalisan[Çalışan Adı],0))*IF($B871="5 Puan İndirimi",BesPuanOrani,IF($B871="İlave İstihdam",IlaveIstihdamOrani,IF($B871="Kadın/Genç",KadinGencOrani,IF($B871="Engelli",EngelliOrani,GencGirisimciOrani)))))</f>
        <v/>
      </c>
      <c r="D871" s="22" t="str">
        <f aca="false">IF($C871="","",$C871*AySayisi)</f>
        <v/>
      </c>
      <c r="E871" s="23"/>
    </row>
    <row r="872" customFormat="false" ht="15" hidden="false" customHeight="false" outlineLevel="0" collapsed="false">
      <c r="A872" s="19"/>
      <c r="B872" s="23"/>
      <c r="C872" s="22" t="str">
        <f aca="false">IF(OR($A872="",$B872=""),"",INDEX(tblCalisan[Brüt Ücret (₺)],MATCH($A872,tblCalisan[Çalışan Adı],0))*IF($B872="5 Puan İndirimi",BesPuanOrani,IF($B872="İlave İstihdam",IlaveIstihdamOrani,IF($B872="Kadın/Genç",KadinGencOrani,IF($B872="Engelli",EngelliOrani,GencGirisimciOrani)))))</f>
        <v/>
      </c>
      <c r="D872" s="22" t="str">
        <f aca="false">IF($C872="","",$C872*AySayisi)</f>
        <v/>
      </c>
      <c r="E872" s="23"/>
    </row>
    <row r="873" customFormat="false" ht="15" hidden="false" customHeight="false" outlineLevel="0" collapsed="false">
      <c r="A873" s="19"/>
      <c r="B873" s="23"/>
      <c r="C873" s="22" t="str">
        <f aca="false">IF(OR($A873="",$B873=""),"",INDEX(tblCalisan[Brüt Ücret (₺)],MATCH($A873,tblCalisan[Çalışan Adı],0))*IF($B873="5 Puan İndirimi",BesPuanOrani,IF($B873="İlave İstihdam",IlaveIstihdamOrani,IF($B873="Kadın/Genç",KadinGencOrani,IF($B873="Engelli",EngelliOrani,GencGirisimciOrani)))))</f>
        <v/>
      </c>
      <c r="D873" s="22" t="str">
        <f aca="false">IF($C873="","",$C873*AySayisi)</f>
        <v/>
      </c>
      <c r="E873" s="23"/>
    </row>
    <row r="874" customFormat="false" ht="15" hidden="false" customHeight="false" outlineLevel="0" collapsed="false">
      <c r="A874" s="19"/>
      <c r="B874" s="23"/>
      <c r="C874" s="22" t="str">
        <f aca="false">IF(OR($A874="",$B874=""),"",INDEX(tblCalisan[Brüt Ücret (₺)],MATCH($A874,tblCalisan[Çalışan Adı],0))*IF($B874="5 Puan İndirimi",BesPuanOrani,IF($B874="İlave İstihdam",IlaveIstihdamOrani,IF($B874="Kadın/Genç",KadinGencOrani,IF($B874="Engelli",EngelliOrani,GencGirisimciOrani)))))</f>
        <v/>
      </c>
      <c r="D874" s="22" t="str">
        <f aca="false">IF($C874="","",$C874*AySayisi)</f>
        <v/>
      </c>
      <c r="E874" s="23"/>
    </row>
    <row r="875" customFormat="false" ht="15" hidden="false" customHeight="false" outlineLevel="0" collapsed="false">
      <c r="A875" s="19"/>
      <c r="B875" s="23"/>
      <c r="C875" s="22" t="str">
        <f aca="false">IF(OR($A875="",$B875=""),"",INDEX(tblCalisan[Brüt Ücret (₺)],MATCH($A875,tblCalisan[Çalışan Adı],0))*IF($B875="5 Puan İndirimi",BesPuanOrani,IF($B875="İlave İstihdam",IlaveIstihdamOrani,IF($B875="Kadın/Genç",KadinGencOrani,IF($B875="Engelli",EngelliOrani,GencGirisimciOrani)))))</f>
        <v/>
      </c>
      <c r="D875" s="22" t="str">
        <f aca="false">IF($C875="","",$C875*AySayisi)</f>
        <v/>
      </c>
      <c r="E875" s="23"/>
    </row>
    <row r="876" customFormat="false" ht="15" hidden="false" customHeight="false" outlineLevel="0" collapsed="false">
      <c r="A876" s="19"/>
      <c r="B876" s="23"/>
      <c r="C876" s="22" t="str">
        <f aca="false">IF(OR($A876="",$B876=""),"",INDEX(tblCalisan[Brüt Ücret (₺)],MATCH($A876,tblCalisan[Çalışan Adı],0))*IF($B876="5 Puan İndirimi",BesPuanOrani,IF($B876="İlave İstihdam",IlaveIstihdamOrani,IF($B876="Kadın/Genç",KadinGencOrani,IF($B876="Engelli",EngelliOrani,GencGirisimciOrani)))))</f>
        <v/>
      </c>
      <c r="D876" s="22" t="str">
        <f aca="false">IF($C876="","",$C876*AySayisi)</f>
        <v/>
      </c>
      <c r="E876" s="23"/>
    </row>
    <row r="877" customFormat="false" ht="15" hidden="false" customHeight="false" outlineLevel="0" collapsed="false">
      <c r="A877" s="19"/>
      <c r="B877" s="23"/>
      <c r="C877" s="22" t="str">
        <f aca="false">IF(OR($A877="",$B877=""),"",INDEX(tblCalisan[Brüt Ücret (₺)],MATCH($A877,tblCalisan[Çalışan Adı],0))*IF($B877="5 Puan İndirimi",BesPuanOrani,IF($B877="İlave İstihdam",IlaveIstihdamOrani,IF($B877="Kadın/Genç",KadinGencOrani,IF($B877="Engelli",EngelliOrani,GencGirisimciOrani)))))</f>
        <v/>
      </c>
      <c r="D877" s="22" t="str">
        <f aca="false">IF($C877="","",$C877*AySayisi)</f>
        <v/>
      </c>
      <c r="E877" s="23"/>
    </row>
    <row r="878" customFormat="false" ht="15" hidden="false" customHeight="false" outlineLevel="0" collapsed="false">
      <c r="A878" s="19"/>
      <c r="B878" s="23"/>
      <c r="C878" s="22" t="str">
        <f aca="false">IF(OR($A878="",$B878=""),"",INDEX(tblCalisan[Brüt Ücret (₺)],MATCH($A878,tblCalisan[Çalışan Adı],0))*IF($B878="5 Puan İndirimi",BesPuanOrani,IF($B878="İlave İstihdam",IlaveIstihdamOrani,IF($B878="Kadın/Genç",KadinGencOrani,IF($B878="Engelli",EngelliOrani,GencGirisimciOrani)))))</f>
        <v/>
      </c>
      <c r="D878" s="22" t="str">
        <f aca="false">IF($C878="","",$C878*AySayisi)</f>
        <v/>
      </c>
      <c r="E878" s="23"/>
    </row>
    <row r="879" customFormat="false" ht="15" hidden="false" customHeight="false" outlineLevel="0" collapsed="false">
      <c r="A879" s="19"/>
      <c r="B879" s="23"/>
      <c r="C879" s="22" t="str">
        <f aca="false">IF(OR($A879="",$B879=""),"",INDEX(tblCalisan[Brüt Ücret (₺)],MATCH($A879,tblCalisan[Çalışan Adı],0))*IF($B879="5 Puan İndirimi",BesPuanOrani,IF($B879="İlave İstihdam",IlaveIstihdamOrani,IF($B879="Kadın/Genç",KadinGencOrani,IF($B879="Engelli",EngelliOrani,GencGirisimciOrani)))))</f>
        <v/>
      </c>
      <c r="D879" s="22" t="str">
        <f aca="false">IF($C879="","",$C879*AySayisi)</f>
        <v/>
      </c>
      <c r="E879" s="23"/>
    </row>
    <row r="880" customFormat="false" ht="15" hidden="false" customHeight="false" outlineLevel="0" collapsed="false">
      <c r="A880" s="19"/>
      <c r="B880" s="23"/>
      <c r="C880" s="22" t="str">
        <f aca="false">IF(OR($A880="",$B880=""),"",INDEX(tblCalisan[Brüt Ücret (₺)],MATCH($A880,tblCalisan[Çalışan Adı],0))*IF($B880="5 Puan İndirimi",BesPuanOrani,IF($B880="İlave İstihdam",IlaveIstihdamOrani,IF($B880="Kadın/Genç",KadinGencOrani,IF($B880="Engelli",EngelliOrani,GencGirisimciOrani)))))</f>
        <v/>
      </c>
      <c r="D880" s="22" t="str">
        <f aca="false">IF($C880="","",$C880*AySayisi)</f>
        <v/>
      </c>
      <c r="E880" s="23"/>
    </row>
    <row r="881" customFormat="false" ht="15" hidden="false" customHeight="false" outlineLevel="0" collapsed="false">
      <c r="A881" s="19"/>
      <c r="B881" s="23"/>
      <c r="C881" s="22" t="str">
        <f aca="false">IF(OR($A881="",$B881=""),"",INDEX(tblCalisan[Brüt Ücret (₺)],MATCH($A881,tblCalisan[Çalışan Adı],0))*IF($B881="5 Puan İndirimi",BesPuanOrani,IF($B881="İlave İstihdam",IlaveIstihdamOrani,IF($B881="Kadın/Genç",KadinGencOrani,IF($B881="Engelli",EngelliOrani,GencGirisimciOrani)))))</f>
        <v/>
      </c>
      <c r="D881" s="22" t="str">
        <f aca="false">IF($C881="","",$C881*AySayisi)</f>
        <v/>
      </c>
      <c r="E881" s="23"/>
    </row>
    <row r="882" customFormat="false" ht="15" hidden="false" customHeight="false" outlineLevel="0" collapsed="false">
      <c r="A882" s="19"/>
      <c r="B882" s="23"/>
      <c r="C882" s="22" t="str">
        <f aca="false">IF(OR($A882="",$B882=""),"",INDEX(tblCalisan[Brüt Ücret (₺)],MATCH($A882,tblCalisan[Çalışan Adı],0))*IF($B882="5 Puan İndirimi",BesPuanOrani,IF($B882="İlave İstihdam",IlaveIstihdamOrani,IF($B882="Kadın/Genç",KadinGencOrani,IF($B882="Engelli",EngelliOrani,GencGirisimciOrani)))))</f>
        <v/>
      </c>
      <c r="D882" s="22" t="str">
        <f aca="false">IF($C882="","",$C882*AySayisi)</f>
        <v/>
      </c>
      <c r="E882" s="23"/>
    </row>
    <row r="883" customFormat="false" ht="15" hidden="false" customHeight="false" outlineLevel="0" collapsed="false">
      <c r="A883" s="19"/>
      <c r="B883" s="23"/>
      <c r="C883" s="22" t="str">
        <f aca="false">IF(OR($A883="",$B883=""),"",INDEX(tblCalisan[Brüt Ücret (₺)],MATCH($A883,tblCalisan[Çalışan Adı],0))*IF($B883="5 Puan İndirimi",BesPuanOrani,IF($B883="İlave İstihdam",IlaveIstihdamOrani,IF($B883="Kadın/Genç",KadinGencOrani,IF($B883="Engelli",EngelliOrani,GencGirisimciOrani)))))</f>
        <v/>
      </c>
      <c r="D883" s="22" t="str">
        <f aca="false">IF($C883="","",$C883*AySayisi)</f>
        <v/>
      </c>
      <c r="E883" s="23"/>
    </row>
    <row r="884" customFormat="false" ht="15" hidden="false" customHeight="false" outlineLevel="0" collapsed="false">
      <c r="A884" s="19"/>
      <c r="B884" s="23"/>
      <c r="C884" s="22" t="str">
        <f aca="false">IF(OR($A884="",$B884=""),"",INDEX(tblCalisan[Brüt Ücret (₺)],MATCH($A884,tblCalisan[Çalışan Adı],0))*IF($B884="5 Puan İndirimi",BesPuanOrani,IF($B884="İlave İstihdam",IlaveIstihdamOrani,IF($B884="Kadın/Genç",KadinGencOrani,IF($B884="Engelli",EngelliOrani,GencGirisimciOrani)))))</f>
        <v/>
      </c>
      <c r="D884" s="22" t="str">
        <f aca="false">IF($C884="","",$C884*AySayisi)</f>
        <v/>
      </c>
      <c r="E884" s="23"/>
    </row>
    <row r="885" customFormat="false" ht="15" hidden="false" customHeight="false" outlineLevel="0" collapsed="false">
      <c r="A885" s="19"/>
      <c r="B885" s="23"/>
      <c r="C885" s="22" t="str">
        <f aca="false">IF(OR($A885="",$B885=""),"",INDEX(tblCalisan[Brüt Ücret (₺)],MATCH($A885,tblCalisan[Çalışan Adı],0))*IF($B885="5 Puan İndirimi",BesPuanOrani,IF($B885="İlave İstihdam",IlaveIstihdamOrani,IF($B885="Kadın/Genç",KadinGencOrani,IF($B885="Engelli",EngelliOrani,GencGirisimciOrani)))))</f>
        <v/>
      </c>
      <c r="D885" s="22" t="str">
        <f aca="false">IF($C885="","",$C885*AySayisi)</f>
        <v/>
      </c>
      <c r="E885" s="23"/>
    </row>
    <row r="886" customFormat="false" ht="15" hidden="false" customHeight="false" outlineLevel="0" collapsed="false">
      <c r="A886" s="19"/>
      <c r="B886" s="23"/>
      <c r="C886" s="22" t="str">
        <f aca="false">IF(OR($A886="",$B886=""),"",INDEX(tblCalisan[Brüt Ücret (₺)],MATCH($A886,tblCalisan[Çalışan Adı],0))*IF($B886="5 Puan İndirimi",BesPuanOrani,IF($B886="İlave İstihdam",IlaveIstihdamOrani,IF($B886="Kadın/Genç",KadinGencOrani,IF($B886="Engelli",EngelliOrani,GencGirisimciOrani)))))</f>
        <v/>
      </c>
      <c r="D886" s="22" t="str">
        <f aca="false">IF($C886="","",$C886*AySayisi)</f>
        <v/>
      </c>
      <c r="E886" s="23"/>
    </row>
    <row r="887" customFormat="false" ht="15" hidden="false" customHeight="false" outlineLevel="0" collapsed="false">
      <c r="A887" s="19"/>
      <c r="B887" s="23"/>
      <c r="C887" s="22" t="str">
        <f aca="false">IF(OR($A887="",$B887=""),"",INDEX(tblCalisan[Brüt Ücret (₺)],MATCH($A887,tblCalisan[Çalışan Adı],0))*IF($B887="5 Puan İndirimi",BesPuanOrani,IF($B887="İlave İstihdam",IlaveIstihdamOrani,IF($B887="Kadın/Genç",KadinGencOrani,IF($B887="Engelli",EngelliOrani,GencGirisimciOrani)))))</f>
        <v/>
      </c>
      <c r="D887" s="22" t="str">
        <f aca="false">IF($C887="","",$C887*AySayisi)</f>
        <v/>
      </c>
      <c r="E887" s="23"/>
    </row>
    <row r="888" customFormat="false" ht="15" hidden="false" customHeight="false" outlineLevel="0" collapsed="false">
      <c r="A888" s="19"/>
      <c r="B888" s="23"/>
      <c r="C888" s="22" t="str">
        <f aca="false">IF(OR($A888="",$B888=""),"",INDEX(tblCalisan[Brüt Ücret (₺)],MATCH($A888,tblCalisan[Çalışan Adı],0))*IF($B888="5 Puan İndirimi",BesPuanOrani,IF($B888="İlave İstihdam",IlaveIstihdamOrani,IF($B888="Kadın/Genç",KadinGencOrani,IF($B888="Engelli",EngelliOrani,GencGirisimciOrani)))))</f>
        <v/>
      </c>
      <c r="D888" s="22" t="str">
        <f aca="false">IF($C888="","",$C888*AySayisi)</f>
        <v/>
      </c>
      <c r="E888" s="23"/>
    </row>
    <row r="889" customFormat="false" ht="15" hidden="false" customHeight="false" outlineLevel="0" collapsed="false">
      <c r="A889" s="19"/>
      <c r="B889" s="23"/>
      <c r="C889" s="22" t="str">
        <f aca="false">IF(OR($A889="",$B889=""),"",INDEX(tblCalisan[Brüt Ücret (₺)],MATCH($A889,tblCalisan[Çalışan Adı],0))*IF($B889="5 Puan İndirimi",BesPuanOrani,IF($B889="İlave İstihdam",IlaveIstihdamOrani,IF($B889="Kadın/Genç",KadinGencOrani,IF($B889="Engelli",EngelliOrani,GencGirisimciOrani)))))</f>
        <v/>
      </c>
      <c r="D889" s="22" t="str">
        <f aca="false">IF($C889="","",$C889*AySayisi)</f>
        <v/>
      </c>
      <c r="E889" s="23"/>
    </row>
    <row r="890" customFormat="false" ht="15" hidden="false" customHeight="false" outlineLevel="0" collapsed="false">
      <c r="A890" s="19"/>
      <c r="B890" s="23"/>
      <c r="C890" s="22" t="str">
        <f aca="false">IF(OR($A890="",$B890=""),"",INDEX(tblCalisan[Brüt Ücret (₺)],MATCH($A890,tblCalisan[Çalışan Adı],0))*IF($B890="5 Puan İndirimi",BesPuanOrani,IF($B890="İlave İstihdam",IlaveIstihdamOrani,IF($B890="Kadın/Genç",KadinGencOrani,IF($B890="Engelli",EngelliOrani,GencGirisimciOrani)))))</f>
        <v/>
      </c>
      <c r="D890" s="22" t="str">
        <f aca="false">IF($C890="","",$C890*AySayisi)</f>
        <v/>
      </c>
      <c r="E890" s="23"/>
    </row>
    <row r="891" customFormat="false" ht="15" hidden="false" customHeight="false" outlineLevel="0" collapsed="false">
      <c r="A891" s="19"/>
      <c r="B891" s="23"/>
      <c r="C891" s="22" t="str">
        <f aca="false">IF(OR($A891="",$B891=""),"",INDEX(tblCalisan[Brüt Ücret (₺)],MATCH($A891,tblCalisan[Çalışan Adı],0))*IF($B891="5 Puan İndirimi",BesPuanOrani,IF($B891="İlave İstihdam",IlaveIstihdamOrani,IF($B891="Kadın/Genç",KadinGencOrani,IF($B891="Engelli",EngelliOrani,GencGirisimciOrani)))))</f>
        <v/>
      </c>
      <c r="D891" s="22" t="str">
        <f aca="false">IF($C891="","",$C891*AySayisi)</f>
        <v/>
      </c>
      <c r="E891" s="23"/>
    </row>
    <row r="892" customFormat="false" ht="15" hidden="false" customHeight="false" outlineLevel="0" collapsed="false">
      <c r="A892" s="19"/>
      <c r="B892" s="23"/>
      <c r="C892" s="22" t="str">
        <f aca="false">IF(OR($A892="",$B892=""),"",INDEX(tblCalisan[Brüt Ücret (₺)],MATCH($A892,tblCalisan[Çalışan Adı],0))*IF($B892="5 Puan İndirimi",BesPuanOrani,IF($B892="İlave İstihdam",IlaveIstihdamOrani,IF($B892="Kadın/Genç",KadinGencOrani,IF($B892="Engelli",EngelliOrani,GencGirisimciOrani)))))</f>
        <v/>
      </c>
      <c r="D892" s="22" t="str">
        <f aca="false">IF($C892="","",$C892*AySayisi)</f>
        <v/>
      </c>
      <c r="E892" s="23"/>
    </row>
    <row r="893" customFormat="false" ht="15" hidden="false" customHeight="false" outlineLevel="0" collapsed="false">
      <c r="A893" s="19"/>
      <c r="B893" s="23"/>
      <c r="C893" s="22" t="str">
        <f aca="false">IF(OR($A893="",$B893=""),"",INDEX(tblCalisan[Brüt Ücret (₺)],MATCH($A893,tblCalisan[Çalışan Adı],0))*IF($B893="5 Puan İndirimi",BesPuanOrani,IF($B893="İlave İstihdam",IlaveIstihdamOrani,IF($B893="Kadın/Genç",KadinGencOrani,IF($B893="Engelli",EngelliOrani,GencGirisimciOrani)))))</f>
        <v/>
      </c>
      <c r="D893" s="22" t="str">
        <f aca="false">IF($C893="","",$C893*AySayisi)</f>
        <v/>
      </c>
      <c r="E893" s="23"/>
    </row>
    <row r="894" customFormat="false" ht="15" hidden="false" customHeight="false" outlineLevel="0" collapsed="false">
      <c r="A894" s="19"/>
      <c r="B894" s="23"/>
      <c r="C894" s="22" t="str">
        <f aca="false">IF(OR($A894="",$B894=""),"",INDEX(tblCalisan[Brüt Ücret (₺)],MATCH($A894,tblCalisan[Çalışan Adı],0))*IF($B894="5 Puan İndirimi",BesPuanOrani,IF($B894="İlave İstihdam",IlaveIstihdamOrani,IF($B894="Kadın/Genç",KadinGencOrani,IF($B894="Engelli",EngelliOrani,GencGirisimciOrani)))))</f>
        <v/>
      </c>
      <c r="D894" s="22" t="str">
        <f aca="false">IF($C894="","",$C894*AySayisi)</f>
        <v/>
      </c>
      <c r="E894" s="23"/>
    </row>
    <row r="895" customFormat="false" ht="15" hidden="false" customHeight="false" outlineLevel="0" collapsed="false">
      <c r="A895" s="19"/>
      <c r="B895" s="23"/>
      <c r="C895" s="22" t="str">
        <f aca="false">IF(OR($A895="",$B895=""),"",INDEX(tblCalisan[Brüt Ücret (₺)],MATCH($A895,tblCalisan[Çalışan Adı],0))*IF($B895="5 Puan İndirimi",BesPuanOrani,IF($B895="İlave İstihdam",IlaveIstihdamOrani,IF($B895="Kadın/Genç",KadinGencOrani,IF($B895="Engelli",EngelliOrani,GencGirisimciOrani)))))</f>
        <v/>
      </c>
      <c r="D895" s="22" t="str">
        <f aca="false">IF($C895="","",$C895*AySayisi)</f>
        <v/>
      </c>
      <c r="E895" s="23"/>
    </row>
    <row r="896" customFormat="false" ht="15" hidden="false" customHeight="false" outlineLevel="0" collapsed="false">
      <c r="A896" s="19"/>
      <c r="B896" s="23"/>
      <c r="C896" s="22" t="str">
        <f aca="false">IF(OR($A896="",$B896=""),"",INDEX(tblCalisan[Brüt Ücret (₺)],MATCH($A896,tblCalisan[Çalışan Adı],0))*IF($B896="5 Puan İndirimi",BesPuanOrani,IF($B896="İlave İstihdam",IlaveIstihdamOrani,IF($B896="Kadın/Genç",KadinGencOrani,IF($B896="Engelli",EngelliOrani,GencGirisimciOrani)))))</f>
        <v/>
      </c>
      <c r="D896" s="22" t="str">
        <f aca="false">IF($C896="","",$C896*AySayisi)</f>
        <v/>
      </c>
      <c r="E896" s="23"/>
    </row>
    <row r="897" customFormat="false" ht="15" hidden="false" customHeight="false" outlineLevel="0" collapsed="false">
      <c r="A897" s="19"/>
      <c r="B897" s="23"/>
      <c r="C897" s="22" t="str">
        <f aca="false">IF(OR($A897="",$B897=""),"",INDEX(tblCalisan[Brüt Ücret (₺)],MATCH($A897,tblCalisan[Çalışan Adı],0))*IF($B897="5 Puan İndirimi",BesPuanOrani,IF($B897="İlave İstihdam",IlaveIstihdamOrani,IF($B897="Kadın/Genç",KadinGencOrani,IF($B897="Engelli",EngelliOrani,GencGirisimciOrani)))))</f>
        <v/>
      </c>
      <c r="D897" s="22" t="str">
        <f aca="false">IF($C897="","",$C897*AySayisi)</f>
        <v/>
      </c>
      <c r="E897" s="23"/>
    </row>
    <row r="898" customFormat="false" ht="15" hidden="false" customHeight="false" outlineLevel="0" collapsed="false">
      <c r="A898" s="19"/>
      <c r="B898" s="23"/>
      <c r="C898" s="22" t="str">
        <f aca="false">IF(OR($A898="",$B898=""),"",INDEX(tblCalisan[Brüt Ücret (₺)],MATCH($A898,tblCalisan[Çalışan Adı],0))*IF($B898="5 Puan İndirimi",BesPuanOrani,IF($B898="İlave İstihdam",IlaveIstihdamOrani,IF($B898="Kadın/Genç",KadinGencOrani,IF($B898="Engelli",EngelliOrani,GencGirisimciOrani)))))</f>
        <v/>
      </c>
      <c r="D898" s="22" t="str">
        <f aca="false">IF($C898="","",$C898*AySayisi)</f>
        <v/>
      </c>
      <c r="E898" s="23"/>
    </row>
    <row r="899" customFormat="false" ht="15" hidden="false" customHeight="false" outlineLevel="0" collapsed="false">
      <c r="A899" s="19"/>
      <c r="B899" s="23"/>
      <c r="C899" s="22" t="str">
        <f aca="false">IF(OR($A899="",$B899=""),"",INDEX(tblCalisan[Brüt Ücret (₺)],MATCH($A899,tblCalisan[Çalışan Adı],0))*IF($B899="5 Puan İndirimi",BesPuanOrani,IF($B899="İlave İstihdam",IlaveIstihdamOrani,IF($B899="Kadın/Genç",KadinGencOrani,IF($B899="Engelli",EngelliOrani,GencGirisimciOrani)))))</f>
        <v/>
      </c>
      <c r="D899" s="22" t="str">
        <f aca="false">IF($C899="","",$C899*AySayisi)</f>
        <v/>
      </c>
      <c r="E899" s="23"/>
    </row>
    <row r="900" customFormat="false" ht="15" hidden="false" customHeight="false" outlineLevel="0" collapsed="false">
      <c r="A900" s="19"/>
      <c r="B900" s="23"/>
      <c r="C900" s="22" t="str">
        <f aca="false">IF(OR($A900="",$B900=""),"",INDEX(tblCalisan[Brüt Ücret (₺)],MATCH($A900,tblCalisan[Çalışan Adı],0))*IF($B900="5 Puan İndirimi",BesPuanOrani,IF($B900="İlave İstihdam",IlaveIstihdamOrani,IF($B900="Kadın/Genç",KadinGencOrani,IF($B900="Engelli",EngelliOrani,GencGirisimciOrani)))))</f>
        <v/>
      </c>
      <c r="D900" s="22" t="str">
        <f aca="false">IF($C900="","",$C900*AySayisi)</f>
        <v/>
      </c>
      <c r="E900" s="23"/>
    </row>
    <row r="901" customFormat="false" ht="15" hidden="false" customHeight="false" outlineLevel="0" collapsed="false">
      <c r="A901" s="19"/>
      <c r="B901" s="23"/>
      <c r="C901" s="22" t="str">
        <f aca="false">IF(OR($A901="",$B901=""),"",INDEX(tblCalisan[Brüt Ücret (₺)],MATCH($A901,tblCalisan[Çalışan Adı],0))*IF($B901="5 Puan İndirimi",BesPuanOrani,IF($B901="İlave İstihdam",IlaveIstihdamOrani,IF($B901="Kadın/Genç",KadinGencOrani,IF($B901="Engelli",EngelliOrani,GencGirisimciOrani)))))</f>
        <v/>
      </c>
      <c r="D901" s="22" t="str">
        <f aca="false">IF($C901="","",$C901*AySayisi)</f>
        <v/>
      </c>
      <c r="E901" s="23"/>
    </row>
    <row r="902" customFormat="false" ht="15" hidden="false" customHeight="false" outlineLevel="0" collapsed="false">
      <c r="A902" s="19"/>
      <c r="B902" s="23"/>
      <c r="C902" s="22" t="str">
        <f aca="false">IF(OR($A902="",$B902=""),"",INDEX(tblCalisan[Brüt Ücret (₺)],MATCH($A902,tblCalisan[Çalışan Adı],0))*IF($B902="5 Puan İndirimi",BesPuanOrani,IF($B902="İlave İstihdam",IlaveIstihdamOrani,IF($B902="Kadın/Genç",KadinGencOrani,IF($B902="Engelli",EngelliOrani,GencGirisimciOrani)))))</f>
        <v/>
      </c>
      <c r="D902" s="22" t="str">
        <f aca="false">IF($C902="","",$C902*AySayisi)</f>
        <v/>
      </c>
      <c r="E902" s="23"/>
    </row>
    <row r="903" customFormat="false" ht="15" hidden="false" customHeight="false" outlineLevel="0" collapsed="false">
      <c r="A903" s="19"/>
      <c r="B903" s="23"/>
      <c r="C903" s="22" t="str">
        <f aca="false">IF(OR($A903="",$B903=""),"",INDEX(tblCalisan[Brüt Ücret (₺)],MATCH($A903,tblCalisan[Çalışan Adı],0))*IF($B903="5 Puan İndirimi",BesPuanOrani,IF($B903="İlave İstihdam",IlaveIstihdamOrani,IF($B903="Kadın/Genç",KadinGencOrani,IF($B903="Engelli",EngelliOrani,GencGirisimciOrani)))))</f>
        <v/>
      </c>
      <c r="D903" s="22" t="str">
        <f aca="false">IF($C903="","",$C903*AySayisi)</f>
        <v/>
      </c>
      <c r="E903" s="23"/>
    </row>
    <row r="904" customFormat="false" ht="15" hidden="false" customHeight="false" outlineLevel="0" collapsed="false">
      <c r="A904" s="19"/>
      <c r="B904" s="23"/>
      <c r="C904" s="22" t="str">
        <f aca="false">IF(OR($A904="",$B904=""),"",INDEX(tblCalisan[Brüt Ücret (₺)],MATCH($A904,tblCalisan[Çalışan Adı],0))*IF($B904="5 Puan İndirimi",BesPuanOrani,IF($B904="İlave İstihdam",IlaveIstihdamOrani,IF($B904="Kadın/Genç",KadinGencOrani,IF($B904="Engelli",EngelliOrani,GencGirisimciOrani)))))</f>
        <v/>
      </c>
      <c r="D904" s="22" t="str">
        <f aca="false">IF($C904="","",$C904*AySayisi)</f>
        <v/>
      </c>
      <c r="E904" s="23"/>
    </row>
    <row r="905" customFormat="false" ht="15" hidden="false" customHeight="false" outlineLevel="0" collapsed="false">
      <c r="A905" s="19"/>
      <c r="B905" s="23"/>
      <c r="C905" s="22" t="str">
        <f aca="false">IF(OR($A905="",$B905=""),"",INDEX(tblCalisan[Brüt Ücret (₺)],MATCH($A905,tblCalisan[Çalışan Adı],0))*IF($B905="5 Puan İndirimi",BesPuanOrani,IF($B905="İlave İstihdam",IlaveIstihdamOrani,IF($B905="Kadın/Genç",KadinGencOrani,IF($B905="Engelli",EngelliOrani,GencGirisimciOrani)))))</f>
        <v/>
      </c>
      <c r="D905" s="22" t="str">
        <f aca="false">IF($C905="","",$C905*AySayisi)</f>
        <v/>
      </c>
      <c r="E905" s="23"/>
    </row>
    <row r="906" customFormat="false" ht="15" hidden="false" customHeight="false" outlineLevel="0" collapsed="false">
      <c r="A906" s="19"/>
      <c r="B906" s="23"/>
      <c r="C906" s="22" t="str">
        <f aca="false">IF(OR($A906="",$B906=""),"",INDEX(tblCalisan[Brüt Ücret (₺)],MATCH($A906,tblCalisan[Çalışan Adı],0))*IF($B906="5 Puan İndirimi",BesPuanOrani,IF($B906="İlave İstihdam",IlaveIstihdamOrani,IF($B906="Kadın/Genç",KadinGencOrani,IF($B906="Engelli",EngelliOrani,GencGirisimciOrani)))))</f>
        <v/>
      </c>
      <c r="D906" s="22" t="str">
        <f aca="false">IF($C906="","",$C906*AySayisi)</f>
        <v/>
      </c>
      <c r="E906" s="23"/>
    </row>
    <row r="907" customFormat="false" ht="15" hidden="false" customHeight="false" outlineLevel="0" collapsed="false">
      <c r="A907" s="19"/>
      <c r="B907" s="23"/>
      <c r="C907" s="22" t="str">
        <f aca="false">IF(OR($A907="",$B907=""),"",INDEX(tblCalisan[Brüt Ücret (₺)],MATCH($A907,tblCalisan[Çalışan Adı],0))*IF($B907="5 Puan İndirimi",BesPuanOrani,IF($B907="İlave İstihdam",IlaveIstihdamOrani,IF($B907="Kadın/Genç",KadinGencOrani,IF($B907="Engelli",EngelliOrani,GencGirisimciOrani)))))</f>
        <v/>
      </c>
      <c r="D907" s="22" t="str">
        <f aca="false">IF($C907="","",$C907*AySayisi)</f>
        <v/>
      </c>
      <c r="E907" s="23"/>
    </row>
    <row r="908" customFormat="false" ht="15" hidden="false" customHeight="false" outlineLevel="0" collapsed="false">
      <c r="A908" s="19"/>
      <c r="B908" s="23"/>
      <c r="C908" s="22" t="str">
        <f aca="false">IF(OR($A908="",$B908=""),"",INDEX(tblCalisan[Brüt Ücret (₺)],MATCH($A908,tblCalisan[Çalışan Adı],0))*IF($B908="5 Puan İndirimi",BesPuanOrani,IF($B908="İlave İstihdam",IlaveIstihdamOrani,IF($B908="Kadın/Genç",KadinGencOrani,IF($B908="Engelli",EngelliOrani,GencGirisimciOrani)))))</f>
        <v/>
      </c>
      <c r="D908" s="22" t="str">
        <f aca="false">IF($C908="","",$C908*AySayisi)</f>
        <v/>
      </c>
      <c r="E908" s="23"/>
    </row>
    <row r="909" customFormat="false" ht="15" hidden="false" customHeight="false" outlineLevel="0" collapsed="false">
      <c r="A909" s="19"/>
      <c r="B909" s="23"/>
      <c r="C909" s="22" t="str">
        <f aca="false">IF(OR($A909="",$B909=""),"",INDEX(tblCalisan[Brüt Ücret (₺)],MATCH($A909,tblCalisan[Çalışan Adı],0))*IF($B909="5 Puan İndirimi",BesPuanOrani,IF($B909="İlave İstihdam",IlaveIstihdamOrani,IF($B909="Kadın/Genç",KadinGencOrani,IF($B909="Engelli",EngelliOrani,GencGirisimciOrani)))))</f>
        <v/>
      </c>
      <c r="D909" s="22" t="str">
        <f aca="false">IF($C909="","",$C909*AySayisi)</f>
        <v/>
      </c>
      <c r="E909" s="23"/>
    </row>
    <row r="910" customFormat="false" ht="15" hidden="false" customHeight="false" outlineLevel="0" collapsed="false">
      <c r="A910" s="19"/>
      <c r="B910" s="23"/>
      <c r="C910" s="22" t="str">
        <f aca="false">IF(OR($A910="",$B910=""),"",INDEX(tblCalisan[Brüt Ücret (₺)],MATCH($A910,tblCalisan[Çalışan Adı],0))*IF($B910="5 Puan İndirimi",BesPuanOrani,IF($B910="İlave İstihdam",IlaveIstihdamOrani,IF($B910="Kadın/Genç",KadinGencOrani,IF($B910="Engelli",EngelliOrani,GencGirisimciOrani)))))</f>
        <v/>
      </c>
      <c r="D910" s="22" t="str">
        <f aca="false">IF($C910="","",$C910*AySayisi)</f>
        <v/>
      </c>
      <c r="E910" s="23"/>
    </row>
    <row r="911" customFormat="false" ht="15" hidden="false" customHeight="false" outlineLevel="0" collapsed="false">
      <c r="A911" s="19"/>
      <c r="B911" s="23"/>
      <c r="C911" s="22" t="str">
        <f aca="false">IF(OR($A911="",$B911=""),"",INDEX(tblCalisan[Brüt Ücret (₺)],MATCH($A911,tblCalisan[Çalışan Adı],0))*IF($B911="5 Puan İndirimi",BesPuanOrani,IF($B911="İlave İstihdam",IlaveIstihdamOrani,IF($B911="Kadın/Genç",KadinGencOrani,IF($B911="Engelli",EngelliOrani,GencGirisimciOrani)))))</f>
        <v/>
      </c>
      <c r="D911" s="22" t="str">
        <f aca="false">IF($C911="","",$C911*AySayisi)</f>
        <v/>
      </c>
      <c r="E911" s="23"/>
    </row>
    <row r="912" customFormat="false" ht="15" hidden="false" customHeight="false" outlineLevel="0" collapsed="false">
      <c r="A912" s="19"/>
      <c r="B912" s="23"/>
      <c r="C912" s="22" t="str">
        <f aca="false">IF(OR($A912="",$B912=""),"",INDEX(tblCalisan[Brüt Ücret (₺)],MATCH($A912,tblCalisan[Çalışan Adı],0))*IF($B912="5 Puan İndirimi",BesPuanOrani,IF($B912="İlave İstihdam",IlaveIstihdamOrani,IF($B912="Kadın/Genç",KadinGencOrani,IF($B912="Engelli",EngelliOrani,GencGirisimciOrani)))))</f>
        <v/>
      </c>
      <c r="D912" s="22" t="str">
        <f aca="false">IF($C912="","",$C912*AySayisi)</f>
        <v/>
      </c>
      <c r="E912" s="23"/>
    </row>
    <row r="913" customFormat="false" ht="15" hidden="false" customHeight="false" outlineLevel="0" collapsed="false">
      <c r="A913" s="19"/>
      <c r="B913" s="23"/>
      <c r="C913" s="22" t="str">
        <f aca="false">IF(OR($A913="",$B913=""),"",INDEX(tblCalisan[Brüt Ücret (₺)],MATCH($A913,tblCalisan[Çalışan Adı],0))*IF($B913="5 Puan İndirimi",BesPuanOrani,IF($B913="İlave İstihdam",IlaveIstihdamOrani,IF($B913="Kadın/Genç",KadinGencOrani,IF($B913="Engelli",EngelliOrani,GencGirisimciOrani)))))</f>
        <v/>
      </c>
      <c r="D913" s="22" t="str">
        <f aca="false">IF($C913="","",$C913*AySayisi)</f>
        <v/>
      </c>
      <c r="E913" s="23"/>
    </row>
    <row r="914" customFormat="false" ht="15" hidden="false" customHeight="false" outlineLevel="0" collapsed="false">
      <c r="A914" s="19"/>
      <c r="B914" s="23"/>
      <c r="C914" s="22" t="str">
        <f aca="false">IF(OR($A914="",$B914=""),"",INDEX(tblCalisan[Brüt Ücret (₺)],MATCH($A914,tblCalisan[Çalışan Adı],0))*IF($B914="5 Puan İndirimi",BesPuanOrani,IF($B914="İlave İstihdam",IlaveIstihdamOrani,IF($B914="Kadın/Genç",KadinGencOrani,IF($B914="Engelli",EngelliOrani,GencGirisimciOrani)))))</f>
        <v/>
      </c>
      <c r="D914" s="22" t="str">
        <f aca="false">IF($C914="","",$C914*AySayisi)</f>
        <v/>
      </c>
      <c r="E914" s="23"/>
    </row>
    <row r="915" customFormat="false" ht="15" hidden="false" customHeight="false" outlineLevel="0" collapsed="false">
      <c r="A915" s="19"/>
      <c r="B915" s="23"/>
      <c r="C915" s="22" t="str">
        <f aca="false">IF(OR($A915="",$B915=""),"",INDEX(tblCalisan[Brüt Ücret (₺)],MATCH($A915,tblCalisan[Çalışan Adı],0))*IF($B915="5 Puan İndirimi",BesPuanOrani,IF($B915="İlave İstihdam",IlaveIstihdamOrani,IF($B915="Kadın/Genç",KadinGencOrani,IF($B915="Engelli",EngelliOrani,GencGirisimciOrani)))))</f>
        <v/>
      </c>
      <c r="D915" s="22" t="str">
        <f aca="false">IF($C915="","",$C915*AySayisi)</f>
        <v/>
      </c>
      <c r="E915" s="23"/>
    </row>
    <row r="916" customFormat="false" ht="15" hidden="false" customHeight="false" outlineLevel="0" collapsed="false">
      <c r="A916" s="19"/>
      <c r="B916" s="23"/>
      <c r="C916" s="22" t="str">
        <f aca="false">IF(OR($A916="",$B916=""),"",INDEX(tblCalisan[Brüt Ücret (₺)],MATCH($A916,tblCalisan[Çalışan Adı],0))*IF($B916="5 Puan İndirimi",BesPuanOrani,IF($B916="İlave İstihdam",IlaveIstihdamOrani,IF($B916="Kadın/Genç",KadinGencOrani,IF($B916="Engelli",EngelliOrani,GencGirisimciOrani)))))</f>
        <v/>
      </c>
      <c r="D916" s="22" t="str">
        <f aca="false">IF($C916="","",$C916*AySayisi)</f>
        <v/>
      </c>
      <c r="E916" s="23"/>
    </row>
    <row r="917" customFormat="false" ht="15" hidden="false" customHeight="false" outlineLevel="0" collapsed="false">
      <c r="A917" s="19"/>
      <c r="B917" s="23"/>
      <c r="C917" s="22" t="str">
        <f aca="false">IF(OR($A917="",$B917=""),"",INDEX(tblCalisan[Brüt Ücret (₺)],MATCH($A917,tblCalisan[Çalışan Adı],0))*IF($B917="5 Puan İndirimi",BesPuanOrani,IF($B917="İlave İstihdam",IlaveIstihdamOrani,IF($B917="Kadın/Genç",KadinGencOrani,IF($B917="Engelli",EngelliOrani,GencGirisimciOrani)))))</f>
        <v/>
      </c>
      <c r="D917" s="22" t="str">
        <f aca="false">IF($C917="","",$C917*AySayisi)</f>
        <v/>
      </c>
      <c r="E917" s="23"/>
    </row>
    <row r="918" customFormat="false" ht="15" hidden="false" customHeight="false" outlineLevel="0" collapsed="false">
      <c r="A918" s="19"/>
      <c r="B918" s="23"/>
      <c r="C918" s="22" t="str">
        <f aca="false">IF(OR($A918="",$B918=""),"",INDEX(tblCalisan[Brüt Ücret (₺)],MATCH($A918,tblCalisan[Çalışan Adı],0))*IF($B918="5 Puan İndirimi",BesPuanOrani,IF($B918="İlave İstihdam",IlaveIstihdamOrani,IF($B918="Kadın/Genç",KadinGencOrani,IF($B918="Engelli",EngelliOrani,GencGirisimciOrani)))))</f>
        <v/>
      </c>
      <c r="D918" s="22" t="str">
        <f aca="false">IF($C918="","",$C918*AySayisi)</f>
        <v/>
      </c>
      <c r="E918" s="23"/>
    </row>
    <row r="919" customFormat="false" ht="15" hidden="false" customHeight="false" outlineLevel="0" collapsed="false">
      <c r="A919" s="19"/>
      <c r="B919" s="23"/>
      <c r="C919" s="22" t="str">
        <f aca="false">IF(OR($A919="",$B919=""),"",INDEX(tblCalisan[Brüt Ücret (₺)],MATCH($A919,tblCalisan[Çalışan Adı],0))*IF($B919="5 Puan İndirimi",BesPuanOrani,IF($B919="İlave İstihdam",IlaveIstihdamOrani,IF($B919="Kadın/Genç",KadinGencOrani,IF($B919="Engelli",EngelliOrani,GencGirisimciOrani)))))</f>
        <v/>
      </c>
      <c r="D919" s="22" t="str">
        <f aca="false">IF($C919="","",$C919*AySayisi)</f>
        <v/>
      </c>
      <c r="E919" s="23"/>
    </row>
    <row r="920" customFormat="false" ht="15" hidden="false" customHeight="false" outlineLevel="0" collapsed="false">
      <c r="A920" s="19"/>
      <c r="B920" s="23"/>
      <c r="C920" s="22" t="str">
        <f aca="false">IF(OR($A920="",$B920=""),"",INDEX(tblCalisan[Brüt Ücret (₺)],MATCH($A920,tblCalisan[Çalışan Adı],0))*IF($B920="5 Puan İndirimi",BesPuanOrani,IF($B920="İlave İstihdam",IlaveIstihdamOrani,IF($B920="Kadın/Genç",KadinGencOrani,IF($B920="Engelli",EngelliOrani,GencGirisimciOrani)))))</f>
        <v/>
      </c>
      <c r="D920" s="22" t="str">
        <f aca="false">IF($C920="","",$C920*AySayisi)</f>
        <v/>
      </c>
      <c r="E920" s="23"/>
    </row>
    <row r="921" customFormat="false" ht="15" hidden="false" customHeight="false" outlineLevel="0" collapsed="false">
      <c r="A921" s="19"/>
      <c r="B921" s="23"/>
      <c r="C921" s="22" t="str">
        <f aca="false">IF(OR($A921="",$B921=""),"",INDEX(tblCalisan[Brüt Ücret (₺)],MATCH($A921,tblCalisan[Çalışan Adı],0))*IF($B921="5 Puan İndirimi",BesPuanOrani,IF($B921="İlave İstihdam",IlaveIstihdamOrani,IF($B921="Kadın/Genç",KadinGencOrani,IF($B921="Engelli",EngelliOrani,GencGirisimciOrani)))))</f>
        <v/>
      </c>
      <c r="D921" s="22" t="str">
        <f aca="false">IF($C921="","",$C921*AySayisi)</f>
        <v/>
      </c>
      <c r="E921" s="23"/>
    </row>
    <row r="922" customFormat="false" ht="15" hidden="false" customHeight="false" outlineLevel="0" collapsed="false">
      <c r="A922" s="19"/>
      <c r="B922" s="23"/>
      <c r="C922" s="22" t="str">
        <f aca="false">IF(OR($A922="",$B922=""),"",INDEX(tblCalisan[Brüt Ücret (₺)],MATCH($A922,tblCalisan[Çalışan Adı],0))*IF($B922="5 Puan İndirimi",BesPuanOrani,IF($B922="İlave İstihdam",IlaveIstihdamOrani,IF($B922="Kadın/Genç",KadinGencOrani,IF($B922="Engelli",EngelliOrani,GencGirisimciOrani)))))</f>
        <v/>
      </c>
      <c r="D922" s="22" t="str">
        <f aca="false">IF($C922="","",$C922*AySayisi)</f>
        <v/>
      </c>
      <c r="E922" s="23"/>
    </row>
    <row r="923" customFormat="false" ht="15" hidden="false" customHeight="false" outlineLevel="0" collapsed="false">
      <c r="A923" s="19"/>
      <c r="B923" s="23"/>
      <c r="C923" s="22" t="str">
        <f aca="false">IF(OR($A923="",$B923=""),"",INDEX(tblCalisan[Brüt Ücret (₺)],MATCH($A923,tblCalisan[Çalışan Adı],0))*IF($B923="5 Puan İndirimi",BesPuanOrani,IF($B923="İlave İstihdam",IlaveIstihdamOrani,IF($B923="Kadın/Genç",KadinGencOrani,IF($B923="Engelli",EngelliOrani,GencGirisimciOrani)))))</f>
        <v/>
      </c>
      <c r="D923" s="22" t="str">
        <f aca="false">IF($C923="","",$C923*AySayisi)</f>
        <v/>
      </c>
      <c r="E923" s="23"/>
    </row>
    <row r="924" customFormat="false" ht="15" hidden="false" customHeight="false" outlineLevel="0" collapsed="false">
      <c r="A924" s="19"/>
      <c r="B924" s="23"/>
      <c r="C924" s="22" t="str">
        <f aca="false">IF(OR($A924="",$B924=""),"",INDEX(tblCalisan[Brüt Ücret (₺)],MATCH($A924,tblCalisan[Çalışan Adı],0))*IF($B924="5 Puan İndirimi",BesPuanOrani,IF($B924="İlave İstihdam",IlaveIstihdamOrani,IF($B924="Kadın/Genç",KadinGencOrani,IF($B924="Engelli",EngelliOrani,GencGirisimciOrani)))))</f>
        <v/>
      </c>
      <c r="D924" s="22" t="str">
        <f aca="false">IF($C924="","",$C924*AySayisi)</f>
        <v/>
      </c>
      <c r="E924" s="23"/>
    </row>
    <row r="925" customFormat="false" ht="15" hidden="false" customHeight="false" outlineLevel="0" collapsed="false">
      <c r="A925" s="19"/>
      <c r="B925" s="23"/>
      <c r="C925" s="22" t="str">
        <f aca="false">IF(OR($A925="",$B925=""),"",INDEX(tblCalisan[Brüt Ücret (₺)],MATCH($A925,tblCalisan[Çalışan Adı],0))*IF($B925="5 Puan İndirimi",BesPuanOrani,IF($B925="İlave İstihdam",IlaveIstihdamOrani,IF($B925="Kadın/Genç",KadinGencOrani,IF($B925="Engelli",EngelliOrani,GencGirisimciOrani)))))</f>
        <v/>
      </c>
      <c r="D925" s="22" t="str">
        <f aca="false">IF($C925="","",$C925*AySayisi)</f>
        <v/>
      </c>
      <c r="E925" s="23"/>
    </row>
    <row r="926" customFormat="false" ht="15" hidden="false" customHeight="false" outlineLevel="0" collapsed="false">
      <c r="A926" s="19"/>
      <c r="B926" s="23"/>
      <c r="C926" s="22" t="str">
        <f aca="false">IF(OR($A926="",$B926=""),"",INDEX(tblCalisan[Brüt Ücret (₺)],MATCH($A926,tblCalisan[Çalışan Adı],0))*IF($B926="5 Puan İndirimi",BesPuanOrani,IF($B926="İlave İstihdam",IlaveIstihdamOrani,IF($B926="Kadın/Genç",KadinGencOrani,IF($B926="Engelli",EngelliOrani,GencGirisimciOrani)))))</f>
        <v/>
      </c>
      <c r="D926" s="22" t="str">
        <f aca="false">IF($C926="","",$C926*AySayisi)</f>
        <v/>
      </c>
      <c r="E926" s="23"/>
    </row>
    <row r="927" customFormat="false" ht="15" hidden="false" customHeight="false" outlineLevel="0" collapsed="false">
      <c r="A927" s="19"/>
      <c r="B927" s="23"/>
      <c r="C927" s="22" t="str">
        <f aca="false">IF(OR($A927="",$B927=""),"",INDEX(tblCalisan[Brüt Ücret (₺)],MATCH($A927,tblCalisan[Çalışan Adı],0))*IF($B927="5 Puan İndirimi",BesPuanOrani,IF($B927="İlave İstihdam",IlaveIstihdamOrani,IF($B927="Kadın/Genç",KadinGencOrani,IF($B927="Engelli",EngelliOrani,GencGirisimciOrani)))))</f>
        <v/>
      </c>
      <c r="D927" s="22" t="str">
        <f aca="false">IF($C927="","",$C927*AySayisi)</f>
        <v/>
      </c>
      <c r="E927" s="23"/>
    </row>
    <row r="928" customFormat="false" ht="15" hidden="false" customHeight="false" outlineLevel="0" collapsed="false">
      <c r="A928" s="19"/>
      <c r="B928" s="23"/>
      <c r="C928" s="22" t="str">
        <f aca="false">IF(OR($A928="",$B928=""),"",INDEX(tblCalisan[Brüt Ücret (₺)],MATCH($A928,tblCalisan[Çalışan Adı],0))*IF($B928="5 Puan İndirimi",BesPuanOrani,IF($B928="İlave İstihdam",IlaveIstihdamOrani,IF($B928="Kadın/Genç",KadinGencOrani,IF($B928="Engelli",EngelliOrani,GencGirisimciOrani)))))</f>
        <v/>
      </c>
      <c r="D928" s="22" t="str">
        <f aca="false">IF($C928="","",$C928*AySayisi)</f>
        <v/>
      </c>
      <c r="E928" s="23"/>
    </row>
    <row r="929" customFormat="false" ht="15" hidden="false" customHeight="false" outlineLevel="0" collapsed="false">
      <c r="A929" s="19"/>
      <c r="B929" s="23"/>
      <c r="C929" s="22" t="str">
        <f aca="false">IF(OR($A929="",$B929=""),"",INDEX(tblCalisan[Brüt Ücret (₺)],MATCH($A929,tblCalisan[Çalışan Adı],0))*IF($B929="5 Puan İndirimi",BesPuanOrani,IF($B929="İlave İstihdam",IlaveIstihdamOrani,IF($B929="Kadın/Genç",KadinGencOrani,IF($B929="Engelli",EngelliOrani,GencGirisimciOrani)))))</f>
        <v/>
      </c>
      <c r="D929" s="22" t="str">
        <f aca="false">IF($C929="","",$C929*AySayisi)</f>
        <v/>
      </c>
      <c r="E929" s="23"/>
    </row>
    <row r="930" customFormat="false" ht="15" hidden="false" customHeight="false" outlineLevel="0" collapsed="false">
      <c r="A930" s="19"/>
      <c r="B930" s="23"/>
      <c r="C930" s="22" t="str">
        <f aca="false">IF(OR($A930="",$B930=""),"",INDEX(tblCalisan[Brüt Ücret (₺)],MATCH($A930,tblCalisan[Çalışan Adı],0))*IF($B930="5 Puan İndirimi",BesPuanOrani,IF($B930="İlave İstihdam",IlaveIstihdamOrani,IF($B930="Kadın/Genç",KadinGencOrani,IF($B930="Engelli",EngelliOrani,GencGirisimciOrani)))))</f>
        <v/>
      </c>
      <c r="D930" s="22" t="str">
        <f aca="false">IF($C930="","",$C930*AySayisi)</f>
        <v/>
      </c>
      <c r="E930" s="23"/>
    </row>
    <row r="931" customFormat="false" ht="15" hidden="false" customHeight="false" outlineLevel="0" collapsed="false">
      <c r="A931" s="19"/>
      <c r="B931" s="23"/>
      <c r="C931" s="22" t="str">
        <f aca="false">IF(OR($A931="",$B931=""),"",INDEX(tblCalisan[Brüt Ücret (₺)],MATCH($A931,tblCalisan[Çalışan Adı],0))*IF($B931="5 Puan İndirimi",BesPuanOrani,IF($B931="İlave İstihdam",IlaveIstihdamOrani,IF($B931="Kadın/Genç",KadinGencOrani,IF($B931="Engelli",EngelliOrani,GencGirisimciOrani)))))</f>
        <v/>
      </c>
      <c r="D931" s="22" t="str">
        <f aca="false">IF($C931="","",$C931*AySayisi)</f>
        <v/>
      </c>
      <c r="E931" s="23"/>
    </row>
    <row r="932" customFormat="false" ht="15" hidden="false" customHeight="false" outlineLevel="0" collapsed="false">
      <c r="A932" s="19"/>
      <c r="B932" s="23"/>
      <c r="C932" s="22" t="str">
        <f aca="false">IF(OR($A932="",$B932=""),"",INDEX(tblCalisan[Brüt Ücret (₺)],MATCH($A932,tblCalisan[Çalışan Adı],0))*IF($B932="5 Puan İndirimi",BesPuanOrani,IF($B932="İlave İstihdam",IlaveIstihdamOrani,IF($B932="Kadın/Genç",KadinGencOrani,IF($B932="Engelli",EngelliOrani,GencGirisimciOrani)))))</f>
        <v/>
      </c>
      <c r="D932" s="22" t="str">
        <f aca="false">IF($C932="","",$C932*AySayisi)</f>
        <v/>
      </c>
      <c r="E932" s="23"/>
    </row>
    <row r="933" customFormat="false" ht="15" hidden="false" customHeight="false" outlineLevel="0" collapsed="false">
      <c r="A933" s="19"/>
      <c r="B933" s="23"/>
      <c r="C933" s="22" t="str">
        <f aca="false">IF(OR($A933="",$B933=""),"",INDEX(tblCalisan[Brüt Ücret (₺)],MATCH($A933,tblCalisan[Çalışan Adı],0))*IF($B933="5 Puan İndirimi",BesPuanOrani,IF($B933="İlave İstihdam",IlaveIstihdamOrani,IF($B933="Kadın/Genç",KadinGencOrani,IF($B933="Engelli",EngelliOrani,GencGirisimciOrani)))))</f>
        <v/>
      </c>
      <c r="D933" s="22" t="str">
        <f aca="false">IF($C933="","",$C933*AySayisi)</f>
        <v/>
      </c>
      <c r="E933" s="23"/>
    </row>
    <row r="934" customFormat="false" ht="15" hidden="false" customHeight="false" outlineLevel="0" collapsed="false">
      <c r="A934" s="19"/>
      <c r="B934" s="23"/>
      <c r="C934" s="22" t="str">
        <f aca="false">IF(OR($A934="",$B934=""),"",INDEX(tblCalisan[Brüt Ücret (₺)],MATCH($A934,tblCalisan[Çalışan Adı],0))*IF($B934="5 Puan İndirimi",BesPuanOrani,IF($B934="İlave İstihdam",IlaveIstihdamOrani,IF($B934="Kadın/Genç",KadinGencOrani,IF($B934="Engelli",EngelliOrani,GencGirisimciOrani)))))</f>
        <v/>
      </c>
      <c r="D934" s="22" t="str">
        <f aca="false">IF($C934="","",$C934*AySayisi)</f>
        <v/>
      </c>
      <c r="E934" s="23"/>
    </row>
    <row r="935" customFormat="false" ht="15" hidden="false" customHeight="false" outlineLevel="0" collapsed="false">
      <c r="A935" s="19"/>
      <c r="B935" s="23"/>
      <c r="C935" s="22" t="str">
        <f aca="false">IF(OR($A935="",$B935=""),"",INDEX(tblCalisan[Brüt Ücret (₺)],MATCH($A935,tblCalisan[Çalışan Adı],0))*IF($B935="5 Puan İndirimi",BesPuanOrani,IF($B935="İlave İstihdam",IlaveIstihdamOrani,IF($B935="Kadın/Genç",KadinGencOrani,IF($B935="Engelli",EngelliOrani,GencGirisimciOrani)))))</f>
        <v/>
      </c>
      <c r="D935" s="22" t="str">
        <f aca="false">IF($C935="","",$C935*AySayisi)</f>
        <v/>
      </c>
      <c r="E935" s="23"/>
    </row>
    <row r="936" customFormat="false" ht="15" hidden="false" customHeight="false" outlineLevel="0" collapsed="false">
      <c r="A936" s="19"/>
      <c r="B936" s="23"/>
      <c r="C936" s="22" t="str">
        <f aca="false">IF(OR($A936="",$B936=""),"",INDEX(tblCalisan[Brüt Ücret (₺)],MATCH($A936,tblCalisan[Çalışan Adı],0))*IF($B936="5 Puan İndirimi",BesPuanOrani,IF($B936="İlave İstihdam",IlaveIstihdamOrani,IF($B936="Kadın/Genç",KadinGencOrani,IF($B936="Engelli",EngelliOrani,GencGirisimciOrani)))))</f>
        <v/>
      </c>
      <c r="D936" s="22" t="str">
        <f aca="false">IF($C936="","",$C936*AySayisi)</f>
        <v/>
      </c>
      <c r="E936" s="23"/>
    </row>
    <row r="937" customFormat="false" ht="15" hidden="false" customHeight="false" outlineLevel="0" collapsed="false">
      <c r="A937" s="19"/>
      <c r="B937" s="23"/>
      <c r="C937" s="22" t="str">
        <f aca="false">IF(OR($A937="",$B937=""),"",INDEX(tblCalisan[Brüt Ücret (₺)],MATCH($A937,tblCalisan[Çalışan Adı],0))*IF($B937="5 Puan İndirimi",BesPuanOrani,IF($B937="İlave İstihdam",IlaveIstihdamOrani,IF($B937="Kadın/Genç",KadinGencOrani,IF($B937="Engelli",EngelliOrani,GencGirisimciOrani)))))</f>
        <v/>
      </c>
      <c r="D937" s="22" t="str">
        <f aca="false">IF($C937="","",$C937*AySayisi)</f>
        <v/>
      </c>
      <c r="E937" s="23"/>
    </row>
    <row r="938" customFormat="false" ht="15" hidden="false" customHeight="false" outlineLevel="0" collapsed="false">
      <c r="A938" s="19"/>
      <c r="B938" s="23"/>
      <c r="C938" s="22" t="str">
        <f aca="false">IF(OR($A938="",$B938=""),"",INDEX(tblCalisan[Brüt Ücret (₺)],MATCH($A938,tblCalisan[Çalışan Adı],0))*IF($B938="5 Puan İndirimi",BesPuanOrani,IF($B938="İlave İstihdam",IlaveIstihdamOrani,IF($B938="Kadın/Genç",KadinGencOrani,IF($B938="Engelli",EngelliOrani,GencGirisimciOrani)))))</f>
        <v/>
      </c>
      <c r="D938" s="22" t="str">
        <f aca="false">IF($C938="","",$C938*AySayisi)</f>
        <v/>
      </c>
      <c r="E938" s="23"/>
    </row>
    <row r="939" customFormat="false" ht="15" hidden="false" customHeight="false" outlineLevel="0" collapsed="false">
      <c r="A939" s="19"/>
      <c r="B939" s="23"/>
      <c r="C939" s="22" t="str">
        <f aca="false">IF(OR($A939="",$B939=""),"",INDEX(tblCalisan[Brüt Ücret (₺)],MATCH($A939,tblCalisan[Çalışan Adı],0))*IF($B939="5 Puan İndirimi",BesPuanOrani,IF($B939="İlave İstihdam",IlaveIstihdamOrani,IF($B939="Kadın/Genç",KadinGencOrani,IF($B939="Engelli",EngelliOrani,GencGirisimciOrani)))))</f>
        <v/>
      </c>
      <c r="D939" s="22" t="str">
        <f aca="false">IF($C939="","",$C939*AySayisi)</f>
        <v/>
      </c>
      <c r="E939" s="23"/>
    </row>
    <row r="940" customFormat="false" ht="15" hidden="false" customHeight="false" outlineLevel="0" collapsed="false">
      <c r="A940" s="19"/>
      <c r="B940" s="23"/>
      <c r="C940" s="22" t="str">
        <f aca="false">IF(OR($A940="",$B940=""),"",INDEX(tblCalisan[Brüt Ücret (₺)],MATCH($A940,tblCalisan[Çalışan Adı],0))*IF($B940="5 Puan İndirimi",BesPuanOrani,IF($B940="İlave İstihdam",IlaveIstihdamOrani,IF($B940="Kadın/Genç",KadinGencOrani,IF($B940="Engelli",EngelliOrani,GencGirisimciOrani)))))</f>
        <v/>
      </c>
      <c r="D940" s="22" t="str">
        <f aca="false">IF($C940="","",$C940*AySayisi)</f>
        <v/>
      </c>
      <c r="E940" s="23"/>
    </row>
    <row r="941" customFormat="false" ht="15" hidden="false" customHeight="false" outlineLevel="0" collapsed="false">
      <c r="A941" s="19"/>
      <c r="B941" s="23"/>
      <c r="C941" s="22" t="str">
        <f aca="false">IF(OR($A941="",$B941=""),"",INDEX(tblCalisan[Brüt Ücret (₺)],MATCH($A941,tblCalisan[Çalışan Adı],0))*IF($B941="5 Puan İndirimi",BesPuanOrani,IF($B941="İlave İstihdam",IlaveIstihdamOrani,IF($B941="Kadın/Genç",KadinGencOrani,IF($B941="Engelli",EngelliOrani,GencGirisimciOrani)))))</f>
        <v/>
      </c>
      <c r="D941" s="22" t="str">
        <f aca="false">IF($C941="","",$C941*AySayisi)</f>
        <v/>
      </c>
      <c r="E941" s="23"/>
    </row>
    <row r="942" customFormat="false" ht="15" hidden="false" customHeight="false" outlineLevel="0" collapsed="false">
      <c r="A942" s="19"/>
      <c r="B942" s="23"/>
      <c r="C942" s="22" t="str">
        <f aca="false">IF(OR($A942="",$B942=""),"",INDEX(tblCalisan[Brüt Ücret (₺)],MATCH($A942,tblCalisan[Çalışan Adı],0))*IF($B942="5 Puan İndirimi",BesPuanOrani,IF($B942="İlave İstihdam",IlaveIstihdamOrani,IF($B942="Kadın/Genç",KadinGencOrani,IF($B942="Engelli",EngelliOrani,GencGirisimciOrani)))))</f>
        <v/>
      </c>
      <c r="D942" s="22" t="str">
        <f aca="false">IF($C942="","",$C942*AySayisi)</f>
        <v/>
      </c>
      <c r="E942" s="23"/>
    </row>
    <row r="943" customFormat="false" ht="15" hidden="false" customHeight="false" outlineLevel="0" collapsed="false">
      <c r="A943" s="19"/>
      <c r="B943" s="23"/>
      <c r="C943" s="22" t="str">
        <f aca="false">IF(OR($A943="",$B943=""),"",INDEX(tblCalisan[Brüt Ücret (₺)],MATCH($A943,tblCalisan[Çalışan Adı],0))*IF($B943="5 Puan İndirimi",BesPuanOrani,IF($B943="İlave İstihdam",IlaveIstihdamOrani,IF($B943="Kadın/Genç",KadinGencOrani,IF($B943="Engelli",EngelliOrani,GencGirisimciOrani)))))</f>
        <v/>
      </c>
      <c r="D943" s="22" t="str">
        <f aca="false">IF($C943="","",$C943*AySayisi)</f>
        <v/>
      </c>
      <c r="E943" s="23"/>
    </row>
    <row r="944" customFormat="false" ht="15" hidden="false" customHeight="false" outlineLevel="0" collapsed="false">
      <c r="A944" s="19"/>
      <c r="B944" s="23"/>
      <c r="C944" s="22" t="str">
        <f aca="false">IF(OR($A944="",$B944=""),"",INDEX(tblCalisan[Brüt Ücret (₺)],MATCH($A944,tblCalisan[Çalışan Adı],0))*IF($B944="5 Puan İndirimi",BesPuanOrani,IF($B944="İlave İstihdam",IlaveIstihdamOrani,IF($B944="Kadın/Genç",KadinGencOrani,IF($B944="Engelli",EngelliOrani,GencGirisimciOrani)))))</f>
        <v/>
      </c>
      <c r="D944" s="22" t="str">
        <f aca="false">IF($C944="","",$C944*AySayisi)</f>
        <v/>
      </c>
      <c r="E944" s="23"/>
    </row>
    <row r="945" customFormat="false" ht="15" hidden="false" customHeight="false" outlineLevel="0" collapsed="false">
      <c r="A945" s="19"/>
      <c r="B945" s="23"/>
      <c r="C945" s="22" t="str">
        <f aca="false">IF(OR($A945="",$B945=""),"",INDEX(tblCalisan[Brüt Ücret (₺)],MATCH($A945,tblCalisan[Çalışan Adı],0))*IF($B945="5 Puan İndirimi",BesPuanOrani,IF($B945="İlave İstihdam",IlaveIstihdamOrani,IF($B945="Kadın/Genç",KadinGencOrani,IF($B945="Engelli",EngelliOrani,GencGirisimciOrani)))))</f>
        <v/>
      </c>
      <c r="D945" s="22" t="str">
        <f aca="false">IF($C945="","",$C945*AySayisi)</f>
        <v/>
      </c>
      <c r="E945" s="23"/>
    </row>
    <row r="946" customFormat="false" ht="15" hidden="false" customHeight="false" outlineLevel="0" collapsed="false">
      <c r="A946" s="19"/>
      <c r="B946" s="23"/>
      <c r="C946" s="22" t="str">
        <f aca="false">IF(OR($A946="",$B946=""),"",INDEX(tblCalisan[Brüt Ücret (₺)],MATCH($A946,tblCalisan[Çalışan Adı],0))*IF($B946="5 Puan İndirimi",BesPuanOrani,IF($B946="İlave İstihdam",IlaveIstihdamOrani,IF($B946="Kadın/Genç",KadinGencOrani,IF($B946="Engelli",EngelliOrani,GencGirisimciOrani)))))</f>
        <v/>
      </c>
      <c r="D946" s="22" t="str">
        <f aca="false">IF($C946="","",$C946*AySayisi)</f>
        <v/>
      </c>
      <c r="E946" s="23"/>
    </row>
    <row r="947" customFormat="false" ht="15" hidden="false" customHeight="false" outlineLevel="0" collapsed="false">
      <c r="A947" s="19"/>
      <c r="B947" s="23"/>
      <c r="C947" s="22" t="str">
        <f aca="false">IF(OR($A947="",$B947=""),"",INDEX(tblCalisan[Brüt Ücret (₺)],MATCH($A947,tblCalisan[Çalışan Adı],0))*IF($B947="5 Puan İndirimi",BesPuanOrani,IF($B947="İlave İstihdam",IlaveIstihdamOrani,IF($B947="Kadın/Genç",KadinGencOrani,IF($B947="Engelli",EngelliOrani,GencGirisimciOrani)))))</f>
        <v/>
      </c>
      <c r="D947" s="22" t="str">
        <f aca="false">IF($C947="","",$C947*AySayisi)</f>
        <v/>
      </c>
      <c r="E947" s="23"/>
    </row>
    <row r="948" customFormat="false" ht="15" hidden="false" customHeight="false" outlineLevel="0" collapsed="false">
      <c r="A948" s="19"/>
      <c r="B948" s="23"/>
      <c r="C948" s="22" t="str">
        <f aca="false">IF(OR($A948="",$B948=""),"",INDEX(tblCalisan[Brüt Ücret (₺)],MATCH($A948,tblCalisan[Çalışan Adı],0))*IF($B948="5 Puan İndirimi",BesPuanOrani,IF($B948="İlave İstihdam",IlaveIstihdamOrani,IF($B948="Kadın/Genç",KadinGencOrani,IF($B948="Engelli",EngelliOrani,GencGirisimciOrani)))))</f>
        <v/>
      </c>
      <c r="D948" s="22" t="str">
        <f aca="false">IF($C948="","",$C948*AySayisi)</f>
        <v/>
      </c>
      <c r="E948" s="23"/>
    </row>
    <row r="949" customFormat="false" ht="15" hidden="false" customHeight="false" outlineLevel="0" collapsed="false">
      <c r="A949" s="19"/>
      <c r="B949" s="23"/>
      <c r="C949" s="22" t="str">
        <f aca="false">IF(OR($A949="",$B949=""),"",INDEX(tblCalisan[Brüt Ücret (₺)],MATCH($A949,tblCalisan[Çalışan Adı],0))*IF($B949="5 Puan İndirimi",BesPuanOrani,IF($B949="İlave İstihdam",IlaveIstihdamOrani,IF($B949="Kadın/Genç",KadinGencOrani,IF($B949="Engelli",EngelliOrani,GencGirisimciOrani)))))</f>
        <v/>
      </c>
      <c r="D949" s="22" t="str">
        <f aca="false">IF($C949="","",$C949*AySayisi)</f>
        <v/>
      </c>
      <c r="E949" s="23"/>
    </row>
    <row r="950" customFormat="false" ht="15" hidden="false" customHeight="false" outlineLevel="0" collapsed="false">
      <c r="A950" s="19"/>
      <c r="B950" s="23"/>
      <c r="C950" s="22" t="str">
        <f aca="false">IF(OR($A950="",$B950=""),"",INDEX(tblCalisan[Brüt Ücret (₺)],MATCH($A950,tblCalisan[Çalışan Adı],0))*IF($B950="5 Puan İndirimi",BesPuanOrani,IF($B950="İlave İstihdam",IlaveIstihdamOrani,IF($B950="Kadın/Genç",KadinGencOrani,IF($B950="Engelli",EngelliOrani,GencGirisimciOrani)))))</f>
        <v/>
      </c>
      <c r="D950" s="22" t="str">
        <f aca="false">IF($C950="","",$C950*AySayisi)</f>
        <v/>
      </c>
      <c r="E950" s="23"/>
    </row>
    <row r="951" customFormat="false" ht="15" hidden="false" customHeight="false" outlineLevel="0" collapsed="false">
      <c r="A951" s="19"/>
      <c r="B951" s="23"/>
      <c r="C951" s="22" t="str">
        <f aca="false">IF(OR($A951="",$B951=""),"",INDEX(tblCalisan[Brüt Ücret (₺)],MATCH($A951,tblCalisan[Çalışan Adı],0))*IF($B951="5 Puan İndirimi",BesPuanOrani,IF($B951="İlave İstihdam",IlaveIstihdamOrani,IF($B951="Kadın/Genç",KadinGencOrani,IF($B951="Engelli",EngelliOrani,GencGirisimciOrani)))))</f>
        <v/>
      </c>
      <c r="D951" s="22" t="str">
        <f aca="false">IF($C951="","",$C951*AySayisi)</f>
        <v/>
      </c>
      <c r="E951" s="23"/>
    </row>
    <row r="952" customFormat="false" ht="15" hidden="false" customHeight="false" outlineLevel="0" collapsed="false">
      <c r="A952" s="19"/>
      <c r="B952" s="23"/>
      <c r="C952" s="22" t="str">
        <f aca="false">IF(OR($A952="",$B952=""),"",INDEX(tblCalisan[Brüt Ücret (₺)],MATCH($A952,tblCalisan[Çalışan Adı],0))*IF($B952="5 Puan İndirimi",BesPuanOrani,IF($B952="İlave İstihdam",IlaveIstihdamOrani,IF($B952="Kadın/Genç",KadinGencOrani,IF($B952="Engelli",EngelliOrani,GencGirisimciOrani)))))</f>
        <v/>
      </c>
      <c r="D952" s="22" t="str">
        <f aca="false">IF($C952="","",$C952*AySayisi)</f>
        <v/>
      </c>
      <c r="E952" s="23"/>
    </row>
    <row r="953" customFormat="false" ht="15" hidden="false" customHeight="false" outlineLevel="0" collapsed="false">
      <c r="A953" s="19"/>
      <c r="B953" s="23"/>
      <c r="C953" s="22" t="str">
        <f aca="false">IF(OR($A953="",$B953=""),"",INDEX(tblCalisan[Brüt Ücret (₺)],MATCH($A953,tblCalisan[Çalışan Adı],0))*IF($B953="5 Puan İndirimi",BesPuanOrani,IF($B953="İlave İstihdam",IlaveIstihdamOrani,IF($B953="Kadın/Genç",KadinGencOrani,IF($B953="Engelli",EngelliOrani,GencGirisimciOrani)))))</f>
        <v/>
      </c>
      <c r="D953" s="22" t="str">
        <f aca="false">IF($C953="","",$C953*AySayisi)</f>
        <v/>
      </c>
      <c r="E953" s="23"/>
    </row>
    <row r="954" customFormat="false" ht="15" hidden="false" customHeight="false" outlineLevel="0" collapsed="false">
      <c r="A954" s="19"/>
      <c r="B954" s="23"/>
      <c r="C954" s="22" t="str">
        <f aca="false">IF(OR($A954="",$B954=""),"",INDEX(tblCalisan[Brüt Ücret (₺)],MATCH($A954,tblCalisan[Çalışan Adı],0))*IF($B954="5 Puan İndirimi",BesPuanOrani,IF($B954="İlave İstihdam",IlaveIstihdamOrani,IF($B954="Kadın/Genç",KadinGencOrani,IF($B954="Engelli",EngelliOrani,GencGirisimciOrani)))))</f>
        <v/>
      </c>
      <c r="D954" s="22" t="str">
        <f aca="false">IF($C954="","",$C954*AySayisi)</f>
        <v/>
      </c>
      <c r="E954" s="23"/>
    </row>
    <row r="955" customFormat="false" ht="15" hidden="false" customHeight="false" outlineLevel="0" collapsed="false">
      <c r="A955" s="19"/>
      <c r="B955" s="23"/>
      <c r="C955" s="22" t="str">
        <f aca="false">IF(OR($A955="",$B955=""),"",INDEX(tblCalisan[Brüt Ücret (₺)],MATCH($A955,tblCalisan[Çalışan Adı],0))*IF($B955="5 Puan İndirimi",BesPuanOrani,IF($B955="İlave İstihdam",IlaveIstihdamOrani,IF($B955="Kadın/Genç",KadinGencOrani,IF($B955="Engelli",EngelliOrani,GencGirisimciOrani)))))</f>
        <v/>
      </c>
      <c r="D955" s="22" t="str">
        <f aca="false">IF($C955="","",$C955*AySayisi)</f>
        <v/>
      </c>
      <c r="E955" s="23"/>
    </row>
    <row r="956" customFormat="false" ht="15" hidden="false" customHeight="false" outlineLevel="0" collapsed="false">
      <c r="A956" s="19"/>
      <c r="B956" s="23"/>
      <c r="C956" s="22" t="str">
        <f aca="false">IF(OR($A956="",$B956=""),"",INDEX(tblCalisan[Brüt Ücret (₺)],MATCH($A956,tblCalisan[Çalışan Adı],0))*IF($B956="5 Puan İndirimi",BesPuanOrani,IF($B956="İlave İstihdam",IlaveIstihdamOrani,IF($B956="Kadın/Genç",KadinGencOrani,IF($B956="Engelli",EngelliOrani,GencGirisimciOrani)))))</f>
        <v/>
      </c>
      <c r="D956" s="22" t="str">
        <f aca="false">IF($C956="","",$C956*AySayisi)</f>
        <v/>
      </c>
      <c r="E956" s="23"/>
    </row>
    <row r="957" customFormat="false" ht="15" hidden="false" customHeight="false" outlineLevel="0" collapsed="false">
      <c r="A957" s="19"/>
      <c r="B957" s="23"/>
      <c r="C957" s="22" t="str">
        <f aca="false">IF(OR($A957="",$B957=""),"",INDEX(tblCalisan[Brüt Ücret (₺)],MATCH($A957,tblCalisan[Çalışan Adı],0))*IF($B957="5 Puan İndirimi",BesPuanOrani,IF($B957="İlave İstihdam",IlaveIstihdamOrani,IF($B957="Kadın/Genç",KadinGencOrani,IF($B957="Engelli",EngelliOrani,GencGirisimciOrani)))))</f>
        <v/>
      </c>
      <c r="D957" s="22" t="str">
        <f aca="false">IF($C957="","",$C957*AySayisi)</f>
        <v/>
      </c>
      <c r="E957" s="23"/>
    </row>
    <row r="958" customFormat="false" ht="15" hidden="false" customHeight="false" outlineLevel="0" collapsed="false">
      <c r="A958" s="19"/>
      <c r="B958" s="23"/>
      <c r="C958" s="22" t="str">
        <f aca="false">IF(OR($A958="",$B958=""),"",INDEX(tblCalisan[Brüt Ücret (₺)],MATCH($A958,tblCalisan[Çalışan Adı],0))*IF($B958="5 Puan İndirimi",BesPuanOrani,IF($B958="İlave İstihdam",IlaveIstihdamOrani,IF($B958="Kadın/Genç",KadinGencOrani,IF($B958="Engelli",EngelliOrani,GencGirisimciOrani)))))</f>
        <v/>
      </c>
      <c r="D958" s="22" t="str">
        <f aca="false">IF($C958="","",$C958*AySayisi)</f>
        <v/>
      </c>
      <c r="E958" s="23"/>
    </row>
    <row r="959" customFormat="false" ht="15" hidden="false" customHeight="false" outlineLevel="0" collapsed="false">
      <c r="A959" s="19"/>
      <c r="B959" s="23"/>
      <c r="C959" s="22" t="str">
        <f aca="false">IF(OR($A959="",$B959=""),"",INDEX(tblCalisan[Brüt Ücret (₺)],MATCH($A959,tblCalisan[Çalışan Adı],0))*IF($B959="5 Puan İndirimi",BesPuanOrani,IF($B959="İlave İstihdam",IlaveIstihdamOrani,IF($B959="Kadın/Genç",KadinGencOrani,IF($B959="Engelli",EngelliOrani,GencGirisimciOrani)))))</f>
        <v/>
      </c>
      <c r="D959" s="22" t="str">
        <f aca="false">IF($C959="","",$C959*AySayisi)</f>
        <v/>
      </c>
      <c r="E959" s="23"/>
    </row>
    <row r="960" customFormat="false" ht="15" hidden="false" customHeight="false" outlineLevel="0" collapsed="false">
      <c r="A960" s="19"/>
      <c r="B960" s="23"/>
      <c r="C960" s="22" t="str">
        <f aca="false">IF(OR($A960="",$B960=""),"",INDEX(tblCalisan[Brüt Ücret (₺)],MATCH($A960,tblCalisan[Çalışan Adı],0))*IF($B960="5 Puan İndirimi",BesPuanOrani,IF($B960="İlave İstihdam",IlaveIstihdamOrani,IF($B960="Kadın/Genç",KadinGencOrani,IF($B960="Engelli",EngelliOrani,GencGirisimciOrani)))))</f>
        <v/>
      </c>
      <c r="D960" s="22" t="str">
        <f aca="false">IF($C960="","",$C960*AySayisi)</f>
        <v/>
      </c>
      <c r="E960" s="23"/>
    </row>
    <row r="961" customFormat="false" ht="15" hidden="false" customHeight="false" outlineLevel="0" collapsed="false">
      <c r="A961" s="19"/>
      <c r="B961" s="23"/>
      <c r="C961" s="22" t="str">
        <f aca="false">IF(OR($A961="",$B961=""),"",INDEX(tblCalisan[Brüt Ücret (₺)],MATCH($A961,tblCalisan[Çalışan Adı],0))*IF($B961="5 Puan İndirimi",BesPuanOrani,IF($B961="İlave İstihdam",IlaveIstihdamOrani,IF($B961="Kadın/Genç",KadinGencOrani,IF($B961="Engelli",EngelliOrani,GencGirisimciOrani)))))</f>
        <v/>
      </c>
      <c r="D961" s="22" t="str">
        <f aca="false">IF($C961="","",$C961*AySayisi)</f>
        <v/>
      </c>
      <c r="E961" s="23"/>
    </row>
    <row r="962" customFormat="false" ht="15" hidden="false" customHeight="false" outlineLevel="0" collapsed="false">
      <c r="A962" s="19"/>
      <c r="B962" s="23"/>
      <c r="C962" s="22" t="str">
        <f aca="false">IF(OR($A962="",$B962=""),"",INDEX(tblCalisan[Brüt Ücret (₺)],MATCH($A962,tblCalisan[Çalışan Adı],0))*IF($B962="5 Puan İndirimi",BesPuanOrani,IF($B962="İlave İstihdam",IlaveIstihdamOrani,IF($B962="Kadın/Genç",KadinGencOrani,IF($B962="Engelli",EngelliOrani,GencGirisimciOrani)))))</f>
        <v/>
      </c>
      <c r="D962" s="22" t="str">
        <f aca="false">IF($C962="","",$C962*AySayisi)</f>
        <v/>
      </c>
      <c r="E962" s="23"/>
    </row>
    <row r="963" customFormat="false" ht="15" hidden="false" customHeight="false" outlineLevel="0" collapsed="false">
      <c r="A963" s="19"/>
      <c r="B963" s="23"/>
      <c r="C963" s="22" t="str">
        <f aca="false">IF(OR($A963="",$B963=""),"",INDEX(tblCalisan[Brüt Ücret (₺)],MATCH($A963,tblCalisan[Çalışan Adı],0))*IF($B963="5 Puan İndirimi",BesPuanOrani,IF($B963="İlave İstihdam",IlaveIstihdamOrani,IF($B963="Kadın/Genç",KadinGencOrani,IF($B963="Engelli",EngelliOrani,GencGirisimciOrani)))))</f>
        <v/>
      </c>
      <c r="D963" s="22" t="str">
        <f aca="false">IF($C963="","",$C963*AySayisi)</f>
        <v/>
      </c>
      <c r="E963" s="23"/>
    </row>
    <row r="964" customFormat="false" ht="15" hidden="false" customHeight="false" outlineLevel="0" collapsed="false">
      <c r="A964" s="19"/>
      <c r="B964" s="23"/>
      <c r="C964" s="22" t="str">
        <f aca="false">IF(OR($A964="",$B964=""),"",INDEX(tblCalisan[Brüt Ücret (₺)],MATCH($A964,tblCalisan[Çalışan Adı],0))*IF($B964="5 Puan İndirimi",BesPuanOrani,IF($B964="İlave İstihdam",IlaveIstihdamOrani,IF($B964="Kadın/Genç",KadinGencOrani,IF($B964="Engelli",EngelliOrani,GencGirisimciOrani)))))</f>
        <v/>
      </c>
      <c r="D964" s="22" t="str">
        <f aca="false">IF($C964="","",$C964*AySayisi)</f>
        <v/>
      </c>
      <c r="E964" s="23"/>
    </row>
    <row r="965" customFormat="false" ht="15" hidden="false" customHeight="false" outlineLevel="0" collapsed="false">
      <c r="A965" s="19"/>
      <c r="B965" s="23"/>
      <c r="C965" s="22" t="str">
        <f aca="false">IF(OR($A965="",$B965=""),"",INDEX(tblCalisan[Brüt Ücret (₺)],MATCH($A965,tblCalisan[Çalışan Adı],0))*IF($B965="5 Puan İndirimi",BesPuanOrani,IF($B965="İlave İstihdam",IlaveIstihdamOrani,IF($B965="Kadın/Genç",KadinGencOrani,IF($B965="Engelli",EngelliOrani,GencGirisimciOrani)))))</f>
        <v/>
      </c>
      <c r="D965" s="22" t="str">
        <f aca="false">IF($C965="","",$C965*AySayisi)</f>
        <v/>
      </c>
      <c r="E965" s="23"/>
    </row>
    <row r="966" customFormat="false" ht="15" hidden="false" customHeight="false" outlineLevel="0" collapsed="false">
      <c r="A966" s="19"/>
      <c r="B966" s="23"/>
      <c r="C966" s="22" t="str">
        <f aca="false">IF(OR($A966="",$B966=""),"",INDEX(tblCalisan[Brüt Ücret (₺)],MATCH($A966,tblCalisan[Çalışan Adı],0))*IF($B966="5 Puan İndirimi",BesPuanOrani,IF($B966="İlave İstihdam",IlaveIstihdamOrani,IF($B966="Kadın/Genç",KadinGencOrani,IF($B966="Engelli",EngelliOrani,GencGirisimciOrani)))))</f>
        <v/>
      </c>
      <c r="D966" s="22" t="str">
        <f aca="false">IF($C966="","",$C966*AySayisi)</f>
        <v/>
      </c>
      <c r="E966" s="23"/>
    </row>
    <row r="967" customFormat="false" ht="15" hidden="false" customHeight="false" outlineLevel="0" collapsed="false">
      <c r="A967" s="19"/>
      <c r="B967" s="23"/>
      <c r="C967" s="22" t="str">
        <f aca="false">IF(OR($A967="",$B967=""),"",INDEX(tblCalisan[Brüt Ücret (₺)],MATCH($A967,tblCalisan[Çalışan Adı],0))*IF($B967="5 Puan İndirimi",BesPuanOrani,IF($B967="İlave İstihdam",IlaveIstihdamOrani,IF($B967="Kadın/Genç",KadinGencOrani,IF($B967="Engelli",EngelliOrani,GencGirisimciOrani)))))</f>
        <v/>
      </c>
      <c r="D967" s="22" t="str">
        <f aca="false">IF($C967="","",$C967*AySayisi)</f>
        <v/>
      </c>
      <c r="E967" s="23"/>
    </row>
    <row r="968" customFormat="false" ht="15" hidden="false" customHeight="false" outlineLevel="0" collapsed="false">
      <c r="A968" s="19"/>
      <c r="B968" s="23"/>
      <c r="C968" s="22" t="str">
        <f aca="false">IF(OR($A968="",$B968=""),"",INDEX(tblCalisan[Brüt Ücret (₺)],MATCH($A968,tblCalisan[Çalışan Adı],0))*IF($B968="5 Puan İndirimi",BesPuanOrani,IF($B968="İlave İstihdam",IlaveIstihdamOrani,IF($B968="Kadın/Genç",KadinGencOrani,IF($B968="Engelli",EngelliOrani,GencGirisimciOrani)))))</f>
        <v/>
      </c>
      <c r="D968" s="22" t="str">
        <f aca="false">IF($C968="","",$C968*AySayisi)</f>
        <v/>
      </c>
      <c r="E968" s="23"/>
    </row>
    <row r="969" customFormat="false" ht="15" hidden="false" customHeight="false" outlineLevel="0" collapsed="false">
      <c r="A969" s="19"/>
      <c r="B969" s="23"/>
      <c r="C969" s="22" t="str">
        <f aca="false">IF(OR($A969="",$B969=""),"",INDEX(tblCalisan[Brüt Ücret (₺)],MATCH($A969,tblCalisan[Çalışan Adı],0))*IF($B969="5 Puan İndirimi",BesPuanOrani,IF($B969="İlave İstihdam",IlaveIstihdamOrani,IF($B969="Kadın/Genç",KadinGencOrani,IF($B969="Engelli",EngelliOrani,GencGirisimciOrani)))))</f>
        <v/>
      </c>
      <c r="D969" s="22" t="str">
        <f aca="false">IF($C969="","",$C969*AySayisi)</f>
        <v/>
      </c>
      <c r="E969" s="23"/>
    </row>
    <row r="970" customFormat="false" ht="15" hidden="false" customHeight="false" outlineLevel="0" collapsed="false">
      <c r="A970" s="19"/>
      <c r="B970" s="23"/>
      <c r="C970" s="22" t="str">
        <f aca="false">IF(OR($A970="",$B970=""),"",INDEX(tblCalisan[Brüt Ücret (₺)],MATCH($A970,tblCalisan[Çalışan Adı],0))*IF($B970="5 Puan İndirimi",BesPuanOrani,IF($B970="İlave İstihdam",IlaveIstihdamOrani,IF($B970="Kadın/Genç",KadinGencOrani,IF($B970="Engelli",EngelliOrani,GencGirisimciOrani)))))</f>
        <v/>
      </c>
      <c r="D970" s="22" t="str">
        <f aca="false">IF($C970="","",$C970*AySayisi)</f>
        <v/>
      </c>
      <c r="E970" s="23"/>
    </row>
    <row r="971" customFormat="false" ht="15" hidden="false" customHeight="false" outlineLevel="0" collapsed="false">
      <c r="A971" s="19"/>
      <c r="B971" s="23"/>
      <c r="C971" s="22" t="str">
        <f aca="false">IF(OR($A971="",$B971=""),"",INDEX(tblCalisan[Brüt Ücret (₺)],MATCH($A971,tblCalisan[Çalışan Adı],0))*IF($B971="5 Puan İndirimi",BesPuanOrani,IF($B971="İlave İstihdam",IlaveIstihdamOrani,IF($B971="Kadın/Genç",KadinGencOrani,IF($B971="Engelli",EngelliOrani,GencGirisimciOrani)))))</f>
        <v/>
      </c>
      <c r="D971" s="22" t="str">
        <f aca="false">IF($C971="","",$C971*AySayisi)</f>
        <v/>
      </c>
      <c r="E971" s="23"/>
    </row>
    <row r="972" customFormat="false" ht="15" hidden="false" customHeight="false" outlineLevel="0" collapsed="false">
      <c r="A972" s="19"/>
      <c r="B972" s="23"/>
      <c r="C972" s="22" t="str">
        <f aca="false">IF(OR($A972="",$B972=""),"",INDEX(tblCalisan[Brüt Ücret (₺)],MATCH($A972,tblCalisan[Çalışan Adı],0))*IF($B972="5 Puan İndirimi",BesPuanOrani,IF($B972="İlave İstihdam",IlaveIstihdamOrani,IF($B972="Kadın/Genç",KadinGencOrani,IF($B972="Engelli",EngelliOrani,GencGirisimciOrani)))))</f>
        <v/>
      </c>
      <c r="D972" s="22" t="str">
        <f aca="false">IF($C972="","",$C972*AySayisi)</f>
        <v/>
      </c>
      <c r="E972" s="23"/>
    </row>
    <row r="973" customFormat="false" ht="15" hidden="false" customHeight="false" outlineLevel="0" collapsed="false">
      <c r="A973" s="19"/>
      <c r="B973" s="23"/>
      <c r="C973" s="22" t="str">
        <f aca="false">IF(OR($A973="",$B973=""),"",INDEX(tblCalisan[Brüt Ücret (₺)],MATCH($A973,tblCalisan[Çalışan Adı],0))*IF($B973="5 Puan İndirimi",BesPuanOrani,IF($B973="İlave İstihdam",IlaveIstihdamOrani,IF($B973="Kadın/Genç",KadinGencOrani,IF($B973="Engelli",EngelliOrani,GencGirisimciOrani)))))</f>
        <v/>
      </c>
      <c r="D973" s="22" t="str">
        <f aca="false">IF($C973="","",$C973*AySayisi)</f>
        <v/>
      </c>
      <c r="E973" s="23"/>
    </row>
    <row r="974" customFormat="false" ht="15" hidden="false" customHeight="false" outlineLevel="0" collapsed="false">
      <c r="A974" s="19"/>
      <c r="B974" s="23"/>
      <c r="C974" s="22" t="str">
        <f aca="false">IF(OR($A974="",$B974=""),"",INDEX(tblCalisan[Brüt Ücret (₺)],MATCH($A974,tblCalisan[Çalışan Adı],0))*IF($B974="5 Puan İndirimi",BesPuanOrani,IF($B974="İlave İstihdam",IlaveIstihdamOrani,IF($B974="Kadın/Genç",KadinGencOrani,IF($B974="Engelli",EngelliOrani,GencGirisimciOrani)))))</f>
        <v/>
      </c>
      <c r="D974" s="22" t="str">
        <f aca="false">IF($C974="","",$C974*AySayisi)</f>
        <v/>
      </c>
      <c r="E974" s="23"/>
    </row>
    <row r="975" customFormat="false" ht="15" hidden="false" customHeight="false" outlineLevel="0" collapsed="false">
      <c r="A975" s="19"/>
      <c r="B975" s="23"/>
      <c r="C975" s="22" t="str">
        <f aca="false">IF(OR($A975="",$B975=""),"",INDEX(tblCalisan[Brüt Ücret (₺)],MATCH($A975,tblCalisan[Çalışan Adı],0))*IF($B975="5 Puan İndirimi",BesPuanOrani,IF($B975="İlave İstihdam",IlaveIstihdamOrani,IF($B975="Kadın/Genç",KadinGencOrani,IF($B975="Engelli",EngelliOrani,GencGirisimciOrani)))))</f>
        <v/>
      </c>
      <c r="D975" s="22" t="str">
        <f aca="false">IF($C975="","",$C975*AySayisi)</f>
        <v/>
      </c>
      <c r="E975" s="23"/>
    </row>
    <row r="976" customFormat="false" ht="15" hidden="false" customHeight="false" outlineLevel="0" collapsed="false">
      <c r="A976" s="19"/>
      <c r="B976" s="23"/>
      <c r="C976" s="22" t="str">
        <f aca="false">IF(OR($A976="",$B976=""),"",INDEX(tblCalisan[Brüt Ücret (₺)],MATCH($A976,tblCalisan[Çalışan Adı],0))*IF($B976="5 Puan İndirimi",BesPuanOrani,IF($B976="İlave İstihdam",IlaveIstihdamOrani,IF($B976="Kadın/Genç",KadinGencOrani,IF($B976="Engelli",EngelliOrani,GencGirisimciOrani)))))</f>
        <v/>
      </c>
      <c r="D976" s="22" t="str">
        <f aca="false">IF($C976="","",$C976*AySayisi)</f>
        <v/>
      </c>
      <c r="E976" s="23"/>
    </row>
    <row r="977" customFormat="false" ht="15" hidden="false" customHeight="false" outlineLevel="0" collapsed="false">
      <c r="A977" s="19"/>
      <c r="B977" s="23"/>
      <c r="C977" s="22" t="str">
        <f aca="false">IF(OR($A977="",$B977=""),"",INDEX(tblCalisan[Brüt Ücret (₺)],MATCH($A977,tblCalisan[Çalışan Adı],0))*IF($B977="5 Puan İndirimi",BesPuanOrani,IF($B977="İlave İstihdam",IlaveIstihdamOrani,IF($B977="Kadın/Genç",KadinGencOrani,IF($B977="Engelli",EngelliOrani,GencGirisimciOrani)))))</f>
        <v/>
      </c>
      <c r="D977" s="22" t="str">
        <f aca="false">IF($C977="","",$C977*AySayisi)</f>
        <v/>
      </c>
      <c r="E977" s="23"/>
    </row>
    <row r="978" customFormat="false" ht="15" hidden="false" customHeight="false" outlineLevel="0" collapsed="false">
      <c r="A978" s="19"/>
      <c r="B978" s="23"/>
      <c r="C978" s="22" t="str">
        <f aca="false">IF(OR($A978="",$B978=""),"",INDEX(tblCalisan[Brüt Ücret (₺)],MATCH($A978,tblCalisan[Çalışan Adı],0))*IF($B978="5 Puan İndirimi",BesPuanOrani,IF($B978="İlave İstihdam",IlaveIstihdamOrani,IF($B978="Kadın/Genç",KadinGencOrani,IF($B978="Engelli",EngelliOrani,GencGirisimciOrani)))))</f>
        <v/>
      </c>
      <c r="D978" s="22" t="str">
        <f aca="false">IF($C978="","",$C978*AySayisi)</f>
        <v/>
      </c>
      <c r="E978" s="23"/>
    </row>
    <row r="979" customFormat="false" ht="15" hidden="false" customHeight="false" outlineLevel="0" collapsed="false">
      <c r="A979" s="19"/>
      <c r="B979" s="23"/>
      <c r="C979" s="22" t="str">
        <f aca="false">IF(OR($A979="",$B979=""),"",INDEX(tblCalisan[Brüt Ücret (₺)],MATCH($A979,tblCalisan[Çalışan Adı],0))*IF($B979="5 Puan İndirimi",BesPuanOrani,IF($B979="İlave İstihdam",IlaveIstihdamOrani,IF($B979="Kadın/Genç",KadinGencOrani,IF($B979="Engelli",EngelliOrani,GencGirisimciOrani)))))</f>
        <v/>
      </c>
      <c r="D979" s="22" t="str">
        <f aca="false">IF($C979="","",$C979*AySayisi)</f>
        <v/>
      </c>
      <c r="E979" s="23"/>
    </row>
    <row r="980" customFormat="false" ht="15" hidden="false" customHeight="false" outlineLevel="0" collapsed="false">
      <c r="A980" s="19"/>
      <c r="B980" s="23"/>
      <c r="C980" s="22" t="str">
        <f aca="false">IF(OR($A980="",$B980=""),"",INDEX(tblCalisan[Brüt Ücret (₺)],MATCH($A980,tblCalisan[Çalışan Adı],0))*IF($B980="5 Puan İndirimi",BesPuanOrani,IF($B980="İlave İstihdam",IlaveIstihdamOrani,IF($B980="Kadın/Genç",KadinGencOrani,IF($B980="Engelli",EngelliOrani,GencGirisimciOrani)))))</f>
        <v/>
      </c>
      <c r="D980" s="22" t="str">
        <f aca="false">IF($C980="","",$C980*AySayisi)</f>
        <v/>
      </c>
      <c r="E980" s="23"/>
    </row>
    <row r="981" customFormat="false" ht="15" hidden="false" customHeight="false" outlineLevel="0" collapsed="false">
      <c r="A981" s="19"/>
      <c r="B981" s="23"/>
      <c r="C981" s="22" t="str">
        <f aca="false">IF(OR($A981="",$B981=""),"",INDEX(tblCalisan[Brüt Ücret (₺)],MATCH($A981,tblCalisan[Çalışan Adı],0))*IF($B981="5 Puan İndirimi",BesPuanOrani,IF($B981="İlave İstihdam",IlaveIstihdamOrani,IF($B981="Kadın/Genç",KadinGencOrani,IF($B981="Engelli",EngelliOrani,GencGirisimciOrani)))))</f>
        <v/>
      </c>
      <c r="D981" s="22" t="str">
        <f aca="false">IF($C981="","",$C981*AySayisi)</f>
        <v/>
      </c>
      <c r="E981" s="23"/>
    </row>
    <row r="982" customFormat="false" ht="15" hidden="false" customHeight="false" outlineLevel="0" collapsed="false">
      <c r="A982" s="19"/>
      <c r="B982" s="23"/>
      <c r="C982" s="22" t="str">
        <f aca="false">IF(OR($A982="",$B982=""),"",INDEX(tblCalisan[Brüt Ücret (₺)],MATCH($A982,tblCalisan[Çalışan Adı],0))*IF($B982="5 Puan İndirimi",BesPuanOrani,IF($B982="İlave İstihdam",IlaveIstihdamOrani,IF($B982="Kadın/Genç",KadinGencOrani,IF($B982="Engelli",EngelliOrani,GencGirisimciOrani)))))</f>
        <v/>
      </c>
      <c r="D982" s="22" t="str">
        <f aca="false">IF($C982="","",$C982*AySayisi)</f>
        <v/>
      </c>
      <c r="E982" s="23"/>
    </row>
    <row r="983" customFormat="false" ht="15" hidden="false" customHeight="false" outlineLevel="0" collapsed="false">
      <c r="A983" s="19"/>
      <c r="B983" s="23"/>
      <c r="C983" s="22" t="str">
        <f aca="false">IF(OR($A983="",$B983=""),"",INDEX(tblCalisan[Brüt Ücret (₺)],MATCH($A983,tblCalisan[Çalışan Adı],0))*IF($B983="5 Puan İndirimi",BesPuanOrani,IF($B983="İlave İstihdam",IlaveIstihdamOrani,IF($B983="Kadın/Genç",KadinGencOrani,IF($B983="Engelli",EngelliOrani,GencGirisimciOrani)))))</f>
        <v/>
      </c>
      <c r="D983" s="22" t="str">
        <f aca="false">IF($C983="","",$C983*AySayisi)</f>
        <v/>
      </c>
      <c r="E983" s="23"/>
    </row>
    <row r="984" customFormat="false" ht="15" hidden="false" customHeight="false" outlineLevel="0" collapsed="false">
      <c r="A984" s="19"/>
      <c r="B984" s="23"/>
      <c r="C984" s="22" t="str">
        <f aca="false">IF(OR($A984="",$B984=""),"",INDEX(tblCalisan[Brüt Ücret (₺)],MATCH($A984,tblCalisan[Çalışan Adı],0))*IF($B984="5 Puan İndirimi",BesPuanOrani,IF($B984="İlave İstihdam",IlaveIstihdamOrani,IF($B984="Kadın/Genç",KadinGencOrani,IF($B984="Engelli",EngelliOrani,GencGirisimciOrani)))))</f>
        <v/>
      </c>
      <c r="D984" s="22" t="str">
        <f aca="false">IF($C984="","",$C984*AySayisi)</f>
        <v/>
      </c>
      <c r="E984" s="23"/>
    </row>
    <row r="985" customFormat="false" ht="15" hidden="false" customHeight="false" outlineLevel="0" collapsed="false">
      <c r="A985" s="19"/>
      <c r="B985" s="23"/>
      <c r="C985" s="22" t="str">
        <f aca="false">IF(OR($A985="",$B985=""),"",INDEX(tblCalisan[Brüt Ücret (₺)],MATCH($A985,tblCalisan[Çalışan Adı],0))*IF($B985="5 Puan İndirimi",BesPuanOrani,IF($B985="İlave İstihdam",IlaveIstihdamOrani,IF($B985="Kadın/Genç",KadinGencOrani,IF($B985="Engelli",EngelliOrani,GencGirisimciOrani)))))</f>
        <v/>
      </c>
      <c r="D985" s="22" t="str">
        <f aca="false">IF($C985="","",$C985*AySayisi)</f>
        <v/>
      </c>
      <c r="E985" s="23"/>
    </row>
    <row r="986" customFormat="false" ht="15" hidden="false" customHeight="false" outlineLevel="0" collapsed="false">
      <c r="A986" s="19"/>
      <c r="B986" s="23"/>
      <c r="C986" s="22" t="str">
        <f aca="false">IF(OR($A986="",$B986=""),"",INDEX(tblCalisan[Brüt Ücret (₺)],MATCH($A986,tblCalisan[Çalışan Adı],0))*IF($B986="5 Puan İndirimi",BesPuanOrani,IF($B986="İlave İstihdam",IlaveIstihdamOrani,IF($B986="Kadın/Genç",KadinGencOrani,IF($B986="Engelli",EngelliOrani,GencGirisimciOrani)))))</f>
        <v/>
      </c>
      <c r="D986" s="22" t="str">
        <f aca="false">IF($C986="","",$C986*AySayisi)</f>
        <v/>
      </c>
      <c r="E986" s="23"/>
    </row>
    <row r="987" customFormat="false" ht="15" hidden="false" customHeight="false" outlineLevel="0" collapsed="false">
      <c r="A987" s="19"/>
      <c r="B987" s="23"/>
      <c r="C987" s="22" t="str">
        <f aca="false">IF(OR($A987="",$B987=""),"",INDEX(tblCalisan[Brüt Ücret (₺)],MATCH($A987,tblCalisan[Çalışan Adı],0))*IF($B987="5 Puan İndirimi",BesPuanOrani,IF($B987="İlave İstihdam",IlaveIstihdamOrani,IF($B987="Kadın/Genç",KadinGencOrani,IF($B987="Engelli",EngelliOrani,GencGirisimciOrani)))))</f>
        <v/>
      </c>
      <c r="D987" s="22" t="str">
        <f aca="false">IF($C987="","",$C987*AySayisi)</f>
        <v/>
      </c>
      <c r="E987" s="23"/>
    </row>
    <row r="988" customFormat="false" ht="15" hidden="false" customHeight="false" outlineLevel="0" collapsed="false">
      <c r="A988" s="19"/>
      <c r="B988" s="23"/>
      <c r="C988" s="22" t="str">
        <f aca="false">IF(OR($A988="",$B988=""),"",INDEX(tblCalisan[Brüt Ücret (₺)],MATCH($A988,tblCalisan[Çalışan Adı],0))*IF($B988="5 Puan İndirimi",BesPuanOrani,IF($B988="İlave İstihdam",IlaveIstihdamOrani,IF($B988="Kadın/Genç",KadinGencOrani,IF($B988="Engelli",EngelliOrani,GencGirisimciOrani)))))</f>
        <v/>
      </c>
      <c r="D988" s="22" t="str">
        <f aca="false">IF($C988="","",$C988*AySayisi)</f>
        <v/>
      </c>
      <c r="E988" s="23"/>
    </row>
    <row r="989" customFormat="false" ht="15" hidden="false" customHeight="false" outlineLevel="0" collapsed="false">
      <c r="A989" s="19"/>
      <c r="B989" s="23"/>
      <c r="C989" s="22" t="str">
        <f aca="false">IF(OR($A989="",$B989=""),"",INDEX(tblCalisan[Brüt Ücret (₺)],MATCH($A989,tblCalisan[Çalışan Adı],0))*IF($B989="5 Puan İndirimi",BesPuanOrani,IF($B989="İlave İstihdam",IlaveIstihdamOrani,IF($B989="Kadın/Genç",KadinGencOrani,IF($B989="Engelli",EngelliOrani,GencGirisimciOrani)))))</f>
        <v/>
      </c>
      <c r="D989" s="22" t="str">
        <f aca="false">IF($C989="","",$C989*AySayisi)</f>
        <v/>
      </c>
      <c r="E989" s="23"/>
    </row>
    <row r="990" customFormat="false" ht="15" hidden="false" customHeight="false" outlineLevel="0" collapsed="false">
      <c r="A990" s="19"/>
      <c r="B990" s="23"/>
      <c r="C990" s="22" t="str">
        <f aca="false">IF(OR($A990="",$B990=""),"",INDEX(tblCalisan[Brüt Ücret (₺)],MATCH($A990,tblCalisan[Çalışan Adı],0))*IF($B990="5 Puan İndirimi",BesPuanOrani,IF($B990="İlave İstihdam",IlaveIstihdamOrani,IF($B990="Kadın/Genç",KadinGencOrani,IF($B990="Engelli",EngelliOrani,GencGirisimciOrani)))))</f>
        <v/>
      </c>
      <c r="D990" s="22" t="str">
        <f aca="false">IF($C990="","",$C990*AySayisi)</f>
        <v/>
      </c>
      <c r="E990" s="23"/>
    </row>
    <row r="991" customFormat="false" ht="15" hidden="false" customHeight="false" outlineLevel="0" collapsed="false">
      <c r="A991" s="19"/>
      <c r="B991" s="23"/>
      <c r="C991" s="22" t="str">
        <f aca="false">IF(OR($A991="",$B991=""),"",INDEX(tblCalisan[Brüt Ücret (₺)],MATCH($A991,tblCalisan[Çalışan Adı],0))*IF($B991="5 Puan İndirimi",BesPuanOrani,IF($B991="İlave İstihdam",IlaveIstihdamOrani,IF($B991="Kadın/Genç",KadinGencOrani,IF($B991="Engelli",EngelliOrani,GencGirisimciOrani)))))</f>
        <v/>
      </c>
      <c r="D991" s="22" t="str">
        <f aca="false">IF($C991="","",$C991*AySayisi)</f>
        <v/>
      </c>
      <c r="E991" s="23"/>
    </row>
    <row r="992" customFormat="false" ht="15" hidden="false" customHeight="false" outlineLevel="0" collapsed="false">
      <c r="A992" s="19"/>
      <c r="B992" s="23"/>
      <c r="C992" s="22" t="str">
        <f aca="false">IF(OR($A992="",$B992=""),"",INDEX(tblCalisan[Brüt Ücret (₺)],MATCH($A992,tblCalisan[Çalışan Adı],0))*IF($B992="5 Puan İndirimi",BesPuanOrani,IF($B992="İlave İstihdam",IlaveIstihdamOrani,IF($B992="Kadın/Genç",KadinGencOrani,IF($B992="Engelli",EngelliOrani,GencGirisimciOrani)))))</f>
        <v/>
      </c>
      <c r="D992" s="22" t="str">
        <f aca="false">IF($C992="","",$C992*AySayisi)</f>
        <v/>
      </c>
      <c r="E992" s="23"/>
    </row>
    <row r="993" customFormat="false" ht="15" hidden="false" customHeight="false" outlineLevel="0" collapsed="false">
      <c r="A993" s="19"/>
      <c r="B993" s="23"/>
      <c r="C993" s="22" t="str">
        <f aca="false">IF(OR($A993="",$B993=""),"",INDEX(tblCalisan[Brüt Ücret (₺)],MATCH($A993,tblCalisan[Çalışan Adı],0))*IF($B993="5 Puan İndirimi",BesPuanOrani,IF($B993="İlave İstihdam",IlaveIstihdamOrani,IF($B993="Kadın/Genç",KadinGencOrani,IF($B993="Engelli",EngelliOrani,GencGirisimciOrani)))))</f>
        <v/>
      </c>
      <c r="D993" s="22" t="str">
        <f aca="false">IF($C993="","",$C993*AySayisi)</f>
        <v/>
      </c>
      <c r="E993" s="23"/>
    </row>
    <row r="994" customFormat="false" ht="15" hidden="false" customHeight="false" outlineLevel="0" collapsed="false">
      <c r="A994" s="19"/>
      <c r="B994" s="23"/>
      <c r="C994" s="22" t="str">
        <f aca="false">IF(OR($A994="",$B994=""),"",INDEX(tblCalisan[Brüt Ücret (₺)],MATCH($A994,tblCalisan[Çalışan Adı],0))*IF($B994="5 Puan İndirimi",BesPuanOrani,IF($B994="İlave İstihdam",IlaveIstihdamOrani,IF($B994="Kadın/Genç",KadinGencOrani,IF($B994="Engelli",EngelliOrani,GencGirisimciOrani)))))</f>
        <v/>
      </c>
      <c r="D994" s="22" t="str">
        <f aca="false">IF($C994="","",$C994*AySayisi)</f>
        <v/>
      </c>
      <c r="E994" s="23"/>
    </row>
    <row r="995" customFormat="false" ht="15" hidden="false" customHeight="false" outlineLevel="0" collapsed="false">
      <c r="A995" s="19"/>
      <c r="B995" s="23"/>
      <c r="C995" s="22" t="str">
        <f aca="false">IF(OR($A995="",$B995=""),"",INDEX(tblCalisan[Brüt Ücret (₺)],MATCH($A995,tblCalisan[Çalışan Adı],0))*IF($B995="5 Puan İndirimi",BesPuanOrani,IF($B995="İlave İstihdam",IlaveIstihdamOrani,IF($B995="Kadın/Genç",KadinGencOrani,IF($B995="Engelli",EngelliOrani,GencGirisimciOrani)))))</f>
        <v/>
      </c>
      <c r="D995" s="22" t="str">
        <f aca="false">IF($C995="","",$C995*AySayisi)</f>
        <v/>
      </c>
      <c r="E995" s="23"/>
    </row>
    <row r="996" customFormat="false" ht="15" hidden="false" customHeight="false" outlineLevel="0" collapsed="false">
      <c r="A996" s="19"/>
      <c r="B996" s="23"/>
      <c r="C996" s="22" t="str">
        <f aca="false">IF(OR($A996="",$B996=""),"",INDEX(tblCalisan[Brüt Ücret (₺)],MATCH($A996,tblCalisan[Çalışan Adı],0))*IF($B996="5 Puan İndirimi",BesPuanOrani,IF($B996="İlave İstihdam",IlaveIstihdamOrani,IF($B996="Kadın/Genç",KadinGencOrani,IF($B996="Engelli",EngelliOrani,GencGirisimciOrani)))))</f>
        <v/>
      </c>
      <c r="D996" s="22" t="str">
        <f aca="false">IF($C996="","",$C996*AySayisi)</f>
        <v/>
      </c>
      <c r="E996" s="23"/>
    </row>
    <row r="997" customFormat="false" ht="15" hidden="false" customHeight="false" outlineLevel="0" collapsed="false">
      <c r="A997" s="19"/>
      <c r="B997" s="23"/>
      <c r="C997" s="22" t="str">
        <f aca="false">IF(OR($A997="",$B997=""),"",INDEX(tblCalisan[Brüt Ücret (₺)],MATCH($A997,tblCalisan[Çalışan Adı],0))*IF($B997="5 Puan İndirimi",BesPuanOrani,IF($B997="İlave İstihdam",IlaveIstihdamOrani,IF($B997="Kadın/Genç",KadinGencOrani,IF($B997="Engelli",EngelliOrani,GencGirisimciOrani)))))</f>
        <v/>
      </c>
      <c r="D997" s="22" t="str">
        <f aca="false">IF($C997="","",$C997*AySayisi)</f>
        <v/>
      </c>
      <c r="E997" s="23"/>
    </row>
    <row r="998" customFormat="false" ht="15" hidden="false" customHeight="false" outlineLevel="0" collapsed="false">
      <c r="A998" s="19"/>
      <c r="B998" s="23"/>
      <c r="C998" s="22" t="str">
        <f aca="false">IF(OR($A998="",$B998=""),"",INDEX(tblCalisan[Brüt Ücret (₺)],MATCH($A998,tblCalisan[Çalışan Adı],0))*IF($B998="5 Puan İndirimi",BesPuanOrani,IF($B998="İlave İstihdam",IlaveIstihdamOrani,IF($B998="Kadın/Genç",KadinGencOrani,IF($B998="Engelli",EngelliOrani,GencGirisimciOrani)))))</f>
        <v/>
      </c>
      <c r="D998" s="22" t="str">
        <f aca="false">IF($C998="","",$C998*AySayisi)</f>
        <v/>
      </c>
      <c r="E998" s="23"/>
    </row>
    <row r="999" customFormat="false" ht="15" hidden="false" customHeight="false" outlineLevel="0" collapsed="false">
      <c r="A999" s="19"/>
      <c r="B999" s="23"/>
      <c r="C999" s="22" t="str">
        <f aca="false">IF(OR($A999="",$B999=""),"",INDEX(tblCalisan[Brüt Ücret (₺)],MATCH($A999,tblCalisan[Çalışan Adı],0))*IF($B999="5 Puan İndirimi",BesPuanOrani,IF($B999="İlave İstihdam",IlaveIstihdamOrani,IF($B999="Kadın/Genç",KadinGencOrani,IF($B999="Engelli",EngelliOrani,GencGirisimciOrani)))))</f>
        <v/>
      </c>
      <c r="D999" s="22" t="str">
        <f aca="false">IF($C999="","",$C999*AySayisi)</f>
        <v/>
      </c>
      <c r="E999" s="23"/>
    </row>
    <row r="1000" customFormat="false" ht="15" hidden="false" customHeight="false" outlineLevel="0" collapsed="false">
      <c r="A1000" s="19"/>
      <c r="B1000" s="23"/>
      <c r="C1000" s="22" t="str">
        <f aca="false">IF(OR($A1000="",$B1000=""),"",INDEX(tblCalisan[Brüt Ücret (₺)],MATCH($A1000,tblCalisan[Çalışan Adı],0))*IF($B1000="5 Puan İndirimi",BesPuanOrani,IF($B1000="İlave İstihdam",IlaveIstihdamOrani,IF($B1000="Kadın/Genç",KadinGencOrani,IF($B1000="Engelli",EngelliOrani,GencGirisimciOrani)))))</f>
        <v/>
      </c>
      <c r="D1000" s="22" t="str">
        <f aca="false">IF($C1000="","",$C1000*AySayisi)</f>
        <v/>
      </c>
      <c r="E1000" s="23"/>
    </row>
    <row r="1001" customFormat="false" ht="15" hidden="false" customHeight="false" outlineLevel="0" collapsed="false">
      <c r="A1001" s="19"/>
      <c r="B1001" s="23"/>
      <c r="C1001" s="22" t="str">
        <f aca="false">IF(OR($A1001="",$B1001=""),"",INDEX(tblCalisan[Brüt Ücret (₺)],MATCH($A1001,tblCalisan[Çalışan Adı],0))*IF($B1001="5 Puan İndirimi",BesPuanOrani,IF($B1001="İlave İstihdam",IlaveIstihdamOrani,IF($B1001="Kadın/Genç",KadinGencOrani,IF($B1001="Engelli",EngelliOrani,GencGirisimciOrani)))))</f>
        <v/>
      </c>
      <c r="D1001" s="22" t="str">
        <f aca="false">IF($C1001="","",$C1001*AySayisi)</f>
        <v/>
      </c>
      <c r="E1001" s="23"/>
    </row>
    <row r="1002" customFormat="false" ht="15" hidden="false" customHeight="false" outlineLevel="0" collapsed="false">
      <c r="A1002" s="19"/>
      <c r="B1002" s="23"/>
      <c r="C1002" s="22" t="str">
        <f aca="false">IF(OR($A1002="",$B1002=""),"",INDEX(tblCalisan[Brüt Ücret (₺)],MATCH($A1002,tblCalisan[Çalışan Adı],0))*IF($B1002="5 Puan İndirimi",BesPuanOrani,IF($B1002="İlave İstihdam",IlaveIstihdamOrani,IF($B1002="Kadın/Genç",KadinGencOrani,IF($B1002="Engelli",EngelliOrani,GencGirisimciOrani)))))</f>
        <v/>
      </c>
      <c r="D1002" s="22" t="str">
        <f aca="false">IF($C1002="","",$C1002*AySayisi)</f>
        <v/>
      </c>
      <c r="E1002" s="23"/>
    </row>
    <row r="1003" customFormat="false" ht="19.5" hidden="false" customHeight="true" outlineLevel="0" collapsed="false">
      <c r="A1003" s="24" t="s">
        <v>83</v>
      </c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</row>
    <row r="1004" customFormat="false" ht="15" hidden="false" customHeight="false" outlineLevel="0" collapsed="false">
      <c r="A1004" s="19"/>
      <c r="B1004" s="23"/>
      <c r="C1004" s="22" t="str">
        <f aca="false">IF(OR($A1004="",$B1004=""),"",INDEX(tblCalisan[Brüt Ücret (₺)],MATCH($A1004,tblCalisan[Çalışan Adı],0))*IF($B1004="5 Puan İndirimi",BesPuanOrani,IF($B1004="İlave İstihdam",IlaveIstihdamOrani,IF($B1004="Kadın/Genç",KadinGencOrani,IF($B1004="Engelli",EngelliOrani,GencGirisimciOrani)))))</f>
        <v/>
      </c>
      <c r="D1004" s="22" t="str">
        <f aca="false">IF($C1004="","",$C1004*AySayisi)</f>
        <v/>
      </c>
      <c r="E1004" s="23"/>
    </row>
    <row r="1005" customFormat="false" ht="15" hidden="false" customHeight="false" outlineLevel="0" collapsed="false">
      <c r="A1005" s="19"/>
      <c r="B1005" s="23"/>
      <c r="C1005" s="22" t="str">
        <f aca="false">IF(OR($A1005="",$B1005=""),"",INDEX(tblCalisan[Brüt Ücret (₺)],MATCH($A1005,tblCalisan[Çalışan Adı],0))*IF($B1005="5 Puan İndirimi",BesPuanOrani,IF($B1005="İlave İstihdam",IlaveIstihdamOrani,IF($B1005="Kadın/Genç",KadinGencOrani,IF($B1005="Engelli",EngelliOrani,GencGirisimciOrani)))))</f>
        <v/>
      </c>
      <c r="D1005" s="22" t="str">
        <f aca="false">IF($C1005="","",$C1005*AySayisi)</f>
        <v/>
      </c>
      <c r="E1005" s="23"/>
    </row>
    <row r="1006" customFormat="false" ht="15" hidden="false" customHeight="false" outlineLevel="0" collapsed="false">
      <c r="A1006" s="19"/>
      <c r="B1006" s="23"/>
      <c r="C1006" s="22" t="str">
        <f aca="false">IF(OR($A1006="",$B1006=""),"",INDEX(tblCalisan[Brüt Ücret (₺)],MATCH($A1006,tblCalisan[Çalışan Adı],0))*IF($B1006="5 Puan İndirimi",BesPuanOrani,IF($B1006="İlave İstihdam",IlaveIstihdamOrani,IF($B1006="Kadın/Genç",KadinGencOrani,IF($B1006="Engelli",EngelliOrani,GencGirisimciOrani)))))</f>
        <v/>
      </c>
      <c r="D1006" s="22" t="str">
        <f aca="false">IF($C1006="","",$C1006*AySayisi)</f>
        <v/>
      </c>
      <c r="E1006" s="23"/>
    </row>
  </sheetData>
  <sheetProtection sheet="true" password="cc3d" objects="true" scenarios="true" deleteColumns="false" deleteRows="false"/>
  <mergeCells count="3">
    <mergeCell ref="A1:AD1"/>
    <mergeCell ref="A4:E4"/>
    <mergeCell ref="A1003:AN1003"/>
  </mergeCells>
  <conditionalFormatting sqref="D7">
    <cfRule type="cellIs" priority="2" operator="greaterThan" aboveAverage="0" equalAverage="0" bottom="0" percent="0" rank="0" text="" dxfId="8">
      <formula>0</formula>
    </cfRule>
  </conditionalFormatting>
  <conditionalFormatting sqref="E7">
    <cfRule type="cellIs" priority="3" operator="equal" aboveAverage="0" equalAverage="0" bottom="0" percent="0" rank="0" text="" dxfId="10">
      <formula>"Evet"</formula>
    </cfRule>
  </conditionalFormatting>
  <conditionalFormatting sqref="D8">
    <cfRule type="cellIs" priority="4" operator="greaterThan" aboveAverage="0" equalAverage="0" bottom="0" percent="0" rank="0" text="" dxfId="8">
      <formula>0</formula>
    </cfRule>
  </conditionalFormatting>
  <conditionalFormatting sqref="E8">
    <cfRule type="cellIs" priority="5" operator="equal" aboveAverage="0" equalAverage="0" bottom="0" percent="0" rank="0" text="" dxfId="10">
      <formula>"Evet"</formula>
    </cfRule>
  </conditionalFormatting>
  <conditionalFormatting sqref="D9">
    <cfRule type="cellIs" priority="6" operator="greaterThan" aboveAverage="0" equalAverage="0" bottom="0" percent="0" rank="0" text="" dxfId="8">
      <formula>0</formula>
    </cfRule>
  </conditionalFormatting>
  <conditionalFormatting sqref="E9">
    <cfRule type="cellIs" priority="7" operator="equal" aboveAverage="0" equalAverage="0" bottom="0" percent="0" rank="0" text="" dxfId="10">
      <formula>"Evet"</formula>
    </cfRule>
  </conditionalFormatting>
  <conditionalFormatting sqref="D10">
    <cfRule type="cellIs" priority="8" operator="greaterThan" aboveAverage="0" equalAverage="0" bottom="0" percent="0" rank="0" text="" dxfId="8">
      <formula>0</formula>
    </cfRule>
  </conditionalFormatting>
  <conditionalFormatting sqref="E10">
    <cfRule type="cellIs" priority="9" operator="equal" aboveAverage="0" equalAverage="0" bottom="0" percent="0" rank="0" text="" dxfId="10">
      <formula>"Evet"</formula>
    </cfRule>
  </conditionalFormatting>
  <conditionalFormatting sqref="D11">
    <cfRule type="cellIs" priority="10" operator="greaterThan" aboveAverage="0" equalAverage="0" bottom="0" percent="0" rank="0" text="" dxfId="8">
      <formula>0</formula>
    </cfRule>
  </conditionalFormatting>
  <conditionalFormatting sqref="E11">
    <cfRule type="cellIs" priority="11" operator="equal" aboveAverage="0" equalAverage="0" bottom="0" percent="0" rank="0" text="" dxfId="10">
      <formula>"Evet"</formula>
    </cfRule>
  </conditionalFormatting>
  <conditionalFormatting sqref="D12">
    <cfRule type="cellIs" priority="12" operator="greaterThan" aboveAverage="0" equalAverage="0" bottom="0" percent="0" rank="0" text="" dxfId="8">
      <formula>0</formula>
    </cfRule>
  </conditionalFormatting>
  <conditionalFormatting sqref="E12">
    <cfRule type="cellIs" priority="13" operator="equal" aboveAverage="0" equalAverage="0" bottom="0" percent="0" rank="0" text="" dxfId="10">
      <formula>"Evet"</formula>
    </cfRule>
  </conditionalFormatting>
  <conditionalFormatting sqref="D13">
    <cfRule type="cellIs" priority="14" operator="greaterThan" aboveAverage="0" equalAverage="0" bottom="0" percent="0" rank="0" text="" dxfId="8">
      <formula>0</formula>
    </cfRule>
  </conditionalFormatting>
  <conditionalFormatting sqref="E13">
    <cfRule type="cellIs" priority="15" operator="equal" aboveAverage="0" equalAverage="0" bottom="0" percent="0" rank="0" text="" dxfId="10">
      <formula>"Evet"</formula>
    </cfRule>
  </conditionalFormatting>
  <conditionalFormatting sqref="D14">
    <cfRule type="cellIs" priority="16" operator="greaterThan" aboveAverage="0" equalAverage="0" bottom="0" percent="0" rank="0" text="" dxfId="8">
      <formula>0</formula>
    </cfRule>
  </conditionalFormatting>
  <conditionalFormatting sqref="E14">
    <cfRule type="cellIs" priority="17" operator="equal" aboveAverage="0" equalAverage="0" bottom="0" percent="0" rank="0" text="" dxfId="10">
      <formula>"Evet"</formula>
    </cfRule>
  </conditionalFormatting>
  <conditionalFormatting sqref="D15">
    <cfRule type="cellIs" priority="18" operator="greaterThan" aboveAverage="0" equalAverage="0" bottom="0" percent="0" rank="0" text="" dxfId="8">
      <formula>0</formula>
    </cfRule>
  </conditionalFormatting>
  <conditionalFormatting sqref="E15">
    <cfRule type="cellIs" priority="19" operator="equal" aboveAverage="0" equalAverage="0" bottom="0" percent="0" rank="0" text="" dxfId="10">
      <formula>"Evet"</formula>
    </cfRule>
  </conditionalFormatting>
  <conditionalFormatting sqref="D16">
    <cfRule type="cellIs" priority="20" operator="greaterThan" aboveAverage="0" equalAverage="0" bottom="0" percent="0" rank="0" text="" dxfId="8">
      <formula>0</formula>
    </cfRule>
  </conditionalFormatting>
  <conditionalFormatting sqref="E16">
    <cfRule type="cellIs" priority="21" operator="equal" aboveAverage="0" equalAverage="0" bottom="0" percent="0" rank="0" text="" dxfId="10">
      <formula>"Evet"</formula>
    </cfRule>
  </conditionalFormatting>
  <conditionalFormatting sqref="D17">
    <cfRule type="cellIs" priority="22" operator="greaterThan" aboveAverage="0" equalAverage="0" bottom="0" percent="0" rank="0" text="" dxfId="8">
      <formula>0</formula>
    </cfRule>
  </conditionalFormatting>
  <conditionalFormatting sqref="E17">
    <cfRule type="cellIs" priority="23" operator="equal" aboveAverage="0" equalAverage="0" bottom="0" percent="0" rank="0" text="" dxfId="10">
      <formula>"Evet"</formula>
    </cfRule>
  </conditionalFormatting>
  <conditionalFormatting sqref="D18">
    <cfRule type="cellIs" priority="24" operator="greaterThan" aboveAverage="0" equalAverage="0" bottom="0" percent="0" rank="0" text="" dxfId="8">
      <formula>0</formula>
    </cfRule>
  </conditionalFormatting>
  <conditionalFormatting sqref="E18">
    <cfRule type="cellIs" priority="25" operator="equal" aboveAverage="0" equalAverage="0" bottom="0" percent="0" rank="0" text="" dxfId="10">
      <formula>"Evet"</formula>
    </cfRule>
  </conditionalFormatting>
  <conditionalFormatting sqref="D19">
    <cfRule type="cellIs" priority="26" operator="greaterThan" aboveAverage="0" equalAverage="0" bottom="0" percent="0" rank="0" text="" dxfId="8">
      <formula>0</formula>
    </cfRule>
  </conditionalFormatting>
  <conditionalFormatting sqref="E19">
    <cfRule type="cellIs" priority="27" operator="equal" aboveAverage="0" equalAverage="0" bottom="0" percent="0" rank="0" text="" dxfId="10">
      <formula>"Evet"</formula>
    </cfRule>
  </conditionalFormatting>
  <conditionalFormatting sqref="D20">
    <cfRule type="cellIs" priority="28" operator="greaterThan" aboveAverage="0" equalAverage="0" bottom="0" percent="0" rank="0" text="" dxfId="8">
      <formula>0</formula>
    </cfRule>
  </conditionalFormatting>
  <conditionalFormatting sqref="E20">
    <cfRule type="cellIs" priority="29" operator="equal" aboveAverage="0" equalAverage="0" bottom="0" percent="0" rank="0" text="" dxfId="10">
      <formula>"Evet"</formula>
    </cfRule>
  </conditionalFormatting>
  <conditionalFormatting sqref="D21">
    <cfRule type="cellIs" priority="30" operator="greaterThan" aboveAverage="0" equalAverage="0" bottom="0" percent="0" rank="0" text="" dxfId="8">
      <formula>0</formula>
    </cfRule>
  </conditionalFormatting>
  <conditionalFormatting sqref="E21">
    <cfRule type="cellIs" priority="31" operator="equal" aboveAverage="0" equalAverage="0" bottom="0" percent="0" rank="0" text="" dxfId="10">
      <formula>"Evet"</formula>
    </cfRule>
  </conditionalFormatting>
  <conditionalFormatting sqref="D22">
    <cfRule type="cellIs" priority="32" operator="greaterThan" aboveAverage="0" equalAverage="0" bottom="0" percent="0" rank="0" text="" dxfId="8">
      <formula>0</formula>
    </cfRule>
  </conditionalFormatting>
  <conditionalFormatting sqref="E22">
    <cfRule type="cellIs" priority="33" operator="equal" aboveAverage="0" equalAverage="0" bottom="0" percent="0" rank="0" text="" dxfId="10">
      <formula>"Evet"</formula>
    </cfRule>
  </conditionalFormatting>
  <conditionalFormatting sqref="D23">
    <cfRule type="cellIs" priority="34" operator="greaterThan" aboveAverage="0" equalAverage="0" bottom="0" percent="0" rank="0" text="" dxfId="8">
      <formula>0</formula>
    </cfRule>
  </conditionalFormatting>
  <conditionalFormatting sqref="E23">
    <cfRule type="cellIs" priority="35" operator="equal" aboveAverage="0" equalAverage="0" bottom="0" percent="0" rank="0" text="" dxfId="10">
      <formula>"Evet"</formula>
    </cfRule>
  </conditionalFormatting>
  <conditionalFormatting sqref="D24">
    <cfRule type="cellIs" priority="36" operator="greaterThan" aboveAverage="0" equalAverage="0" bottom="0" percent="0" rank="0" text="" dxfId="8">
      <formula>0</formula>
    </cfRule>
  </conditionalFormatting>
  <conditionalFormatting sqref="E24">
    <cfRule type="cellIs" priority="37" operator="equal" aboveAverage="0" equalAverage="0" bottom="0" percent="0" rank="0" text="" dxfId="10">
      <formula>"Evet"</formula>
    </cfRule>
  </conditionalFormatting>
  <conditionalFormatting sqref="D25">
    <cfRule type="cellIs" priority="38" operator="greaterThan" aboveAverage="0" equalAverage="0" bottom="0" percent="0" rank="0" text="" dxfId="8">
      <formula>0</formula>
    </cfRule>
  </conditionalFormatting>
  <conditionalFormatting sqref="E25">
    <cfRule type="cellIs" priority="39" operator="equal" aboveAverage="0" equalAverage="0" bottom="0" percent="0" rank="0" text="" dxfId="10">
      <formula>"Evet"</formula>
    </cfRule>
  </conditionalFormatting>
  <conditionalFormatting sqref="D26">
    <cfRule type="cellIs" priority="40" operator="greaterThan" aboveAverage="0" equalAverage="0" bottom="0" percent="0" rank="0" text="" dxfId="8">
      <formula>0</formula>
    </cfRule>
  </conditionalFormatting>
  <conditionalFormatting sqref="E26">
    <cfRule type="cellIs" priority="41" operator="equal" aboveAverage="0" equalAverage="0" bottom="0" percent="0" rank="0" text="" dxfId="10">
      <formula>"Evet"</formula>
    </cfRule>
  </conditionalFormatting>
  <conditionalFormatting sqref="D27">
    <cfRule type="cellIs" priority="42" operator="greaterThan" aboveAverage="0" equalAverage="0" bottom="0" percent="0" rank="0" text="" dxfId="8">
      <formula>0</formula>
    </cfRule>
  </conditionalFormatting>
  <conditionalFormatting sqref="E27">
    <cfRule type="cellIs" priority="43" operator="equal" aboveAverage="0" equalAverage="0" bottom="0" percent="0" rank="0" text="" dxfId="10">
      <formula>"Evet"</formula>
    </cfRule>
  </conditionalFormatting>
  <conditionalFormatting sqref="D28">
    <cfRule type="cellIs" priority="44" operator="greaterThan" aboveAverage="0" equalAverage="0" bottom="0" percent="0" rank="0" text="" dxfId="8">
      <formula>0</formula>
    </cfRule>
  </conditionalFormatting>
  <conditionalFormatting sqref="E28">
    <cfRule type="cellIs" priority="45" operator="equal" aboveAverage="0" equalAverage="0" bottom="0" percent="0" rank="0" text="" dxfId="10">
      <formula>"Evet"</formula>
    </cfRule>
  </conditionalFormatting>
  <conditionalFormatting sqref="D29">
    <cfRule type="cellIs" priority="46" operator="greaterThan" aboveAverage="0" equalAverage="0" bottom="0" percent="0" rank="0" text="" dxfId="8">
      <formula>0</formula>
    </cfRule>
  </conditionalFormatting>
  <conditionalFormatting sqref="E29">
    <cfRule type="cellIs" priority="47" operator="equal" aboveAverage="0" equalAverage="0" bottom="0" percent="0" rank="0" text="" dxfId="10">
      <formula>"Evet"</formula>
    </cfRule>
  </conditionalFormatting>
  <conditionalFormatting sqref="D30">
    <cfRule type="cellIs" priority="48" operator="greaterThan" aboveAverage="0" equalAverage="0" bottom="0" percent="0" rank="0" text="" dxfId="8">
      <formula>0</formula>
    </cfRule>
  </conditionalFormatting>
  <conditionalFormatting sqref="E30">
    <cfRule type="cellIs" priority="49" operator="equal" aboveAverage="0" equalAverage="0" bottom="0" percent="0" rank="0" text="" dxfId="10">
      <formula>"Evet"</formula>
    </cfRule>
  </conditionalFormatting>
  <conditionalFormatting sqref="D31">
    <cfRule type="cellIs" priority="50" operator="greaterThan" aboveAverage="0" equalAverage="0" bottom="0" percent="0" rank="0" text="" dxfId="8">
      <formula>0</formula>
    </cfRule>
  </conditionalFormatting>
  <conditionalFormatting sqref="E31">
    <cfRule type="cellIs" priority="51" operator="equal" aboveAverage="0" equalAverage="0" bottom="0" percent="0" rank="0" text="" dxfId="10">
      <formula>"Evet"</formula>
    </cfRule>
  </conditionalFormatting>
  <conditionalFormatting sqref="D32">
    <cfRule type="cellIs" priority="52" operator="greaterThan" aboveAverage="0" equalAverage="0" bottom="0" percent="0" rank="0" text="" dxfId="8">
      <formula>0</formula>
    </cfRule>
  </conditionalFormatting>
  <conditionalFormatting sqref="E32">
    <cfRule type="cellIs" priority="53" operator="equal" aboveAverage="0" equalAverage="0" bottom="0" percent="0" rank="0" text="" dxfId="10">
      <formula>"Evet"</formula>
    </cfRule>
  </conditionalFormatting>
  <conditionalFormatting sqref="D33">
    <cfRule type="cellIs" priority="54" operator="greaterThan" aboveAverage="0" equalAverage="0" bottom="0" percent="0" rank="0" text="" dxfId="8">
      <formula>0</formula>
    </cfRule>
  </conditionalFormatting>
  <conditionalFormatting sqref="E33">
    <cfRule type="cellIs" priority="55" operator="equal" aboveAverage="0" equalAverage="0" bottom="0" percent="0" rank="0" text="" dxfId="10">
      <formula>"Evet"</formula>
    </cfRule>
  </conditionalFormatting>
  <conditionalFormatting sqref="D34">
    <cfRule type="cellIs" priority="56" operator="greaterThan" aboveAverage="0" equalAverage="0" bottom="0" percent="0" rank="0" text="" dxfId="8">
      <formula>0</formula>
    </cfRule>
  </conditionalFormatting>
  <conditionalFormatting sqref="E34">
    <cfRule type="cellIs" priority="57" operator="equal" aboveAverage="0" equalAverage="0" bottom="0" percent="0" rank="0" text="" dxfId="10">
      <formula>"Evet"</formula>
    </cfRule>
  </conditionalFormatting>
  <conditionalFormatting sqref="D35">
    <cfRule type="cellIs" priority="58" operator="greaterThan" aboveAverage="0" equalAverage="0" bottom="0" percent="0" rank="0" text="" dxfId="8">
      <formula>0</formula>
    </cfRule>
  </conditionalFormatting>
  <conditionalFormatting sqref="E35">
    <cfRule type="cellIs" priority="59" operator="equal" aboveAverage="0" equalAverage="0" bottom="0" percent="0" rank="0" text="" dxfId="10">
      <formula>"Evet"</formula>
    </cfRule>
  </conditionalFormatting>
  <conditionalFormatting sqref="D36">
    <cfRule type="cellIs" priority="60" operator="greaterThan" aboveAverage="0" equalAverage="0" bottom="0" percent="0" rank="0" text="" dxfId="8">
      <formula>0</formula>
    </cfRule>
  </conditionalFormatting>
  <conditionalFormatting sqref="E36">
    <cfRule type="cellIs" priority="61" operator="equal" aboveAverage="0" equalAverage="0" bottom="0" percent="0" rank="0" text="" dxfId="10">
      <formula>"Evet"</formula>
    </cfRule>
  </conditionalFormatting>
  <conditionalFormatting sqref="D37">
    <cfRule type="cellIs" priority="62" operator="greaterThan" aboveAverage="0" equalAverage="0" bottom="0" percent="0" rank="0" text="" dxfId="8">
      <formula>0</formula>
    </cfRule>
  </conditionalFormatting>
  <conditionalFormatting sqref="E37">
    <cfRule type="cellIs" priority="63" operator="equal" aboveAverage="0" equalAverage="0" bottom="0" percent="0" rank="0" text="" dxfId="10">
      <formula>"Evet"</formula>
    </cfRule>
  </conditionalFormatting>
  <conditionalFormatting sqref="D38">
    <cfRule type="cellIs" priority="64" operator="greaterThan" aboveAverage="0" equalAverage="0" bottom="0" percent="0" rank="0" text="" dxfId="8">
      <formula>0</formula>
    </cfRule>
  </conditionalFormatting>
  <conditionalFormatting sqref="E38">
    <cfRule type="cellIs" priority="65" operator="equal" aboveAverage="0" equalAverage="0" bottom="0" percent="0" rank="0" text="" dxfId="10">
      <formula>"Evet"</formula>
    </cfRule>
  </conditionalFormatting>
  <conditionalFormatting sqref="D39">
    <cfRule type="cellIs" priority="66" operator="greaterThan" aboveAverage="0" equalAverage="0" bottom="0" percent="0" rank="0" text="" dxfId="8">
      <formula>0</formula>
    </cfRule>
  </conditionalFormatting>
  <conditionalFormatting sqref="E39">
    <cfRule type="cellIs" priority="67" operator="equal" aboveAverage="0" equalAverage="0" bottom="0" percent="0" rank="0" text="" dxfId="10">
      <formula>"Evet"</formula>
    </cfRule>
  </conditionalFormatting>
  <conditionalFormatting sqref="D40">
    <cfRule type="cellIs" priority="68" operator="greaterThan" aboveAverage="0" equalAverage="0" bottom="0" percent="0" rank="0" text="" dxfId="8">
      <formula>0</formula>
    </cfRule>
  </conditionalFormatting>
  <conditionalFormatting sqref="E40">
    <cfRule type="cellIs" priority="69" operator="equal" aboveAverage="0" equalAverage="0" bottom="0" percent="0" rank="0" text="" dxfId="10">
      <formula>"Evet"</formula>
    </cfRule>
  </conditionalFormatting>
  <conditionalFormatting sqref="D41">
    <cfRule type="cellIs" priority="70" operator="greaterThan" aboveAverage="0" equalAverage="0" bottom="0" percent="0" rank="0" text="" dxfId="8">
      <formula>0</formula>
    </cfRule>
  </conditionalFormatting>
  <conditionalFormatting sqref="E41">
    <cfRule type="cellIs" priority="71" operator="equal" aboveAverage="0" equalAverage="0" bottom="0" percent="0" rank="0" text="" dxfId="10">
      <formula>"Evet"</formula>
    </cfRule>
  </conditionalFormatting>
  <conditionalFormatting sqref="D42">
    <cfRule type="cellIs" priority="72" operator="greaterThan" aboveAverage="0" equalAverage="0" bottom="0" percent="0" rank="0" text="" dxfId="8">
      <formula>0</formula>
    </cfRule>
  </conditionalFormatting>
  <conditionalFormatting sqref="E42">
    <cfRule type="cellIs" priority="73" operator="equal" aboveAverage="0" equalAverage="0" bottom="0" percent="0" rank="0" text="" dxfId="10">
      <formula>"Evet"</formula>
    </cfRule>
  </conditionalFormatting>
  <conditionalFormatting sqref="D43">
    <cfRule type="cellIs" priority="74" operator="greaterThan" aboveAverage="0" equalAverage="0" bottom="0" percent="0" rank="0" text="" dxfId="8">
      <formula>0</formula>
    </cfRule>
  </conditionalFormatting>
  <conditionalFormatting sqref="E43">
    <cfRule type="cellIs" priority="75" operator="equal" aboveAverage="0" equalAverage="0" bottom="0" percent="0" rank="0" text="" dxfId="10">
      <formula>"Evet"</formula>
    </cfRule>
  </conditionalFormatting>
  <conditionalFormatting sqref="D44">
    <cfRule type="cellIs" priority="76" operator="greaterThan" aboveAverage="0" equalAverage="0" bottom="0" percent="0" rank="0" text="" dxfId="8">
      <formula>0</formula>
    </cfRule>
  </conditionalFormatting>
  <conditionalFormatting sqref="E44">
    <cfRule type="cellIs" priority="77" operator="equal" aboveAverage="0" equalAverage="0" bottom="0" percent="0" rank="0" text="" dxfId="10">
      <formula>"Evet"</formula>
    </cfRule>
  </conditionalFormatting>
  <conditionalFormatting sqref="D45">
    <cfRule type="cellIs" priority="78" operator="greaterThan" aboveAverage="0" equalAverage="0" bottom="0" percent="0" rank="0" text="" dxfId="8">
      <formula>0</formula>
    </cfRule>
  </conditionalFormatting>
  <conditionalFormatting sqref="E45">
    <cfRule type="cellIs" priority="79" operator="equal" aboveAverage="0" equalAverage="0" bottom="0" percent="0" rank="0" text="" dxfId="10">
      <formula>"Evet"</formula>
    </cfRule>
  </conditionalFormatting>
  <conditionalFormatting sqref="D46">
    <cfRule type="cellIs" priority="80" operator="greaterThan" aboveAverage="0" equalAverage="0" bottom="0" percent="0" rank="0" text="" dxfId="8">
      <formula>0</formula>
    </cfRule>
  </conditionalFormatting>
  <conditionalFormatting sqref="E46">
    <cfRule type="cellIs" priority="81" operator="equal" aboveAverage="0" equalAverage="0" bottom="0" percent="0" rank="0" text="" dxfId="10">
      <formula>"Evet"</formula>
    </cfRule>
  </conditionalFormatting>
  <conditionalFormatting sqref="D47">
    <cfRule type="cellIs" priority="82" operator="greaterThan" aboveAverage="0" equalAverage="0" bottom="0" percent="0" rank="0" text="" dxfId="8">
      <formula>0</formula>
    </cfRule>
  </conditionalFormatting>
  <conditionalFormatting sqref="E47">
    <cfRule type="cellIs" priority="83" operator="equal" aboveAverage="0" equalAverage="0" bottom="0" percent="0" rank="0" text="" dxfId="10">
      <formula>"Evet"</formula>
    </cfRule>
  </conditionalFormatting>
  <conditionalFormatting sqref="D48">
    <cfRule type="cellIs" priority="84" operator="greaterThan" aboveAverage="0" equalAverage="0" bottom="0" percent="0" rank="0" text="" dxfId="8">
      <formula>0</formula>
    </cfRule>
  </conditionalFormatting>
  <conditionalFormatting sqref="E48">
    <cfRule type="cellIs" priority="85" operator="equal" aboveAverage="0" equalAverage="0" bottom="0" percent="0" rank="0" text="" dxfId="10">
      <formula>"Evet"</formula>
    </cfRule>
  </conditionalFormatting>
  <conditionalFormatting sqref="D49">
    <cfRule type="cellIs" priority="86" operator="greaterThan" aboveAverage="0" equalAverage="0" bottom="0" percent="0" rank="0" text="" dxfId="8">
      <formula>0</formula>
    </cfRule>
  </conditionalFormatting>
  <conditionalFormatting sqref="E49">
    <cfRule type="cellIs" priority="87" operator="equal" aboveAverage="0" equalAverage="0" bottom="0" percent="0" rank="0" text="" dxfId="10">
      <formula>"Evet"</formula>
    </cfRule>
  </conditionalFormatting>
  <conditionalFormatting sqref="D50">
    <cfRule type="cellIs" priority="88" operator="greaterThan" aboveAverage="0" equalAverage="0" bottom="0" percent="0" rank="0" text="" dxfId="8">
      <formula>0</formula>
    </cfRule>
  </conditionalFormatting>
  <conditionalFormatting sqref="E50">
    <cfRule type="cellIs" priority="89" operator="equal" aboveAverage="0" equalAverage="0" bottom="0" percent="0" rank="0" text="" dxfId="10">
      <formula>"Evet"</formula>
    </cfRule>
  </conditionalFormatting>
  <conditionalFormatting sqref="D51">
    <cfRule type="cellIs" priority="90" operator="greaterThan" aboveAverage="0" equalAverage="0" bottom="0" percent="0" rank="0" text="" dxfId="8">
      <formula>0</formula>
    </cfRule>
  </conditionalFormatting>
  <conditionalFormatting sqref="E51">
    <cfRule type="cellIs" priority="91" operator="equal" aboveAverage="0" equalAverage="0" bottom="0" percent="0" rank="0" text="" dxfId="10">
      <formula>"Evet"</formula>
    </cfRule>
  </conditionalFormatting>
  <conditionalFormatting sqref="D52">
    <cfRule type="cellIs" priority="92" operator="greaterThan" aboveAverage="0" equalAverage="0" bottom="0" percent="0" rank="0" text="" dxfId="8">
      <formula>0</formula>
    </cfRule>
  </conditionalFormatting>
  <conditionalFormatting sqref="E52">
    <cfRule type="cellIs" priority="93" operator="equal" aboveAverage="0" equalAverage="0" bottom="0" percent="0" rank="0" text="" dxfId="10">
      <formula>"Evet"</formula>
    </cfRule>
  </conditionalFormatting>
  <conditionalFormatting sqref="D53">
    <cfRule type="cellIs" priority="94" operator="greaterThan" aboveAverage="0" equalAverage="0" bottom="0" percent="0" rank="0" text="" dxfId="8">
      <formula>0</formula>
    </cfRule>
  </conditionalFormatting>
  <conditionalFormatting sqref="E53">
    <cfRule type="cellIs" priority="95" operator="equal" aboveAverage="0" equalAverage="0" bottom="0" percent="0" rank="0" text="" dxfId="10">
      <formula>"Evet"</formula>
    </cfRule>
  </conditionalFormatting>
  <conditionalFormatting sqref="D54">
    <cfRule type="cellIs" priority="96" operator="greaterThan" aboveAverage="0" equalAverage="0" bottom="0" percent="0" rank="0" text="" dxfId="8">
      <formula>0</formula>
    </cfRule>
  </conditionalFormatting>
  <conditionalFormatting sqref="E54">
    <cfRule type="cellIs" priority="97" operator="equal" aboveAverage="0" equalAverage="0" bottom="0" percent="0" rank="0" text="" dxfId="10">
      <formula>"Evet"</formula>
    </cfRule>
  </conditionalFormatting>
  <conditionalFormatting sqref="D55">
    <cfRule type="cellIs" priority="98" operator="greaterThan" aboveAverage="0" equalAverage="0" bottom="0" percent="0" rank="0" text="" dxfId="8">
      <formula>0</formula>
    </cfRule>
  </conditionalFormatting>
  <conditionalFormatting sqref="E55">
    <cfRule type="cellIs" priority="99" operator="equal" aboveAverage="0" equalAverage="0" bottom="0" percent="0" rank="0" text="" dxfId="10">
      <formula>"Evet"</formula>
    </cfRule>
  </conditionalFormatting>
  <conditionalFormatting sqref="D56">
    <cfRule type="cellIs" priority="100" operator="greaterThan" aboveAverage="0" equalAverage="0" bottom="0" percent="0" rank="0" text="" dxfId="8">
      <formula>0</formula>
    </cfRule>
  </conditionalFormatting>
  <conditionalFormatting sqref="E56">
    <cfRule type="cellIs" priority="101" operator="equal" aboveAverage="0" equalAverage="0" bottom="0" percent="0" rank="0" text="" dxfId="10">
      <formula>"Evet"</formula>
    </cfRule>
  </conditionalFormatting>
  <conditionalFormatting sqref="D57">
    <cfRule type="cellIs" priority="102" operator="greaterThan" aboveAverage="0" equalAverage="0" bottom="0" percent="0" rank="0" text="" dxfId="8">
      <formula>0</formula>
    </cfRule>
  </conditionalFormatting>
  <conditionalFormatting sqref="E57">
    <cfRule type="cellIs" priority="103" operator="equal" aboveAverage="0" equalAverage="0" bottom="0" percent="0" rank="0" text="" dxfId="10">
      <formula>"Evet"</formula>
    </cfRule>
  </conditionalFormatting>
  <conditionalFormatting sqref="D58">
    <cfRule type="cellIs" priority="104" operator="greaterThan" aboveAverage="0" equalAverage="0" bottom="0" percent="0" rank="0" text="" dxfId="8">
      <formula>0</formula>
    </cfRule>
  </conditionalFormatting>
  <conditionalFormatting sqref="E58">
    <cfRule type="cellIs" priority="105" operator="equal" aboveAverage="0" equalAverage="0" bottom="0" percent="0" rank="0" text="" dxfId="10">
      <formula>"Evet"</formula>
    </cfRule>
  </conditionalFormatting>
  <conditionalFormatting sqref="D59">
    <cfRule type="cellIs" priority="106" operator="greaterThan" aboveAverage="0" equalAverage="0" bottom="0" percent="0" rank="0" text="" dxfId="8">
      <formula>0</formula>
    </cfRule>
  </conditionalFormatting>
  <conditionalFormatting sqref="E59">
    <cfRule type="cellIs" priority="107" operator="equal" aboveAverage="0" equalAverage="0" bottom="0" percent="0" rank="0" text="" dxfId="10">
      <formula>"Evet"</formula>
    </cfRule>
  </conditionalFormatting>
  <conditionalFormatting sqref="D60">
    <cfRule type="cellIs" priority="108" operator="greaterThan" aboveAverage="0" equalAverage="0" bottom="0" percent="0" rank="0" text="" dxfId="8">
      <formula>0</formula>
    </cfRule>
  </conditionalFormatting>
  <conditionalFormatting sqref="E60">
    <cfRule type="cellIs" priority="109" operator="equal" aboveAverage="0" equalAverage="0" bottom="0" percent="0" rank="0" text="" dxfId="10">
      <formula>"Evet"</formula>
    </cfRule>
  </conditionalFormatting>
  <conditionalFormatting sqref="D61">
    <cfRule type="cellIs" priority="110" operator="greaterThan" aboveAverage="0" equalAverage="0" bottom="0" percent="0" rank="0" text="" dxfId="8">
      <formula>0</formula>
    </cfRule>
  </conditionalFormatting>
  <conditionalFormatting sqref="E61">
    <cfRule type="cellIs" priority="111" operator="equal" aboveAverage="0" equalAverage="0" bottom="0" percent="0" rank="0" text="" dxfId="10">
      <formula>"Evet"</formula>
    </cfRule>
  </conditionalFormatting>
  <conditionalFormatting sqref="D62">
    <cfRule type="cellIs" priority="112" operator="greaterThan" aboveAverage="0" equalAverage="0" bottom="0" percent="0" rank="0" text="" dxfId="8">
      <formula>0</formula>
    </cfRule>
  </conditionalFormatting>
  <conditionalFormatting sqref="E62">
    <cfRule type="cellIs" priority="113" operator="equal" aboveAverage="0" equalAverage="0" bottom="0" percent="0" rank="0" text="" dxfId="10">
      <formula>"Evet"</formula>
    </cfRule>
  </conditionalFormatting>
  <conditionalFormatting sqref="D63">
    <cfRule type="cellIs" priority="114" operator="greaterThan" aboveAverage="0" equalAverage="0" bottom="0" percent="0" rank="0" text="" dxfId="8">
      <formula>0</formula>
    </cfRule>
  </conditionalFormatting>
  <conditionalFormatting sqref="E63">
    <cfRule type="cellIs" priority="115" operator="equal" aboveAverage="0" equalAverage="0" bottom="0" percent="0" rank="0" text="" dxfId="10">
      <formula>"Evet"</formula>
    </cfRule>
  </conditionalFormatting>
  <conditionalFormatting sqref="D64">
    <cfRule type="cellIs" priority="116" operator="greaterThan" aboveAverage="0" equalAverage="0" bottom="0" percent="0" rank="0" text="" dxfId="8">
      <formula>0</formula>
    </cfRule>
  </conditionalFormatting>
  <conditionalFormatting sqref="E64">
    <cfRule type="cellIs" priority="117" operator="equal" aboveAverage="0" equalAverage="0" bottom="0" percent="0" rank="0" text="" dxfId="10">
      <formula>"Evet"</formula>
    </cfRule>
  </conditionalFormatting>
  <conditionalFormatting sqref="D65">
    <cfRule type="cellIs" priority="118" operator="greaterThan" aboveAverage="0" equalAverage="0" bottom="0" percent="0" rank="0" text="" dxfId="8">
      <formula>0</formula>
    </cfRule>
  </conditionalFormatting>
  <conditionalFormatting sqref="E65">
    <cfRule type="cellIs" priority="119" operator="equal" aboveAverage="0" equalAverage="0" bottom="0" percent="0" rank="0" text="" dxfId="10">
      <formula>"Evet"</formula>
    </cfRule>
  </conditionalFormatting>
  <conditionalFormatting sqref="D66">
    <cfRule type="cellIs" priority="120" operator="greaterThan" aboveAverage="0" equalAverage="0" bottom="0" percent="0" rank="0" text="" dxfId="8">
      <formula>0</formula>
    </cfRule>
  </conditionalFormatting>
  <conditionalFormatting sqref="E66">
    <cfRule type="cellIs" priority="121" operator="equal" aboveAverage="0" equalAverage="0" bottom="0" percent="0" rank="0" text="" dxfId="10">
      <formula>"Evet"</formula>
    </cfRule>
  </conditionalFormatting>
  <conditionalFormatting sqref="D67">
    <cfRule type="cellIs" priority="122" operator="greaterThan" aboveAverage="0" equalAverage="0" bottom="0" percent="0" rank="0" text="" dxfId="8">
      <formula>0</formula>
    </cfRule>
  </conditionalFormatting>
  <conditionalFormatting sqref="E67">
    <cfRule type="cellIs" priority="123" operator="equal" aboveAverage="0" equalAverage="0" bottom="0" percent="0" rank="0" text="" dxfId="10">
      <formula>"Evet"</formula>
    </cfRule>
  </conditionalFormatting>
  <conditionalFormatting sqref="D68">
    <cfRule type="cellIs" priority="124" operator="greaterThan" aboveAverage="0" equalAverage="0" bottom="0" percent="0" rank="0" text="" dxfId="8">
      <formula>0</formula>
    </cfRule>
  </conditionalFormatting>
  <conditionalFormatting sqref="E68">
    <cfRule type="cellIs" priority="125" operator="equal" aboveAverage="0" equalAverage="0" bottom="0" percent="0" rank="0" text="" dxfId="10">
      <formula>"Evet"</formula>
    </cfRule>
  </conditionalFormatting>
  <conditionalFormatting sqref="D69">
    <cfRule type="cellIs" priority="126" operator="greaterThan" aboveAverage="0" equalAverage="0" bottom="0" percent="0" rank="0" text="" dxfId="8">
      <formula>0</formula>
    </cfRule>
  </conditionalFormatting>
  <conditionalFormatting sqref="E69">
    <cfRule type="cellIs" priority="127" operator="equal" aboveAverage="0" equalAverage="0" bottom="0" percent="0" rank="0" text="" dxfId="10">
      <formula>"Evet"</formula>
    </cfRule>
  </conditionalFormatting>
  <conditionalFormatting sqref="D70">
    <cfRule type="cellIs" priority="128" operator="greaterThan" aboveAverage="0" equalAverage="0" bottom="0" percent="0" rank="0" text="" dxfId="8">
      <formula>0</formula>
    </cfRule>
  </conditionalFormatting>
  <conditionalFormatting sqref="E70">
    <cfRule type="cellIs" priority="129" operator="equal" aboveAverage="0" equalAverage="0" bottom="0" percent="0" rank="0" text="" dxfId="10">
      <formula>"Evet"</formula>
    </cfRule>
  </conditionalFormatting>
  <conditionalFormatting sqref="D71">
    <cfRule type="cellIs" priority="130" operator="greaterThan" aboveAverage="0" equalAverage="0" bottom="0" percent="0" rank="0" text="" dxfId="8">
      <formula>0</formula>
    </cfRule>
  </conditionalFormatting>
  <conditionalFormatting sqref="E71">
    <cfRule type="cellIs" priority="131" operator="equal" aboveAverage="0" equalAverage="0" bottom="0" percent="0" rank="0" text="" dxfId="10">
      <formula>"Evet"</formula>
    </cfRule>
  </conditionalFormatting>
  <conditionalFormatting sqref="D72">
    <cfRule type="cellIs" priority="132" operator="greaterThan" aboveAverage="0" equalAverage="0" bottom="0" percent="0" rank="0" text="" dxfId="8">
      <formula>0</formula>
    </cfRule>
  </conditionalFormatting>
  <conditionalFormatting sqref="E72">
    <cfRule type="cellIs" priority="133" operator="equal" aboveAverage="0" equalAverage="0" bottom="0" percent="0" rank="0" text="" dxfId="10">
      <formula>"Evet"</formula>
    </cfRule>
  </conditionalFormatting>
  <conditionalFormatting sqref="D73">
    <cfRule type="cellIs" priority="134" operator="greaterThan" aboveAverage="0" equalAverage="0" bottom="0" percent="0" rank="0" text="" dxfId="8">
      <formula>0</formula>
    </cfRule>
  </conditionalFormatting>
  <conditionalFormatting sqref="E73">
    <cfRule type="cellIs" priority="135" operator="equal" aboveAverage="0" equalAverage="0" bottom="0" percent="0" rank="0" text="" dxfId="10">
      <formula>"Evet"</formula>
    </cfRule>
  </conditionalFormatting>
  <conditionalFormatting sqref="D74">
    <cfRule type="cellIs" priority="136" operator="greaterThan" aboveAverage="0" equalAverage="0" bottom="0" percent="0" rank="0" text="" dxfId="8">
      <formula>0</formula>
    </cfRule>
  </conditionalFormatting>
  <conditionalFormatting sqref="E74">
    <cfRule type="cellIs" priority="137" operator="equal" aboveAverage="0" equalAverage="0" bottom="0" percent="0" rank="0" text="" dxfId="10">
      <formula>"Evet"</formula>
    </cfRule>
  </conditionalFormatting>
  <conditionalFormatting sqref="D75">
    <cfRule type="cellIs" priority="138" operator="greaterThan" aboveAverage="0" equalAverage="0" bottom="0" percent="0" rank="0" text="" dxfId="8">
      <formula>0</formula>
    </cfRule>
  </conditionalFormatting>
  <conditionalFormatting sqref="E75">
    <cfRule type="cellIs" priority="139" operator="equal" aboveAverage="0" equalAverage="0" bottom="0" percent="0" rank="0" text="" dxfId="10">
      <formula>"Evet"</formula>
    </cfRule>
  </conditionalFormatting>
  <conditionalFormatting sqref="D76">
    <cfRule type="cellIs" priority="140" operator="greaterThan" aboveAverage="0" equalAverage="0" bottom="0" percent="0" rank="0" text="" dxfId="8">
      <formula>0</formula>
    </cfRule>
  </conditionalFormatting>
  <conditionalFormatting sqref="E76">
    <cfRule type="cellIs" priority="141" operator="equal" aboveAverage="0" equalAverage="0" bottom="0" percent="0" rank="0" text="" dxfId="10">
      <formula>"Evet"</formula>
    </cfRule>
  </conditionalFormatting>
  <conditionalFormatting sqref="D77">
    <cfRule type="cellIs" priority="142" operator="greaterThan" aboveAverage="0" equalAverage="0" bottom="0" percent="0" rank="0" text="" dxfId="8">
      <formula>0</formula>
    </cfRule>
  </conditionalFormatting>
  <conditionalFormatting sqref="E77">
    <cfRule type="cellIs" priority="143" operator="equal" aboveAverage="0" equalAverage="0" bottom="0" percent="0" rank="0" text="" dxfId="10">
      <formula>"Evet"</formula>
    </cfRule>
  </conditionalFormatting>
  <conditionalFormatting sqref="D78">
    <cfRule type="cellIs" priority="144" operator="greaterThan" aboveAverage="0" equalAverage="0" bottom="0" percent="0" rank="0" text="" dxfId="8">
      <formula>0</formula>
    </cfRule>
  </conditionalFormatting>
  <conditionalFormatting sqref="E78">
    <cfRule type="cellIs" priority="145" operator="equal" aboveAverage="0" equalAverage="0" bottom="0" percent="0" rank="0" text="" dxfId="10">
      <formula>"Evet"</formula>
    </cfRule>
  </conditionalFormatting>
  <conditionalFormatting sqref="D79">
    <cfRule type="cellIs" priority="146" operator="greaterThan" aboveAverage="0" equalAverage="0" bottom="0" percent="0" rank="0" text="" dxfId="8">
      <formula>0</formula>
    </cfRule>
  </conditionalFormatting>
  <conditionalFormatting sqref="E79">
    <cfRule type="cellIs" priority="147" operator="equal" aboveAverage="0" equalAverage="0" bottom="0" percent="0" rank="0" text="" dxfId="10">
      <formula>"Evet"</formula>
    </cfRule>
  </conditionalFormatting>
  <conditionalFormatting sqref="D80">
    <cfRule type="cellIs" priority="148" operator="greaterThan" aboveAverage="0" equalAverage="0" bottom="0" percent="0" rank="0" text="" dxfId="8">
      <formula>0</formula>
    </cfRule>
  </conditionalFormatting>
  <conditionalFormatting sqref="E80">
    <cfRule type="cellIs" priority="149" operator="equal" aboveAverage="0" equalAverage="0" bottom="0" percent="0" rank="0" text="" dxfId="10">
      <formula>"Evet"</formula>
    </cfRule>
  </conditionalFormatting>
  <conditionalFormatting sqref="D81">
    <cfRule type="cellIs" priority="150" operator="greaterThan" aboveAverage="0" equalAverage="0" bottom="0" percent="0" rank="0" text="" dxfId="8">
      <formula>0</formula>
    </cfRule>
  </conditionalFormatting>
  <conditionalFormatting sqref="E81">
    <cfRule type="cellIs" priority="151" operator="equal" aboveAverage="0" equalAverage="0" bottom="0" percent="0" rank="0" text="" dxfId="10">
      <formula>"Evet"</formula>
    </cfRule>
  </conditionalFormatting>
  <conditionalFormatting sqref="D82">
    <cfRule type="cellIs" priority="152" operator="greaterThan" aboveAverage="0" equalAverage="0" bottom="0" percent="0" rank="0" text="" dxfId="8">
      <formula>0</formula>
    </cfRule>
  </conditionalFormatting>
  <conditionalFormatting sqref="E82">
    <cfRule type="cellIs" priority="153" operator="equal" aboveAverage="0" equalAverage="0" bottom="0" percent="0" rank="0" text="" dxfId="10">
      <formula>"Evet"</formula>
    </cfRule>
  </conditionalFormatting>
  <conditionalFormatting sqref="D83">
    <cfRule type="cellIs" priority="154" operator="greaterThan" aboveAverage="0" equalAverage="0" bottom="0" percent="0" rank="0" text="" dxfId="8">
      <formula>0</formula>
    </cfRule>
  </conditionalFormatting>
  <conditionalFormatting sqref="E83">
    <cfRule type="cellIs" priority="155" operator="equal" aboveAverage="0" equalAverage="0" bottom="0" percent="0" rank="0" text="" dxfId="10">
      <formula>"Evet"</formula>
    </cfRule>
  </conditionalFormatting>
  <conditionalFormatting sqref="D84">
    <cfRule type="cellIs" priority="156" operator="greaterThan" aboveAverage="0" equalAverage="0" bottom="0" percent="0" rank="0" text="" dxfId="8">
      <formula>0</formula>
    </cfRule>
  </conditionalFormatting>
  <conditionalFormatting sqref="E84">
    <cfRule type="cellIs" priority="157" operator="equal" aboveAverage="0" equalAverage="0" bottom="0" percent="0" rank="0" text="" dxfId="10">
      <formula>"Evet"</formula>
    </cfRule>
  </conditionalFormatting>
  <conditionalFormatting sqref="D85">
    <cfRule type="cellIs" priority="158" operator="greaterThan" aboveAverage="0" equalAverage="0" bottom="0" percent="0" rank="0" text="" dxfId="8">
      <formula>0</formula>
    </cfRule>
  </conditionalFormatting>
  <conditionalFormatting sqref="E85">
    <cfRule type="cellIs" priority="159" operator="equal" aboveAverage="0" equalAverage="0" bottom="0" percent="0" rank="0" text="" dxfId="10">
      <formula>"Evet"</formula>
    </cfRule>
  </conditionalFormatting>
  <conditionalFormatting sqref="D86">
    <cfRule type="cellIs" priority="160" operator="greaterThan" aboveAverage="0" equalAverage="0" bottom="0" percent="0" rank="0" text="" dxfId="8">
      <formula>0</formula>
    </cfRule>
  </conditionalFormatting>
  <conditionalFormatting sqref="E86">
    <cfRule type="cellIs" priority="161" operator="equal" aboveAverage="0" equalAverage="0" bottom="0" percent="0" rank="0" text="" dxfId="10">
      <formula>"Evet"</formula>
    </cfRule>
  </conditionalFormatting>
  <conditionalFormatting sqref="D87">
    <cfRule type="cellIs" priority="162" operator="greaterThan" aboveAverage="0" equalAverage="0" bottom="0" percent="0" rank="0" text="" dxfId="8">
      <formula>0</formula>
    </cfRule>
  </conditionalFormatting>
  <conditionalFormatting sqref="E87">
    <cfRule type="cellIs" priority="163" operator="equal" aboveAverage="0" equalAverage="0" bottom="0" percent="0" rank="0" text="" dxfId="10">
      <formula>"Evet"</formula>
    </cfRule>
  </conditionalFormatting>
  <conditionalFormatting sqref="D88">
    <cfRule type="cellIs" priority="164" operator="greaterThan" aboveAverage="0" equalAverage="0" bottom="0" percent="0" rank="0" text="" dxfId="8">
      <formula>0</formula>
    </cfRule>
  </conditionalFormatting>
  <conditionalFormatting sqref="E88">
    <cfRule type="cellIs" priority="165" operator="equal" aboveAverage="0" equalAverage="0" bottom="0" percent="0" rank="0" text="" dxfId="10">
      <formula>"Evet"</formula>
    </cfRule>
  </conditionalFormatting>
  <conditionalFormatting sqref="D89">
    <cfRule type="cellIs" priority="166" operator="greaterThan" aboveAverage="0" equalAverage="0" bottom="0" percent="0" rank="0" text="" dxfId="8">
      <formula>0</formula>
    </cfRule>
  </conditionalFormatting>
  <conditionalFormatting sqref="E89">
    <cfRule type="cellIs" priority="167" operator="equal" aboveAverage="0" equalAverage="0" bottom="0" percent="0" rank="0" text="" dxfId="10">
      <formula>"Evet"</formula>
    </cfRule>
  </conditionalFormatting>
  <conditionalFormatting sqref="D90">
    <cfRule type="cellIs" priority="168" operator="greaterThan" aboveAverage="0" equalAverage="0" bottom="0" percent="0" rank="0" text="" dxfId="8">
      <formula>0</formula>
    </cfRule>
  </conditionalFormatting>
  <conditionalFormatting sqref="E90">
    <cfRule type="cellIs" priority="169" operator="equal" aboveAverage="0" equalAverage="0" bottom="0" percent="0" rank="0" text="" dxfId="10">
      <formula>"Evet"</formula>
    </cfRule>
  </conditionalFormatting>
  <conditionalFormatting sqref="D91">
    <cfRule type="cellIs" priority="170" operator="greaterThan" aboveAverage="0" equalAverage="0" bottom="0" percent="0" rank="0" text="" dxfId="8">
      <formula>0</formula>
    </cfRule>
  </conditionalFormatting>
  <conditionalFormatting sqref="E91">
    <cfRule type="cellIs" priority="171" operator="equal" aboveAverage="0" equalAverage="0" bottom="0" percent="0" rank="0" text="" dxfId="10">
      <formula>"Evet"</formula>
    </cfRule>
  </conditionalFormatting>
  <conditionalFormatting sqref="D92">
    <cfRule type="cellIs" priority="172" operator="greaterThan" aboveAverage="0" equalAverage="0" bottom="0" percent="0" rank="0" text="" dxfId="8">
      <formula>0</formula>
    </cfRule>
  </conditionalFormatting>
  <conditionalFormatting sqref="E92">
    <cfRule type="cellIs" priority="173" operator="equal" aboveAverage="0" equalAverage="0" bottom="0" percent="0" rank="0" text="" dxfId="10">
      <formula>"Evet"</formula>
    </cfRule>
  </conditionalFormatting>
  <conditionalFormatting sqref="D93">
    <cfRule type="cellIs" priority="174" operator="greaterThan" aboveAverage="0" equalAverage="0" bottom="0" percent="0" rank="0" text="" dxfId="8">
      <formula>0</formula>
    </cfRule>
  </conditionalFormatting>
  <conditionalFormatting sqref="E93">
    <cfRule type="cellIs" priority="175" operator="equal" aboveAverage="0" equalAverage="0" bottom="0" percent="0" rank="0" text="" dxfId="10">
      <formula>"Evet"</formula>
    </cfRule>
  </conditionalFormatting>
  <conditionalFormatting sqref="D94">
    <cfRule type="cellIs" priority="176" operator="greaterThan" aboveAverage="0" equalAverage="0" bottom="0" percent="0" rank="0" text="" dxfId="8">
      <formula>0</formula>
    </cfRule>
  </conditionalFormatting>
  <conditionalFormatting sqref="E94">
    <cfRule type="cellIs" priority="177" operator="equal" aboveAverage="0" equalAverage="0" bottom="0" percent="0" rank="0" text="" dxfId="10">
      <formula>"Evet"</formula>
    </cfRule>
  </conditionalFormatting>
  <conditionalFormatting sqref="D95">
    <cfRule type="cellIs" priority="178" operator="greaterThan" aboveAverage="0" equalAverage="0" bottom="0" percent="0" rank="0" text="" dxfId="8">
      <formula>0</formula>
    </cfRule>
  </conditionalFormatting>
  <conditionalFormatting sqref="E95">
    <cfRule type="cellIs" priority="179" operator="equal" aboveAverage="0" equalAverage="0" bottom="0" percent="0" rank="0" text="" dxfId="10">
      <formula>"Evet"</formula>
    </cfRule>
  </conditionalFormatting>
  <conditionalFormatting sqref="D96">
    <cfRule type="cellIs" priority="180" operator="greaterThan" aboveAverage="0" equalAverage="0" bottom="0" percent="0" rank="0" text="" dxfId="8">
      <formula>0</formula>
    </cfRule>
  </conditionalFormatting>
  <conditionalFormatting sqref="E96">
    <cfRule type="cellIs" priority="181" operator="equal" aboveAverage="0" equalAverage="0" bottom="0" percent="0" rank="0" text="" dxfId="10">
      <formula>"Evet"</formula>
    </cfRule>
  </conditionalFormatting>
  <conditionalFormatting sqref="D97">
    <cfRule type="cellIs" priority="182" operator="greaterThan" aboveAverage="0" equalAverage="0" bottom="0" percent="0" rank="0" text="" dxfId="8">
      <formula>0</formula>
    </cfRule>
  </conditionalFormatting>
  <conditionalFormatting sqref="E97">
    <cfRule type="cellIs" priority="183" operator="equal" aboveAverage="0" equalAverage="0" bottom="0" percent="0" rank="0" text="" dxfId="10">
      <formula>"Evet"</formula>
    </cfRule>
  </conditionalFormatting>
  <conditionalFormatting sqref="D98">
    <cfRule type="cellIs" priority="184" operator="greaterThan" aboveAverage="0" equalAverage="0" bottom="0" percent="0" rank="0" text="" dxfId="8">
      <formula>0</formula>
    </cfRule>
  </conditionalFormatting>
  <conditionalFormatting sqref="E98">
    <cfRule type="cellIs" priority="185" operator="equal" aboveAverage="0" equalAverage="0" bottom="0" percent="0" rank="0" text="" dxfId="10">
      <formula>"Evet"</formula>
    </cfRule>
  </conditionalFormatting>
  <conditionalFormatting sqref="D99">
    <cfRule type="cellIs" priority="186" operator="greaterThan" aboveAverage="0" equalAverage="0" bottom="0" percent="0" rank="0" text="" dxfId="8">
      <formula>0</formula>
    </cfRule>
  </conditionalFormatting>
  <conditionalFormatting sqref="E99">
    <cfRule type="cellIs" priority="187" operator="equal" aboveAverage="0" equalAverage="0" bottom="0" percent="0" rank="0" text="" dxfId="10">
      <formula>"Evet"</formula>
    </cfRule>
  </conditionalFormatting>
  <conditionalFormatting sqref="D100">
    <cfRule type="cellIs" priority="188" operator="greaterThan" aboveAverage="0" equalAverage="0" bottom="0" percent="0" rank="0" text="" dxfId="8">
      <formula>0</formula>
    </cfRule>
  </conditionalFormatting>
  <conditionalFormatting sqref="E100">
    <cfRule type="cellIs" priority="189" operator="equal" aboveAverage="0" equalAverage="0" bottom="0" percent="0" rank="0" text="" dxfId="10">
      <formula>"Evet"</formula>
    </cfRule>
  </conditionalFormatting>
  <conditionalFormatting sqref="D101">
    <cfRule type="cellIs" priority="190" operator="greaterThan" aboveAverage="0" equalAverage="0" bottom="0" percent="0" rank="0" text="" dxfId="8">
      <formula>0</formula>
    </cfRule>
  </conditionalFormatting>
  <conditionalFormatting sqref="E101">
    <cfRule type="cellIs" priority="191" operator="equal" aboveAverage="0" equalAverage="0" bottom="0" percent="0" rank="0" text="" dxfId="10">
      <formula>"Evet"</formula>
    </cfRule>
  </conditionalFormatting>
  <conditionalFormatting sqref="D102">
    <cfRule type="cellIs" priority="192" operator="greaterThan" aboveAverage="0" equalAverage="0" bottom="0" percent="0" rank="0" text="" dxfId="8">
      <formula>0</formula>
    </cfRule>
  </conditionalFormatting>
  <conditionalFormatting sqref="E102">
    <cfRule type="cellIs" priority="193" operator="equal" aboveAverage="0" equalAverage="0" bottom="0" percent="0" rank="0" text="" dxfId="10">
      <formula>"Evet"</formula>
    </cfRule>
  </conditionalFormatting>
  <conditionalFormatting sqref="D103">
    <cfRule type="cellIs" priority="194" operator="greaterThan" aboveAverage="0" equalAverage="0" bottom="0" percent="0" rank="0" text="" dxfId="8">
      <formula>0</formula>
    </cfRule>
  </conditionalFormatting>
  <conditionalFormatting sqref="E103">
    <cfRule type="cellIs" priority="195" operator="equal" aboveAverage="0" equalAverage="0" bottom="0" percent="0" rank="0" text="" dxfId="10">
      <formula>"Evet"</formula>
    </cfRule>
  </conditionalFormatting>
  <conditionalFormatting sqref="D104">
    <cfRule type="cellIs" priority="196" operator="greaterThan" aboveAverage="0" equalAverage="0" bottom="0" percent="0" rank="0" text="" dxfId="8">
      <formula>0</formula>
    </cfRule>
  </conditionalFormatting>
  <conditionalFormatting sqref="E104">
    <cfRule type="cellIs" priority="197" operator="equal" aboveAverage="0" equalAverage="0" bottom="0" percent="0" rank="0" text="" dxfId="10">
      <formula>"Evet"</formula>
    </cfRule>
  </conditionalFormatting>
  <conditionalFormatting sqref="D105">
    <cfRule type="cellIs" priority="198" operator="greaterThan" aboveAverage="0" equalAverage="0" bottom="0" percent="0" rank="0" text="" dxfId="8">
      <formula>0</formula>
    </cfRule>
  </conditionalFormatting>
  <conditionalFormatting sqref="E105">
    <cfRule type="cellIs" priority="199" operator="equal" aboveAverage="0" equalAverage="0" bottom="0" percent="0" rank="0" text="" dxfId="10">
      <formula>"Evet"</formula>
    </cfRule>
  </conditionalFormatting>
  <conditionalFormatting sqref="D106">
    <cfRule type="cellIs" priority="200" operator="greaterThan" aboveAverage="0" equalAverage="0" bottom="0" percent="0" rank="0" text="" dxfId="8">
      <formula>0</formula>
    </cfRule>
  </conditionalFormatting>
  <conditionalFormatting sqref="E106">
    <cfRule type="cellIs" priority="201" operator="equal" aboveAverage="0" equalAverage="0" bottom="0" percent="0" rank="0" text="" dxfId="10">
      <formula>"Evet"</formula>
    </cfRule>
  </conditionalFormatting>
  <conditionalFormatting sqref="D107">
    <cfRule type="cellIs" priority="202" operator="greaterThan" aboveAverage="0" equalAverage="0" bottom="0" percent="0" rank="0" text="" dxfId="8">
      <formula>0</formula>
    </cfRule>
  </conditionalFormatting>
  <conditionalFormatting sqref="E107">
    <cfRule type="cellIs" priority="203" operator="equal" aboveAverage="0" equalAverage="0" bottom="0" percent="0" rank="0" text="" dxfId="10">
      <formula>"Evet"</formula>
    </cfRule>
  </conditionalFormatting>
  <conditionalFormatting sqref="D108">
    <cfRule type="cellIs" priority="204" operator="greaterThan" aboveAverage="0" equalAverage="0" bottom="0" percent="0" rank="0" text="" dxfId="8">
      <formula>0</formula>
    </cfRule>
  </conditionalFormatting>
  <conditionalFormatting sqref="E108">
    <cfRule type="cellIs" priority="205" operator="equal" aboveAverage="0" equalAverage="0" bottom="0" percent="0" rank="0" text="" dxfId="10">
      <formula>"Evet"</formula>
    </cfRule>
  </conditionalFormatting>
  <conditionalFormatting sqref="D109">
    <cfRule type="cellIs" priority="206" operator="greaterThan" aboveAverage="0" equalAverage="0" bottom="0" percent="0" rank="0" text="" dxfId="8">
      <formula>0</formula>
    </cfRule>
  </conditionalFormatting>
  <conditionalFormatting sqref="E109">
    <cfRule type="cellIs" priority="207" operator="equal" aboveAverage="0" equalAverage="0" bottom="0" percent="0" rank="0" text="" dxfId="10">
      <formula>"Evet"</formula>
    </cfRule>
  </conditionalFormatting>
  <conditionalFormatting sqref="D110">
    <cfRule type="cellIs" priority="208" operator="greaterThan" aboveAverage="0" equalAverage="0" bottom="0" percent="0" rank="0" text="" dxfId="8">
      <formula>0</formula>
    </cfRule>
  </conditionalFormatting>
  <conditionalFormatting sqref="E110">
    <cfRule type="cellIs" priority="209" operator="equal" aboveAverage="0" equalAverage="0" bottom="0" percent="0" rank="0" text="" dxfId="10">
      <formula>"Evet"</formula>
    </cfRule>
  </conditionalFormatting>
  <conditionalFormatting sqref="D111">
    <cfRule type="cellIs" priority="210" operator="greaterThan" aboveAverage="0" equalAverage="0" bottom="0" percent="0" rank="0" text="" dxfId="8">
      <formula>0</formula>
    </cfRule>
  </conditionalFormatting>
  <conditionalFormatting sqref="E111">
    <cfRule type="cellIs" priority="211" operator="equal" aboveAverage="0" equalAverage="0" bottom="0" percent="0" rank="0" text="" dxfId="10">
      <formula>"Evet"</formula>
    </cfRule>
  </conditionalFormatting>
  <conditionalFormatting sqref="D112">
    <cfRule type="cellIs" priority="212" operator="greaterThan" aboveAverage="0" equalAverage="0" bottom="0" percent="0" rank="0" text="" dxfId="8">
      <formula>0</formula>
    </cfRule>
  </conditionalFormatting>
  <conditionalFormatting sqref="E112">
    <cfRule type="cellIs" priority="213" operator="equal" aboveAverage="0" equalAverage="0" bottom="0" percent="0" rank="0" text="" dxfId="10">
      <formula>"Evet"</formula>
    </cfRule>
  </conditionalFormatting>
  <conditionalFormatting sqref="D113">
    <cfRule type="cellIs" priority="214" operator="greaterThan" aboveAverage="0" equalAverage="0" bottom="0" percent="0" rank="0" text="" dxfId="8">
      <formula>0</formula>
    </cfRule>
  </conditionalFormatting>
  <conditionalFormatting sqref="E113">
    <cfRule type="cellIs" priority="215" operator="equal" aboveAverage="0" equalAverage="0" bottom="0" percent="0" rank="0" text="" dxfId="10">
      <formula>"Evet"</formula>
    </cfRule>
  </conditionalFormatting>
  <conditionalFormatting sqref="D114">
    <cfRule type="cellIs" priority="216" operator="greaterThan" aboveAverage="0" equalAverage="0" bottom="0" percent="0" rank="0" text="" dxfId="8">
      <formula>0</formula>
    </cfRule>
  </conditionalFormatting>
  <conditionalFormatting sqref="E114">
    <cfRule type="cellIs" priority="217" operator="equal" aboveAverage="0" equalAverage="0" bottom="0" percent="0" rank="0" text="" dxfId="10">
      <formula>"Evet"</formula>
    </cfRule>
  </conditionalFormatting>
  <conditionalFormatting sqref="D115">
    <cfRule type="cellIs" priority="218" operator="greaterThan" aboveAverage="0" equalAverage="0" bottom="0" percent="0" rank="0" text="" dxfId="8">
      <formula>0</formula>
    </cfRule>
  </conditionalFormatting>
  <conditionalFormatting sqref="E115">
    <cfRule type="cellIs" priority="219" operator="equal" aboveAverage="0" equalAverage="0" bottom="0" percent="0" rank="0" text="" dxfId="10">
      <formula>"Evet"</formula>
    </cfRule>
  </conditionalFormatting>
  <conditionalFormatting sqref="D116">
    <cfRule type="cellIs" priority="220" operator="greaterThan" aboveAverage="0" equalAverage="0" bottom="0" percent="0" rank="0" text="" dxfId="8">
      <formula>0</formula>
    </cfRule>
  </conditionalFormatting>
  <conditionalFormatting sqref="E116">
    <cfRule type="cellIs" priority="221" operator="equal" aboveAverage="0" equalAverage="0" bottom="0" percent="0" rank="0" text="" dxfId="10">
      <formula>"Evet"</formula>
    </cfRule>
  </conditionalFormatting>
  <conditionalFormatting sqref="D117">
    <cfRule type="cellIs" priority="222" operator="greaterThan" aboveAverage="0" equalAverage="0" bottom="0" percent="0" rank="0" text="" dxfId="8">
      <formula>0</formula>
    </cfRule>
  </conditionalFormatting>
  <conditionalFormatting sqref="E117">
    <cfRule type="cellIs" priority="223" operator="equal" aboveAverage="0" equalAverage="0" bottom="0" percent="0" rank="0" text="" dxfId="10">
      <formula>"Evet"</formula>
    </cfRule>
  </conditionalFormatting>
  <conditionalFormatting sqref="D118">
    <cfRule type="cellIs" priority="224" operator="greaterThan" aboveAverage="0" equalAverage="0" bottom="0" percent="0" rank="0" text="" dxfId="8">
      <formula>0</formula>
    </cfRule>
  </conditionalFormatting>
  <conditionalFormatting sqref="E118">
    <cfRule type="cellIs" priority="225" operator="equal" aboveAverage="0" equalAverage="0" bottom="0" percent="0" rank="0" text="" dxfId="10">
      <formula>"Evet"</formula>
    </cfRule>
  </conditionalFormatting>
  <conditionalFormatting sqref="D119">
    <cfRule type="cellIs" priority="226" operator="greaterThan" aboveAverage="0" equalAverage="0" bottom="0" percent="0" rank="0" text="" dxfId="8">
      <formula>0</formula>
    </cfRule>
  </conditionalFormatting>
  <conditionalFormatting sqref="E119">
    <cfRule type="cellIs" priority="227" operator="equal" aboveAverage="0" equalAverage="0" bottom="0" percent="0" rank="0" text="" dxfId="10">
      <formula>"Evet"</formula>
    </cfRule>
  </conditionalFormatting>
  <conditionalFormatting sqref="D120">
    <cfRule type="cellIs" priority="228" operator="greaterThan" aboveAverage="0" equalAverage="0" bottom="0" percent="0" rank="0" text="" dxfId="8">
      <formula>0</formula>
    </cfRule>
  </conditionalFormatting>
  <conditionalFormatting sqref="E120">
    <cfRule type="cellIs" priority="229" operator="equal" aboveAverage="0" equalAverage="0" bottom="0" percent="0" rank="0" text="" dxfId="10">
      <formula>"Evet"</formula>
    </cfRule>
  </conditionalFormatting>
  <conditionalFormatting sqref="D121">
    <cfRule type="cellIs" priority="230" operator="greaterThan" aboveAverage="0" equalAverage="0" bottom="0" percent="0" rank="0" text="" dxfId="8">
      <formula>0</formula>
    </cfRule>
  </conditionalFormatting>
  <conditionalFormatting sqref="E121">
    <cfRule type="cellIs" priority="231" operator="equal" aboveAverage="0" equalAverage="0" bottom="0" percent="0" rank="0" text="" dxfId="10">
      <formula>"Evet"</formula>
    </cfRule>
  </conditionalFormatting>
  <conditionalFormatting sqref="D122">
    <cfRule type="cellIs" priority="232" operator="greaterThan" aboveAverage="0" equalAverage="0" bottom="0" percent="0" rank="0" text="" dxfId="8">
      <formula>0</formula>
    </cfRule>
  </conditionalFormatting>
  <conditionalFormatting sqref="E122">
    <cfRule type="cellIs" priority="233" operator="equal" aboveAverage="0" equalAverage="0" bottom="0" percent="0" rank="0" text="" dxfId="10">
      <formula>"Evet"</formula>
    </cfRule>
  </conditionalFormatting>
  <conditionalFormatting sqref="D123">
    <cfRule type="cellIs" priority="234" operator="greaterThan" aboveAverage="0" equalAverage="0" bottom="0" percent="0" rank="0" text="" dxfId="8">
      <formula>0</formula>
    </cfRule>
  </conditionalFormatting>
  <conditionalFormatting sqref="E123">
    <cfRule type="cellIs" priority="235" operator="equal" aboveAverage="0" equalAverage="0" bottom="0" percent="0" rank="0" text="" dxfId="10">
      <formula>"Evet"</formula>
    </cfRule>
  </conditionalFormatting>
  <conditionalFormatting sqref="D124">
    <cfRule type="cellIs" priority="236" operator="greaterThan" aboveAverage="0" equalAverage="0" bottom="0" percent="0" rank="0" text="" dxfId="8">
      <formula>0</formula>
    </cfRule>
  </conditionalFormatting>
  <conditionalFormatting sqref="E124">
    <cfRule type="cellIs" priority="237" operator="equal" aboveAverage="0" equalAverage="0" bottom="0" percent="0" rank="0" text="" dxfId="10">
      <formula>"Evet"</formula>
    </cfRule>
  </conditionalFormatting>
  <conditionalFormatting sqref="D125">
    <cfRule type="cellIs" priority="238" operator="greaterThan" aboveAverage="0" equalAverage="0" bottom="0" percent="0" rank="0" text="" dxfId="8">
      <formula>0</formula>
    </cfRule>
  </conditionalFormatting>
  <conditionalFormatting sqref="E125">
    <cfRule type="cellIs" priority="239" operator="equal" aboveAverage="0" equalAverage="0" bottom="0" percent="0" rank="0" text="" dxfId="10">
      <formula>"Evet"</formula>
    </cfRule>
  </conditionalFormatting>
  <conditionalFormatting sqref="D126">
    <cfRule type="cellIs" priority="240" operator="greaterThan" aboveAverage="0" equalAverage="0" bottom="0" percent="0" rank="0" text="" dxfId="8">
      <formula>0</formula>
    </cfRule>
  </conditionalFormatting>
  <conditionalFormatting sqref="E126">
    <cfRule type="cellIs" priority="241" operator="equal" aboveAverage="0" equalAverage="0" bottom="0" percent="0" rank="0" text="" dxfId="10">
      <formula>"Evet"</formula>
    </cfRule>
  </conditionalFormatting>
  <conditionalFormatting sqref="D127">
    <cfRule type="cellIs" priority="242" operator="greaterThan" aboveAverage="0" equalAverage="0" bottom="0" percent="0" rank="0" text="" dxfId="8">
      <formula>0</formula>
    </cfRule>
  </conditionalFormatting>
  <conditionalFormatting sqref="E127">
    <cfRule type="cellIs" priority="243" operator="equal" aboveAverage="0" equalAverage="0" bottom="0" percent="0" rank="0" text="" dxfId="10">
      <formula>"Evet"</formula>
    </cfRule>
  </conditionalFormatting>
  <conditionalFormatting sqref="D128">
    <cfRule type="cellIs" priority="244" operator="greaterThan" aboveAverage="0" equalAverage="0" bottom="0" percent="0" rank="0" text="" dxfId="8">
      <formula>0</formula>
    </cfRule>
  </conditionalFormatting>
  <conditionalFormatting sqref="E128">
    <cfRule type="cellIs" priority="245" operator="equal" aboveAverage="0" equalAverage="0" bottom="0" percent="0" rank="0" text="" dxfId="10">
      <formula>"Evet"</formula>
    </cfRule>
  </conditionalFormatting>
  <conditionalFormatting sqref="D129">
    <cfRule type="cellIs" priority="246" operator="greaterThan" aboveAverage="0" equalAverage="0" bottom="0" percent="0" rank="0" text="" dxfId="8">
      <formula>0</formula>
    </cfRule>
  </conditionalFormatting>
  <conditionalFormatting sqref="E129">
    <cfRule type="cellIs" priority="247" operator="equal" aboveAverage="0" equalAverage="0" bottom="0" percent="0" rank="0" text="" dxfId="10">
      <formula>"Evet"</formula>
    </cfRule>
  </conditionalFormatting>
  <conditionalFormatting sqref="D130">
    <cfRule type="cellIs" priority="248" operator="greaterThan" aboveAverage="0" equalAverage="0" bottom="0" percent="0" rank="0" text="" dxfId="8">
      <formula>0</formula>
    </cfRule>
  </conditionalFormatting>
  <conditionalFormatting sqref="E130">
    <cfRule type="cellIs" priority="249" operator="equal" aboveAverage="0" equalAverage="0" bottom="0" percent="0" rank="0" text="" dxfId="10">
      <formula>"Evet"</formula>
    </cfRule>
  </conditionalFormatting>
  <conditionalFormatting sqref="D131">
    <cfRule type="cellIs" priority="250" operator="greaterThan" aboveAverage="0" equalAverage="0" bottom="0" percent="0" rank="0" text="" dxfId="8">
      <formula>0</formula>
    </cfRule>
  </conditionalFormatting>
  <conditionalFormatting sqref="E131">
    <cfRule type="cellIs" priority="251" operator="equal" aboveAverage="0" equalAverage="0" bottom="0" percent="0" rank="0" text="" dxfId="10">
      <formula>"Evet"</formula>
    </cfRule>
  </conditionalFormatting>
  <conditionalFormatting sqref="D132">
    <cfRule type="cellIs" priority="252" operator="greaterThan" aboveAverage="0" equalAverage="0" bottom="0" percent="0" rank="0" text="" dxfId="8">
      <formula>0</formula>
    </cfRule>
  </conditionalFormatting>
  <conditionalFormatting sqref="E132">
    <cfRule type="cellIs" priority="253" operator="equal" aboveAverage="0" equalAverage="0" bottom="0" percent="0" rank="0" text="" dxfId="10">
      <formula>"Evet"</formula>
    </cfRule>
  </conditionalFormatting>
  <conditionalFormatting sqref="D133">
    <cfRule type="cellIs" priority="254" operator="greaterThan" aboveAverage="0" equalAverage="0" bottom="0" percent="0" rank="0" text="" dxfId="8">
      <formula>0</formula>
    </cfRule>
  </conditionalFormatting>
  <conditionalFormatting sqref="E133">
    <cfRule type="cellIs" priority="255" operator="equal" aboveAverage="0" equalAverage="0" bottom="0" percent="0" rank="0" text="" dxfId="10">
      <formula>"Evet"</formula>
    </cfRule>
  </conditionalFormatting>
  <conditionalFormatting sqref="D134">
    <cfRule type="cellIs" priority="256" operator="greaterThan" aboveAverage="0" equalAverage="0" bottom="0" percent="0" rank="0" text="" dxfId="8">
      <formula>0</formula>
    </cfRule>
  </conditionalFormatting>
  <conditionalFormatting sqref="E134">
    <cfRule type="cellIs" priority="257" operator="equal" aboveAverage="0" equalAverage="0" bottom="0" percent="0" rank="0" text="" dxfId="10">
      <formula>"Evet"</formula>
    </cfRule>
  </conditionalFormatting>
  <conditionalFormatting sqref="D135">
    <cfRule type="cellIs" priority="258" operator="greaterThan" aboveAverage="0" equalAverage="0" bottom="0" percent="0" rank="0" text="" dxfId="8">
      <formula>0</formula>
    </cfRule>
  </conditionalFormatting>
  <conditionalFormatting sqref="E135">
    <cfRule type="cellIs" priority="259" operator="equal" aboveAverage="0" equalAverage="0" bottom="0" percent="0" rank="0" text="" dxfId="10">
      <formula>"Evet"</formula>
    </cfRule>
  </conditionalFormatting>
  <conditionalFormatting sqref="D136">
    <cfRule type="cellIs" priority="260" operator="greaterThan" aboveAverage="0" equalAverage="0" bottom="0" percent="0" rank="0" text="" dxfId="8">
      <formula>0</formula>
    </cfRule>
  </conditionalFormatting>
  <conditionalFormatting sqref="E136">
    <cfRule type="cellIs" priority="261" operator="equal" aboveAverage="0" equalAverage="0" bottom="0" percent="0" rank="0" text="" dxfId="10">
      <formula>"Evet"</formula>
    </cfRule>
  </conditionalFormatting>
  <conditionalFormatting sqref="D137">
    <cfRule type="cellIs" priority="262" operator="greaterThan" aboveAverage="0" equalAverage="0" bottom="0" percent="0" rank="0" text="" dxfId="8">
      <formula>0</formula>
    </cfRule>
  </conditionalFormatting>
  <conditionalFormatting sqref="E137">
    <cfRule type="cellIs" priority="263" operator="equal" aboveAverage="0" equalAverage="0" bottom="0" percent="0" rank="0" text="" dxfId="10">
      <formula>"Evet"</formula>
    </cfRule>
  </conditionalFormatting>
  <conditionalFormatting sqref="D138">
    <cfRule type="cellIs" priority="264" operator="greaterThan" aboveAverage="0" equalAverage="0" bottom="0" percent="0" rank="0" text="" dxfId="8">
      <formula>0</formula>
    </cfRule>
  </conditionalFormatting>
  <conditionalFormatting sqref="E138">
    <cfRule type="cellIs" priority="265" operator="equal" aboveAverage="0" equalAverage="0" bottom="0" percent="0" rank="0" text="" dxfId="10">
      <formula>"Evet"</formula>
    </cfRule>
  </conditionalFormatting>
  <conditionalFormatting sqref="D139">
    <cfRule type="cellIs" priority="266" operator="greaterThan" aboveAverage="0" equalAverage="0" bottom="0" percent="0" rank="0" text="" dxfId="8">
      <formula>0</formula>
    </cfRule>
  </conditionalFormatting>
  <conditionalFormatting sqref="E139">
    <cfRule type="cellIs" priority="267" operator="equal" aboveAverage="0" equalAverage="0" bottom="0" percent="0" rank="0" text="" dxfId="10">
      <formula>"Evet"</formula>
    </cfRule>
  </conditionalFormatting>
  <conditionalFormatting sqref="D140">
    <cfRule type="cellIs" priority="268" operator="greaterThan" aboveAverage="0" equalAverage="0" bottom="0" percent="0" rank="0" text="" dxfId="8">
      <formula>0</formula>
    </cfRule>
  </conditionalFormatting>
  <conditionalFormatting sqref="E140">
    <cfRule type="cellIs" priority="269" operator="equal" aboveAverage="0" equalAverage="0" bottom="0" percent="0" rank="0" text="" dxfId="10">
      <formula>"Evet"</formula>
    </cfRule>
  </conditionalFormatting>
  <conditionalFormatting sqref="D141">
    <cfRule type="cellIs" priority="270" operator="greaterThan" aboveAverage="0" equalAverage="0" bottom="0" percent="0" rank="0" text="" dxfId="8">
      <formula>0</formula>
    </cfRule>
  </conditionalFormatting>
  <conditionalFormatting sqref="E141">
    <cfRule type="cellIs" priority="271" operator="equal" aboveAverage="0" equalAverage="0" bottom="0" percent="0" rank="0" text="" dxfId="10">
      <formula>"Evet"</formula>
    </cfRule>
  </conditionalFormatting>
  <conditionalFormatting sqref="D142">
    <cfRule type="cellIs" priority="272" operator="greaterThan" aboveAverage="0" equalAverage="0" bottom="0" percent="0" rank="0" text="" dxfId="8">
      <formula>0</formula>
    </cfRule>
  </conditionalFormatting>
  <conditionalFormatting sqref="E142">
    <cfRule type="cellIs" priority="273" operator="equal" aboveAverage="0" equalAverage="0" bottom="0" percent="0" rank="0" text="" dxfId="10">
      <formula>"Evet"</formula>
    </cfRule>
  </conditionalFormatting>
  <conditionalFormatting sqref="D143">
    <cfRule type="cellIs" priority="274" operator="greaterThan" aboveAverage="0" equalAverage="0" bottom="0" percent="0" rank="0" text="" dxfId="8">
      <formula>0</formula>
    </cfRule>
  </conditionalFormatting>
  <conditionalFormatting sqref="E143">
    <cfRule type="cellIs" priority="275" operator="equal" aboveAverage="0" equalAverage="0" bottom="0" percent="0" rank="0" text="" dxfId="10">
      <formula>"Evet"</formula>
    </cfRule>
  </conditionalFormatting>
  <conditionalFormatting sqref="D144">
    <cfRule type="cellIs" priority="276" operator="greaterThan" aboveAverage="0" equalAverage="0" bottom="0" percent="0" rank="0" text="" dxfId="8">
      <formula>0</formula>
    </cfRule>
  </conditionalFormatting>
  <conditionalFormatting sqref="E144">
    <cfRule type="cellIs" priority="277" operator="equal" aboveAverage="0" equalAverage="0" bottom="0" percent="0" rank="0" text="" dxfId="10">
      <formula>"Evet"</formula>
    </cfRule>
  </conditionalFormatting>
  <conditionalFormatting sqref="D145">
    <cfRule type="cellIs" priority="278" operator="greaterThan" aboveAverage="0" equalAverage="0" bottom="0" percent="0" rank="0" text="" dxfId="8">
      <formula>0</formula>
    </cfRule>
  </conditionalFormatting>
  <conditionalFormatting sqref="E145">
    <cfRule type="cellIs" priority="279" operator="equal" aboveAverage="0" equalAverage="0" bottom="0" percent="0" rank="0" text="" dxfId="10">
      <formula>"Evet"</formula>
    </cfRule>
  </conditionalFormatting>
  <conditionalFormatting sqref="D146">
    <cfRule type="cellIs" priority="280" operator="greaterThan" aboveAverage="0" equalAverage="0" bottom="0" percent="0" rank="0" text="" dxfId="8">
      <formula>0</formula>
    </cfRule>
  </conditionalFormatting>
  <conditionalFormatting sqref="E146">
    <cfRule type="cellIs" priority="281" operator="equal" aboveAverage="0" equalAverage="0" bottom="0" percent="0" rank="0" text="" dxfId="10">
      <formula>"Evet"</formula>
    </cfRule>
  </conditionalFormatting>
  <conditionalFormatting sqref="D147">
    <cfRule type="cellIs" priority="282" operator="greaterThan" aboveAverage="0" equalAverage="0" bottom="0" percent="0" rank="0" text="" dxfId="8">
      <formula>0</formula>
    </cfRule>
  </conditionalFormatting>
  <conditionalFormatting sqref="E147">
    <cfRule type="cellIs" priority="283" operator="equal" aboveAverage="0" equalAverage="0" bottom="0" percent="0" rank="0" text="" dxfId="10">
      <formula>"Evet"</formula>
    </cfRule>
  </conditionalFormatting>
  <conditionalFormatting sqref="D148">
    <cfRule type="cellIs" priority="284" operator="greaterThan" aboveAverage="0" equalAverage="0" bottom="0" percent="0" rank="0" text="" dxfId="8">
      <formula>0</formula>
    </cfRule>
  </conditionalFormatting>
  <conditionalFormatting sqref="E148">
    <cfRule type="cellIs" priority="285" operator="equal" aboveAverage="0" equalAverage="0" bottom="0" percent="0" rank="0" text="" dxfId="10">
      <formula>"Evet"</formula>
    </cfRule>
  </conditionalFormatting>
  <conditionalFormatting sqref="D149">
    <cfRule type="cellIs" priority="286" operator="greaterThan" aboveAverage="0" equalAverage="0" bottom="0" percent="0" rank="0" text="" dxfId="8">
      <formula>0</formula>
    </cfRule>
  </conditionalFormatting>
  <conditionalFormatting sqref="E149">
    <cfRule type="cellIs" priority="287" operator="equal" aboveAverage="0" equalAverage="0" bottom="0" percent="0" rank="0" text="" dxfId="10">
      <formula>"Evet"</formula>
    </cfRule>
  </conditionalFormatting>
  <conditionalFormatting sqref="D150">
    <cfRule type="cellIs" priority="288" operator="greaterThan" aboveAverage="0" equalAverage="0" bottom="0" percent="0" rank="0" text="" dxfId="8">
      <formula>0</formula>
    </cfRule>
  </conditionalFormatting>
  <conditionalFormatting sqref="E150">
    <cfRule type="cellIs" priority="289" operator="equal" aboveAverage="0" equalAverage="0" bottom="0" percent="0" rank="0" text="" dxfId="10">
      <formula>"Evet"</formula>
    </cfRule>
  </conditionalFormatting>
  <conditionalFormatting sqref="D151">
    <cfRule type="cellIs" priority="290" operator="greaterThan" aboveAverage="0" equalAverage="0" bottom="0" percent="0" rank="0" text="" dxfId="8">
      <formula>0</formula>
    </cfRule>
  </conditionalFormatting>
  <conditionalFormatting sqref="E151">
    <cfRule type="cellIs" priority="291" operator="equal" aboveAverage="0" equalAverage="0" bottom="0" percent="0" rank="0" text="" dxfId="10">
      <formula>"Evet"</formula>
    </cfRule>
  </conditionalFormatting>
  <conditionalFormatting sqref="D152">
    <cfRule type="cellIs" priority="292" operator="greaterThan" aboveAverage="0" equalAverage="0" bottom="0" percent="0" rank="0" text="" dxfId="8">
      <formula>0</formula>
    </cfRule>
  </conditionalFormatting>
  <conditionalFormatting sqref="E152">
    <cfRule type="cellIs" priority="293" operator="equal" aboveAverage="0" equalAverage="0" bottom="0" percent="0" rank="0" text="" dxfId="10">
      <formula>"Evet"</formula>
    </cfRule>
  </conditionalFormatting>
  <conditionalFormatting sqref="D153">
    <cfRule type="cellIs" priority="294" operator="greaterThan" aboveAverage="0" equalAverage="0" bottom="0" percent="0" rank="0" text="" dxfId="8">
      <formula>0</formula>
    </cfRule>
  </conditionalFormatting>
  <conditionalFormatting sqref="E153">
    <cfRule type="cellIs" priority="295" operator="equal" aboveAverage="0" equalAverage="0" bottom="0" percent="0" rank="0" text="" dxfId="10">
      <formula>"Evet"</formula>
    </cfRule>
  </conditionalFormatting>
  <conditionalFormatting sqref="D154">
    <cfRule type="cellIs" priority="296" operator="greaterThan" aboveAverage="0" equalAverage="0" bottom="0" percent="0" rank="0" text="" dxfId="8">
      <formula>0</formula>
    </cfRule>
  </conditionalFormatting>
  <conditionalFormatting sqref="E154">
    <cfRule type="cellIs" priority="297" operator="equal" aboveAverage="0" equalAverage="0" bottom="0" percent="0" rank="0" text="" dxfId="10">
      <formula>"Evet"</formula>
    </cfRule>
  </conditionalFormatting>
  <conditionalFormatting sqref="D155">
    <cfRule type="cellIs" priority="298" operator="greaterThan" aboveAverage="0" equalAverage="0" bottom="0" percent="0" rank="0" text="" dxfId="8">
      <formula>0</formula>
    </cfRule>
  </conditionalFormatting>
  <conditionalFormatting sqref="E155">
    <cfRule type="cellIs" priority="299" operator="equal" aboveAverage="0" equalAverage="0" bottom="0" percent="0" rank="0" text="" dxfId="10">
      <formula>"Evet"</formula>
    </cfRule>
  </conditionalFormatting>
  <conditionalFormatting sqref="D156">
    <cfRule type="cellIs" priority="300" operator="greaterThan" aboveAverage="0" equalAverage="0" bottom="0" percent="0" rank="0" text="" dxfId="8">
      <formula>0</formula>
    </cfRule>
  </conditionalFormatting>
  <conditionalFormatting sqref="E156">
    <cfRule type="cellIs" priority="301" operator="equal" aboveAverage="0" equalAverage="0" bottom="0" percent="0" rank="0" text="" dxfId="10">
      <formula>"Evet"</formula>
    </cfRule>
  </conditionalFormatting>
  <conditionalFormatting sqref="D157">
    <cfRule type="cellIs" priority="302" operator="greaterThan" aboveAverage="0" equalAverage="0" bottom="0" percent="0" rank="0" text="" dxfId="8">
      <formula>0</formula>
    </cfRule>
  </conditionalFormatting>
  <conditionalFormatting sqref="E157">
    <cfRule type="cellIs" priority="303" operator="equal" aboveAverage="0" equalAverage="0" bottom="0" percent="0" rank="0" text="" dxfId="10">
      <formula>"Evet"</formula>
    </cfRule>
  </conditionalFormatting>
  <conditionalFormatting sqref="D158">
    <cfRule type="cellIs" priority="304" operator="greaterThan" aboveAverage="0" equalAverage="0" bottom="0" percent="0" rank="0" text="" dxfId="8">
      <formula>0</formula>
    </cfRule>
  </conditionalFormatting>
  <conditionalFormatting sqref="E158">
    <cfRule type="cellIs" priority="305" operator="equal" aboveAverage="0" equalAverage="0" bottom="0" percent="0" rank="0" text="" dxfId="10">
      <formula>"Evet"</formula>
    </cfRule>
  </conditionalFormatting>
  <conditionalFormatting sqref="D159">
    <cfRule type="cellIs" priority="306" operator="greaterThan" aboveAverage="0" equalAverage="0" bottom="0" percent="0" rank="0" text="" dxfId="8">
      <formula>0</formula>
    </cfRule>
  </conditionalFormatting>
  <conditionalFormatting sqref="E159">
    <cfRule type="cellIs" priority="307" operator="equal" aboveAverage="0" equalAverage="0" bottom="0" percent="0" rank="0" text="" dxfId="10">
      <formula>"Evet"</formula>
    </cfRule>
  </conditionalFormatting>
  <conditionalFormatting sqref="D160">
    <cfRule type="cellIs" priority="308" operator="greaterThan" aboveAverage="0" equalAverage="0" bottom="0" percent="0" rank="0" text="" dxfId="8">
      <formula>0</formula>
    </cfRule>
  </conditionalFormatting>
  <conditionalFormatting sqref="E160">
    <cfRule type="cellIs" priority="309" operator="equal" aboveAverage="0" equalAverage="0" bottom="0" percent="0" rank="0" text="" dxfId="10">
      <formula>"Evet"</formula>
    </cfRule>
  </conditionalFormatting>
  <conditionalFormatting sqref="D161">
    <cfRule type="cellIs" priority="310" operator="greaterThan" aboveAverage="0" equalAverage="0" bottom="0" percent="0" rank="0" text="" dxfId="8">
      <formula>0</formula>
    </cfRule>
  </conditionalFormatting>
  <conditionalFormatting sqref="E161">
    <cfRule type="cellIs" priority="311" operator="equal" aboveAverage="0" equalAverage="0" bottom="0" percent="0" rank="0" text="" dxfId="10">
      <formula>"Evet"</formula>
    </cfRule>
  </conditionalFormatting>
  <conditionalFormatting sqref="D162">
    <cfRule type="cellIs" priority="312" operator="greaterThan" aboveAverage="0" equalAverage="0" bottom="0" percent="0" rank="0" text="" dxfId="8">
      <formula>0</formula>
    </cfRule>
  </conditionalFormatting>
  <conditionalFormatting sqref="E162">
    <cfRule type="cellIs" priority="313" operator="equal" aboveAverage="0" equalAverage="0" bottom="0" percent="0" rank="0" text="" dxfId="10">
      <formula>"Evet"</formula>
    </cfRule>
  </conditionalFormatting>
  <conditionalFormatting sqref="D163">
    <cfRule type="cellIs" priority="314" operator="greaterThan" aboveAverage="0" equalAverage="0" bottom="0" percent="0" rank="0" text="" dxfId="8">
      <formula>0</formula>
    </cfRule>
  </conditionalFormatting>
  <conditionalFormatting sqref="E163">
    <cfRule type="cellIs" priority="315" operator="equal" aboveAverage="0" equalAverage="0" bottom="0" percent="0" rank="0" text="" dxfId="10">
      <formula>"Evet"</formula>
    </cfRule>
  </conditionalFormatting>
  <conditionalFormatting sqref="D164">
    <cfRule type="cellIs" priority="316" operator="greaterThan" aboveAverage="0" equalAverage="0" bottom="0" percent="0" rank="0" text="" dxfId="8">
      <formula>0</formula>
    </cfRule>
  </conditionalFormatting>
  <conditionalFormatting sqref="E164">
    <cfRule type="cellIs" priority="317" operator="equal" aboveAverage="0" equalAverage="0" bottom="0" percent="0" rank="0" text="" dxfId="10">
      <formula>"Evet"</formula>
    </cfRule>
  </conditionalFormatting>
  <conditionalFormatting sqref="D165">
    <cfRule type="cellIs" priority="318" operator="greaterThan" aboveAverage="0" equalAverage="0" bottom="0" percent="0" rank="0" text="" dxfId="8">
      <formula>0</formula>
    </cfRule>
  </conditionalFormatting>
  <conditionalFormatting sqref="E165">
    <cfRule type="cellIs" priority="319" operator="equal" aboveAverage="0" equalAverage="0" bottom="0" percent="0" rank="0" text="" dxfId="10">
      <formula>"Evet"</formula>
    </cfRule>
  </conditionalFormatting>
  <conditionalFormatting sqref="D166">
    <cfRule type="cellIs" priority="320" operator="greaterThan" aboveAverage="0" equalAverage="0" bottom="0" percent="0" rank="0" text="" dxfId="8">
      <formula>0</formula>
    </cfRule>
  </conditionalFormatting>
  <conditionalFormatting sqref="E166">
    <cfRule type="cellIs" priority="321" operator="equal" aboveAverage="0" equalAverage="0" bottom="0" percent="0" rank="0" text="" dxfId="10">
      <formula>"Evet"</formula>
    </cfRule>
  </conditionalFormatting>
  <conditionalFormatting sqref="D167">
    <cfRule type="cellIs" priority="322" operator="greaterThan" aboveAverage="0" equalAverage="0" bottom="0" percent="0" rank="0" text="" dxfId="8">
      <formula>0</formula>
    </cfRule>
  </conditionalFormatting>
  <conditionalFormatting sqref="E167">
    <cfRule type="cellIs" priority="323" operator="equal" aboveAverage="0" equalAverage="0" bottom="0" percent="0" rank="0" text="" dxfId="10">
      <formula>"Evet"</formula>
    </cfRule>
  </conditionalFormatting>
  <conditionalFormatting sqref="D168">
    <cfRule type="cellIs" priority="324" operator="greaterThan" aboveAverage="0" equalAverage="0" bottom="0" percent="0" rank="0" text="" dxfId="8">
      <formula>0</formula>
    </cfRule>
  </conditionalFormatting>
  <conditionalFormatting sqref="E168">
    <cfRule type="cellIs" priority="325" operator="equal" aboveAverage="0" equalAverage="0" bottom="0" percent="0" rank="0" text="" dxfId="10">
      <formula>"Evet"</formula>
    </cfRule>
  </conditionalFormatting>
  <conditionalFormatting sqref="D169">
    <cfRule type="cellIs" priority="326" operator="greaterThan" aboveAverage="0" equalAverage="0" bottom="0" percent="0" rank="0" text="" dxfId="8">
      <formula>0</formula>
    </cfRule>
  </conditionalFormatting>
  <conditionalFormatting sqref="E169">
    <cfRule type="cellIs" priority="327" operator="equal" aboveAverage="0" equalAverage="0" bottom="0" percent="0" rank="0" text="" dxfId="10">
      <formula>"Evet"</formula>
    </cfRule>
  </conditionalFormatting>
  <conditionalFormatting sqref="D170">
    <cfRule type="cellIs" priority="328" operator="greaterThan" aboveAverage="0" equalAverage="0" bottom="0" percent="0" rank="0" text="" dxfId="8">
      <formula>0</formula>
    </cfRule>
  </conditionalFormatting>
  <conditionalFormatting sqref="E170">
    <cfRule type="cellIs" priority="329" operator="equal" aboveAverage="0" equalAverage="0" bottom="0" percent="0" rank="0" text="" dxfId="10">
      <formula>"Evet"</formula>
    </cfRule>
  </conditionalFormatting>
  <conditionalFormatting sqref="D171">
    <cfRule type="cellIs" priority="330" operator="greaterThan" aboveAverage="0" equalAverage="0" bottom="0" percent="0" rank="0" text="" dxfId="8">
      <formula>0</formula>
    </cfRule>
  </conditionalFormatting>
  <conditionalFormatting sqref="E171">
    <cfRule type="cellIs" priority="331" operator="equal" aboveAverage="0" equalAverage="0" bottom="0" percent="0" rank="0" text="" dxfId="10">
      <formula>"Evet"</formula>
    </cfRule>
  </conditionalFormatting>
  <conditionalFormatting sqref="D172">
    <cfRule type="cellIs" priority="332" operator="greaterThan" aboveAverage="0" equalAverage="0" bottom="0" percent="0" rank="0" text="" dxfId="8">
      <formula>0</formula>
    </cfRule>
  </conditionalFormatting>
  <conditionalFormatting sqref="E172">
    <cfRule type="cellIs" priority="333" operator="equal" aboveAverage="0" equalAverage="0" bottom="0" percent="0" rank="0" text="" dxfId="10">
      <formula>"Evet"</formula>
    </cfRule>
  </conditionalFormatting>
  <conditionalFormatting sqref="D173">
    <cfRule type="cellIs" priority="334" operator="greaterThan" aboveAverage="0" equalAverage="0" bottom="0" percent="0" rank="0" text="" dxfId="8">
      <formula>0</formula>
    </cfRule>
  </conditionalFormatting>
  <conditionalFormatting sqref="E173">
    <cfRule type="cellIs" priority="335" operator="equal" aboveAverage="0" equalAverage="0" bottom="0" percent="0" rank="0" text="" dxfId="10">
      <formula>"Evet"</formula>
    </cfRule>
  </conditionalFormatting>
  <conditionalFormatting sqref="D174">
    <cfRule type="cellIs" priority="336" operator="greaterThan" aboveAverage="0" equalAverage="0" bottom="0" percent="0" rank="0" text="" dxfId="8">
      <formula>0</formula>
    </cfRule>
  </conditionalFormatting>
  <conditionalFormatting sqref="E174">
    <cfRule type="cellIs" priority="337" operator="equal" aboveAverage="0" equalAverage="0" bottom="0" percent="0" rank="0" text="" dxfId="10">
      <formula>"Evet"</formula>
    </cfRule>
  </conditionalFormatting>
  <conditionalFormatting sqref="D175">
    <cfRule type="cellIs" priority="338" operator="greaterThan" aboveAverage="0" equalAverage="0" bottom="0" percent="0" rank="0" text="" dxfId="8">
      <formula>0</formula>
    </cfRule>
  </conditionalFormatting>
  <conditionalFormatting sqref="E175">
    <cfRule type="cellIs" priority="339" operator="equal" aboveAverage="0" equalAverage="0" bottom="0" percent="0" rank="0" text="" dxfId="10">
      <formula>"Evet"</formula>
    </cfRule>
  </conditionalFormatting>
  <conditionalFormatting sqref="D176">
    <cfRule type="cellIs" priority="340" operator="greaterThan" aboveAverage="0" equalAverage="0" bottom="0" percent="0" rank="0" text="" dxfId="8">
      <formula>0</formula>
    </cfRule>
  </conditionalFormatting>
  <conditionalFormatting sqref="E176">
    <cfRule type="cellIs" priority="341" operator="equal" aboveAverage="0" equalAverage="0" bottom="0" percent="0" rank="0" text="" dxfId="10">
      <formula>"Evet"</formula>
    </cfRule>
  </conditionalFormatting>
  <conditionalFormatting sqref="D177">
    <cfRule type="cellIs" priority="342" operator="greaterThan" aboveAverage="0" equalAverage="0" bottom="0" percent="0" rank="0" text="" dxfId="8">
      <formula>0</formula>
    </cfRule>
  </conditionalFormatting>
  <conditionalFormatting sqref="E177">
    <cfRule type="cellIs" priority="343" operator="equal" aboveAverage="0" equalAverage="0" bottom="0" percent="0" rank="0" text="" dxfId="10">
      <formula>"Evet"</formula>
    </cfRule>
  </conditionalFormatting>
  <conditionalFormatting sqref="D178">
    <cfRule type="cellIs" priority="344" operator="greaterThan" aboveAverage="0" equalAverage="0" bottom="0" percent="0" rank="0" text="" dxfId="8">
      <formula>0</formula>
    </cfRule>
  </conditionalFormatting>
  <conditionalFormatting sqref="E178">
    <cfRule type="cellIs" priority="345" operator="equal" aboveAverage="0" equalAverage="0" bottom="0" percent="0" rank="0" text="" dxfId="10">
      <formula>"Evet"</formula>
    </cfRule>
  </conditionalFormatting>
  <conditionalFormatting sqref="D179">
    <cfRule type="cellIs" priority="346" operator="greaterThan" aboveAverage="0" equalAverage="0" bottom="0" percent="0" rank="0" text="" dxfId="8">
      <formula>0</formula>
    </cfRule>
  </conditionalFormatting>
  <conditionalFormatting sqref="E179">
    <cfRule type="cellIs" priority="347" operator="equal" aboveAverage="0" equalAverage="0" bottom="0" percent="0" rank="0" text="" dxfId="10">
      <formula>"Evet"</formula>
    </cfRule>
  </conditionalFormatting>
  <conditionalFormatting sqref="D180">
    <cfRule type="cellIs" priority="348" operator="greaterThan" aboveAverage="0" equalAverage="0" bottom="0" percent="0" rank="0" text="" dxfId="8">
      <formula>0</formula>
    </cfRule>
  </conditionalFormatting>
  <conditionalFormatting sqref="E180">
    <cfRule type="cellIs" priority="349" operator="equal" aboveAverage="0" equalAverage="0" bottom="0" percent="0" rank="0" text="" dxfId="10">
      <formula>"Evet"</formula>
    </cfRule>
  </conditionalFormatting>
  <conditionalFormatting sqref="D181">
    <cfRule type="cellIs" priority="350" operator="greaterThan" aboveAverage="0" equalAverage="0" bottom="0" percent="0" rank="0" text="" dxfId="8">
      <formula>0</formula>
    </cfRule>
  </conditionalFormatting>
  <conditionalFormatting sqref="E181">
    <cfRule type="cellIs" priority="351" operator="equal" aboveAverage="0" equalAverage="0" bottom="0" percent="0" rank="0" text="" dxfId="10">
      <formula>"Evet"</formula>
    </cfRule>
  </conditionalFormatting>
  <conditionalFormatting sqref="D182">
    <cfRule type="cellIs" priority="352" operator="greaterThan" aboveAverage="0" equalAverage="0" bottom="0" percent="0" rank="0" text="" dxfId="8">
      <formula>0</formula>
    </cfRule>
  </conditionalFormatting>
  <conditionalFormatting sqref="E182">
    <cfRule type="cellIs" priority="353" operator="equal" aboveAverage="0" equalAverage="0" bottom="0" percent="0" rank="0" text="" dxfId="10">
      <formula>"Evet"</formula>
    </cfRule>
  </conditionalFormatting>
  <conditionalFormatting sqref="D183">
    <cfRule type="cellIs" priority="354" operator="greaterThan" aboveAverage="0" equalAverage="0" bottom="0" percent="0" rank="0" text="" dxfId="8">
      <formula>0</formula>
    </cfRule>
  </conditionalFormatting>
  <conditionalFormatting sqref="E183">
    <cfRule type="cellIs" priority="355" operator="equal" aboveAverage="0" equalAverage="0" bottom="0" percent="0" rank="0" text="" dxfId="10">
      <formula>"Evet"</formula>
    </cfRule>
  </conditionalFormatting>
  <conditionalFormatting sqref="D184">
    <cfRule type="cellIs" priority="356" operator="greaterThan" aboveAverage="0" equalAverage="0" bottom="0" percent="0" rank="0" text="" dxfId="8">
      <formula>0</formula>
    </cfRule>
  </conditionalFormatting>
  <conditionalFormatting sqref="E184">
    <cfRule type="cellIs" priority="357" operator="equal" aboveAverage="0" equalAverage="0" bottom="0" percent="0" rank="0" text="" dxfId="10">
      <formula>"Evet"</formula>
    </cfRule>
  </conditionalFormatting>
  <conditionalFormatting sqref="D185">
    <cfRule type="cellIs" priority="358" operator="greaterThan" aboveAverage="0" equalAverage="0" bottom="0" percent="0" rank="0" text="" dxfId="8">
      <formula>0</formula>
    </cfRule>
  </conditionalFormatting>
  <conditionalFormatting sqref="E185">
    <cfRule type="cellIs" priority="359" operator="equal" aboveAverage="0" equalAverage="0" bottom="0" percent="0" rank="0" text="" dxfId="10">
      <formula>"Evet"</formula>
    </cfRule>
  </conditionalFormatting>
  <conditionalFormatting sqref="D186">
    <cfRule type="cellIs" priority="360" operator="greaterThan" aboveAverage="0" equalAverage="0" bottom="0" percent="0" rank="0" text="" dxfId="8">
      <formula>0</formula>
    </cfRule>
  </conditionalFormatting>
  <conditionalFormatting sqref="E186">
    <cfRule type="cellIs" priority="361" operator="equal" aboveAverage="0" equalAverage="0" bottom="0" percent="0" rank="0" text="" dxfId="10">
      <formula>"Evet"</formula>
    </cfRule>
  </conditionalFormatting>
  <conditionalFormatting sqref="D187">
    <cfRule type="cellIs" priority="362" operator="greaterThan" aboveAverage="0" equalAverage="0" bottom="0" percent="0" rank="0" text="" dxfId="8">
      <formula>0</formula>
    </cfRule>
  </conditionalFormatting>
  <conditionalFormatting sqref="E187">
    <cfRule type="cellIs" priority="363" operator="equal" aboveAverage="0" equalAverage="0" bottom="0" percent="0" rank="0" text="" dxfId="10">
      <formula>"Evet"</formula>
    </cfRule>
  </conditionalFormatting>
  <conditionalFormatting sqref="D188">
    <cfRule type="cellIs" priority="364" operator="greaterThan" aboveAverage="0" equalAverage="0" bottom="0" percent="0" rank="0" text="" dxfId="8">
      <formula>0</formula>
    </cfRule>
  </conditionalFormatting>
  <conditionalFormatting sqref="E188">
    <cfRule type="cellIs" priority="365" operator="equal" aboveAverage="0" equalAverage="0" bottom="0" percent="0" rank="0" text="" dxfId="10">
      <formula>"Evet"</formula>
    </cfRule>
  </conditionalFormatting>
  <conditionalFormatting sqref="D189">
    <cfRule type="cellIs" priority="366" operator="greaterThan" aboveAverage="0" equalAverage="0" bottom="0" percent="0" rank="0" text="" dxfId="8">
      <formula>0</formula>
    </cfRule>
  </conditionalFormatting>
  <conditionalFormatting sqref="E189">
    <cfRule type="cellIs" priority="367" operator="equal" aboveAverage="0" equalAverage="0" bottom="0" percent="0" rank="0" text="" dxfId="10">
      <formula>"Evet"</formula>
    </cfRule>
  </conditionalFormatting>
  <conditionalFormatting sqref="D190">
    <cfRule type="cellIs" priority="368" operator="greaterThan" aboveAverage="0" equalAverage="0" bottom="0" percent="0" rank="0" text="" dxfId="8">
      <formula>0</formula>
    </cfRule>
  </conditionalFormatting>
  <conditionalFormatting sqref="E190">
    <cfRule type="cellIs" priority="369" operator="equal" aboveAverage="0" equalAverage="0" bottom="0" percent="0" rank="0" text="" dxfId="10">
      <formula>"Evet"</formula>
    </cfRule>
  </conditionalFormatting>
  <conditionalFormatting sqref="D191">
    <cfRule type="cellIs" priority="370" operator="greaterThan" aboveAverage="0" equalAverage="0" bottom="0" percent="0" rank="0" text="" dxfId="8">
      <formula>0</formula>
    </cfRule>
  </conditionalFormatting>
  <conditionalFormatting sqref="E191">
    <cfRule type="cellIs" priority="371" operator="equal" aboveAverage="0" equalAverage="0" bottom="0" percent="0" rank="0" text="" dxfId="10">
      <formula>"Evet"</formula>
    </cfRule>
  </conditionalFormatting>
  <conditionalFormatting sqref="D192">
    <cfRule type="cellIs" priority="372" operator="greaterThan" aboveAverage="0" equalAverage="0" bottom="0" percent="0" rank="0" text="" dxfId="8">
      <formula>0</formula>
    </cfRule>
  </conditionalFormatting>
  <conditionalFormatting sqref="E192">
    <cfRule type="cellIs" priority="373" operator="equal" aboveAverage="0" equalAverage="0" bottom="0" percent="0" rank="0" text="" dxfId="10">
      <formula>"Evet"</formula>
    </cfRule>
  </conditionalFormatting>
  <conditionalFormatting sqref="D193">
    <cfRule type="cellIs" priority="374" operator="greaterThan" aboveAverage="0" equalAverage="0" bottom="0" percent="0" rank="0" text="" dxfId="8">
      <formula>0</formula>
    </cfRule>
  </conditionalFormatting>
  <conditionalFormatting sqref="E193">
    <cfRule type="cellIs" priority="375" operator="equal" aboveAverage="0" equalAverage="0" bottom="0" percent="0" rank="0" text="" dxfId="10">
      <formula>"Evet"</formula>
    </cfRule>
  </conditionalFormatting>
  <conditionalFormatting sqref="D194">
    <cfRule type="cellIs" priority="376" operator="greaterThan" aboveAverage="0" equalAverage="0" bottom="0" percent="0" rank="0" text="" dxfId="8">
      <formula>0</formula>
    </cfRule>
  </conditionalFormatting>
  <conditionalFormatting sqref="E194">
    <cfRule type="cellIs" priority="377" operator="equal" aboveAverage="0" equalAverage="0" bottom="0" percent="0" rank="0" text="" dxfId="10">
      <formula>"Evet"</formula>
    </cfRule>
  </conditionalFormatting>
  <conditionalFormatting sqref="D195">
    <cfRule type="cellIs" priority="378" operator="greaterThan" aboveAverage="0" equalAverage="0" bottom="0" percent="0" rank="0" text="" dxfId="8">
      <formula>0</formula>
    </cfRule>
  </conditionalFormatting>
  <conditionalFormatting sqref="E195">
    <cfRule type="cellIs" priority="379" operator="equal" aboveAverage="0" equalAverage="0" bottom="0" percent="0" rank="0" text="" dxfId="10">
      <formula>"Evet"</formula>
    </cfRule>
  </conditionalFormatting>
  <conditionalFormatting sqref="D196">
    <cfRule type="cellIs" priority="380" operator="greaterThan" aboveAverage="0" equalAverage="0" bottom="0" percent="0" rank="0" text="" dxfId="8">
      <formula>0</formula>
    </cfRule>
  </conditionalFormatting>
  <conditionalFormatting sqref="E196">
    <cfRule type="cellIs" priority="381" operator="equal" aboveAverage="0" equalAverage="0" bottom="0" percent="0" rank="0" text="" dxfId="10">
      <formula>"Evet"</formula>
    </cfRule>
  </conditionalFormatting>
  <conditionalFormatting sqref="D197">
    <cfRule type="cellIs" priority="382" operator="greaterThan" aboveAverage="0" equalAverage="0" bottom="0" percent="0" rank="0" text="" dxfId="8">
      <formula>0</formula>
    </cfRule>
  </conditionalFormatting>
  <conditionalFormatting sqref="E197">
    <cfRule type="cellIs" priority="383" operator="equal" aboveAverage="0" equalAverage="0" bottom="0" percent="0" rank="0" text="" dxfId="10">
      <formula>"Evet"</formula>
    </cfRule>
  </conditionalFormatting>
  <conditionalFormatting sqref="D198">
    <cfRule type="cellIs" priority="384" operator="greaterThan" aboveAverage="0" equalAverage="0" bottom="0" percent="0" rank="0" text="" dxfId="8">
      <formula>0</formula>
    </cfRule>
  </conditionalFormatting>
  <conditionalFormatting sqref="E198">
    <cfRule type="cellIs" priority="385" operator="equal" aboveAverage="0" equalAverage="0" bottom="0" percent="0" rank="0" text="" dxfId="10">
      <formula>"Evet"</formula>
    </cfRule>
  </conditionalFormatting>
  <conditionalFormatting sqref="D199">
    <cfRule type="cellIs" priority="386" operator="greaterThan" aboveAverage="0" equalAverage="0" bottom="0" percent="0" rank="0" text="" dxfId="8">
      <formula>0</formula>
    </cfRule>
  </conditionalFormatting>
  <conditionalFormatting sqref="E199">
    <cfRule type="cellIs" priority="387" operator="equal" aboveAverage="0" equalAverage="0" bottom="0" percent="0" rank="0" text="" dxfId="10">
      <formula>"Evet"</formula>
    </cfRule>
  </conditionalFormatting>
  <conditionalFormatting sqref="D200">
    <cfRule type="cellIs" priority="388" operator="greaterThan" aboveAverage="0" equalAverage="0" bottom="0" percent="0" rank="0" text="" dxfId="8">
      <formula>0</formula>
    </cfRule>
  </conditionalFormatting>
  <conditionalFormatting sqref="E200">
    <cfRule type="cellIs" priority="389" operator="equal" aboveAverage="0" equalAverage="0" bottom="0" percent="0" rank="0" text="" dxfId="10">
      <formula>"Evet"</formula>
    </cfRule>
  </conditionalFormatting>
  <conditionalFormatting sqref="D201">
    <cfRule type="cellIs" priority="390" operator="greaterThan" aboveAverage="0" equalAverage="0" bottom="0" percent="0" rank="0" text="" dxfId="8">
      <formula>0</formula>
    </cfRule>
  </conditionalFormatting>
  <conditionalFormatting sqref="E201">
    <cfRule type="cellIs" priority="391" operator="equal" aboveAverage="0" equalAverage="0" bottom="0" percent="0" rank="0" text="" dxfId="10">
      <formula>"Evet"</formula>
    </cfRule>
  </conditionalFormatting>
  <conditionalFormatting sqref="D202">
    <cfRule type="cellIs" priority="392" operator="greaterThan" aboveAverage="0" equalAverage="0" bottom="0" percent="0" rank="0" text="" dxfId="8">
      <formula>0</formula>
    </cfRule>
  </conditionalFormatting>
  <conditionalFormatting sqref="E202">
    <cfRule type="cellIs" priority="393" operator="equal" aboveAverage="0" equalAverage="0" bottom="0" percent="0" rank="0" text="" dxfId="10">
      <formula>"Evet"</formula>
    </cfRule>
  </conditionalFormatting>
  <conditionalFormatting sqref="D203">
    <cfRule type="cellIs" priority="394" operator="greaterThan" aboveAverage="0" equalAverage="0" bottom="0" percent="0" rank="0" text="" dxfId="8">
      <formula>0</formula>
    </cfRule>
  </conditionalFormatting>
  <conditionalFormatting sqref="E203">
    <cfRule type="cellIs" priority="395" operator="equal" aboveAverage="0" equalAverage="0" bottom="0" percent="0" rank="0" text="" dxfId="10">
      <formula>"Evet"</formula>
    </cfRule>
  </conditionalFormatting>
  <conditionalFormatting sqref="D204">
    <cfRule type="cellIs" priority="396" operator="greaterThan" aboveAverage="0" equalAverage="0" bottom="0" percent="0" rank="0" text="" dxfId="8">
      <formula>0</formula>
    </cfRule>
  </conditionalFormatting>
  <conditionalFormatting sqref="E204">
    <cfRule type="cellIs" priority="397" operator="equal" aboveAverage="0" equalAverage="0" bottom="0" percent="0" rank="0" text="" dxfId="10">
      <formula>"Evet"</formula>
    </cfRule>
  </conditionalFormatting>
  <conditionalFormatting sqref="D205">
    <cfRule type="cellIs" priority="398" operator="greaterThan" aboveAverage="0" equalAverage="0" bottom="0" percent="0" rank="0" text="" dxfId="8">
      <formula>0</formula>
    </cfRule>
  </conditionalFormatting>
  <conditionalFormatting sqref="E205">
    <cfRule type="cellIs" priority="399" operator="equal" aboveAverage="0" equalAverage="0" bottom="0" percent="0" rank="0" text="" dxfId="10">
      <formula>"Evet"</formula>
    </cfRule>
  </conditionalFormatting>
  <conditionalFormatting sqref="D206">
    <cfRule type="cellIs" priority="400" operator="greaterThan" aboveAverage="0" equalAverage="0" bottom="0" percent="0" rank="0" text="" dxfId="8">
      <formula>0</formula>
    </cfRule>
  </conditionalFormatting>
  <conditionalFormatting sqref="E206">
    <cfRule type="cellIs" priority="401" operator="equal" aboveAverage="0" equalAverage="0" bottom="0" percent="0" rank="0" text="" dxfId="10">
      <formula>"Evet"</formula>
    </cfRule>
  </conditionalFormatting>
  <conditionalFormatting sqref="D207">
    <cfRule type="cellIs" priority="402" operator="greaterThan" aboveAverage="0" equalAverage="0" bottom="0" percent="0" rank="0" text="" dxfId="8">
      <formula>0</formula>
    </cfRule>
  </conditionalFormatting>
  <conditionalFormatting sqref="E207">
    <cfRule type="cellIs" priority="403" operator="equal" aboveAverage="0" equalAverage="0" bottom="0" percent="0" rank="0" text="" dxfId="10">
      <formula>"Evet"</formula>
    </cfRule>
  </conditionalFormatting>
  <conditionalFormatting sqref="D208">
    <cfRule type="cellIs" priority="404" operator="greaterThan" aboveAverage="0" equalAverage="0" bottom="0" percent="0" rank="0" text="" dxfId="8">
      <formula>0</formula>
    </cfRule>
  </conditionalFormatting>
  <conditionalFormatting sqref="E208">
    <cfRule type="cellIs" priority="405" operator="equal" aboveAverage="0" equalAverage="0" bottom="0" percent="0" rank="0" text="" dxfId="10">
      <formula>"Evet"</formula>
    </cfRule>
  </conditionalFormatting>
  <conditionalFormatting sqref="D209">
    <cfRule type="cellIs" priority="406" operator="greaterThan" aboveAverage="0" equalAverage="0" bottom="0" percent="0" rank="0" text="" dxfId="8">
      <formula>0</formula>
    </cfRule>
  </conditionalFormatting>
  <conditionalFormatting sqref="E209">
    <cfRule type="cellIs" priority="407" operator="equal" aboveAverage="0" equalAverage="0" bottom="0" percent="0" rank="0" text="" dxfId="10">
      <formula>"Evet"</formula>
    </cfRule>
  </conditionalFormatting>
  <conditionalFormatting sqref="D210">
    <cfRule type="cellIs" priority="408" operator="greaterThan" aboveAverage="0" equalAverage="0" bottom="0" percent="0" rank="0" text="" dxfId="8">
      <formula>0</formula>
    </cfRule>
  </conditionalFormatting>
  <conditionalFormatting sqref="E210">
    <cfRule type="cellIs" priority="409" operator="equal" aboveAverage="0" equalAverage="0" bottom="0" percent="0" rank="0" text="" dxfId="10">
      <formula>"Evet"</formula>
    </cfRule>
  </conditionalFormatting>
  <conditionalFormatting sqref="D211">
    <cfRule type="cellIs" priority="410" operator="greaterThan" aboveAverage="0" equalAverage="0" bottom="0" percent="0" rank="0" text="" dxfId="8">
      <formula>0</formula>
    </cfRule>
  </conditionalFormatting>
  <conditionalFormatting sqref="E211">
    <cfRule type="cellIs" priority="411" operator="equal" aboveAverage="0" equalAverage="0" bottom="0" percent="0" rank="0" text="" dxfId="10">
      <formula>"Evet"</formula>
    </cfRule>
  </conditionalFormatting>
  <conditionalFormatting sqref="D212">
    <cfRule type="cellIs" priority="412" operator="greaterThan" aboveAverage="0" equalAverage="0" bottom="0" percent="0" rank="0" text="" dxfId="8">
      <formula>0</formula>
    </cfRule>
  </conditionalFormatting>
  <conditionalFormatting sqref="E212">
    <cfRule type="cellIs" priority="413" operator="equal" aboveAverage="0" equalAverage="0" bottom="0" percent="0" rank="0" text="" dxfId="10">
      <formula>"Evet"</formula>
    </cfRule>
  </conditionalFormatting>
  <conditionalFormatting sqref="D213">
    <cfRule type="cellIs" priority="414" operator="greaterThan" aboveAverage="0" equalAverage="0" bottom="0" percent="0" rank="0" text="" dxfId="8">
      <formula>0</formula>
    </cfRule>
  </conditionalFormatting>
  <conditionalFormatting sqref="E213">
    <cfRule type="cellIs" priority="415" operator="equal" aboveAverage="0" equalAverage="0" bottom="0" percent="0" rank="0" text="" dxfId="10">
      <formula>"Evet"</formula>
    </cfRule>
  </conditionalFormatting>
  <conditionalFormatting sqref="D214">
    <cfRule type="cellIs" priority="416" operator="greaterThan" aboveAverage="0" equalAverage="0" bottom="0" percent="0" rank="0" text="" dxfId="8">
      <formula>0</formula>
    </cfRule>
  </conditionalFormatting>
  <conditionalFormatting sqref="E214">
    <cfRule type="cellIs" priority="417" operator="equal" aboveAverage="0" equalAverage="0" bottom="0" percent="0" rank="0" text="" dxfId="10">
      <formula>"Evet"</formula>
    </cfRule>
  </conditionalFormatting>
  <conditionalFormatting sqref="D215">
    <cfRule type="cellIs" priority="418" operator="greaterThan" aboveAverage="0" equalAverage="0" bottom="0" percent="0" rank="0" text="" dxfId="8">
      <formula>0</formula>
    </cfRule>
  </conditionalFormatting>
  <conditionalFormatting sqref="E215">
    <cfRule type="cellIs" priority="419" operator="equal" aboveAverage="0" equalAverage="0" bottom="0" percent="0" rank="0" text="" dxfId="10">
      <formula>"Evet"</formula>
    </cfRule>
  </conditionalFormatting>
  <conditionalFormatting sqref="D216">
    <cfRule type="cellIs" priority="420" operator="greaterThan" aboveAverage="0" equalAverage="0" bottom="0" percent="0" rank="0" text="" dxfId="8">
      <formula>0</formula>
    </cfRule>
  </conditionalFormatting>
  <conditionalFormatting sqref="E216">
    <cfRule type="cellIs" priority="421" operator="equal" aboveAverage="0" equalAverage="0" bottom="0" percent="0" rank="0" text="" dxfId="10">
      <formula>"Evet"</formula>
    </cfRule>
  </conditionalFormatting>
  <conditionalFormatting sqref="D217">
    <cfRule type="cellIs" priority="422" operator="greaterThan" aboveAverage="0" equalAverage="0" bottom="0" percent="0" rank="0" text="" dxfId="8">
      <formula>0</formula>
    </cfRule>
  </conditionalFormatting>
  <conditionalFormatting sqref="E217">
    <cfRule type="cellIs" priority="423" operator="equal" aboveAverage="0" equalAverage="0" bottom="0" percent="0" rank="0" text="" dxfId="10">
      <formula>"Evet"</formula>
    </cfRule>
  </conditionalFormatting>
  <conditionalFormatting sqref="D218">
    <cfRule type="cellIs" priority="424" operator="greaterThan" aboveAverage="0" equalAverage="0" bottom="0" percent="0" rank="0" text="" dxfId="8">
      <formula>0</formula>
    </cfRule>
  </conditionalFormatting>
  <conditionalFormatting sqref="E218">
    <cfRule type="cellIs" priority="425" operator="equal" aboveAverage="0" equalAverage="0" bottom="0" percent="0" rank="0" text="" dxfId="10">
      <formula>"Evet"</formula>
    </cfRule>
  </conditionalFormatting>
  <conditionalFormatting sqref="D219">
    <cfRule type="cellIs" priority="426" operator="greaterThan" aboveAverage="0" equalAverage="0" bottom="0" percent="0" rank="0" text="" dxfId="8">
      <formula>0</formula>
    </cfRule>
  </conditionalFormatting>
  <conditionalFormatting sqref="E219">
    <cfRule type="cellIs" priority="427" operator="equal" aboveAverage="0" equalAverage="0" bottom="0" percent="0" rank="0" text="" dxfId="10">
      <formula>"Evet"</formula>
    </cfRule>
  </conditionalFormatting>
  <conditionalFormatting sqref="D220">
    <cfRule type="cellIs" priority="428" operator="greaterThan" aboveAverage="0" equalAverage="0" bottom="0" percent="0" rank="0" text="" dxfId="8">
      <formula>0</formula>
    </cfRule>
  </conditionalFormatting>
  <conditionalFormatting sqref="E220">
    <cfRule type="cellIs" priority="429" operator="equal" aboveAverage="0" equalAverage="0" bottom="0" percent="0" rank="0" text="" dxfId="10">
      <formula>"Evet"</formula>
    </cfRule>
  </conditionalFormatting>
  <conditionalFormatting sqref="D221">
    <cfRule type="cellIs" priority="430" operator="greaterThan" aboveAverage="0" equalAverage="0" bottom="0" percent="0" rank="0" text="" dxfId="8">
      <formula>0</formula>
    </cfRule>
  </conditionalFormatting>
  <conditionalFormatting sqref="E221">
    <cfRule type="cellIs" priority="431" operator="equal" aboveAverage="0" equalAverage="0" bottom="0" percent="0" rank="0" text="" dxfId="10">
      <formula>"Evet"</formula>
    </cfRule>
  </conditionalFormatting>
  <conditionalFormatting sqref="D222">
    <cfRule type="cellIs" priority="432" operator="greaterThan" aboveAverage="0" equalAverage="0" bottom="0" percent="0" rank="0" text="" dxfId="8">
      <formula>0</formula>
    </cfRule>
  </conditionalFormatting>
  <conditionalFormatting sqref="E222">
    <cfRule type="cellIs" priority="433" operator="equal" aboveAverage="0" equalAverage="0" bottom="0" percent="0" rank="0" text="" dxfId="10">
      <formula>"Evet"</formula>
    </cfRule>
  </conditionalFormatting>
  <conditionalFormatting sqref="D223">
    <cfRule type="cellIs" priority="434" operator="greaterThan" aboveAverage="0" equalAverage="0" bottom="0" percent="0" rank="0" text="" dxfId="8">
      <formula>0</formula>
    </cfRule>
  </conditionalFormatting>
  <conditionalFormatting sqref="E223">
    <cfRule type="cellIs" priority="435" operator="equal" aboveAverage="0" equalAverage="0" bottom="0" percent="0" rank="0" text="" dxfId="10">
      <formula>"Evet"</formula>
    </cfRule>
  </conditionalFormatting>
  <conditionalFormatting sqref="D224">
    <cfRule type="cellIs" priority="436" operator="greaterThan" aboveAverage="0" equalAverage="0" bottom="0" percent="0" rank="0" text="" dxfId="8">
      <formula>0</formula>
    </cfRule>
  </conditionalFormatting>
  <conditionalFormatting sqref="E224">
    <cfRule type="cellIs" priority="437" operator="equal" aboveAverage="0" equalAverage="0" bottom="0" percent="0" rank="0" text="" dxfId="10">
      <formula>"Evet"</formula>
    </cfRule>
  </conditionalFormatting>
  <conditionalFormatting sqref="D225">
    <cfRule type="cellIs" priority="438" operator="greaterThan" aboveAverage="0" equalAverage="0" bottom="0" percent="0" rank="0" text="" dxfId="8">
      <formula>0</formula>
    </cfRule>
  </conditionalFormatting>
  <conditionalFormatting sqref="E225">
    <cfRule type="cellIs" priority="439" operator="equal" aboveAverage="0" equalAverage="0" bottom="0" percent="0" rank="0" text="" dxfId="10">
      <formula>"Evet"</formula>
    </cfRule>
  </conditionalFormatting>
  <conditionalFormatting sqref="D226">
    <cfRule type="cellIs" priority="440" operator="greaterThan" aboveAverage="0" equalAverage="0" bottom="0" percent="0" rank="0" text="" dxfId="8">
      <formula>0</formula>
    </cfRule>
  </conditionalFormatting>
  <conditionalFormatting sqref="E226">
    <cfRule type="cellIs" priority="441" operator="equal" aboveAverage="0" equalAverage="0" bottom="0" percent="0" rank="0" text="" dxfId="10">
      <formula>"Evet"</formula>
    </cfRule>
  </conditionalFormatting>
  <conditionalFormatting sqref="D227">
    <cfRule type="cellIs" priority="442" operator="greaterThan" aboveAverage="0" equalAverage="0" bottom="0" percent="0" rank="0" text="" dxfId="8">
      <formula>0</formula>
    </cfRule>
  </conditionalFormatting>
  <conditionalFormatting sqref="E227">
    <cfRule type="cellIs" priority="443" operator="equal" aboveAverage="0" equalAverage="0" bottom="0" percent="0" rank="0" text="" dxfId="10">
      <formula>"Evet"</formula>
    </cfRule>
  </conditionalFormatting>
  <conditionalFormatting sqref="D228">
    <cfRule type="cellIs" priority="444" operator="greaterThan" aboveAverage="0" equalAverage="0" bottom="0" percent="0" rank="0" text="" dxfId="8">
      <formula>0</formula>
    </cfRule>
  </conditionalFormatting>
  <conditionalFormatting sqref="E228">
    <cfRule type="cellIs" priority="445" operator="equal" aboveAverage="0" equalAverage="0" bottom="0" percent="0" rank="0" text="" dxfId="10">
      <formula>"Evet"</formula>
    </cfRule>
  </conditionalFormatting>
  <conditionalFormatting sqref="D229">
    <cfRule type="cellIs" priority="446" operator="greaterThan" aboveAverage="0" equalAverage="0" bottom="0" percent="0" rank="0" text="" dxfId="8">
      <formula>0</formula>
    </cfRule>
  </conditionalFormatting>
  <conditionalFormatting sqref="E229">
    <cfRule type="cellIs" priority="447" operator="equal" aboveAverage="0" equalAverage="0" bottom="0" percent="0" rank="0" text="" dxfId="10">
      <formula>"Evet"</formula>
    </cfRule>
  </conditionalFormatting>
  <conditionalFormatting sqref="D230">
    <cfRule type="cellIs" priority="448" operator="greaterThan" aboveAverage="0" equalAverage="0" bottom="0" percent="0" rank="0" text="" dxfId="8">
      <formula>0</formula>
    </cfRule>
  </conditionalFormatting>
  <conditionalFormatting sqref="E230">
    <cfRule type="cellIs" priority="449" operator="equal" aboveAverage="0" equalAverage="0" bottom="0" percent="0" rank="0" text="" dxfId="10">
      <formula>"Evet"</formula>
    </cfRule>
  </conditionalFormatting>
  <conditionalFormatting sqref="D231">
    <cfRule type="cellIs" priority="450" operator="greaterThan" aboveAverage="0" equalAverage="0" bottom="0" percent="0" rank="0" text="" dxfId="8">
      <formula>0</formula>
    </cfRule>
  </conditionalFormatting>
  <conditionalFormatting sqref="E231">
    <cfRule type="cellIs" priority="451" operator="equal" aboveAverage="0" equalAverage="0" bottom="0" percent="0" rank="0" text="" dxfId="10">
      <formula>"Evet"</formula>
    </cfRule>
  </conditionalFormatting>
  <conditionalFormatting sqref="D232">
    <cfRule type="cellIs" priority="452" operator="greaterThan" aboveAverage="0" equalAverage="0" bottom="0" percent="0" rank="0" text="" dxfId="8">
      <formula>0</formula>
    </cfRule>
  </conditionalFormatting>
  <conditionalFormatting sqref="E232">
    <cfRule type="cellIs" priority="453" operator="equal" aboveAverage="0" equalAverage="0" bottom="0" percent="0" rank="0" text="" dxfId="10">
      <formula>"Evet"</formula>
    </cfRule>
  </conditionalFormatting>
  <conditionalFormatting sqref="D233">
    <cfRule type="cellIs" priority="454" operator="greaterThan" aboveAverage="0" equalAverage="0" bottom="0" percent="0" rank="0" text="" dxfId="8">
      <formula>0</formula>
    </cfRule>
  </conditionalFormatting>
  <conditionalFormatting sqref="E233">
    <cfRule type="cellIs" priority="455" operator="equal" aboveAverage="0" equalAverage="0" bottom="0" percent="0" rank="0" text="" dxfId="10">
      <formula>"Evet"</formula>
    </cfRule>
  </conditionalFormatting>
  <conditionalFormatting sqref="D234">
    <cfRule type="cellIs" priority="456" operator="greaterThan" aboveAverage="0" equalAverage="0" bottom="0" percent="0" rank="0" text="" dxfId="8">
      <formula>0</formula>
    </cfRule>
  </conditionalFormatting>
  <conditionalFormatting sqref="E234">
    <cfRule type="cellIs" priority="457" operator="equal" aboveAverage="0" equalAverage="0" bottom="0" percent="0" rank="0" text="" dxfId="10">
      <formula>"Evet"</formula>
    </cfRule>
  </conditionalFormatting>
  <conditionalFormatting sqref="D235">
    <cfRule type="cellIs" priority="458" operator="greaterThan" aboveAverage="0" equalAverage="0" bottom="0" percent="0" rank="0" text="" dxfId="8">
      <formula>0</formula>
    </cfRule>
  </conditionalFormatting>
  <conditionalFormatting sqref="E235">
    <cfRule type="cellIs" priority="459" operator="equal" aboveAverage="0" equalAverage="0" bottom="0" percent="0" rank="0" text="" dxfId="10">
      <formula>"Evet"</formula>
    </cfRule>
  </conditionalFormatting>
  <conditionalFormatting sqref="D236">
    <cfRule type="cellIs" priority="460" operator="greaterThan" aboveAverage="0" equalAverage="0" bottom="0" percent="0" rank="0" text="" dxfId="8">
      <formula>0</formula>
    </cfRule>
  </conditionalFormatting>
  <conditionalFormatting sqref="E236">
    <cfRule type="cellIs" priority="461" operator="equal" aboveAverage="0" equalAverage="0" bottom="0" percent="0" rank="0" text="" dxfId="10">
      <formula>"Evet"</formula>
    </cfRule>
  </conditionalFormatting>
  <conditionalFormatting sqref="D237">
    <cfRule type="cellIs" priority="462" operator="greaterThan" aboveAverage="0" equalAverage="0" bottom="0" percent="0" rank="0" text="" dxfId="8">
      <formula>0</formula>
    </cfRule>
  </conditionalFormatting>
  <conditionalFormatting sqref="E237">
    <cfRule type="cellIs" priority="463" operator="equal" aboveAverage="0" equalAverage="0" bottom="0" percent="0" rank="0" text="" dxfId="10">
      <formula>"Evet"</formula>
    </cfRule>
  </conditionalFormatting>
  <conditionalFormatting sqref="D238">
    <cfRule type="cellIs" priority="464" operator="greaterThan" aboveAverage="0" equalAverage="0" bottom="0" percent="0" rank="0" text="" dxfId="8">
      <formula>0</formula>
    </cfRule>
  </conditionalFormatting>
  <conditionalFormatting sqref="E238">
    <cfRule type="cellIs" priority="465" operator="equal" aboveAverage="0" equalAverage="0" bottom="0" percent="0" rank="0" text="" dxfId="10">
      <formula>"Evet"</formula>
    </cfRule>
  </conditionalFormatting>
  <conditionalFormatting sqref="D239">
    <cfRule type="cellIs" priority="466" operator="greaterThan" aboveAverage="0" equalAverage="0" bottom="0" percent="0" rank="0" text="" dxfId="8">
      <formula>0</formula>
    </cfRule>
  </conditionalFormatting>
  <conditionalFormatting sqref="E239">
    <cfRule type="cellIs" priority="467" operator="equal" aboveAverage="0" equalAverage="0" bottom="0" percent="0" rank="0" text="" dxfId="10">
      <formula>"Evet"</formula>
    </cfRule>
  </conditionalFormatting>
  <conditionalFormatting sqref="D240">
    <cfRule type="cellIs" priority="468" operator="greaterThan" aboveAverage="0" equalAverage="0" bottom="0" percent="0" rank="0" text="" dxfId="8">
      <formula>0</formula>
    </cfRule>
  </conditionalFormatting>
  <conditionalFormatting sqref="E240">
    <cfRule type="cellIs" priority="469" operator="equal" aboveAverage="0" equalAverage="0" bottom="0" percent="0" rank="0" text="" dxfId="10">
      <formula>"Evet"</formula>
    </cfRule>
  </conditionalFormatting>
  <conditionalFormatting sqref="D241">
    <cfRule type="cellIs" priority="470" operator="greaterThan" aboveAverage="0" equalAverage="0" bottom="0" percent="0" rank="0" text="" dxfId="8">
      <formula>0</formula>
    </cfRule>
  </conditionalFormatting>
  <conditionalFormatting sqref="E241">
    <cfRule type="cellIs" priority="471" operator="equal" aboveAverage="0" equalAverage="0" bottom="0" percent="0" rank="0" text="" dxfId="10">
      <formula>"Evet"</formula>
    </cfRule>
  </conditionalFormatting>
  <conditionalFormatting sqref="D242">
    <cfRule type="cellIs" priority="472" operator="greaterThan" aboveAverage="0" equalAverage="0" bottom="0" percent="0" rank="0" text="" dxfId="8">
      <formula>0</formula>
    </cfRule>
  </conditionalFormatting>
  <conditionalFormatting sqref="E242">
    <cfRule type="cellIs" priority="473" operator="equal" aboveAverage="0" equalAverage="0" bottom="0" percent="0" rank="0" text="" dxfId="10">
      <formula>"Evet"</formula>
    </cfRule>
  </conditionalFormatting>
  <conditionalFormatting sqref="D243">
    <cfRule type="cellIs" priority="474" operator="greaterThan" aboveAverage="0" equalAverage="0" bottom="0" percent="0" rank="0" text="" dxfId="8">
      <formula>0</formula>
    </cfRule>
  </conditionalFormatting>
  <conditionalFormatting sqref="E243">
    <cfRule type="cellIs" priority="475" operator="equal" aboveAverage="0" equalAverage="0" bottom="0" percent="0" rank="0" text="" dxfId="10">
      <formula>"Evet"</formula>
    </cfRule>
  </conditionalFormatting>
  <conditionalFormatting sqref="D244">
    <cfRule type="cellIs" priority="476" operator="greaterThan" aboveAverage="0" equalAverage="0" bottom="0" percent="0" rank="0" text="" dxfId="8">
      <formula>0</formula>
    </cfRule>
  </conditionalFormatting>
  <conditionalFormatting sqref="E244">
    <cfRule type="cellIs" priority="477" operator="equal" aboveAverage="0" equalAverage="0" bottom="0" percent="0" rank="0" text="" dxfId="10">
      <formula>"Evet"</formula>
    </cfRule>
  </conditionalFormatting>
  <conditionalFormatting sqref="D245">
    <cfRule type="cellIs" priority="478" operator="greaterThan" aboveAverage="0" equalAverage="0" bottom="0" percent="0" rank="0" text="" dxfId="8">
      <formula>0</formula>
    </cfRule>
  </conditionalFormatting>
  <conditionalFormatting sqref="E245">
    <cfRule type="cellIs" priority="479" operator="equal" aboveAverage="0" equalAverage="0" bottom="0" percent="0" rank="0" text="" dxfId="10">
      <formula>"Evet"</formula>
    </cfRule>
  </conditionalFormatting>
  <conditionalFormatting sqref="D246">
    <cfRule type="cellIs" priority="480" operator="greaterThan" aboveAverage="0" equalAverage="0" bottom="0" percent="0" rank="0" text="" dxfId="8">
      <formula>0</formula>
    </cfRule>
  </conditionalFormatting>
  <conditionalFormatting sqref="E246">
    <cfRule type="cellIs" priority="481" operator="equal" aboveAverage="0" equalAverage="0" bottom="0" percent="0" rank="0" text="" dxfId="10">
      <formula>"Evet"</formula>
    </cfRule>
  </conditionalFormatting>
  <conditionalFormatting sqref="D247">
    <cfRule type="cellIs" priority="482" operator="greaterThan" aboveAverage="0" equalAverage="0" bottom="0" percent="0" rank="0" text="" dxfId="8">
      <formula>0</formula>
    </cfRule>
  </conditionalFormatting>
  <conditionalFormatting sqref="E247">
    <cfRule type="cellIs" priority="483" operator="equal" aboveAverage="0" equalAverage="0" bottom="0" percent="0" rank="0" text="" dxfId="10">
      <formula>"Evet"</formula>
    </cfRule>
  </conditionalFormatting>
  <conditionalFormatting sqref="D248">
    <cfRule type="cellIs" priority="484" operator="greaterThan" aboveAverage="0" equalAverage="0" bottom="0" percent="0" rank="0" text="" dxfId="8">
      <formula>0</formula>
    </cfRule>
  </conditionalFormatting>
  <conditionalFormatting sqref="E248">
    <cfRule type="cellIs" priority="485" operator="equal" aboveAverage="0" equalAverage="0" bottom="0" percent="0" rank="0" text="" dxfId="10">
      <formula>"Evet"</formula>
    </cfRule>
  </conditionalFormatting>
  <conditionalFormatting sqref="D249">
    <cfRule type="cellIs" priority="486" operator="greaterThan" aboveAverage="0" equalAverage="0" bottom="0" percent="0" rank="0" text="" dxfId="8">
      <formula>0</formula>
    </cfRule>
  </conditionalFormatting>
  <conditionalFormatting sqref="E249">
    <cfRule type="cellIs" priority="487" operator="equal" aboveAverage="0" equalAverage="0" bottom="0" percent="0" rank="0" text="" dxfId="10">
      <formula>"Evet"</formula>
    </cfRule>
  </conditionalFormatting>
  <conditionalFormatting sqref="D250">
    <cfRule type="cellIs" priority="488" operator="greaterThan" aboveAverage="0" equalAverage="0" bottom="0" percent="0" rank="0" text="" dxfId="8">
      <formula>0</formula>
    </cfRule>
  </conditionalFormatting>
  <conditionalFormatting sqref="E250">
    <cfRule type="cellIs" priority="489" operator="equal" aboveAverage="0" equalAverage="0" bottom="0" percent="0" rank="0" text="" dxfId="10">
      <formula>"Evet"</formula>
    </cfRule>
  </conditionalFormatting>
  <conditionalFormatting sqref="D251">
    <cfRule type="cellIs" priority="490" operator="greaterThan" aboveAverage="0" equalAverage="0" bottom="0" percent="0" rank="0" text="" dxfId="8">
      <formula>0</formula>
    </cfRule>
  </conditionalFormatting>
  <conditionalFormatting sqref="E251">
    <cfRule type="cellIs" priority="491" operator="equal" aboveAverage="0" equalAverage="0" bottom="0" percent="0" rank="0" text="" dxfId="10">
      <formula>"Evet"</formula>
    </cfRule>
  </conditionalFormatting>
  <conditionalFormatting sqref="D252">
    <cfRule type="cellIs" priority="492" operator="greaterThan" aboveAverage="0" equalAverage="0" bottom="0" percent="0" rank="0" text="" dxfId="8">
      <formula>0</formula>
    </cfRule>
  </conditionalFormatting>
  <conditionalFormatting sqref="E252">
    <cfRule type="cellIs" priority="493" operator="equal" aboveAverage="0" equalAverage="0" bottom="0" percent="0" rank="0" text="" dxfId="10">
      <formula>"Evet"</formula>
    </cfRule>
  </conditionalFormatting>
  <conditionalFormatting sqref="D253">
    <cfRule type="cellIs" priority="494" operator="greaterThan" aboveAverage="0" equalAverage="0" bottom="0" percent="0" rank="0" text="" dxfId="8">
      <formula>0</formula>
    </cfRule>
  </conditionalFormatting>
  <conditionalFormatting sqref="E253">
    <cfRule type="cellIs" priority="495" operator="equal" aboveAverage="0" equalAverage="0" bottom="0" percent="0" rank="0" text="" dxfId="10">
      <formula>"Evet"</formula>
    </cfRule>
  </conditionalFormatting>
  <conditionalFormatting sqref="D254">
    <cfRule type="cellIs" priority="496" operator="greaterThan" aboveAverage="0" equalAverage="0" bottom="0" percent="0" rank="0" text="" dxfId="8">
      <formula>0</formula>
    </cfRule>
  </conditionalFormatting>
  <conditionalFormatting sqref="E254">
    <cfRule type="cellIs" priority="497" operator="equal" aboveAverage="0" equalAverage="0" bottom="0" percent="0" rank="0" text="" dxfId="10">
      <formula>"Evet"</formula>
    </cfRule>
  </conditionalFormatting>
  <conditionalFormatting sqref="D255">
    <cfRule type="cellIs" priority="498" operator="greaterThan" aboveAverage="0" equalAverage="0" bottom="0" percent="0" rank="0" text="" dxfId="8">
      <formula>0</formula>
    </cfRule>
  </conditionalFormatting>
  <conditionalFormatting sqref="E255">
    <cfRule type="cellIs" priority="499" operator="equal" aboveAverage="0" equalAverage="0" bottom="0" percent="0" rank="0" text="" dxfId="10">
      <formula>"Evet"</formula>
    </cfRule>
  </conditionalFormatting>
  <conditionalFormatting sqref="D256">
    <cfRule type="cellIs" priority="500" operator="greaterThan" aboveAverage="0" equalAverage="0" bottom="0" percent="0" rank="0" text="" dxfId="8">
      <formula>0</formula>
    </cfRule>
  </conditionalFormatting>
  <conditionalFormatting sqref="E256">
    <cfRule type="cellIs" priority="501" operator="equal" aboveAverage="0" equalAverage="0" bottom="0" percent="0" rank="0" text="" dxfId="10">
      <formula>"Evet"</formula>
    </cfRule>
  </conditionalFormatting>
  <conditionalFormatting sqref="D257">
    <cfRule type="cellIs" priority="502" operator="greaterThan" aboveAverage="0" equalAverage="0" bottom="0" percent="0" rank="0" text="" dxfId="8">
      <formula>0</formula>
    </cfRule>
  </conditionalFormatting>
  <conditionalFormatting sqref="E257">
    <cfRule type="cellIs" priority="503" operator="equal" aboveAverage="0" equalAverage="0" bottom="0" percent="0" rank="0" text="" dxfId="10">
      <formula>"Evet"</formula>
    </cfRule>
  </conditionalFormatting>
  <conditionalFormatting sqref="D258">
    <cfRule type="cellIs" priority="504" operator="greaterThan" aboveAverage="0" equalAverage="0" bottom="0" percent="0" rank="0" text="" dxfId="8">
      <formula>0</formula>
    </cfRule>
  </conditionalFormatting>
  <conditionalFormatting sqref="E258">
    <cfRule type="cellIs" priority="505" operator="equal" aboveAverage="0" equalAverage="0" bottom="0" percent="0" rank="0" text="" dxfId="10">
      <formula>"Evet"</formula>
    </cfRule>
  </conditionalFormatting>
  <conditionalFormatting sqref="D259">
    <cfRule type="cellIs" priority="506" operator="greaterThan" aboveAverage="0" equalAverage="0" bottom="0" percent="0" rank="0" text="" dxfId="8">
      <formula>0</formula>
    </cfRule>
  </conditionalFormatting>
  <conditionalFormatting sqref="E259">
    <cfRule type="cellIs" priority="507" operator="equal" aboveAverage="0" equalAverage="0" bottom="0" percent="0" rank="0" text="" dxfId="10">
      <formula>"Evet"</formula>
    </cfRule>
  </conditionalFormatting>
  <conditionalFormatting sqref="D260">
    <cfRule type="cellIs" priority="508" operator="greaterThan" aboveAverage="0" equalAverage="0" bottom="0" percent="0" rank="0" text="" dxfId="8">
      <formula>0</formula>
    </cfRule>
  </conditionalFormatting>
  <conditionalFormatting sqref="E260">
    <cfRule type="cellIs" priority="509" operator="equal" aboveAverage="0" equalAverage="0" bottom="0" percent="0" rank="0" text="" dxfId="10">
      <formula>"Evet"</formula>
    </cfRule>
  </conditionalFormatting>
  <conditionalFormatting sqref="D261">
    <cfRule type="cellIs" priority="510" operator="greaterThan" aboveAverage="0" equalAverage="0" bottom="0" percent="0" rank="0" text="" dxfId="8">
      <formula>0</formula>
    </cfRule>
  </conditionalFormatting>
  <conditionalFormatting sqref="E261">
    <cfRule type="cellIs" priority="511" operator="equal" aboveAverage="0" equalAverage="0" bottom="0" percent="0" rank="0" text="" dxfId="10">
      <formula>"Evet"</formula>
    </cfRule>
  </conditionalFormatting>
  <conditionalFormatting sqref="D262">
    <cfRule type="cellIs" priority="512" operator="greaterThan" aboveAverage="0" equalAverage="0" bottom="0" percent="0" rank="0" text="" dxfId="8">
      <formula>0</formula>
    </cfRule>
  </conditionalFormatting>
  <conditionalFormatting sqref="E262">
    <cfRule type="cellIs" priority="513" operator="equal" aboveAverage="0" equalAverage="0" bottom="0" percent="0" rank="0" text="" dxfId="10">
      <formula>"Evet"</formula>
    </cfRule>
  </conditionalFormatting>
  <conditionalFormatting sqref="D263">
    <cfRule type="cellIs" priority="514" operator="greaterThan" aboveAverage="0" equalAverage="0" bottom="0" percent="0" rank="0" text="" dxfId="8">
      <formula>0</formula>
    </cfRule>
  </conditionalFormatting>
  <conditionalFormatting sqref="E263">
    <cfRule type="cellIs" priority="515" operator="equal" aboveAverage="0" equalAverage="0" bottom="0" percent="0" rank="0" text="" dxfId="10">
      <formula>"Evet"</formula>
    </cfRule>
  </conditionalFormatting>
  <conditionalFormatting sqref="D264">
    <cfRule type="cellIs" priority="516" operator="greaterThan" aboveAverage="0" equalAverage="0" bottom="0" percent="0" rank="0" text="" dxfId="8">
      <formula>0</formula>
    </cfRule>
  </conditionalFormatting>
  <conditionalFormatting sqref="E264">
    <cfRule type="cellIs" priority="517" operator="equal" aboveAverage="0" equalAverage="0" bottom="0" percent="0" rank="0" text="" dxfId="10">
      <formula>"Evet"</formula>
    </cfRule>
  </conditionalFormatting>
  <conditionalFormatting sqref="D265">
    <cfRule type="cellIs" priority="518" operator="greaterThan" aboveAverage="0" equalAverage="0" bottom="0" percent="0" rank="0" text="" dxfId="8">
      <formula>0</formula>
    </cfRule>
  </conditionalFormatting>
  <conditionalFormatting sqref="E265">
    <cfRule type="cellIs" priority="519" operator="equal" aboveAverage="0" equalAverage="0" bottom="0" percent="0" rank="0" text="" dxfId="10">
      <formula>"Evet"</formula>
    </cfRule>
  </conditionalFormatting>
  <conditionalFormatting sqref="D266">
    <cfRule type="cellIs" priority="520" operator="greaterThan" aboveAverage="0" equalAverage="0" bottom="0" percent="0" rank="0" text="" dxfId="8">
      <formula>0</formula>
    </cfRule>
  </conditionalFormatting>
  <conditionalFormatting sqref="E266">
    <cfRule type="cellIs" priority="521" operator="equal" aboveAverage="0" equalAverage="0" bottom="0" percent="0" rank="0" text="" dxfId="10">
      <formula>"Evet"</formula>
    </cfRule>
  </conditionalFormatting>
  <conditionalFormatting sqref="D267">
    <cfRule type="cellIs" priority="522" operator="greaterThan" aboveAverage="0" equalAverage="0" bottom="0" percent="0" rank="0" text="" dxfId="8">
      <formula>0</formula>
    </cfRule>
  </conditionalFormatting>
  <conditionalFormatting sqref="E267">
    <cfRule type="cellIs" priority="523" operator="equal" aboveAverage="0" equalAverage="0" bottom="0" percent="0" rank="0" text="" dxfId="10">
      <formula>"Evet"</formula>
    </cfRule>
  </conditionalFormatting>
  <conditionalFormatting sqref="D268">
    <cfRule type="cellIs" priority="524" operator="greaterThan" aboveAverage="0" equalAverage="0" bottom="0" percent="0" rank="0" text="" dxfId="8">
      <formula>0</formula>
    </cfRule>
  </conditionalFormatting>
  <conditionalFormatting sqref="E268">
    <cfRule type="cellIs" priority="525" operator="equal" aboveAverage="0" equalAverage="0" bottom="0" percent="0" rank="0" text="" dxfId="10">
      <formula>"Evet"</formula>
    </cfRule>
  </conditionalFormatting>
  <conditionalFormatting sqref="D269">
    <cfRule type="cellIs" priority="526" operator="greaterThan" aboveAverage="0" equalAverage="0" bottom="0" percent="0" rank="0" text="" dxfId="8">
      <formula>0</formula>
    </cfRule>
  </conditionalFormatting>
  <conditionalFormatting sqref="E269">
    <cfRule type="cellIs" priority="527" operator="equal" aboveAverage="0" equalAverage="0" bottom="0" percent="0" rank="0" text="" dxfId="10">
      <formula>"Evet"</formula>
    </cfRule>
  </conditionalFormatting>
  <conditionalFormatting sqref="D270">
    <cfRule type="cellIs" priority="528" operator="greaterThan" aboveAverage="0" equalAverage="0" bottom="0" percent="0" rank="0" text="" dxfId="8">
      <formula>0</formula>
    </cfRule>
  </conditionalFormatting>
  <conditionalFormatting sqref="E270">
    <cfRule type="cellIs" priority="529" operator="equal" aboveAverage="0" equalAverage="0" bottom="0" percent="0" rank="0" text="" dxfId="10">
      <formula>"Evet"</formula>
    </cfRule>
  </conditionalFormatting>
  <conditionalFormatting sqref="D271">
    <cfRule type="cellIs" priority="530" operator="greaterThan" aboveAverage="0" equalAverage="0" bottom="0" percent="0" rank="0" text="" dxfId="8">
      <formula>0</formula>
    </cfRule>
  </conditionalFormatting>
  <conditionalFormatting sqref="E271">
    <cfRule type="cellIs" priority="531" operator="equal" aboveAverage="0" equalAverage="0" bottom="0" percent="0" rank="0" text="" dxfId="10">
      <formula>"Evet"</formula>
    </cfRule>
  </conditionalFormatting>
  <conditionalFormatting sqref="D272">
    <cfRule type="cellIs" priority="532" operator="greaterThan" aboveAverage="0" equalAverage="0" bottom="0" percent="0" rank="0" text="" dxfId="8">
      <formula>0</formula>
    </cfRule>
  </conditionalFormatting>
  <conditionalFormatting sqref="E272">
    <cfRule type="cellIs" priority="533" operator="equal" aboveAverage="0" equalAverage="0" bottom="0" percent="0" rank="0" text="" dxfId="10">
      <formula>"Evet"</formula>
    </cfRule>
  </conditionalFormatting>
  <conditionalFormatting sqref="D273">
    <cfRule type="cellIs" priority="534" operator="greaterThan" aboveAverage="0" equalAverage="0" bottom="0" percent="0" rank="0" text="" dxfId="8">
      <formula>0</formula>
    </cfRule>
  </conditionalFormatting>
  <conditionalFormatting sqref="E273">
    <cfRule type="cellIs" priority="535" operator="equal" aboveAverage="0" equalAverage="0" bottom="0" percent="0" rank="0" text="" dxfId="10">
      <formula>"Evet"</formula>
    </cfRule>
  </conditionalFormatting>
  <conditionalFormatting sqref="D274">
    <cfRule type="cellIs" priority="536" operator="greaterThan" aboveAverage="0" equalAverage="0" bottom="0" percent="0" rank="0" text="" dxfId="8">
      <formula>0</formula>
    </cfRule>
  </conditionalFormatting>
  <conditionalFormatting sqref="E274">
    <cfRule type="cellIs" priority="537" operator="equal" aboveAverage="0" equalAverage="0" bottom="0" percent="0" rank="0" text="" dxfId="10">
      <formula>"Evet"</formula>
    </cfRule>
  </conditionalFormatting>
  <conditionalFormatting sqref="D275">
    <cfRule type="cellIs" priority="538" operator="greaterThan" aboveAverage="0" equalAverage="0" bottom="0" percent="0" rank="0" text="" dxfId="8">
      <formula>0</formula>
    </cfRule>
  </conditionalFormatting>
  <conditionalFormatting sqref="E275">
    <cfRule type="cellIs" priority="539" operator="equal" aboveAverage="0" equalAverage="0" bottom="0" percent="0" rank="0" text="" dxfId="10">
      <formula>"Evet"</formula>
    </cfRule>
  </conditionalFormatting>
  <conditionalFormatting sqref="D276">
    <cfRule type="cellIs" priority="540" operator="greaterThan" aboveAverage="0" equalAverage="0" bottom="0" percent="0" rank="0" text="" dxfId="8">
      <formula>0</formula>
    </cfRule>
  </conditionalFormatting>
  <conditionalFormatting sqref="E276">
    <cfRule type="cellIs" priority="541" operator="equal" aboveAverage="0" equalAverage="0" bottom="0" percent="0" rank="0" text="" dxfId="10">
      <formula>"Evet"</formula>
    </cfRule>
  </conditionalFormatting>
  <conditionalFormatting sqref="D277">
    <cfRule type="cellIs" priority="542" operator="greaterThan" aboveAverage="0" equalAverage="0" bottom="0" percent="0" rank="0" text="" dxfId="8">
      <formula>0</formula>
    </cfRule>
  </conditionalFormatting>
  <conditionalFormatting sqref="E277">
    <cfRule type="cellIs" priority="543" operator="equal" aboveAverage="0" equalAverage="0" bottom="0" percent="0" rank="0" text="" dxfId="10">
      <formula>"Evet"</formula>
    </cfRule>
  </conditionalFormatting>
  <conditionalFormatting sqref="D278">
    <cfRule type="cellIs" priority="544" operator="greaterThan" aboveAverage="0" equalAverage="0" bottom="0" percent="0" rank="0" text="" dxfId="8">
      <formula>0</formula>
    </cfRule>
  </conditionalFormatting>
  <conditionalFormatting sqref="E278">
    <cfRule type="cellIs" priority="545" operator="equal" aboveAverage="0" equalAverage="0" bottom="0" percent="0" rank="0" text="" dxfId="10">
      <formula>"Evet"</formula>
    </cfRule>
  </conditionalFormatting>
  <conditionalFormatting sqref="D279">
    <cfRule type="cellIs" priority="546" operator="greaterThan" aboveAverage="0" equalAverage="0" bottom="0" percent="0" rank="0" text="" dxfId="8">
      <formula>0</formula>
    </cfRule>
  </conditionalFormatting>
  <conditionalFormatting sqref="E279">
    <cfRule type="cellIs" priority="547" operator="equal" aboveAverage="0" equalAverage="0" bottom="0" percent="0" rank="0" text="" dxfId="10">
      <formula>"Evet"</formula>
    </cfRule>
  </conditionalFormatting>
  <conditionalFormatting sqref="D280">
    <cfRule type="cellIs" priority="548" operator="greaterThan" aboveAverage="0" equalAverage="0" bottom="0" percent="0" rank="0" text="" dxfId="8">
      <formula>0</formula>
    </cfRule>
  </conditionalFormatting>
  <conditionalFormatting sqref="E280">
    <cfRule type="cellIs" priority="549" operator="equal" aboveAverage="0" equalAverage="0" bottom="0" percent="0" rank="0" text="" dxfId="10">
      <formula>"Evet"</formula>
    </cfRule>
  </conditionalFormatting>
  <conditionalFormatting sqref="D281">
    <cfRule type="cellIs" priority="550" operator="greaterThan" aboveAverage="0" equalAverage="0" bottom="0" percent="0" rank="0" text="" dxfId="8">
      <formula>0</formula>
    </cfRule>
  </conditionalFormatting>
  <conditionalFormatting sqref="E281">
    <cfRule type="cellIs" priority="551" operator="equal" aboveAverage="0" equalAverage="0" bottom="0" percent="0" rank="0" text="" dxfId="10">
      <formula>"Evet"</formula>
    </cfRule>
  </conditionalFormatting>
  <conditionalFormatting sqref="D282">
    <cfRule type="cellIs" priority="552" operator="greaterThan" aboveAverage="0" equalAverage="0" bottom="0" percent="0" rank="0" text="" dxfId="8">
      <formula>0</formula>
    </cfRule>
  </conditionalFormatting>
  <conditionalFormatting sqref="E282">
    <cfRule type="cellIs" priority="553" operator="equal" aboveAverage="0" equalAverage="0" bottom="0" percent="0" rank="0" text="" dxfId="10">
      <formula>"Evet"</formula>
    </cfRule>
  </conditionalFormatting>
  <conditionalFormatting sqref="D283">
    <cfRule type="cellIs" priority="554" operator="greaterThan" aboveAverage="0" equalAverage="0" bottom="0" percent="0" rank="0" text="" dxfId="8">
      <formula>0</formula>
    </cfRule>
  </conditionalFormatting>
  <conditionalFormatting sqref="E283">
    <cfRule type="cellIs" priority="555" operator="equal" aboveAverage="0" equalAverage="0" bottom="0" percent="0" rank="0" text="" dxfId="10">
      <formula>"Evet"</formula>
    </cfRule>
  </conditionalFormatting>
  <conditionalFormatting sqref="D284">
    <cfRule type="cellIs" priority="556" operator="greaterThan" aboveAverage="0" equalAverage="0" bottom="0" percent="0" rank="0" text="" dxfId="8">
      <formula>0</formula>
    </cfRule>
  </conditionalFormatting>
  <conditionalFormatting sqref="E284">
    <cfRule type="cellIs" priority="557" operator="equal" aboveAverage="0" equalAverage="0" bottom="0" percent="0" rank="0" text="" dxfId="10">
      <formula>"Evet"</formula>
    </cfRule>
  </conditionalFormatting>
  <conditionalFormatting sqref="D285">
    <cfRule type="cellIs" priority="558" operator="greaterThan" aboveAverage="0" equalAverage="0" bottom="0" percent="0" rank="0" text="" dxfId="8">
      <formula>0</formula>
    </cfRule>
  </conditionalFormatting>
  <conditionalFormatting sqref="E285">
    <cfRule type="cellIs" priority="559" operator="equal" aboveAverage="0" equalAverage="0" bottom="0" percent="0" rank="0" text="" dxfId="10">
      <formula>"Evet"</formula>
    </cfRule>
  </conditionalFormatting>
  <conditionalFormatting sqref="D286">
    <cfRule type="cellIs" priority="560" operator="greaterThan" aboveAverage="0" equalAverage="0" bottom="0" percent="0" rank="0" text="" dxfId="8">
      <formula>0</formula>
    </cfRule>
  </conditionalFormatting>
  <conditionalFormatting sqref="E286">
    <cfRule type="cellIs" priority="561" operator="equal" aboveAverage="0" equalAverage="0" bottom="0" percent="0" rank="0" text="" dxfId="10">
      <formula>"Evet"</formula>
    </cfRule>
  </conditionalFormatting>
  <conditionalFormatting sqref="D287">
    <cfRule type="cellIs" priority="562" operator="greaterThan" aboveAverage="0" equalAverage="0" bottom="0" percent="0" rank="0" text="" dxfId="8">
      <formula>0</formula>
    </cfRule>
  </conditionalFormatting>
  <conditionalFormatting sqref="E287">
    <cfRule type="cellIs" priority="563" operator="equal" aboveAverage="0" equalAverage="0" bottom="0" percent="0" rank="0" text="" dxfId="10">
      <formula>"Evet"</formula>
    </cfRule>
  </conditionalFormatting>
  <conditionalFormatting sqref="D288">
    <cfRule type="cellIs" priority="564" operator="greaterThan" aboveAverage="0" equalAverage="0" bottom="0" percent="0" rank="0" text="" dxfId="8">
      <formula>0</formula>
    </cfRule>
  </conditionalFormatting>
  <conditionalFormatting sqref="E288">
    <cfRule type="cellIs" priority="565" operator="equal" aboveAverage="0" equalAverage="0" bottom="0" percent="0" rank="0" text="" dxfId="10">
      <formula>"Evet"</formula>
    </cfRule>
  </conditionalFormatting>
  <conditionalFormatting sqref="D289">
    <cfRule type="cellIs" priority="566" operator="greaterThan" aboveAverage="0" equalAverage="0" bottom="0" percent="0" rank="0" text="" dxfId="8">
      <formula>0</formula>
    </cfRule>
  </conditionalFormatting>
  <conditionalFormatting sqref="E289">
    <cfRule type="cellIs" priority="567" operator="equal" aboveAverage="0" equalAverage="0" bottom="0" percent="0" rank="0" text="" dxfId="10">
      <formula>"Evet"</formula>
    </cfRule>
  </conditionalFormatting>
  <conditionalFormatting sqref="D290">
    <cfRule type="cellIs" priority="568" operator="greaterThan" aboveAverage="0" equalAverage="0" bottom="0" percent="0" rank="0" text="" dxfId="8">
      <formula>0</formula>
    </cfRule>
  </conditionalFormatting>
  <conditionalFormatting sqref="E290">
    <cfRule type="cellIs" priority="569" operator="equal" aboveAverage="0" equalAverage="0" bottom="0" percent="0" rank="0" text="" dxfId="10">
      <formula>"Evet"</formula>
    </cfRule>
  </conditionalFormatting>
  <conditionalFormatting sqref="D291">
    <cfRule type="cellIs" priority="570" operator="greaterThan" aboveAverage="0" equalAverage="0" bottom="0" percent="0" rank="0" text="" dxfId="8">
      <formula>0</formula>
    </cfRule>
  </conditionalFormatting>
  <conditionalFormatting sqref="E291">
    <cfRule type="cellIs" priority="571" operator="equal" aboveAverage="0" equalAverage="0" bottom="0" percent="0" rank="0" text="" dxfId="10">
      <formula>"Evet"</formula>
    </cfRule>
  </conditionalFormatting>
  <conditionalFormatting sqref="D292">
    <cfRule type="cellIs" priority="572" operator="greaterThan" aboveAverage="0" equalAverage="0" bottom="0" percent="0" rank="0" text="" dxfId="8">
      <formula>0</formula>
    </cfRule>
  </conditionalFormatting>
  <conditionalFormatting sqref="E292">
    <cfRule type="cellIs" priority="573" operator="equal" aboveAverage="0" equalAverage="0" bottom="0" percent="0" rank="0" text="" dxfId="10">
      <formula>"Evet"</formula>
    </cfRule>
  </conditionalFormatting>
  <conditionalFormatting sqref="D293">
    <cfRule type="cellIs" priority="574" operator="greaterThan" aboveAverage="0" equalAverage="0" bottom="0" percent="0" rank="0" text="" dxfId="8">
      <formula>0</formula>
    </cfRule>
  </conditionalFormatting>
  <conditionalFormatting sqref="E293">
    <cfRule type="cellIs" priority="575" operator="equal" aboveAverage="0" equalAverage="0" bottom="0" percent="0" rank="0" text="" dxfId="10">
      <formula>"Evet"</formula>
    </cfRule>
  </conditionalFormatting>
  <conditionalFormatting sqref="D294">
    <cfRule type="cellIs" priority="576" operator="greaterThan" aboveAverage="0" equalAverage="0" bottom="0" percent="0" rank="0" text="" dxfId="8">
      <formula>0</formula>
    </cfRule>
  </conditionalFormatting>
  <conditionalFormatting sqref="E294">
    <cfRule type="cellIs" priority="577" operator="equal" aboveAverage="0" equalAverage="0" bottom="0" percent="0" rank="0" text="" dxfId="10">
      <formula>"Evet"</formula>
    </cfRule>
  </conditionalFormatting>
  <conditionalFormatting sqref="D295">
    <cfRule type="cellIs" priority="578" operator="greaterThan" aboveAverage="0" equalAverage="0" bottom="0" percent="0" rank="0" text="" dxfId="8">
      <formula>0</formula>
    </cfRule>
  </conditionalFormatting>
  <conditionalFormatting sqref="E295">
    <cfRule type="cellIs" priority="579" operator="equal" aboveAverage="0" equalAverage="0" bottom="0" percent="0" rank="0" text="" dxfId="10">
      <formula>"Evet"</formula>
    </cfRule>
  </conditionalFormatting>
  <conditionalFormatting sqref="D296">
    <cfRule type="cellIs" priority="580" operator="greaterThan" aboveAverage="0" equalAverage="0" bottom="0" percent="0" rank="0" text="" dxfId="8">
      <formula>0</formula>
    </cfRule>
  </conditionalFormatting>
  <conditionalFormatting sqref="E296">
    <cfRule type="cellIs" priority="581" operator="equal" aboveAverage="0" equalAverage="0" bottom="0" percent="0" rank="0" text="" dxfId="10">
      <formula>"Evet"</formula>
    </cfRule>
  </conditionalFormatting>
  <conditionalFormatting sqref="D297">
    <cfRule type="cellIs" priority="582" operator="greaterThan" aboveAverage="0" equalAverage="0" bottom="0" percent="0" rank="0" text="" dxfId="8">
      <formula>0</formula>
    </cfRule>
  </conditionalFormatting>
  <conditionalFormatting sqref="E297">
    <cfRule type="cellIs" priority="583" operator="equal" aboveAverage="0" equalAverage="0" bottom="0" percent="0" rank="0" text="" dxfId="10">
      <formula>"Evet"</formula>
    </cfRule>
  </conditionalFormatting>
  <conditionalFormatting sqref="D298">
    <cfRule type="cellIs" priority="584" operator="greaterThan" aboveAverage="0" equalAverage="0" bottom="0" percent="0" rank="0" text="" dxfId="8">
      <formula>0</formula>
    </cfRule>
  </conditionalFormatting>
  <conditionalFormatting sqref="E298">
    <cfRule type="cellIs" priority="585" operator="equal" aboveAverage="0" equalAverage="0" bottom="0" percent="0" rank="0" text="" dxfId="10">
      <formula>"Evet"</formula>
    </cfRule>
  </conditionalFormatting>
  <conditionalFormatting sqref="D299">
    <cfRule type="cellIs" priority="586" operator="greaterThan" aboveAverage="0" equalAverage="0" bottom="0" percent="0" rank="0" text="" dxfId="8">
      <formula>0</formula>
    </cfRule>
  </conditionalFormatting>
  <conditionalFormatting sqref="E299">
    <cfRule type="cellIs" priority="587" operator="equal" aboveAverage="0" equalAverage="0" bottom="0" percent="0" rank="0" text="" dxfId="10">
      <formula>"Evet"</formula>
    </cfRule>
  </conditionalFormatting>
  <conditionalFormatting sqref="D300">
    <cfRule type="cellIs" priority="588" operator="greaterThan" aboveAverage="0" equalAverage="0" bottom="0" percent="0" rank="0" text="" dxfId="8">
      <formula>0</formula>
    </cfRule>
  </conditionalFormatting>
  <conditionalFormatting sqref="E300">
    <cfRule type="cellIs" priority="589" operator="equal" aboveAverage="0" equalAverage="0" bottom="0" percent="0" rank="0" text="" dxfId="10">
      <formula>"Evet"</formula>
    </cfRule>
  </conditionalFormatting>
  <conditionalFormatting sqref="D301">
    <cfRule type="cellIs" priority="590" operator="greaterThan" aboveAverage="0" equalAverage="0" bottom="0" percent="0" rank="0" text="" dxfId="8">
      <formula>0</formula>
    </cfRule>
  </conditionalFormatting>
  <conditionalFormatting sqref="E301">
    <cfRule type="cellIs" priority="591" operator="equal" aboveAverage="0" equalAverage="0" bottom="0" percent="0" rank="0" text="" dxfId="10">
      <formula>"Evet"</formula>
    </cfRule>
  </conditionalFormatting>
  <conditionalFormatting sqref="D302">
    <cfRule type="cellIs" priority="592" operator="greaterThan" aboveAverage="0" equalAverage="0" bottom="0" percent="0" rank="0" text="" dxfId="8">
      <formula>0</formula>
    </cfRule>
  </conditionalFormatting>
  <conditionalFormatting sqref="E302">
    <cfRule type="cellIs" priority="593" operator="equal" aboveAverage="0" equalAverage="0" bottom="0" percent="0" rank="0" text="" dxfId="10">
      <formula>"Evet"</formula>
    </cfRule>
  </conditionalFormatting>
  <conditionalFormatting sqref="D303">
    <cfRule type="cellIs" priority="594" operator="greaterThan" aboveAverage="0" equalAverage="0" bottom="0" percent="0" rank="0" text="" dxfId="8">
      <formula>0</formula>
    </cfRule>
  </conditionalFormatting>
  <conditionalFormatting sqref="E303">
    <cfRule type="cellIs" priority="595" operator="equal" aboveAverage="0" equalAverage="0" bottom="0" percent="0" rank="0" text="" dxfId="10">
      <formula>"Evet"</formula>
    </cfRule>
  </conditionalFormatting>
  <conditionalFormatting sqref="D304">
    <cfRule type="cellIs" priority="596" operator="greaterThan" aboveAverage="0" equalAverage="0" bottom="0" percent="0" rank="0" text="" dxfId="8">
      <formula>0</formula>
    </cfRule>
  </conditionalFormatting>
  <conditionalFormatting sqref="E304">
    <cfRule type="cellIs" priority="597" operator="equal" aboveAverage="0" equalAverage="0" bottom="0" percent="0" rank="0" text="" dxfId="10">
      <formula>"Evet"</formula>
    </cfRule>
  </conditionalFormatting>
  <conditionalFormatting sqref="D305">
    <cfRule type="cellIs" priority="598" operator="greaterThan" aboveAverage="0" equalAverage="0" bottom="0" percent="0" rank="0" text="" dxfId="8">
      <formula>0</formula>
    </cfRule>
  </conditionalFormatting>
  <conditionalFormatting sqref="E305">
    <cfRule type="cellIs" priority="599" operator="equal" aboveAverage="0" equalAverage="0" bottom="0" percent="0" rank="0" text="" dxfId="10">
      <formula>"Evet"</formula>
    </cfRule>
  </conditionalFormatting>
  <conditionalFormatting sqref="D306">
    <cfRule type="cellIs" priority="600" operator="greaterThan" aboveAverage="0" equalAverage="0" bottom="0" percent="0" rank="0" text="" dxfId="8">
      <formula>0</formula>
    </cfRule>
  </conditionalFormatting>
  <conditionalFormatting sqref="E306">
    <cfRule type="cellIs" priority="601" operator="equal" aboveAverage="0" equalAverage="0" bottom="0" percent="0" rank="0" text="" dxfId="10">
      <formula>"Evet"</formula>
    </cfRule>
  </conditionalFormatting>
  <conditionalFormatting sqref="D307">
    <cfRule type="cellIs" priority="602" operator="greaterThan" aboveAverage="0" equalAverage="0" bottom="0" percent="0" rank="0" text="" dxfId="8">
      <formula>0</formula>
    </cfRule>
  </conditionalFormatting>
  <conditionalFormatting sqref="E307">
    <cfRule type="cellIs" priority="603" operator="equal" aboveAverage="0" equalAverage="0" bottom="0" percent="0" rank="0" text="" dxfId="10">
      <formula>"Evet"</formula>
    </cfRule>
  </conditionalFormatting>
  <conditionalFormatting sqref="D308">
    <cfRule type="cellIs" priority="604" operator="greaterThan" aboveAverage="0" equalAverage="0" bottom="0" percent="0" rank="0" text="" dxfId="8">
      <formula>0</formula>
    </cfRule>
  </conditionalFormatting>
  <conditionalFormatting sqref="E308">
    <cfRule type="cellIs" priority="605" operator="equal" aboveAverage="0" equalAverage="0" bottom="0" percent="0" rank="0" text="" dxfId="10">
      <formula>"Evet"</formula>
    </cfRule>
  </conditionalFormatting>
  <conditionalFormatting sqref="D309">
    <cfRule type="cellIs" priority="606" operator="greaterThan" aboveAverage="0" equalAverage="0" bottom="0" percent="0" rank="0" text="" dxfId="8">
      <formula>0</formula>
    </cfRule>
  </conditionalFormatting>
  <conditionalFormatting sqref="E309">
    <cfRule type="cellIs" priority="607" operator="equal" aboveAverage="0" equalAverage="0" bottom="0" percent="0" rank="0" text="" dxfId="10">
      <formula>"Evet"</formula>
    </cfRule>
  </conditionalFormatting>
  <conditionalFormatting sqref="D310">
    <cfRule type="cellIs" priority="608" operator="greaterThan" aboveAverage="0" equalAverage="0" bottom="0" percent="0" rank="0" text="" dxfId="8">
      <formula>0</formula>
    </cfRule>
  </conditionalFormatting>
  <conditionalFormatting sqref="E310">
    <cfRule type="cellIs" priority="609" operator="equal" aboveAverage="0" equalAverage="0" bottom="0" percent="0" rank="0" text="" dxfId="10">
      <formula>"Evet"</formula>
    </cfRule>
  </conditionalFormatting>
  <conditionalFormatting sqref="D311">
    <cfRule type="cellIs" priority="610" operator="greaterThan" aboveAverage="0" equalAverage="0" bottom="0" percent="0" rank="0" text="" dxfId="8">
      <formula>0</formula>
    </cfRule>
  </conditionalFormatting>
  <conditionalFormatting sqref="E311">
    <cfRule type="cellIs" priority="611" operator="equal" aboveAverage="0" equalAverage="0" bottom="0" percent="0" rank="0" text="" dxfId="10">
      <formula>"Evet"</formula>
    </cfRule>
  </conditionalFormatting>
  <conditionalFormatting sqref="D312">
    <cfRule type="cellIs" priority="612" operator="greaterThan" aboveAverage="0" equalAverage="0" bottom="0" percent="0" rank="0" text="" dxfId="8">
      <formula>0</formula>
    </cfRule>
  </conditionalFormatting>
  <conditionalFormatting sqref="E312">
    <cfRule type="cellIs" priority="613" operator="equal" aboveAverage="0" equalAverage="0" bottom="0" percent="0" rank="0" text="" dxfId="10">
      <formula>"Evet"</formula>
    </cfRule>
  </conditionalFormatting>
  <conditionalFormatting sqref="D313">
    <cfRule type="cellIs" priority="614" operator="greaterThan" aboveAverage="0" equalAverage="0" bottom="0" percent="0" rank="0" text="" dxfId="8">
      <formula>0</formula>
    </cfRule>
  </conditionalFormatting>
  <conditionalFormatting sqref="E313">
    <cfRule type="cellIs" priority="615" operator="equal" aboveAverage="0" equalAverage="0" bottom="0" percent="0" rank="0" text="" dxfId="10">
      <formula>"Evet"</formula>
    </cfRule>
  </conditionalFormatting>
  <conditionalFormatting sqref="D314">
    <cfRule type="cellIs" priority="616" operator="greaterThan" aboveAverage="0" equalAverage="0" bottom="0" percent="0" rank="0" text="" dxfId="8">
      <formula>0</formula>
    </cfRule>
  </conditionalFormatting>
  <conditionalFormatting sqref="E314">
    <cfRule type="cellIs" priority="617" operator="equal" aboveAverage="0" equalAverage="0" bottom="0" percent="0" rank="0" text="" dxfId="10">
      <formula>"Evet"</formula>
    </cfRule>
  </conditionalFormatting>
  <conditionalFormatting sqref="D315">
    <cfRule type="cellIs" priority="618" operator="greaterThan" aboveAverage="0" equalAverage="0" bottom="0" percent="0" rank="0" text="" dxfId="8">
      <formula>0</formula>
    </cfRule>
  </conditionalFormatting>
  <conditionalFormatting sqref="E315">
    <cfRule type="cellIs" priority="619" operator="equal" aboveAverage="0" equalAverage="0" bottom="0" percent="0" rank="0" text="" dxfId="10">
      <formula>"Evet"</formula>
    </cfRule>
  </conditionalFormatting>
  <conditionalFormatting sqref="D316">
    <cfRule type="cellIs" priority="620" operator="greaterThan" aboveAverage="0" equalAverage="0" bottom="0" percent="0" rank="0" text="" dxfId="8">
      <formula>0</formula>
    </cfRule>
  </conditionalFormatting>
  <conditionalFormatting sqref="E316">
    <cfRule type="cellIs" priority="621" operator="equal" aboveAverage="0" equalAverage="0" bottom="0" percent="0" rank="0" text="" dxfId="10">
      <formula>"Evet"</formula>
    </cfRule>
  </conditionalFormatting>
  <conditionalFormatting sqref="D317">
    <cfRule type="cellIs" priority="622" operator="greaterThan" aboveAverage="0" equalAverage="0" bottom="0" percent="0" rank="0" text="" dxfId="8">
      <formula>0</formula>
    </cfRule>
  </conditionalFormatting>
  <conditionalFormatting sqref="E317">
    <cfRule type="cellIs" priority="623" operator="equal" aboveAverage="0" equalAverage="0" bottom="0" percent="0" rank="0" text="" dxfId="10">
      <formula>"Evet"</formula>
    </cfRule>
  </conditionalFormatting>
  <conditionalFormatting sqref="D318">
    <cfRule type="cellIs" priority="624" operator="greaterThan" aboveAverage="0" equalAverage="0" bottom="0" percent="0" rank="0" text="" dxfId="8">
      <formula>0</formula>
    </cfRule>
  </conditionalFormatting>
  <conditionalFormatting sqref="E318">
    <cfRule type="cellIs" priority="625" operator="equal" aboveAverage="0" equalAverage="0" bottom="0" percent="0" rank="0" text="" dxfId="10">
      <formula>"Evet"</formula>
    </cfRule>
  </conditionalFormatting>
  <conditionalFormatting sqref="D319">
    <cfRule type="cellIs" priority="626" operator="greaterThan" aboveAverage="0" equalAverage="0" bottom="0" percent="0" rank="0" text="" dxfId="8">
      <formula>0</formula>
    </cfRule>
  </conditionalFormatting>
  <conditionalFormatting sqref="E319">
    <cfRule type="cellIs" priority="627" operator="equal" aboveAverage="0" equalAverage="0" bottom="0" percent="0" rank="0" text="" dxfId="10">
      <formula>"Evet"</formula>
    </cfRule>
  </conditionalFormatting>
  <conditionalFormatting sqref="D320">
    <cfRule type="cellIs" priority="628" operator="greaterThan" aboveAverage="0" equalAverage="0" bottom="0" percent="0" rank="0" text="" dxfId="8">
      <formula>0</formula>
    </cfRule>
  </conditionalFormatting>
  <conditionalFormatting sqref="E320">
    <cfRule type="cellIs" priority="629" operator="equal" aboveAverage="0" equalAverage="0" bottom="0" percent="0" rank="0" text="" dxfId="10">
      <formula>"Evet"</formula>
    </cfRule>
  </conditionalFormatting>
  <conditionalFormatting sqref="D321">
    <cfRule type="cellIs" priority="630" operator="greaterThan" aboveAverage="0" equalAverage="0" bottom="0" percent="0" rank="0" text="" dxfId="8">
      <formula>0</formula>
    </cfRule>
  </conditionalFormatting>
  <conditionalFormatting sqref="E321">
    <cfRule type="cellIs" priority="631" operator="equal" aboveAverage="0" equalAverage="0" bottom="0" percent="0" rank="0" text="" dxfId="10">
      <formula>"Evet"</formula>
    </cfRule>
  </conditionalFormatting>
  <conditionalFormatting sqref="D322">
    <cfRule type="cellIs" priority="632" operator="greaterThan" aboveAverage="0" equalAverage="0" bottom="0" percent="0" rank="0" text="" dxfId="8">
      <formula>0</formula>
    </cfRule>
  </conditionalFormatting>
  <conditionalFormatting sqref="E322">
    <cfRule type="cellIs" priority="633" operator="equal" aboveAverage="0" equalAverage="0" bottom="0" percent="0" rank="0" text="" dxfId="10">
      <formula>"Evet"</formula>
    </cfRule>
  </conditionalFormatting>
  <conditionalFormatting sqref="D323">
    <cfRule type="cellIs" priority="634" operator="greaterThan" aboveAverage="0" equalAverage="0" bottom="0" percent="0" rank="0" text="" dxfId="8">
      <formula>0</formula>
    </cfRule>
  </conditionalFormatting>
  <conditionalFormatting sqref="E323">
    <cfRule type="cellIs" priority="635" operator="equal" aboveAverage="0" equalAverage="0" bottom="0" percent="0" rank="0" text="" dxfId="10">
      <formula>"Evet"</formula>
    </cfRule>
  </conditionalFormatting>
  <conditionalFormatting sqref="D324">
    <cfRule type="cellIs" priority="636" operator="greaterThan" aboveAverage="0" equalAverage="0" bottom="0" percent="0" rank="0" text="" dxfId="8">
      <formula>0</formula>
    </cfRule>
  </conditionalFormatting>
  <conditionalFormatting sqref="E324">
    <cfRule type="cellIs" priority="637" operator="equal" aboveAverage="0" equalAverage="0" bottom="0" percent="0" rank="0" text="" dxfId="10">
      <formula>"Evet"</formula>
    </cfRule>
  </conditionalFormatting>
  <conditionalFormatting sqref="D325">
    <cfRule type="cellIs" priority="638" operator="greaterThan" aboveAverage="0" equalAverage="0" bottom="0" percent="0" rank="0" text="" dxfId="8">
      <formula>0</formula>
    </cfRule>
  </conditionalFormatting>
  <conditionalFormatting sqref="E325">
    <cfRule type="cellIs" priority="639" operator="equal" aboveAverage="0" equalAverage="0" bottom="0" percent="0" rank="0" text="" dxfId="10">
      <formula>"Evet"</formula>
    </cfRule>
  </conditionalFormatting>
  <conditionalFormatting sqref="D326">
    <cfRule type="cellIs" priority="640" operator="greaterThan" aboveAverage="0" equalAverage="0" bottom="0" percent="0" rank="0" text="" dxfId="8">
      <formula>0</formula>
    </cfRule>
  </conditionalFormatting>
  <conditionalFormatting sqref="E326">
    <cfRule type="cellIs" priority="641" operator="equal" aboveAverage="0" equalAverage="0" bottom="0" percent="0" rank="0" text="" dxfId="10">
      <formula>"Evet"</formula>
    </cfRule>
  </conditionalFormatting>
  <conditionalFormatting sqref="D327">
    <cfRule type="cellIs" priority="642" operator="greaterThan" aboveAverage="0" equalAverage="0" bottom="0" percent="0" rank="0" text="" dxfId="8">
      <formula>0</formula>
    </cfRule>
  </conditionalFormatting>
  <conditionalFormatting sqref="E327">
    <cfRule type="cellIs" priority="643" operator="equal" aboveAverage="0" equalAverage="0" bottom="0" percent="0" rank="0" text="" dxfId="10">
      <formula>"Evet"</formula>
    </cfRule>
  </conditionalFormatting>
  <conditionalFormatting sqref="D328">
    <cfRule type="cellIs" priority="644" operator="greaterThan" aboveAverage="0" equalAverage="0" bottom="0" percent="0" rank="0" text="" dxfId="8">
      <formula>0</formula>
    </cfRule>
  </conditionalFormatting>
  <conditionalFormatting sqref="E328">
    <cfRule type="cellIs" priority="645" operator="equal" aboveAverage="0" equalAverage="0" bottom="0" percent="0" rank="0" text="" dxfId="10">
      <formula>"Evet"</formula>
    </cfRule>
  </conditionalFormatting>
  <conditionalFormatting sqref="D329">
    <cfRule type="cellIs" priority="646" operator="greaterThan" aboveAverage="0" equalAverage="0" bottom="0" percent="0" rank="0" text="" dxfId="8">
      <formula>0</formula>
    </cfRule>
  </conditionalFormatting>
  <conditionalFormatting sqref="E329">
    <cfRule type="cellIs" priority="647" operator="equal" aboveAverage="0" equalAverage="0" bottom="0" percent="0" rank="0" text="" dxfId="10">
      <formula>"Evet"</formula>
    </cfRule>
  </conditionalFormatting>
  <conditionalFormatting sqref="D330">
    <cfRule type="cellIs" priority="648" operator="greaterThan" aboveAverage="0" equalAverage="0" bottom="0" percent="0" rank="0" text="" dxfId="8">
      <formula>0</formula>
    </cfRule>
  </conditionalFormatting>
  <conditionalFormatting sqref="E330">
    <cfRule type="cellIs" priority="649" operator="equal" aboveAverage="0" equalAverage="0" bottom="0" percent="0" rank="0" text="" dxfId="10">
      <formula>"Evet"</formula>
    </cfRule>
  </conditionalFormatting>
  <conditionalFormatting sqref="D331">
    <cfRule type="cellIs" priority="650" operator="greaterThan" aboveAverage="0" equalAverage="0" bottom="0" percent="0" rank="0" text="" dxfId="8">
      <formula>0</formula>
    </cfRule>
  </conditionalFormatting>
  <conditionalFormatting sqref="E331">
    <cfRule type="cellIs" priority="651" operator="equal" aboveAverage="0" equalAverage="0" bottom="0" percent="0" rank="0" text="" dxfId="10">
      <formula>"Evet"</formula>
    </cfRule>
  </conditionalFormatting>
  <conditionalFormatting sqref="D332">
    <cfRule type="cellIs" priority="652" operator="greaterThan" aboveAverage="0" equalAverage="0" bottom="0" percent="0" rank="0" text="" dxfId="8">
      <formula>0</formula>
    </cfRule>
  </conditionalFormatting>
  <conditionalFormatting sqref="E332">
    <cfRule type="cellIs" priority="653" operator="equal" aboveAverage="0" equalAverage="0" bottom="0" percent="0" rank="0" text="" dxfId="10">
      <formula>"Evet"</formula>
    </cfRule>
  </conditionalFormatting>
  <conditionalFormatting sqref="D333">
    <cfRule type="cellIs" priority="654" operator="greaterThan" aboveAverage="0" equalAverage="0" bottom="0" percent="0" rank="0" text="" dxfId="8">
      <formula>0</formula>
    </cfRule>
  </conditionalFormatting>
  <conditionalFormatting sqref="E333">
    <cfRule type="cellIs" priority="655" operator="equal" aboveAverage="0" equalAverage="0" bottom="0" percent="0" rank="0" text="" dxfId="10">
      <formula>"Evet"</formula>
    </cfRule>
  </conditionalFormatting>
  <conditionalFormatting sqref="D334">
    <cfRule type="cellIs" priority="656" operator="greaterThan" aboveAverage="0" equalAverage="0" bottom="0" percent="0" rank="0" text="" dxfId="8">
      <formula>0</formula>
    </cfRule>
  </conditionalFormatting>
  <conditionalFormatting sqref="E334">
    <cfRule type="cellIs" priority="657" operator="equal" aboveAverage="0" equalAverage="0" bottom="0" percent="0" rank="0" text="" dxfId="10">
      <formula>"Evet"</formula>
    </cfRule>
  </conditionalFormatting>
  <conditionalFormatting sqref="D335">
    <cfRule type="cellIs" priority="658" operator="greaterThan" aboveAverage="0" equalAverage="0" bottom="0" percent="0" rank="0" text="" dxfId="8">
      <formula>0</formula>
    </cfRule>
  </conditionalFormatting>
  <conditionalFormatting sqref="E335">
    <cfRule type="cellIs" priority="659" operator="equal" aboveAverage="0" equalAverage="0" bottom="0" percent="0" rank="0" text="" dxfId="10">
      <formula>"Evet"</formula>
    </cfRule>
  </conditionalFormatting>
  <conditionalFormatting sqref="D336">
    <cfRule type="cellIs" priority="660" operator="greaterThan" aboveAverage="0" equalAverage="0" bottom="0" percent="0" rank="0" text="" dxfId="8">
      <formula>0</formula>
    </cfRule>
  </conditionalFormatting>
  <conditionalFormatting sqref="E336">
    <cfRule type="cellIs" priority="661" operator="equal" aboveAverage="0" equalAverage="0" bottom="0" percent="0" rank="0" text="" dxfId="10">
      <formula>"Evet"</formula>
    </cfRule>
  </conditionalFormatting>
  <conditionalFormatting sqref="D337">
    <cfRule type="cellIs" priority="662" operator="greaterThan" aboveAverage="0" equalAverage="0" bottom="0" percent="0" rank="0" text="" dxfId="8">
      <formula>0</formula>
    </cfRule>
  </conditionalFormatting>
  <conditionalFormatting sqref="E337">
    <cfRule type="cellIs" priority="663" operator="equal" aboveAverage="0" equalAverage="0" bottom="0" percent="0" rank="0" text="" dxfId="10">
      <formula>"Evet"</formula>
    </cfRule>
  </conditionalFormatting>
  <conditionalFormatting sqref="D338">
    <cfRule type="cellIs" priority="664" operator="greaterThan" aboveAverage="0" equalAverage="0" bottom="0" percent="0" rank="0" text="" dxfId="8">
      <formula>0</formula>
    </cfRule>
  </conditionalFormatting>
  <conditionalFormatting sqref="E338">
    <cfRule type="cellIs" priority="665" operator="equal" aboveAverage="0" equalAverage="0" bottom="0" percent="0" rank="0" text="" dxfId="10">
      <formula>"Evet"</formula>
    </cfRule>
  </conditionalFormatting>
  <conditionalFormatting sqref="D339">
    <cfRule type="cellIs" priority="666" operator="greaterThan" aboveAverage="0" equalAverage="0" bottom="0" percent="0" rank="0" text="" dxfId="8">
      <formula>0</formula>
    </cfRule>
  </conditionalFormatting>
  <conditionalFormatting sqref="E339">
    <cfRule type="cellIs" priority="667" operator="equal" aboveAverage="0" equalAverage="0" bottom="0" percent="0" rank="0" text="" dxfId="10">
      <formula>"Evet"</formula>
    </cfRule>
  </conditionalFormatting>
  <conditionalFormatting sqref="D340">
    <cfRule type="cellIs" priority="668" operator="greaterThan" aboveAverage="0" equalAverage="0" bottom="0" percent="0" rank="0" text="" dxfId="8">
      <formula>0</formula>
    </cfRule>
  </conditionalFormatting>
  <conditionalFormatting sqref="E340">
    <cfRule type="cellIs" priority="669" operator="equal" aboveAverage="0" equalAverage="0" bottom="0" percent="0" rank="0" text="" dxfId="10">
      <formula>"Evet"</formula>
    </cfRule>
  </conditionalFormatting>
  <conditionalFormatting sqref="D341">
    <cfRule type="cellIs" priority="670" operator="greaterThan" aboveAverage="0" equalAverage="0" bottom="0" percent="0" rank="0" text="" dxfId="8">
      <formula>0</formula>
    </cfRule>
  </conditionalFormatting>
  <conditionalFormatting sqref="E341">
    <cfRule type="cellIs" priority="671" operator="equal" aboveAverage="0" equalAverage="0" bottom="0" percent="0" rank="0" text="" dxfId="10">
      <formula>"Evet"</formula>
    </cfRule>
  </conditionalFormatting>
  <conditionalFormatting sqref="D342">
    <cfRule type="cellIs" priority="672" operator="greaterThan" aboveAverage="0" equalAverage="0" bottom="0" percent="0" rank="0" text="" dxfId="8">
      <formula>0</formula>
    </cfRule>
  </conditionalFormatting>
  <conditionalFormatting sqref="E342">
    <cfRule type="cellIs" priority="673" operator="equal" aboveAverage="0" equalAverage="0" bottom="0" percent="0" rank="0" text="" dxfId="10">
      <formula>"Evet"</formula>
    </cfRule>
  </conditionalFormatting>
  <conditionalFormatting sqref="D343">
    <cfRule type="cellIs" priority="674" operator="greaterThan" aboveAverage="0" equalAverage="0" bottom="0" percent="0" rank="0" text="" dxfId="8">
      <formula>0</formula>
    </cfRule>
  </conditionalFormatting>
  <conditionalFormatting sqref="E343">
    <cfRule type="cellIs" priority="675" operator="equal" aboveAverage="0" equalAverage="0" bottom="0" percent="0" rank="0" text="" dxfId="10">
      <formula>"Evet"</formula>
    </cfRule>
  </conditionalFormatting>
  <conditionalFormatting sqref="D344">
    <cfRule type="cellIs" priority="676" operator="greaterThan" aboveAverage="0" equalAverage="0" bottom="0" percent="0" rank="0" text="" dxfId="8">
      <formula>0</formula>
    </cfRule>
  </conditionalFormatting>
  <conditionalFormatting sqref="E344">
    <cfRule type="cellIs" priority="677" operator="equal" aboveAverage="0" equalAverage="0" bottom="0" percent="0" rank="0" text="" dxfId="10">
      <formula>"Evet"</formula>
    </cfRule>
  </conditionalFormatting>
  <conditionalFormatting sqref="D345">
    <cfRule type="cellIs" priority="678" operator="greaterThan" aboveAverage="0" equalAverage="0" bottom="0" percent="0" rank="0" text="" dxfId="8">
      <formula>0</formula>
    </cfRule>
  </conditionalFormatting>
  <conditionalFormatting sqref="E345">
    <cfRule type="cellIs" priority="679" operator="equal" aboveAverage="0" equalAverage="0" bottom="0" percent="0" rank="0" text="" dxfId="10">
      <formula>"Evet"</formula>
    </cfRule>
  </conditionalFormatting>
  <conditionalFormatting sqref="D346">
    <cfRule type="cellIs" priority="680" operator="greaterThan" aboveAverage="0" equalAverage="0" bottom="0" percent="0" rank="0" text="" dxfId="8">
      <formula>0</formula>
    </cfRule>
  </conditionalFormatting>
  <conditionalFormatting sqref="E346">
    <cfRule type="cellIs" priority="681" operator="equal" aboveAverage="0" equalAverage="0" bottom="0" percent="0" rank="0" text="" dxfId="10">
      <formula>"Evet"</formula>
    </cfRule>
  </conditionalFormatting>
  <conditionalFormatting sqref="D347">
    <cfRule type="cellIs" priority="682" operator="greaterThan" aboveAverage="0" equalAverage="0" bottom="0" percent="0" rank="0" text="" dxfId="8">
      <formula>0</formula>
    </cfRule>
  </conditionalFormatting>
  <conditionalFormatting sqref="E347">
    <cfRule type="cellIs" priority="683" operator="equal" aboveAverage="0" equalAverage="0" bottom="0" percent="0" rank="0" text="" dxfId="10">
      <formula>"Evet"</formula>
    </cfRule>
  </conditionalFormatting>
  <conditionalFormatting sqref="D348">
    <cfRule type="cellIs" priority="684" operator="greaterThan" aboveAverage="0" equalAverage="0" bottom="0" percent="0" rank="0" text="" dxfId="8">
      <formula>0</formula>
    </cfRule>
  </conditionalFormatting>
  <conditionalFormatting sqref="E348">
    <cfRule type="cellIs" priority="685" operator="equal" aboveAverage="0" equalAverage="0" bottom="0" percent="0" rank="0" text="" dxfId="10">
      <formula>"Evet"</formula>
    </cfRule>
  </conditionalFormatting>
  <conditionalFormatting sqref="D349">
    <cfRule type="cellIs" priority="686" operator="greaterThan" aboveAverage="0" equalAverage="0" bottom="0" percent="0" rank="0" text="" dxfId="8">
      <formula>0</formula>
    </cfRule>
  </conditionalFormatting>
  <conditionalFormatting sqref="E349">
    <cfRule type="cellIs" priority="687" operator="equal" aboveAverage="0" equalAverage="0" bottom="0" percent="0" rank="0" text="" dxfId="10">
      <formula>"Evet"</formula>
    </cfRule>
  </conditionalFormatting>
  <conditionalFormatting sqref="D350">
    <cfRule type="cellIs" priority="688" operator="greaterThan" aboveAverage="0" equalAverage="0" bottom="0" percent="0" rank="0" text="" dxfId="8">
      <formula>0</formula>
    </cfRule>
  </conditionalFormatting>
  <conditionalFormatting sqref="E350">
    <cfRule type="cellIs" priority="689" operator="equal" aboveAverage="0" equalAverage="0" bottom="0" percent="0" rank="0" text="" dxfId="10">
      <formula>"Evet"</formula>
    </cfRule>
  </conditionalFormatting>
  <conditionalFormatting sqref="D351">
    <cfRule type="cellIs" priority="690" operator="greaterThan" aboveAverage="0" equalAverage="0" bottom="0" percent="0" rank="0" text="" dxfId="8">
      <formula>0</formula>
    </cfRule>
  </conditionalFormatting>
  <conditionalFormatting sqref="E351">
    <cfRule type="cellIs" priority="691" operator="equal" aboveAverage="0" equalAverage="0" bottom="0" percent="0" rank="0" text="" dxfId="10">
      <formula>"Evet"</formula>
    </cfRule>
  </conditionalFormatting>
  <conditionalFormatting sqref="D352">
    <cfRule type="cellIs" priority="692" operator="greaterThan" aboveAverage="0" equalAverage="0" bottom="0" percent="0" rank="0" text="" dxfId="8">
      <formula>0</formula>
    </cfRule>
  </conditionalFormatting>
  <conditionalFormatting sqref="E352">
    <cfRule type="cellIs" priority="693" operator="equal" aboveAverage="0" equalAverage="0" bottom="0" percent="0" rank="0" text="" dxfId="10">
      <formula>"Evet"</formula>
    </cfRule>
  </conditionalFormatting>
  <conditionalFormatting sqref="D353">
    <cfRule type="cellIs" priority="694" operator="greaterThan" aboveAverage="0" equalAverage="0" bottom="0" percent="0" rank="0" text="" dxfId="8">
      <formula>0</formula>
    </cfRule>
  </conditionalFormatting>
  <conditionalFormatting sqref="E353">
    <cfRule type="cellIs" priority="695" operator="equal" aboveAverage="0" equalAverage="0" bottom="0" percent="0" rank="0" text="" dxfId="10">
      <formula>"Evet"</formula>
    </cfRule>
  </conditionalFormatting>
  <conditionalFormatting sqref="D354">
    <cfRule type="cellIs" priority="696" operator="greaterThan" aboveAverage="0" equalAverage="0" bottom="0" percent="0" rank="0" text="" dxfId="8">
      <formula>0</formula>
    </cfRule>
  </conditionalFormatting>
  <conditionalFormatting sqref="E354">
    <cfRule type="cellIs" priority="697" operator="equal" aboveAverage="0" equalAverage="0" bottom="0" percent="0" rank="0" text="" dxfId="10">
      <formula>"Evet"</formula>
    </cfRule>
  </conditionalFormatting>
  <conditionalFormatting sqref="D355">
    <cfRule type="cellIs" priority="698" operator="greaterThan" aboveAverage="0" equalAverage="0" bottom="0" percent="0" rank="0" text="" dxfId="8">
      <formula>0</formula>
    </cfRule>
  </conditionalFormatting>
  <conditionalFormatting sqref="E355">
    <cfRule type="cellIs" priority="699" operator="equal" aboveAverage="0" equalAverage="0" bottom="0" percent="0" rank="0" text="" dxfId="10">
      <formula>"Evet"</formula>
    </cfRule>
  </conditionalFormatting>
  <conditionalFormatting sqref="D356">
    <cfRule type="cellIs" priority="700" operator="greaterThan" aboveAverage="0" equalAverage="0" bottom="0" percent="0" rank="0" text="" dxfId="8">
      <formula>0</formula>
    </cfRule>
  </conditionalFormatting>
  <conditionalFormatting sqref="E356">
    <cfRule type="cellIs" priority="701" operator="equal" aboveAverage="0" equalAverage="0" bottom="0" percent="0" rank="0" text="" dxfId="10">
      <formula>"Evet"</formula>
    </cfRule>
  </conditionalFormatting>
  <conditionalFormatting sqref="D357">
    <cfRule type="cellIs" priority="702" operator="greaterThan" aboveAverage="0" equalAverage="0" bottom="0" percent="0" rank="0" text="" dxfId="8">
      <formula>0</formula>
    </cfRule>
  </conditionalFormatting>
  <conditionalFormatting sqref="E357">
    <cfRule type="cellIs" priority="703" operator="equal" aboveAverage="0" equalAverage="0" bottom="0" percent="0" rank="0" text="" dxfId="10">
      <formula>"Evet"</formula>
    </cfRule>
  </conditionalFormatting>
  <conditionalFormatting sqref="D358">
    <cfRule type="cellIs" priority="704" operator="greaterThan" aboveAverage="0" equalAverage="0" bottom="0" percent="0" rank="0" text="" dxfId="8">
      <formula>0</formula>
    </cfRule>
  </conditionalFormatting>
  <conditionalFormatting sqref="E358">
    <cfRule type="cellIs" priority="705" operator="equal" aboveAverage="0" equalAverage="0" bottom="0" percent="0" rank="0" text="" dxfId="10">
      <formula>"Evet"</formula>
    </cfRule>
  </conditionalFormatting>
  <conditionalFormatting sqref="D359">
    <cfRule type="cellIs" priority="706" operator="greaterThan" aboveAverage="0" equalAverage="0" bottom="0" percent="0" rank="0" text="" dxfId="8">
      <formula>0</formula>
    </cfRule>
  </conditionalFormatting>
  <conditionalFormatting sqref="E359">
    <cfRule type="cellIs" priority="707" operator="equal" aboveAverage="0" equalAverage="0" bottom="0" percent="0" rank="0" text="" dxfId="10">
      <formula>"Evet"</formula>
    </cfRule>
  </conditionalFormatting>
  <conditionalFormatting sqref="D360">
    <cfRule type="cellIs" priority="708" operator="greaterThan" aboveAverage="0" equalAverage="0" bottom="0" percent="0" rank="0" text="" dxfId="8">
      <formula>0</formula>
    </cfRule>
  </conditionalFormatting>
  <conditionalFormatting sqref="E360">
    <cfRule type="cellIs" priority="709" operator="equal" aboveAverage="0" equalAverage="0" bottom="0" percent="0" rank="0" text="" dxfId="10">
      <formula>"Evet"</formula>
    </cfRule>
  </conditionalFormatting>
  <conditionalFormatting sqref="D361">
    <cfRule type="cellIs" priority="710" operator="greaterThan" aboveAverage="0" equalAverage="0" bottom="0" percent="0" rank="0" text="" dxfId="8">
      <formula>0</formula>
    </cfRule>
  </conditionalFormatting>
  <conditionalFormatting sqref="E361">
    <cfRule type="cellIs" priority="711" operator="equal" aboveAverage="0" equalAverage="0" bottom="0" percent="0" rank="0" text="" dxfId="10">
      <formula>"Evet"</formula>
    </cfRule>
  </conditionalFormatting>
  <conditionalFormatting sqref="D362">
    <cfRule type="cellIs" priority="712" operator="greaterThan" aboveAverage="0" equalAverage="0" bottom="0" percent="0" rank="0" text="" dxfId="8">
      <formula>0</formula>
    </cfRule>
  </conditionalFormatting>
  <conditionalFormatting sqref="E362">
    <cfRule type="cellIs" priority="713" operator="equal" aboveAverage="0" equalAverage="0" bottom="0" percent="0" rank="0" text="" dxfId="10">
      <formula>"Evet"</formula>
    </cfRule>
  </conditionalFormatting>
  <conditionalFormatting sqref="D363">
    <cfRule type="cellIs" priority="714" operator="greaterThan" aboveAverage="0" equalAverage="0" bottom="0" percent="0" rank="0" text="" dxfId="8">
      <formula>0</formula>
    </cfRule>
  </conditionalFormatting>
  <conditionalFormatting sqref="E363">
    <cfRule type="cellIs" priority="715" operator="equal" aboveAverage="0" equalAverage="0" bottom="0" percent="0" rank="0" text="" dxfId="10">
      <formula>"Evet"</formula>
    </cfRule>
  </conditionalFormatting>
  <conditionalFormatting sqref="D364">
    <cfRule type="cellIs" priority="716" operator="greaterThan" aboveAverage="0" equalAverage="0" bottom="0" percent="0" rank="0" text="" dxfId="8">
      <formula>0</formula>
    </cfRule>
  </conditionalFormatting>
  <conditionalFormatting sqref="E364">
    <cfRule type="cellIs" priority="717" operator="equal" aboveAverage="0" equalAverage="0" bottom="0" percent="0" rank="0" text="" dxfId="10">
      <formula>"Evet"</formula>
    </cfRule>
  </conditionalFormatting>
  <conditionalFormatting sqref="D365">
    <cfRule type="cellIs" priority="718" operator="greaterThan" aboveAverage="0" equalAverage="0" bottom="0" percent="0" rank="0" text="" dxfId="8">
      <formula>0</formula>
    </cfRule>
  </conditionalFormatting>
  <conditionalFormatting sqref="E365">
    <cfRule type="cellIs" priority="719" operator="equal" aboveAverage="0" equalAverage="0" bottom="0" percent="0" rank="0" text="" dxfId="10">
      <formula>"Evet"</formula>
    </cfRule>
  </conditionalFormatting>
  <conditionalFormatting sqref="D366">
    <cfRule type="cellIs" priority="720" operator="greaterThan" aboveAverage="0" equalAverage="0" bottom="0" percent="0" rank="0" text="" dxfId="8">
      <formula>0</formula>
    </cfRule>
  </conditionalFormatting>
  <conditionalFormatting sqref="E366">
    <cfRule type="cellIs" priority="721" operator="equal" aboveAverage="0" equalAverage="0" bottom="0" percent="0" rank="0" text="" dxfId="10">
      <formula>"Evet"</formula>
    </cfRule>
  </conditionalFormatting>
  <conditionalFormatting sqref="D367">
    <cfRule type="cellIs" priority="722" operator="greaterThan" aboveAverage="0" equalAverage="0" bottom="0" percent="0" rank="0" text="" dxfId="8">
      <formula>0</formula>
    </cfRule>
  </conditionalFormatting>
  <conditionalFormatting sqref="E367">
    <cfRule type="cellIs" priority="723" operator="equal" aboveAverage="0" equalAverage="0" bottom="0" percent="0" rank="0" text="" dxfId="10">
      <formula>"Evet"</formula>
    </cfRule>
  </conditionalFormatting>
  <conditionalFormatting sqref="D368">
    <cfRule type="cellIs" priority="724" operator="greaterThan" aboveAverage="0" equalAverage="0" bottom="0" percent="0" rank="0" text="" dxfId="8">
      <formula>0</formula>
    </cfRule>
  </conditionalFormatting>
  <conditionalFormatting sqref="E368">
    <cfRule type="cellIs" priority="725" operator="equal" aboveAverage="0" equalAverage="0" bottom="0" percent="0" rank="0" text="" dxfId="10">
      <formula>"Evet"</formula>
    </cfRule>
  </conditionalFormatting>
  <conditionalFormatting sqref="D369">
    <cfRule type="cellIs" priority="726" operator="greaterThan" aboveAverage="0" equalAverage="0" bottom="0" percent="0" rank="0" text="" dxfId="8">
      <formula>0</formula>
    </cfRule>
  </conditionalFormatting>
  <conditionalFormatting sqref="E369">
    <cfRule type="cellIs" priority="727" operator="equal" aboveAverage="0" equalAverage="0" bottom="0" percent="0" rank="0" text="" dxfId="10">
      <formula>"Evet"</formula>
    </cfRule>
  </conditionalFormatting>
  <conditionalFormatting sqref="D370">
    <cfRule type="cellIs" priority="728" operator="greaterThan" aboveAverage="0" equalAverage="0" bottom="0" percent="0" rank="0" text="" dxfId="8">
      <formula>0</formula>
    </cfRule>
  </conditionalFormatting>
  <conditionalFormatting sqref="E370">
    <cfRule type="cellIs" priority="729" operator="equal" aboveAverage="0" equalAverage="0" bottom="0" percent="0" rank="0" text="" dxfId="10">
      <formula>"Evet"</formula>
    </cfRule>
  </conditionalFormatting>
  <conditionalFormatting sqref="D371">
    <cfRule type="cellIs" priority="730" operator="greaterThan" aboveAverage="0" equalAverage="0" bottom="0" percent="0" rank="0" text="" dxfId="8">
      <formula>0</formula>
    </cfRule>
  </conditionalFormatting>
  <conditionalFormatting sqref="E371">
    <cfRule type="cellIs" priority="731" operator="equal" aboveAverage="0" equalAverage="0" bottom="0" percent="0" rank="0" text="" dxfId="10">
      <formula>"Evet"</formula>
    </cfRule>
  </conditionalFormatting>
  <conditionalFormatting sqref="D372">
    <cfRule type="cellIs" priority="732" operator="greaterThan" aboveAverage="0" equalAverage="0" bottom="0" percent="0" rank="0" text="" dxfId="8">
      <formula>0</formula>
    </cfRule>
  </conditionalFormatting>
  <conditionalFormatting sqref="E372">
    <cfRule type="cellIs" priority="733" operator="equal" aboveAverage="0" equalAverage="0" bottom="0" percent="0" rank="0" text="" dxfId="10">
      <formula>"Evet"</formula>
    </cfRule>
  </conditionalFormatting>
  <conditionalFormatting sqref="D373">
    <cfRule type="cellIs" priority="734" operator="greaterThan" aboveAverage="0" equalAverage="0" bottom="0" percent="0" rank="0" text="" dxfId="8">
      <formula>0</formula>
    </cfRule>
  </conditionalFormatting>
  <conditionalFormatting sqref="E373">
    <cfRule type="cellIs" priority="735" operator="equal" aboveAverage="0" equalAverage="0" bottom="0" percent="0" rank="0" text="" dxfId="10">
      <formula>"Evet"</formula>
    </cfRule>
  </conditionalFormatting>
  <conditionalFormatting sqref="D374">
    <cfRule type="cellIs" priority="736" operator="greaterThan" aboveAverage="0" equalAverage="0" bottom="0" percent="0" rank="0" text="" dxfId="8">
      <formula>0</formula>
    </cfRule>
  </conditionalFormatting>
  <conditionalFormatting sqref="E374">
    <cfRule type="cellIs" priority="737" operator="equal" aboveAverage="0" equalAverage="0" bottom="0" percent="0" rank="0" text="" dxfId="10">
      <formula>"Evet"</formula>
    </cfRule>
  </conditionalFormatting>
  <conditionalFormatting sqref="D375">
    <cfRule type="cellIs" priority="738" operator="greaterThan" aboveAverage="0" equalAverage="0" bottom="0" percent="0" rank="0" text="" dxfId="8">
      <formula>0</formula>
    </cfRule>
  </conditionalFormatting>
  <conditionalFormatting sqref="E375">
    <cfRule type="cellIs" priority="739" operator="equal" aboveAverage="0" equalAverage="0" bottom="0" percent="0" rank="0" text="" dxfId="10">
      <formula>"Evet"</formula>
    </cfRule>
  </conditionalFormatting>
  <conditionalFormatting sqref="D376">
    <cfRule type="cellIs" priority="740" operator="greaterThan" aboveAverage="0" equalAverage="0" bottom="0" percent="0" rank="0" text="" dxfId="8">
      <formula>0</formula>
    </cfRule>
  </conditionalFormatting>
  <conditionalFormatting sqref="E376">
    <cfRule type="cellIs" priority="741" operator="equal" aboveAverage="0" equalAverage="0" bottom="0" percent="0" rank="0" text="" dxfId="10">
      <formula>"Evet"</formula>
    </cfRule>
  </conditionalFormatting>
  <conditionalFormatting sqref="D377">
    <cfRule type="cellIs" priority="742" operator="greaterThan" aboveAverage="0" equalAverage="0" bottom="0" percent="0" rank="0" text="" dxfId="8">
      <formula>0</formula>
    </cfRule>
  </conditionalFormatting>
  <conditionalFormatting sqref="E377">
    <cfRule type="cellIs" priority="743" operator="equal" aboveAverage="0" equalAverage="0" bottom="0" percent="0" rank="0" text="" dxfId="10">
      <formula>"Evet"</formula>
    </cfRule>
  </conditionalFormatting>
  <conditionalFormatting sqref="D378">
    <cfRule type="cellIs" priority="744" operator="greaterThan" aboveAverage="0" equalAverage="0" bottom="0" percent="0" rank="0" text="" dxfId="8">
      <formula>0</formula>
    </cfRule>
  </conditionalFormatting>
  <conditionalFormatting sqref="E378">
    <cfRule type="cellIs" priority="745" operator="equal" aboveAverage="0" equalAverage="0" bottom="0" percent="0" rank="0" text="" dxfId="10">
      <formula>"Evet"</formula>
    </cfRule>
  </conditionalFormatting>
  <conditionalFormatting sqref="D379">
    <cfRule type="cellIs" priority="746" operator="greaterThan" aboveAverage="0" equalAverage="0" bottom="0" percent="0" rank="0" text="" dxfId="8">
      <formula>0</formula>
    </cfRule>
  </conditionalFormatting>
  <conditionalFormatting sqref="E379">
    <cfRule type="cellIs" priority="747" operator="equal" aboveAverage="0" equalAverage="0" bottom="0" percent="0" rank="0" text="" dxfId="10">
      <formula>"Evet"</formula>
    </cfRule>
  </conditionalFormatting>
  <conditionalFormatting sqref="D380">
    <cfRule type="cellIs" priority="748" operator="greaterThan" aboveAverage="0" equalAverage="0" bottom="0" percent="0" rank="0" text="" dxfId="8">
      <formula>0</formula>
    </cfRule>
  </conditionalFormatting>
  <conditionalFormatting sqref="E380">
    <cfRule type="cellIs" priority="749" operator="equal" aboveAverage="0" equalAverage="0" bottom="0" percent="0" rank="0" text="" dxfId="10">
      <formula>"Evet"</formula>
    </cfRule>
  </conditionalFormatting>
  <conditionalFormatting sqref="D381">
    <cfRule type="cellIs" priority="750" operator="greaterThan" aboveAverage="0" equalAverage="0" bottom="0" percent="0" rank="0" text="" dxfId="8">
      <formula>0</formula>
    </cfRule>
  </conditionalFormatting>
  <conditionalFormatting sqref="E381">
    <cfRule type="cellIs" priority="751" operator="equal" aboveAverage="0" equalAverage="0" bottom="0" percent="0" rank="0" text="" dxfId="10">
      <formula>"Evet"</formula>
    </cfRule>
  </conditionalFormatting>
  <conditionalFormatting sqref="D382">
    <cfRule type="cellIs" priority="752" operator="greaterThan" aboveAverage="0" equalAverage="0" bottom="0" percent="0" rank="0" text="" dxfId="8">
      <formula>0</formula>
    </cfRule>
  </conditionalFormatting>
  <conditionalFormatting sqref="E382">
    <cfRule type="cellIs" priority="753" operator="equal" aboveAverage="0" equalAverage="0" bottom="0" percent="0" rank="0" text="" dxfId="10">
      <formula>"Evet"</formula>
    </cfRule>
  </conditionalFormatting>
  <conditionalFormatting sqref="D383">
    <cfRule type="cellIs" priority="754" operator="greaterThan" aboveAverage="0" equalAverage="0" bottom="0" percent="0" rank="0" text="" dxfId="8">
      <formula>0</formula>
    </cfRule>
  </conditionalFormatting>
  <conditionalFormatting sqref="E383">
    <cfRule type="cellIs" priority="755" operator="equal" aboveAverage="0" equalAverage="0" bottom="0" percent="0" rank="0" text="" dxfId="10">
      <formula>"Evet"</formula>
    </cfRule>
  </conditionalFormatting>
  <conditionalFormatting sqref="D384">
    <cfRule type="cellIs" priority="756" operator="greaterThan" aboveAverage="0" equalAverage="0" bottom="0" percent="0" rank="0" text="" dxfId="8">
      <formula>0</formula>
    </cfRule>
  </conditionalFormatting>
  <conditionalFormatting sqref="E384">
    <cfRule type="cellIs" priority="757" operator="equal" aboveAverage="0" equalAverage="0" bottom="0" percent="0" rank="0" text="" dxfId="10">
      <formula>"Evet"</formula>
    </cfRule>
  </conditionalFormatting>
  <conditionalFormatting sqref="D385">
    <cfRule type="cellIs" priority="758" operator="greaterThan" aboveAverage="0" equalAverage="0" bottom="0" percent="0" rank="0" text="" dxfId="8">
      <formula>0</formula>
    </cfRule>
  </conditionalFormatting>
  <conditionalFormatting sqref="E385">
    <cfRule type="cellIs" priority="759" operator="equal" aboveAverage="0" equalAverage="0" bottom="0" percent="0" rank="0" text="" dxfId="10">
      <formula>"Evet"</formula>
    </cfRule>
  </conditionalFormatting>
  <conditionalFormatting sqref="D386">
    <cfRule type="cellIs" priority="760" operator="greaterThan" aboveAverage="0" equalAverage="0" bottom="0" percent="0" rank="0" text="" dxfId="8">
      <formula>0</formula>
    </cfRule>
  </conditionalFormatting>
  <conditionalFormatting sqref="E386">
    <cfRule type="cellIs" priority="761" operator="equal" aboveAverage="0" equalAverage="0" bottom="0" percent="0" rank="0" text="" dxfId="10">
      <formula>"Evet"</formula>
    </cfRule>
  </conditionalFormatting>
  <conditionalFormatting sqref="D387">
    <cfRule type="cellIs" priority="762" operator="greaterThan" aboveAverage="0" equalAverage="0" bottom="0" percent="0" rank="0" text="" dxfId="8">
      <formula>0</formula>
    </cfRule>
  </conditionalFormatting>
  <conditionalFormatting sqref="E387">
    <cfRule type="cellIs" priority="763" operator="equal" aboveAverage="0" equalAverage="0" bottom="0" percent="0" rank="0" text="" dxfId="10">
      <formula>"Evet"</formula>
    </cfRule>
  </conditionalFormatting>
  <conditionalFormatting sqref="D388">
    <cfRule type="cellIs" priority="764" operator="greaterThan" aboveAverage="0" equalAverage="0" bottom="0" percent="0" rank="0" text="" dxfId="8">
      <formula>0</formula>
    </cfRule>
  </conditionalFormatting>
  <conditionalFormatting sqref="E388">
    <cfRule type="cellIs" priority="765" operator="equal" aboveAverage="0" equalAverage="0" bottom="0" percent="0" rank="0" text="" dxfId="10">
      <formula>"Evet"</formula>
    </cfRule>
  </conditionalFormatting>
  <conditionalFormatting sqref="D389">
    <cfRule type="cellIs" priority="766" operator="greaterThan" aboveAverage="0" equalAverage="0" bottom="0" percent="0" rank="0" text="" dxfId="8">
      <formula>0</formula>
    </cfRule>
  </conditionalFormatting>
  <conditionalFormatting sqref="E389">
    <cfRule type="cellIs" priority="767" operator="equal" aboveAverage="0" equalAverage="0" bottom="0" percent="0" rank="0" text="" dxfId="10">
      <formula>"Evet"</formula>
    </cfRule>
  </conditionalFormatting>
  <conditionalFormatting sqref="D390">
    <cfRule type="cellIs" priority="768" operator="greaterThan" aboveAverage="0" equalAverage="0" bottom="0" percent="0" rank="0" text="" dxfId="8">
      <formula>0</formula>
    </cfRule>
  </conditionalFormatting>
  <conditionalFormatting sqref="E390">
    <cfRule type="cellIs" priority="769" operator="equal" aboveAverage="0" equalAverage="0" bottom="0" percent="0" rank="0" text="" dxfId="10">
      <formula>"Evet"</formula>
    </cfRule>
  </conditionalFormatting>
  <conditionalFormatting sqref="D391">
    <cfRule type="cellIs" priority="770" operator="greaterThan" aboveAverage="0" equalAverage="0" bottom="0" percent="0" rank="0" text="" dxfId="8">
      <formula>0</formula>
    </cfRule>
  </conditionalFormatting>
  <conditionalFormatting sqref="E391">
    <cfRule type="cellIs" priority="771" operator="equal" aboveAverage="0" equalAverage="0" bottom="0" percent="0" rank="0" text="" dxfId="10">
      <formula>"Evet"</formula>
    </cfRule>
  </conditionalFormatting>
  <conditionalFormatting sqref="D392">
    <cfRule type="cellIs" priority="772" operator="greaterThan" aboveAverage="0" equalAverage="0" bottom="0" percent="0" rank="0" text="" dxfId="8">
      <formula>0</formula>
    </cfRule>
  </conditionalFormatting>
  <conditionalFormatting sqref="E392">
    <cfRule type="cellIs" priority="773" operator="equal" aboveAverage="0" equalAverage="0" bottom="0" percent="0" rank="0" text="" dxfId="10">
      <formula>"Evet"</formula>
    </cfRule>
  </conditionalFormatting>
  <conditionalFormatting sqref="D393">
    <cfRule type="cellIs" priority="774" operator="greaterThan" aboveAverage="0" equalAverage="0" bottom="0" percent="0" rank="0" text="" dxfId="8">
      <formula>0</formula>
    </cfRule>
  </conditionalFormatting>
  <conditionalFormatting sqref="E393">
    <cfRule type="cellIs" priority="775" operator="equal" aboveAverage="0" equalAverage="0" bottom="0" percent="0" rank="0" text="" dxfId="10">
      <formula>"Evet"</formula>
    </cfRule>
  </conditionalFormatting>
  <conditionalFormatting sqref="D394">
    <cfRule type="cellIs" priority="776" operator="greaterThan" aboveAverage="0" equalAverage="0" bottom="0" percent="0" rank="0" text="" dxfId="8">
      <formula>0</formula>
    </cfRule>
  </conditionalFormatting>
  <conditionalFormatting sqref="E394">
    <cfRule type="cellIs" priority="777" operator="equal" aboveAverage="0" equalAverage="0" bottom="0" percent="0" rank="0" text="" dxfId="10">
      <formula>"Evet"</formula>
    </cfRule>
  </conditionalFormatting>
  <conditionalFormatting sqref="D395">
    <cfRule type="cellIs" priority="778" operator="greaterThan" aboveAverage="0" equalAverage="0" bottom="0" percent="0" rank="0" text="" dxfId="8">
      <formula>0</formula>
    </cfRule>
  </conditionalFormatting>
  <conditionalFormatting sqref="E395">
    <cfRule type="cellIs" priority="779" operator="equal" aboveAverage="0" equalAverage="0" bottom="0" percent="0" rank="0" text="" dxfId="10">
      <formula>"Evet"</formula>
    </cfRule>
  </conditionalFormatting>
  <conditionalFormatting sqref="D396">
    <cfRule type="cellIs" priority="780" operator="greaterThan" aboveAverage="0" equalAverage="0" bottom="0" percent="0" rank="0" text="" dxfId="8">
      <formula>0</formula>
    </cfRule>
  </conditionalFormatting>
  <conditionalFormatting sqref="E396">
    <cfRule type="cellIs" priority="781" operator="equal" aboveAverage="0" equalAverage="0" bottom="0" percent="0" rank="0" text="" dxfId="10">
      <formula>"Evet"</formula>
    </cfRule>
  </conditionalFormatting>
  <conditionalFormatting sqref="D397">
    <cfRule type="cellIs" priority="782" operator="greaterThan" aboveAverage="0" equalAverage="0" bottom="0" percent="0" rank="0" text="" dxfId="8">
      <formula>0</formula>
    </cfRule>
  </conditionalFormatting>
  <conditionalFormatting sqref="E397">
    <cfRule type="cellIs" priority="783" operator="equal" aboveAverage="0" equalAverage="0" bottom="0" percent="0" rank="0" text="" dxfId="10">
      <formula>"Evet"</formula>
    </cfRule>
  </conditionalFormatting>
  <conditionalFormatting sqref="D398">
    <cfRule type="cellIs" priority="784" operator="greaterThan" aboveAverage="0" equalAverage="0" bottom="0" percent="0" rank="0" text="" dxfId="8">
      <formula>0</formula>
    </cfRule>
  </conditionalFormatting>
  <conditionalFormatting sqref="E398">
    <cfRule type="cellIs" priority="785" operator="equal" aboveAverage="0" equalAverage="0" bottom="0" percent="0" rank="0" text="" dxfId="10">
      <formula>"Evet"</formula>
    </cfRule>
  </conditionalFormatting>
  <conditionalFormatting sqref="D399">
    <cfRule type="cellIs" priority="786" operator="greaterThan" aboveAverage="0" equalAverage="0" bottom="0" percent="0" rank="0" text="" dxfId="8">
      <formula>0</formula>
    </cfRule>
  </conditionalFormatting>
  <conditionalFormatting sqref="E399">
    <cfRule type="cellIs" priority="787" operator="equal" aboveAverage="0" equalAverage="0" bottom="0" percent="0" rank="0" text="" dxfId="10">
      <formula>"Evet"</formula>
    </cfRule>
  </conditionalFormatting>
  <conditionalFormatting sqref="D400">
    <cfRule type="cellIs" priority="788" operator="greaterThan" aboveAverage="0" equalAverage="0" bottom="0" percent="0" rank="0" text="" dxfId="8">
      <formula>0</formula>
    </cfRule>
  </conditionalFormatting>
  <conditionalFormatting sqref="E400">
    <cfRule type="cellIs" priority="789" operator="equal" aboveAverage="0" equalAverage="0" bottom="0" percent="0" rank="0" text="" dxfId="10">
      <formula>"Evet"</formula>
    </cfRule>
  </conditionalFormatting>
  <conditionalFormatting sqref="D401">
    <cfRule type="cellIs" priority="790" operator="greaterThan" aboveAverage="0" equalAverage="0" bottom="0" percent="0" rank="0" text="" dxfId="8">
      <formula>0</formula>
    </cfRule>
  </conditionalFormatting>
  <conditionalFormatting sqref="E401">
    <cfRule type="cellIs" priority="791" operator="equal" aboveAverage="0" equalAverage="0" bottom="0" percent="0" rank="0" text="" dxfId="10">
      <formula>"Evet"</formula>
    </cfRule>
  </conditionalFormatting>
  <conditionalFormatting sqref="D402">
    <cfRule type="cellIs" priority="792" operator="greaterThan" aboveAverage="0" equalAverage="0" bottom="0" percent="0" rank="0" text="" dxfId="8">
      <formula>0</formula>
    </cfRule>
  </conditionalFormatting>
  <conditionalFormatting sqref="E402">
    <cfRule type="cellIs" priority="793" operator="equal" aboveAverage="0" equalAverage="0" bottom="0" percent="0" rank="0" text="" dxfId="10">
      <formula>"Evet"</formula>
    </cfRule>
  </conditionalFormatting>
  <conditionalFormatting sqref="D403">
    <cfRule type="cellIs" priority="794" operator="greaterThan" aboveAverage="0" equalAverage="0" bottom="0" percent="0" rank="0" text="" dxfId="8">
      <formula>0</formula>
    </cfRule>
  </conditionalFormatting>
  <conditionalFormatting sqref="E403">
    <cfRule type="cellIs" priority="795" operator="equal" aboveAverage="0" equalAverage="0" bottom="0" percent="0" rank="0" text="" dxfId="10">
      <formula>"Evet"</formula>
    </cfRule>
  </conditionalFormatting>
  <conditionalFormatting sqref="D404">
    <cfRule type="cellIs" priority="796" operator="greaterThan" aboveAverage="0" equalAverage="0" bottom="0" percent="0" rank="0" text="" dxfId="8">
      <formula>0</formula>
    </cfRule>
  </conditionalFormatting>
  <conditionalFormatting sqref="E404">
    <cfRule type="cellIs" priority="797" operator="equal" aboveAverage="0" equalAverage="0" bottom="0" percent="0" rank="0" text="" dxfId="10">
      <formula>"Evet"</formula>
    </cfRule>
  </conditionalFormatting>
  <conditionalFormatting sqref="D405">
    <cfRule type="cellIs" priority="798" operator="greaterThan" aboveAverage="0" equalAverage="0" bottom="0" percent="0" rank="0" text="" dxfId="8">
      <formula>0</formula>
    </cfRule>
  </conditionalFormatting>
  <conditionalFormatting sqref="E405">
    <cfRule type="cellIs" priority="799" operator="equal" aboveAverage="0" equalAverage="0" bottom="0" percent="0" rank="0" text="" dxfId="10">
      <formula>"Evet"</formula>
    </cfRule>
  </conditionalFormatting>
  <conditionalFormatting sqref="D406">
    <cfRule type="cellIs" priority="800" operator="greaterThan" aboveAverage="0" equalAverage="0" bottom="0" percent="0" rank="0" text="" dxfId="8">
      <formula>0</formula>
    </cfRule>
  </conditionalFormatting>
  <conditionalFormatting sqref="E406">
    <cfRule type="cellIs" priority="801" operator="equal" aboveAverage="0" equalAverage="0" bottom="0" percent="0" rank="0" text="" dxfId="10">
      <formula>"Evet"</formula>
    </cfRule>
  </conditionalFormatting>
  <conditionalFormatting sqref="D407">
    <cfRule type="cellIs" priority="802" operator="greaterThan" aboveAverage="0" equalAverage="0" bottom="0" percent="0" rank="0" text="" dxfId="8">
      <formula>0</formula>
    </cfRule>
  </conditionalFormatting>
  <conditionalFormatting sqref="E407">
    <cfRule type="cellIs" priority="803" operator="equal" aboveAverage="0" equalAverage="0" bottom="0" percent="0" rank="0" text="" dxfId="10">
      <formula>"Evet"</formula>
    </cfRule>
  </conditionalFormatting>
  <conditionalFormatting sqref="D408">
    <cfRule type="cellIs" priority="804" operator="greaterThan" aboveAverage="0" equalAverage="0" bottom="0" percent="0" rank="0" text="" dxfId="8">
      <formula>0</formula>
    </cfRule>
  </conditionalFormatting>
  <conditionalFormatting sqref="E408">
    <cfRule type="cellIs" priority="805" operator="equal" aboveAverage="0" equalAverage="0" bottom="0" percent="0" rank="0" text="" dxfId="10">
      <formula>"Evet"</formula>
    </cfRule>
  </conditionalFormatting>
  <conditionalFormatting sqref="D409">
    <cfRule type="cellIs" priority="806" operator="greaterThan" aboveAverage="0" equalAverage="0" bottom="0" percent="0" rank="0" text="" dxfId="8">
      <formula>0</formula>
    </cfRule>
  </conditionalFormatting>
  <conditionalFormatting sqref="E409">
    <cfRule type="cellIs" priority="807" operator="equal" aboveAverage="0" equalAverage="0" bottom="0" percent="0" rank="0" text="" dxfId="10">
      <formula>"Evet"</formula>
    </cfRule>
  </conditionalFormatting>
  <conditionalFormatting sqref="D410">
    <cfRule type="cellIs" priority="808" operator="greaterThan" aboveAverage="0" equalAverage="0" bottom="0" percent="0" rank="0" text="" dxfId="8">
      <formula>0</formula>
    </cfRule>
  </conditionalFormatting>
  <conditionalFormatting sqref="E410">
    <cfRule type="cellIs" priority="809" operator="equal" aboveAverage="0" equalAverage="0" bottom="0" percent="0" rank="0" text="" dxfId="10">
      <formula>"Evet"</formula>
    </cfRule>
  </conditionalFormatting>
  <conditionalFormatting sqref="D411">
    <cfRule type="cellIs" priority="810" operator="greaterThan" aboveAverage="0" equalAverage="0" bottom="0" percent="0" rank="0" text="" dxfId="8">
      <formula>0</formula>
    </cfRule>
  </conditionalFormatting>
  <conditionalFormatting sqref="E411">
    <cfRule type="cellIs" priority="811" operator="equal" aboveAverage="0" equalAverage="0" bottom="0" percent="0" rank="0" text="" dxfId="10">
      <formula>"Evet"</formula>
    </cfRule>
  </conditionalFormatting>
  <conditionalFormatting sqref="D412">
    <cfRule type="cellIs" priority="812" operator="greaterThan" aboveAverage="0" equalAverage="0" bottom="0" percent="0" rank="0" text="" dxfId="8">
      <formula>0</formula>
    </cfRule>
  </conditionalFormatting>
  <conditionalFormatting sqref="E412">
    <cfRule type="cellIs" priority="813" operator="equal" aboveAverage="0" equalAverage="0" bottom="0" percent="0" rank="0" text="" dxfId="10">
      <formula>"Evet"</formula>
    </cfRule>
  </conditionalFormatting>
  <conditionalFormatting sqref="D413">
    <cfRule type="cellIs" priority="814" operator="greaterThan" aboveAverage="0" equalAverage="0" bottom="0" percent="0" rank="0" text="" dxfId="8">
      <formula>0</formula>
    </cfRule>
  </conditionalFormatting>
  <conditionalFormatting sqref="E413">
    <cfRule type="cellIs" priority="815" operator="equal" aboveAverage="0" equalAverage="0" bottom="0" percent="0" rank="0" text="" dxfId="10">
      <formula>"Evet"</formula>
    </cfRule>
  </conditionalFormatting>
  <conditionalFormatting sqref="D414">
    <cfRule type="cellIs" priority="816" operator="greaterThan" aboveAverage="0" equalAverage="0" bottom="0" percent="0" rank="0" text="" dxfId="8">
      <formula>0</formula>
    </cfRule>
  </conditionalFormatting>
  <conditionalFormatting sqref="E414">
    <cfRule type="cellIs" priority="817" operator="equal" aboveAverage="0" equalAverage="0" bottom="0" percent="0" rank="0" text="" dxfId="10">
      <formula>"Evet"</formula>
    </cfRule>
  </conditionalFormatting>
  <conditionalFormatting sqref="D415">
    <cfRule type="cellIs" priority="818" operator="greaterThan" aboveAverage="0" equalAverage="0" bottom="0" percent="0" rank="0" text="" dxfId="8">
      <formula>0</formula>
    </cfRule>
  </conditionalFormatting>
  <conditionalFormatting sqref="E415">
    <cfRule type="cellIs" priority="819" operator="equal" aboveAverage="0" equalAverage="0" bottom="0" percent="0" rank="0" text="" dxfId="10">
      <formula>"Evet"</formula>
    </cfRule>
  </conditionalFormatting>
  <conditionalFormatting sqref="D416">
    <cfRule type="cellIs" priority="820" operator="greaterThan" aboveAverage="0" equalAverage="0" bottom="0" percent="0" rank="0" text="" dxfId="8">
      <formula>0</formula>
    </cfRule>
  </conditionalFormatting>
  <conditionalFormatting sqref="E416">
    <cfRule type="cellIs" priority="821" operator="equal" aboveAverage="0" equalAverage="0" bottom="0" percent="0" rank="0" text="" dxfId="10">
      <formula>"Evet"</formula>
    </cfRule>
  </conditionalFormatting>
  <conditionalFormatting sqref="D417">
    <cfRule type="cellIs" priority="822" operator="greaterThan" aboveAverage="0" equalAverage="0" bottom="0" percent="0" rank="0" text="" dxfId="8">
      <formula>0</formula>
    </cfRule>
  </conditionalFormatting>
  <conditionalFormatting sqref="E417">
    <cfRule type="cellIs" priority="823" operator="equal" aboveAverage="0" equalAverage="0" bottom="0" percent="0" rank="0" text="" dxfId="10">
      <formula>"Evet"</formula>
    </cfRule>
  </conditionalFormatting>
  <conditionalFormatting sqref="D418">
    <cfRule type="cellIs" priority="824" operator="greaterThan" aboveAverage="0" equalAverage="0" bottom="0" percent="0" rank="0" text="" dxfId="8">
      <formula>0</formula>
    </cfRule>
  </conditionalFormatting>
  <conditionalFormatting sqref="E418">
    <cfRule type="cellIs" priority="825" operator="equal" aboveAverage="0" equalAverage="0" bottom="0" percent="0" rank="0" text="" dxfId="10">
      <formula>"Evet"</formula>
    </cfRule>
  </conditionalFormatting>
  <conditionalFormatting sqref="D419">
    <cfRule type="cellIs" priority="826" operator="greaterThan" aboveAverage="0" equalAverage="0" bottom="0" percent="0" rank="0" text="" dxfId="8">
      <formula>0</formula>
    </cfRule>
  </conditionalFormatting>
  <conditionalFormatting sqref="E419">
    <cfRule type="cellIs" priority="827" operator="equal" aboveAverage="0" equalAverage="0" bottom="0" percent="0" rank="0" text="" dxfId="10">
      <formula>"Evet"</formula>
    </cfRule>
  </conditionalFormatting>
  <conditionalFormatting sqref="D420">
    <cfRule type="cellIs" priority="828" operator="greaterThan" aboveAverage="0" equalAverage="0" bottom="0" percent="0" rank="0" text="" dxfId="8">
      <formula>0</formula>
    </cfRule>
  </conditionalFormatting>
  <conditionalFormatting sqref="E420">
    <cfRule type="cellIs" priority="829" operator="equal" aboveAverage="0" equalAverage="0" bottom="0" percent="0" rank="0" text="" dxfId="10">
      <formula>"Evet"</formula>
    </cfRule>
  </conditionalFormatting>
  <conditionalFormatting sqref="D421">
    <cfRule type="cellIs" priority="830" operator="greaterThan" aboveAverage="0" equalAverage="0" bottom="0" percent="0" rank="0" text="" dxfId="8">
      <formula>0</formula>
    </cfRule>
  </conditionalFormatting>
  <conditionalFormatting sqref="E421">
    <cfRule type="cellIs" priority="831" operator="equal" aboveAverage="0" equalAverage="0" bottom="0" percent="0" rank="0" text="" dxfId="10">
      <formula>"Evet"</formula>
    </cfRule>
  </conditionalFormatting>
  <conditionalFormatting sqref="D422">
    <cfRule type="cellIs" priority="832" operator="greaterThan" aboveAverage="0" equalAverage="0" bottom="0" percent="0" rank="0" text="" dxfId="8">
      <formula>0</formula>
    </cfRule>
  </conditionalFormatting>
  <conditionalFormatting sqref="E422">
    <cfRule type="cellIs" priority="833" operator="equal" aboveAverage="0" equalAverage="0" bottom="0" percent="0" rank="0" text="" dxfId="10">
      <formula>"Evet"</formula>
    </cfRule>
  </conditionalFormatting>
  <conditionalFormatting sqref="D423">
    <cfRule type="cellIs" priority="834" operator="greaterThan" aboveAverage="0" equalAverage="0" bottom="0" percent="0" rank="0" text="" dxfId="8">
      <formula>0</formula>
    </cfRule>
  </conditionalFormatting>
  <conditionalFormatting sqref="E423">
    <cfRule type="cellIs" priority="835" operator="equal" aboveAverage="0" equalAverage="0" bottom="0" percent="0" rank="0" text="" dxfId="10">
      <formula>"Evet"</formula>
    </cfRule>
  </conditionalFormatting>
  <conditionalFormatting sqref="D424">
    <cfRule type="cellIs" priority="836" operator="greaterThan" aboveAverage="0" equalAverage="0" bottom="0" percent="0" rank="0" text="" dxfId="8">
      <formula>0</formula>
    </cfRule>
  </conditionalFormatting>
  <conditionalFormatting sqref="E424">
    <cfRule type="cellIs" priority="837" operator="equal" aboveAverage="0" equalAverage="0" bottom="0" percent="0" rank="0" text="" dxfId="10">
      <formula>"Evet"</formula>
    </cfRule>
  </conditionalFormatting>
  <conditionalFormatting sqref="D425">
    <cfRule type="cellIs" priority="838" operator="greaterThan" aboveAverage="0" equalAverage="0" bottom="0" percent="0" rank="0" text="" dxfId="8">
      <formula>0</formula>
    </cfRule>
  </conditionalFormatting>
  <conditionalFormatting sqref="E425">
    <cfRule type="cellIs" priority="839" operator="equal" aboveAverage="0" equalAverage="0" bottom="0" percent="0" rank="0" text="" dxfId="10">
      <formula>"Evet"</formula>
    </cfRule>
  </conditionalFormatting>
  <conditionalFormatting sqref="D426">
    <cfRule type="cellIs" priority="840" operator="greaterThan" aboveAverage="0" equalAverage="0" bottom="0" percent="0" rank="0" text="" dxfId="8">
      <formula>0</formula>
    </cfRule>
  </conditionalFormatting>
  <conditionalFormatting sqref="E426">
    <cfRule type="cellIs" priority="841" operator="equal" aboveAverage="0" equalAverage="0" bottom="0" percent="0" rank="0" text="" dxfId="10">
      <formula>"Evet"</formula>
    </cfRule>
  </conditionalFormatting>
  <conditionalFormatting sqref="D427">
    <cfRule type="cellIs" priority="842" operator="greaterThan" aboveAverage="0" equalAverage="0" bottom="0" percent="0" rank="0" text="" dxfId="8">
      <formula>0</formula>
    </cfRule>
  </conditionalFormatting>
  <conditionalFormatting sqref="E427">
    <cfRule type="cellIs" priority="843" operator="equal" aboveAverage="0" equalAverage="0" bottom="0" percent="0" rank="0" text="" dxfId="10">
      <formula>"Evet"</formula>
    </cfRule>
  </conditionalFormatting>
  <conditionalFormatting sqref="D428">
    <cfRule type="cellIs" priority="844" operator="greaterThan" aboveAverage="0" equalAverage="0" bottom="0" percent="0" rank="0" text="" dxfId="8">
      <formula>0</formula>
    </cfRule>
  </conditionalFormatting>
  <conditionalFormatting sqref="E428">
    <cfRule type="cellIs" priority="845" operator="equal" aboveAverage="0" equalAverage="0" bottom="0" percent="0" rank="0" text="" dxfId="10">
      <formula>"Evet"</formula>
    </cfRule>
  </conditionalFormatting>
  <conditionalFormatting sqref="D429">
    <cfRule type="cellIs" priority="846" operator="greaterThan" aboveAverage="0" equalAverage="0" bottom="0" percent="0" rank="0" text="" dxfId="8">
      <formula>0</formula>
    </cfRule>
  </conditionalFormatting>
  <conditionalFormatting sqref="E429">
    <cfRule type="cellIs" priority="847" operator="equal" aboveAverage="0" equalAverage="0" bottom="0" percent="0" rank="0" text="" dxfId="10">
      <formula>"Evet"</formula>
    </cfRule>
  </conditionalFormatting>
  <conditionalFormatting sqref="D430">
    <cfRule type="cellIs" priority="848" operator="greaterThan" aboveAverage="0" equalAverage="0" bottom="0" percent="0" rank="0" text="" dxfId="8">
      <formula>0</formula>
    </cfRule>
  </conditionalFormatting>
  <conditionalFormatting sqref="E430">
    <cfRule type="cellIs" priority="849" operator="equal" aboveAverage="0" equalAverage="0" bottom="0" percent="0" rank="0" text="" dxfId="10">
      <formula>"Evet"</formula>
    </cfRule>
  </conditionalFormatting>
  <conditionalFormatting sqref="D431">
    <cfRule type="cellIs" priority="850" operator="greaterThan" aboveAverage="0" equalAverage="0" bottom="0" percent="0" rank="0" text="" dxfId="8">
      <formula>0</formula>
    </cfRule>
  </conditionalFormatting>
  <conditionalFormatting sqref="E431">
    <cfRule type="cellIs" priority="851" operator="equal" aboveAverage="0" equalAverage="0" bottom="0" percent="0" rank="0" text="" dxfId="10">
      <formula>"Evet"</formula>
    </cfRule>
  </conditionalFormatting>
  <conditionalFormatting sqref="D432">
    <cfRule type="cellIs" priority="852" operator="greaterThan" aboveAverage="0" equalAverage="0" bottom="0" percent="0" rank="0" text="" dxfId="8">
      <formula>0</formula>
    </cfRule>
  </conditionalFormatting>
  <conditionalFormatting sqref="E432">
    <cfRule type="cellIs" priority="853" operator="equal" aboveAverage="0" equalAverage="0" bottom="0" percent="0" rank="0" text="" dxfId="10">
      <formula>"Evet"</formula>
    </cfRule>
  </conditionalFormatting>
  <conditionalFormatting sqref="D433">
    <cfRule type="cellIs" priority="854" operator="greaterThan" aboveAverage="0" equalAverage="0" bottom="0" percent="0" rank="0" text="" dxfId="8">
      <formula>0</formula>
    </cfRule>
  </conditionalFormatting>
  <conditionalFormatting sqref="E433">
    <cfRule type="cellIs" priority="855" operator="equal" aboveAverage="0" equalAverage="0" bottom="0" percent="0" rank="0" text="" dxfId="10">
      <formula>"Evet"</formula>
    </cfRule>
  </conditionalFormatting>
  <conditionalFormatting sqref="D434">
    <cfRule type="cellIs" priority="856" operator="greaterThan" aboveAverage="0" equalAverage="0" bottom="0" percent="0" rank="0" text="" dxfId="8">
      <formula>0</formula>
    </cfRule>
  </conditionalFormatting>
  <conditionalFormatting sqref="E434">
    <cfRule type="cellIs" priority="857" operator="equal" aboveAverage="0" equalAverage="0" bottom="0" percent="0" rank="0" text="" dxfId="10">
      <formula>"Evet"</formula>
    </cfRule>
  </conditionalFormatting>
  <conditionalFormatting sqref="D435">
    <cfRule type="cellIs" priority="858" operator="greaterThan" aboveAverage="0" equalAverage="0" bottom="0" percent="0" rank="0" text="" dxfId="8">
      <formula>0</formula>
    </cfRule>
  </conditionalFormatting>
  <conditionalFormatting sqref="E435">
    <cfRule type="cellIs" priority="859" operator="equal" aboveAverage="0" equalAverage="0" bottom="0" percent="0" rank="0" text="" dxfId="10">
      <formula>"Evet"</formula>
    </cfRule>
  </conditionalFormatting>
  <conditionalFormatting sqref="D436">
    <cfRule type="cellIs" priority="860" operator="greaterThan" aboveAverage="0" equalAverage="0" bottom="0" percent="0" rank="0" text="" dxfId="8">
      <formula>0</formula>
    </cfRule>
  </conditionalFormatting>
  <conditionalFormatting sqref="E436">
    <cfRule type="cellIs" priority="861" operator="equal" aboveAverage="0" equalAverage="0" bottom="0" percent="0" rank="0" text="" dxfId="10">
      <formula>"Evet"</formula>
    </cfRule>
  </conditionalFormatting>
  <conditionalFormatting sqref="D437">
    <cfRule type="cellIs" priority="862" operator="greaterThan" aboveAverage="0" equalAverage="0" bottom="0" percent="0" rank="0" text="" dxfId="8">
      <formula>0</formula>
    </cfRule>
  </conditionalFormatting>
  <conditionalFormatting sqref="E437">
    <cfRule type="cellIs" priority="863" operator="equal" aboveAverage="0" equalAverage="0" bottom="0" percent="0" rank="0" text="" dxfId="10">
      <formula>"Evet"</formula>
    </cfRule>
  </conditionalFormatting>
  <conditionalFormatting sqref="D438">
    <cfRule type="cellIs" priority="864" operator="greaterThan" aboveAverage="0" equalAverage="0" bottom="0" percent="0" rank="0" text="" dxfId="8">
      <formula>0</formula>
    </cfRule>
  </conditionalFormatting>
  <conditionalFormatting sqref="E438">
    <cfRule type="cellIs" priority="865" operator="equal" aboveAverage="0" equalAverage="0" bottom="0" percent="0" rank="0" text="" dxfId="10">
      <formula>"Evet"</formula>
    </cfRule>
  </conditionalFormatting>
  <conditionalFormatting sqref="D439">
    <cfRule type="cellIs" priority="866" operator="greaterThan" aboveAverage="0" equalAverage="0" bottom="0" percent="0" rank="0" text="" dxfId="8">
      <formula>0</formula>
    </cfRule>
  </conditionalFormatting>
  <conditionalFormatting sqref="E439">
    <cfRule type="cellIs" priority="867" operator="equal" aboveAverage="0" equalAverage="0" bottom="0" percent="0" rank="0" text="" dxfId="10">
      <formula>"Evet"</formula>
    </cfRule>
  </conditionalFormatting>
  <conditionalFormatting sqref="D440">
    <cfRule type="cellIs" priority="868" operator="greaterThan" aboveAverage="0" equalAverage="0" bottom="0" percent="0" rank="0" text="" dxfId="8">
      <formula>0</formula>
    </cfRule>
  </conditionalFormatting>
  <conditionalFormatting sqref="E440">
    <cfRule type="cellIs" priority="869" operator="equal" aboveAverage="0" equalAverage="0" bottom="0" percent="0" rank="0" text="" dxfId="10">
      <formula>"Evet"</formula>
    </cfRule>
  </conditionalFormatting>
  <conditionalFormatting sqref="D441">
    <cfRule type="cellIs" priority="870" operator="greaterThan" aboveAverage="0" equalAverage="0" bottom="0" percent="0" rank="0" text="" dxfId="8">
      <formula>0</formula>
    </cfRule>
  </conditionalFormatting>
  <conditionalFormatting sqref="E441">
    <cfRule type="cellIs" priority="871" operator="equal" aboveAverage="0" equalAverage="0" bottom="0" percent="0" rank="0" text="" dxfId="10">
      <formula>"Evet"</formula>
    </cfRule>
  </conditionalFormatting>
  <conditionalFormatting sqref="D442">
    <cfRule type="cellIs" priority="872" operator="greaterThan" aboveAverage="0" equalAverage="0" bottom="0" percent="0" rank="0" text="" dxfId="8">
      <formula>0</formula>
    </cfRule>
  </conditionalFormatting>
  <conditionalFormatting sqref="E442">
    <cfRule type="cellIs" priority="873" operator="equal" aboveAverage="0" equalAverage="0" bottom="0" percent="0" rank="0" text="" dxfId="10">
      <formula>"Evet"</formula>
    </cfRule>
  </conditionalFormatting>
  <conditionalFormatting sqref="D443">
    <cfRule type="cellIs" priority="874" operator="greaterThan" aboveAverage="0" equalAverage="0" bottom="0" percent="0" rank="0" text="" dxfId="8">
      <formula>0</formula>
    </cfRule>
  </conditionalFormatting>
  <conditionalFormatting sqref="E443">
    <cfRule type="cellIs" priority="875" operator="equal" aboveAverage="0" equalAverage="0" bottom="0" percent="0" rank="0" text="" dxfId="10">
      <formula>"Evet"</formula>
    </cfRule>
  </conditionalFormatting>
  <conditionalFormatting sqref="D444">
    <cfRule type="cellIs" priority="876" operator="greaterThan" aboveAverage="0" equalAverage="0" bottom="0" percent="0" rank="0" text="" dxfId="8">
      <formula>0</formula>
    </cfRule>
  </conditionalFormatting>
  <conditionalFormatting sqref="E444">
    <cfRule type="cellIs" priority="877" operator="equal" aboveAverage="0" equalAverage="0" bottom="0" percent="0" rank="0" text="" dxfId="10">
      <formula>"Evet"</formula>
    </cfRule>
  </conditionalFormatting>
  <conditionalFormatting sqref="D445">
    <cfRule type="cellIs" priority="878" operator="greaterThan" aboveAverage="0" equalAverage="0" bottom="0" percent="0" rank="0" text="" dxfId="8">
      <formula>0</formula>
    </cfRule>
  </conditionalFormatting>
  <conditionalFormatting sqref="E445">
    <cfRule type="cellIs" priority="879" operator="equal" aboveAverage="0" equalAverage="0" bottom="0" percent="0" rank="0" text="" dxfId="10">
      <formula>"Evet"</formula>
    </cfRule>
  </conditionalFormatting>
  <conditionalFormatting sqref="D446">
    <cfRule type="cellIs" priority="880" operator="greaterThan" aboveAverage="0" equalAverage="0" bottom="0" percent="0" rank="0" text="" dxfId="8">
      <formula>0</formula>
    </cfRule>
  </conditionalFormatting>
  <conditionalFormatting sqref="E446">
    <cfRule type="cellIs" priority="881" operator="equal" aboveAverage="0" equalAverage="0" bottom="0" percent="0" rank="0" text="" dxfId="10">
      <formula>"Evet"</formula>
    </cfRule>
  </conditionalFormatting>
  <conditionalFormatting sqref="D447">
    <cfRule type="cellIs" priority="882" operator="greaterThan" aboveAverage="0" equalAverage="0" bottom="0" percent="0" rank="0" text="" dxfId="8">
      <formula>0</formula>
    </cfRule>
  </conditionalFormatting>
  <conditionalFormatting sqref="E447">
    <cfRule type="cellIs" priority="883" operator="equal" aboveAverage="0" equalAverage="0" bottom="0" percent="0" rank="0" text="" dxfId="10">
      <formula>"Evet"</formula>
    </cfRule>
  </conditionalFormatting>
  <conditionalFormatting sqref="D448">
    <cfRule type="cellIs" priority="884" operator="greaterThan" aboveAverage="0" equalAverage="0" bottom="0" percent="0" rank="0" text="" dxfId="8">
      <formula>0</formula>
    </cfRule>
  </conditionalFormatting>
  <conditionalFormatting sqref="E448">
    <cfRule type="cellIs" priority="885" operator="equal" aboveAverage="0" equalAverage="0" bottom="0" percent="0" rank="0" text="" dxfId="10">
      <formula>"Evet"</formula>
    </cfRule>
  </conditionalFormatting>
  <conditionalFormatting sqref="D449">
    <cfRule type="cellIs" priority="886" operator="greaterThan" aboveAverage="0" equalAverage="0" bottom="0" percent="0" rank="0" text="" dxfId="8">
      <formula>0</formula>
    </cfRule>
  </conditionalFormatting>
  <conditionalFormatting sqref="E449">
    <cfRule type="cellIs" priority="887" operator="equal" aboveAverage="0" equalAverage="0" bottom="0" percent="0" rank="0" text="" dxfId="10">
      <formula>"Evet"</formula>
    </cfRule>
  </conditionalFormatting>
  <conditionalFormatting sqref="D450">
    <cfRule type="cellIs" priority="888" operator="greaterThan" aboveAverage="0" equalAverage="0" bottom="0" percent="0" rank="0" text="" dxfId="8">
      <formula>0</formula>
    </cfRule>
  </conditionalFormatting>
  <conditionalFormatting sqref="E450">
    <cfRule type="cellIs" priority="889" operator="equal" aboveAverage="0" equalAverage="0" bottom="0" percent="0" rank="0" text="" dxfId="10">
      <formula>"Evet"</formula>
    </cfRule>
  </conditionalFormatting>
  <conditionalFormatting sqref="D451">
    <cfRule type="cellIs" priority="890" operator="greaterThan" aboveAverage="0" equalAverage="0" bottom="0" percent="0" rank="0" text="" dxfId="8">
      <formula>0</formula>
    </cfRule>
  </conditionalFormatting>
  <conditionalFormatting sqref="E451">
    <cfRule type="cellIs" priority="891" operator="equal" aboveAverage="0" equalAverage="0" bottom="0" percent="0" rank="0" text="" dxfId="10">
      <formula>"Evet"</formula>
    </cfRule>
  </conditionalFormatting>
  <conditionalFormatting sqref="D452">
    <cfRule type="cellIs" priority="892" operator="greaterThan" aboveAverage="0" equalAverage="0" bottom="0" percent="0" rank="0" text="" dxfId="8">
      <formula>0</formula>
    </cfRule>
  </conditionalFormatting>
  <conditionalFormatting sqref="E452">
    <cfRule type="cellIs" priority="893" operator="equal" aboveAverage="0" equalAverage="0" bottom="0" percent="0" rank="0" text="" dxfId="10">
      <formula>"Evet"</formula>
    </cfRule>
  </conditionalFormatting>
  <conditionalFormatting sqref="D453">
    <cfRule type="cellIs" priority="894" operator="greaterThan" aboveAverage="0" equalAverage="0" bottom="0" percent="0" rank="0" text="" dxfId="8">
      <formula>0</formula>
    </cfRule>
  </conditionalFormatting>
  <conditionalFormatting sqref="E453">
    <cfRule type="cellIs" priority="895" operator="equal" aboveAverage="0" equalAverage="0" bottom="0" percent="0" rank="0" text="" dxfId="10">
      <formula>"Evet"</formula>
    </cfRule>
  </conditionalFormatting>
  <conditionalFormatting sqref="D454">
    <cfRule type="cellIs" priority="896" operator="greaterThan" aboveAverage="0" equalAverage="0" bottom="0" percent="0" rank="0" text="" dxfId="8">
      <formula>0</formula>
    </cfRule>
  </conditionalFormatting>
  <conditionalFormatting sqref="E454">
    <cfRule type="cellIs" priority="897" operator="equal" aboveAverage="0" equalAverage="0" bottom="0" percent="0" rank="0" text="" dxfId="10">
      <formula>"Evet"</formula>
    </cfRule>
  </conditionalFormatting>
  <conditionalFormatting sqref="D455">
    <cfRule type="cellIs" priority="898" operator="greaterThan" aboveAverage="0" equalAverage="0" bottom="0" percent="0" rank="0" text="" dxfId="8">
      <formula>0</formula>
    </cfRule>
  </conditionalFormatting>
  <conditionalFormatting sqref="E455">
    <cfRule type="cellIs" priority="899" operator="equal" aboveAverage="0" equalAverage="0" bottom="0" percent="0" rank="0" text="" dxfId="10">
      <formula>"Evet"</formula>
    </cfRule>
  </conditionalFormatting>
  <conditionalFormatting sqref="D456">
    <cfRule type="cellIs" priority="900" operator="greaterThan" aboveAverage="0" equalAverage="0" bottom="0" percent="0" rank="0" text="" dxfId="8">
      <formula>0</formula>
    </cfRule>
  </conditionalFormatting>
  <conditionalFormatting sqref="E456">
    <cfRule type="cellIs" priority="901" operator="equal" aboveAverage="0" equalAverage="0" bottom="0" percent="0" rank="0" text="" dxfId="10">
      <formula>"Evet"</formula>
    </cfRule>
  </conditionalFormatting>
  <conditionalFormatting sqref="D457">
    <cfRule type="cellIs" priority="902" operator="greaterThan" aboveAverage="0" equalAverage="0" bottom="0" percent="0" rank="0" text="" dxfId="8">
      <formula>0</formula>
    </cfRule>
  </conditionalFormatting>
  <conditionalFormatting sqref="E457">
    <cfRule type="cellIs" priority="903" operator="equal" aboveAverage="0" equalAverage="0" bottom="0" percent="0" rank="0" text="" dxfId="10">
      <formula>"Evet"</formula>
    </cfRule>
  </conditionalFormatting>
  <conditionalFormatting sqref="D458">
    <cfRule type="cellIs" priority="904" operator="greaterThan" aboveAverage="0" equalAverage="0" bottom="0" percent="0" rank="0" text="" dxfId="8">
      <formula>0</formula>
    </cfRule>
  </conditionalFormatting>
  <conditionalFormatting sqref="E458">
    <cfRule type="cellIs" priority="905" operator="equal" aboveAverage="0" equalAverage="0" bottom="0" percent="0" rank="0" text="" dxfId="10">
      <formula>"Evet"</formula>
    </cfRule>
  </conditionalFormatting>
  <conditionalFormatting sqref="D459">
    <cfRule type="cellIs" priority="906" operator="greaterThan" aboveAverage="0" equalAverage="0" bottom="0" percent="0" rank="0" text="" dxfId="8">
      <formula>0</formula>
    </cfRule>
  </conditionalFormatting>
  <conditionalFormatting sqref="E459">
    <cfRule type="cellIs" priority="907" operator="equal" aboveAverage="0" equalAverage="0" bottom="0" percent="0" rank="0" text="" dxfId="10">
      <formula>"Evet"</formula>
    </cfRule>
  </conditionalFormatting>
  <conditionalFormatting sqref="D460">
    <cfRule type="cellIs" priority="908" operator="greaterThan" aboveAverage="0" equalAverage="0" bottom="0" percent="0" rank="0" text="" dxfId="8">
      <formula>0</formula>
    </cfRule>
  </conditionalFormatting>
  <conditionalFormatting sqref="E460">
    <cfRule type="cellIs" priority="909" operator="equal" aboveAverage="0" equalAverage="0" bottom="0" percent="0" rank="0" text="" dxfId="10">
      <formula>"Evet"</formula>
    </cfRule>
  </conditionalFormatting>
  <conditionalFormatting sqref="D461">
    <cfRule type="cellIs" priority="910" operator="greaterThan" aboveAverage="0" equalAverage="0" bottom="0" percent="0" rank="0" text="" dxfId="8">
      <formula>0</formula>
    </cfRule>
  </conditionalFormatting>
  <conditionalFormatting sqref="E461">
    <cfRule type="cellIs" priority="911" operator="equal" aboveAverage="0" equalAverage="0" bottom="0" percent="0" rank="0" text="" dxfId="10">
      <formula>"Evet"</formula>
    </cfRule>
  </conditionalFormatting>
  <conditionalFormatting sqref="D462">
    <cfRule type="cellIs" priority="912" operator="greaterThan" aboveAverage="0" equalAverage="0" bottom="0" percent="0" rank="0" text="" dxfId="8">
      <formula>0</formula>
    </cfRule>
  </conditionalFormatting>
  <conditionalFormatting sqref="E462">
    <cfRule type="cellIs" priority="913" operator="equal" aboveAverage="0" equalAverage="0" bottom="0" percent="0" rank="0" text="" dxfId="10">
      <formula>"Evet"</formula>
    </cfRule>
  </conditionalFormatting>
  <conditionalFormatting sqref="D463">
    <cfRule type="cellIs" priority="914" operator="greaterThan" aboveAverage="0" equalAverage="0" bottom="0" percent="0" rank="0" text="" dxfId="8">
      <formula>0</formula>
    </cfRule>
  </conditionalFormatting>
  <conditionalFormatting sqref="E463">
    <cfRule type="cellIs" priority="915" operator="equal" aboveAverage="0" equalAverage="0" bottom="0" percent="0" rank="0" text="" dxfId="10">
      <formula>"Evet"</formula>
    </cfRule>
  </conditionalFormatting>
  <conditionalFormatting sqref="D464">
    <cfRule type="cellIs" priority="916" operator="greaterThan" aboveAverage="0" equalAverage="0" bottom="0" percent="0" rank="0" text="" dxfId="8">
      <formula>0</formula>
    </cfRule>
  </conditionalFormatting>
  <conditionalFormatting sqref="E464">
    <cfRule type="cellIs" priority="917" operator="equal" aboveAverage="0" equalAverage="0" bottom="0" percent="0" rank="0" text="" dxfId="10">
      <formula>"Evet"</formula>
    </cfRule>
  </conditionalFormatting>
  <conditionalFormatting sqref="D465">
    <cfRule type="cellIs" priority="918" operator="greaterThan" aboveAverage="0" equalAverage="0" bottom="0" percent="0" rank="0" text="" dxfId="8">
      <formula>0</formula>
    </cfRule>
  </conditionalFormatting>
  <conditionalFormatting sqref="E465">
    <cfRule type="cellIs" priority="919" operator="equal" aboveAverage="0" equalAverage="0" bottom="0" percent="0" rank="0" text="" dxfId="10">
      <formula>"Evet"</formula>
    </cfRule>
  </conditionalFormatting>
  <conditionalFormatting sqref="D466">
    <cfRule type="cellIs" priority="920" operator="greaterThan" aboveAverage="0" equalAverage="0" bottom="0" percent="0" rank="0" text="" dxfId="8">
      <formula>0</formula>
    </cfRule>
  </conditionalFormatting>
  <conditionalFormatting sqref="E466">
    <cfRule type="cellIs" priority="921" operator="equal" aboveAverage="0" equalAverage="0" bottom="0" percent="0" rank="0" text="" dxfId="10">
      <formula>"Evet"</formula>
    </cfRule>
  </conditionalFormatting>
  <conditionalFormatting sqref="D467">
    <cfRule type="cellIs" priority="922" operator="greaterThan" aboveAverage="0" equalAverage="0" bottom="0" percent="0" rank="0" text="" dxfId="8">
      <formula>0</formula>
    </cfRule>
  </conditionalFormatting>
  <conditionalFormatting sqref="E467">
    <cfRule type="cellIs" priority="923" operator="equal" aboveAverage="0" equalAverage="0" bottom="0" percent="0" rank="0" text="" dxfId="10">
      <formula>"Evet"</formula>
    </cfRule>
  </conditionalFormatting>
  <conditionalFormatting sqref="D468">
    <cfRule type="cellIs" priority="924" operator="greaterThan" aboveAverage="0" equalAverage="0" bottom="0" percent="0" rank="0" text="" dxfId="8">
      <formula>0</formula>
    </cfRule>
  </conditionalFormatting>
  <conditionalFormatting sqref="E468">
    <cfRule type="cellIs" priority="925" operator="equal" aboveAverage="0" equalAverage="0" bottom="0" percent="0" rank="0" text="" dxfId="10">
      <formula>"Evet"</formula>
    </cfRule>
  </conditionalFormatting>
  <conditionalFormatting sqref="D469">
    <cfRule type="cellIs" priority="926" operator="greaterThan" aboveAverage="0" equalAverage="0" bottom="0" percent="0" rank="0" text="" dxfId="8">
      <formula>0</formula>
    </cfRule>
  </conditionalFormatting>
  <conditionalFormatting sqref="E469">
    <cfRule type="cellIs" priority="927" operator="equal" aboveAverage="0" equalAverage="0" bottom="0" percent="0" rank="0" text="" dxfId="10">
      <formula>"Evet"</formula>
    </cfRule>
  </conditionalFormatting>
  <conditionalFormatting sqref="D470">
    <cfRule type="cellIs" priority="928" operator="greaterThan" aboveAverage="0" equalAverage="0" bottom="0" percent="0" rank="0" text="" dxfId="8">
      <formula>0</formula>
    </cfRule>
  </conditionalFormatting>
  <conditionalFormatting sqref="E470">
    <cfRule type="cellIs" priority="929" operator="equal" aboveAverage="0" equalAverage="0" bottom="0" percent="0" rank="0" text="" dxfId="10">
      <formula>"Evet"</formula>
    </cfRule>
  </conditionalFormatting>
  <conditionalFormatting sqref="D471">
    <cfRule type="cellIs" priority="930" operator="greaterThan" aboveAverage="0" equalAverage="0" bottom="0" percent="0" rank="0" text="" dxfId="8">
      <formula>0</formula>
    </cfRule>
  </conditionalFormatting>
  <conditionalFormatting sqref="E471">
    <cfRule type="cellIs" priority="931" operator="equal" aboveAverage="0" equalAverage="0" bottom="0" percent="0" rank="0" text="" dxfId="10">
      <formula>"Evet"</formula>
    </cfRule>
  </conditionalFormatting>
  <conditionalFormatting sqref="D472">
    <cfRule type="cellIs" priority="932" operator="greaterThan" aboveAverage="0" equalAverage="0" bottom="0" percent="0" rank="0" text="" dxfId="8">
      <formula>0</formula>
    </cfRule>
  </conditionalFormatting>
  <conditionalFormatting sqref="E472">
    <cfRule type="cellIs" priority="933" operator="equal" aboveAverage="0" equalAverage="0" bottom="0" percent="0" rank="0" text="" dxfId="10">
      <formula>"Evet"</formula>
    </cfRule>
  </conditionalFormatting>
  <conditionalFormatting sqref="D473">
    <cfRule type="cellIs" priority="934" operator="greaterThan" aboveAverage="0" equalAverage="0" bottom="0" percent="0" rank="0" text="" dxfId="8">
      <formula>0</formula>
    </cfRule>
  </conditionalFormatting>
  <conditionalFormatting sqref="E473">
    <cfRule type="cellIs" priority="935" operator="equal" aboveAverage="0" equalAverage="0" bottom="0" percent="0" rank="0" text="" dxfId="10">
      <formula>"Evet"</formula>
    </cfRule>
  </conditionalFormatting>
  <conditionalFormatting sqref="D474">
    <cfRule type="cellIs" priority="936" operator="greaterThan" aboveAverage="0" equalAverage="0" bottom="0" percent="0" rank="0" text="" dxfId="8">
      <formula>0</formula>
    </cfRule>
  </conditionalFormatting>
  <conditionalFormatting sqref="E474">
    <cfRule type="cellIs" priority="937" operator="equal" aboveAverage="0" equalAverage="0" bottom="0" percent="0" rank="0" text="" dxfId="10">
      <formula>"Evet"</formula>
    </cfRule>
  </conditionalFormatting>
  <conditionalFormatting sqref="D475">
    <cfRule type="cellIs" priority="938" operator="greaterThan" aboveAverage="0" equalAverage="0" bottom="0" percent="0" rank="0" text="" dxfId="8">
      <formula>0</formula>
    </cfRule>
  </conditionalFormatting>
  <conditionalFormatting sqref="E475">
    <cfRule type="cellIs" priority="939" operator="equal" aboveAverage="0" equalAverage="0" bottom="0" percent="0" rank="0" text="" dxfId="10">
      <formula>"Evet"</formula>
    </cfRule>
  </conditionalFormatting>
  <conditionalFormatting sqref="D476">
    <cfRule type="cellIs" priority="940" operator="greaterThan" aboveAverage="0" equalAverage="0" bottom="0" percent="0" rank="0" text="" dxfId="8">
      <formula>0</formula>
    </cfRule>
  </conditionalFormatting>
  <conditionalFormatting sqref="E476">
    <cfRule type="cellIs" priority="941" operator="equal" aboveAverage="0" equalAverage="0" bottom="0" percent="0" rank="0" text="" dxfId="10">
      <formula>"Evet"</formula>
    </cfRule>
  </conditionalFormatting>
  <conditionalFormatting sqref="D477">
    <cfRule type="cellIs" priority="942" operator="greaterThan" aboveAverage="0" equalAverage="0" bottom="0" percent="0" rank="0" text="" dxfId="8">
      <formula>0</formula>
    </cfRule>
  </conditionalFormatting>
  <conditionalFormatting sqref="E477">
    <cfRule type="cellIs" priority="943" operator="equal" aboveAverage="0" equalAverage="0" bottom="0" percent="0" rank="0" text="" dxfId="10">
      <formula>"Evet"</formula>
    </cfRule>
  </conditionalFormatting>
  <conditionalFormatting sqref="D478">
    <cfRule type="cellIs" priority="944" operator="greaterThan" aboveAverage="0" equalAverage="0" bottom="0" percent="0" rank="0" text="" dxfId="8">
      <formula>0</formula>
    </cfRule>
  </conditionalFormatting>
  <conditionalFormatting sqref="E478">
    <cfRule type="cellIs" priority="945" operator="equal" aboveAverage="0" equalAverage="0" bottom="0" percent="0" rank="0" text="" dxfId="10">
      <formula>"Evet"</formula>
    </cfRule>
  </conditionalFormatting>
  <conditionalFormatting sqref="D479">
    <cfRule type="cellIs" priority="946" operator="greaterThan" aboveAverage="0" equalAverage="0" bottom="0" percent="0" rank="0" text="" dxfId="8">
      <formula>0</formula>
    </cfRule>
  </conditionalFormatting>
  <conditionalFormatting sqref="E479">
    <cfRule type="cellIs" priority="947" operator="equal" aboveAverage="0" equalAverage="0" bottom="0" percent="0" rank="0" text="" dxfId="10">
      <formula>"Evet"</formula>
    </cfRule>
  </conditionalFormatting>
  <conditionalFormatting sqref="D480">
    <cfRule type="cellIs" priority="948" operator="greaterThan" aboveAverage="0" equalAverage="0" bottom="0" percent="0" rank="0" text="" dxfId="8">
      <formula>0</formula>
    </cfRule>
  </conditionalFormatting>
  <conditionalFormatting sqref="E480">
    <cfRule type="cellIs" priority="949" operator="equal" aboveAverage="0" equalAverage="0" bottom="0" percent="0" rank="0" text="" dxfId="10">
      <formula>"Evet"</formula>
    </cfRule>
  </conditionalFormatting>
  <conditionalFormatting sqref="D481">
    <cfRule type="cellIs" priority="950" operator="greaterThan" aboveAverage="0" equalAverage="0" bottom="0" percent="0" rank="0" text="" dxfId="8">
      <formula>0</formula>
    </cfRule>
  </conditionalFormatting>
  <conditionalFormatting sqref="E481">
    <cfRule type="cellIs" priority="951" operator="equal" aboveAverage="0" equalAverage="0" bottom="0" percent="0" rank="0" text="" dxfId="10">
      <formula>"Evet"</formula>
    </cfRule>
  </conditionalFormatting>
  <conditionalFormatting sqref="D482">
    <cfRule type="cellIs" priority="952" operator="greaterThan" aboveAverage="0" equalAverage="0" bottom="0" percent="0" rank="0" text="" dxfId="8">
      <formula>0</formula>
    </cfRule>
  </conditionalFormatting>
  <conditionalFormatting sqref="E482">
    <cfRule type="cellIs" priority="953" operator="equal" aboveAverage="0" equalAverage="0" bottom="0" percent="0" rank="0" text="" dxfId="10">
      <formula>"Evet"</formula>
    </cfRule>
  </conditionalFormatting>
  <conditionalFormatting sqref="D483">
    <cfRule type="cellIs" priority="954" operator="greaterThan" aboveAverage="0" equalAverage="0" bottom="0" percent="0" rank="0" text="" dxfId="8">
      <formula>0</formula>
    </cfRule>
  </conditionalFormatting>
  <conditionalFormatting sqref="E483">
    <cfRule type="cellIs" priority="955" operator="equal" aboveAverage="0" equalAverage="0" bottom="0" percent="0" rank="0" text="" dxfId="10">
      <formula>"Evet"</formula>
    </cfRule>
  </conditionalFormatting>
  <conditionalFormatting sqref="D484">
    <cfRule type="cellIs" priority="956" operator="greaterThan" aboveAverage="0" equalAverage="0" bottom="0" percent="0" rank="0" text="" dxfId="8">
      <formula>0</formula>
    </cfRule>
  </conditionalFormatting>
  <conditionalFormatting sqref="E484">
    <cfRule type="cellIs" priority="957" operator="equal" aboveAverage="0" equalAverage="0" bottom="0" percent="0" rank="0" text="" dxfId="10">
      <formula>"Evet"</formula>
    </cfRule>
  </conditionalFormatting>
  <conditionalFormatting sqref="D485">
    <cfRule type="cellIs" priority="958" operator="greaterThan" aboveAverage="0" equalAverage="0" bottom="0" percent="0" rank="0" text="" dxfId="8">
      <formula>0</formula>
    </cfRule>
  </conditionalFormatting>
  <conditionalFormatting sqref="E485">
    <cfRule type="cellIs" priority="959" operator="equal" aboveAverage="0" equalAverage="0" bottom="0" percent="0" rank="0" text="" dxfId="10">
      <formula>"Evet"</formula>
    </cfRule>
  </conditionalFormatting>
  <conditionalFormatting sqref="D486">
    <cfRule type="cellIs" priority="960" operator="greaterThan" aboveAverage="0" equalAverage="0" bottom="0" percent="0" rank="0" text="" dxfId="8">
      <formula>0</formula>
    </cfRule>
  </conditionalFormatting>
  <conditionalFormatting sqref="E486">
    <cfRule type="cellIs" priority="961" operator="equal" aboveAverage="0" equalAverage="0" bottom="0" percent="0" rank="0" text="" dxfId="10">
      <formula>"Evet"</formula>
    </cfRule>
  </conditionalFormatting>
  <conditionalFormatting sqref="D487">
    <cfRule type="cellIs" priority="962" operator="greaterThan" aboveAverage="0" equalAverage="0" bottom="0" percent="0" rank="0" text="" dxfId="8">
      <formula>0</formula>
    </cfRule>
  </conditionalFormatting>
  <conditionalFormatting sqref="E487">
    <cfRule type="cellIs" priority="963" operator="equal" aboveAverage="0" equalAverage="0" bottom="0" percent="0" rank="0" text="" dxfId="10">
      <formula>"Evet"</formula>
    </cfRule>
  </conditionalFormatting>
  <conditionalFormatting sqref="D488">
    <cfRule type="cellIs" priority="964" operator="greaterThan" aboveAverage="0" equalAverage="0" bottom="0" percent="0" rank="0" text="" dxfId="8">
      <formula>0</formula>
    </cfRule>
  </conditionalFormatting>
  <conditionalFormatting sqref="E488">
    <cfRule type="cellIs" priority="965" operator="equal" aboveAverage="0" equalAverage="0" bottom="0" percent="0" rank="0" text="" dxfId="10">
      <formula>"Evet"</formula>
    </cfRule>
  </conditionalFormatting>
  <conditionalFormatting sqref="D489">
    <cfRule type="cellIs" priority="966" operator="greaterThan" aboveAverage="0" equalAverage="0" bottom="0" percent="0" rank="0" text="" dxfId="8">
      <formula>0</formula>
    </cfRule>
  </conditionalFormatting>
  <conditionalFormatting sqref="E489">
    <cfRule type="cellIs" priority="967" operator="equal" aboveAverage="0" equalAverage="0" bottom="0" percent="0" rank="0" text="" dxfId="10">
      <formula>"Evet"</formula>
    </cfRule>
  </conditionalFormatting>
  <conditionalFormatting sqref="D490">
    <cfRule type="cellIs" priority="968" operator="greaterThan" aboveAverage="0" equalAverage="0" bottom="0" percent="0" rank="0" text="" dxfId="8">
      <formula>0</formula>
    </cfRule>
  </conditionalFormatting>
  <conditionalFormatting sqref="E490">
    <cfRule type="cellIs" priority="969" operator="equal" aboveAverage="0" equalAverage="0" bottom="0" percent="0" rank="0" text="" dxfId="10">
      <formula>"Evet"</formula>
    </cfRule>
  </conditionalFormatting>
  <conditionalFormatting sqref="D491">
    <cfRule type="cellIs" priority="970" operator="greaterThan" aboveAverage="0" equalAverage="0" bottom="0" percent="0" rank="0" text="" dxfId="8">
      <formula>0</formula>
    </cfRule>
  </conditionalFormatting>
  <conditionalFormatting sqref="E491">
    <cfRule type="cellIs" priority="971" operator="equal" aboveAverage="0" equalAverage="0" bottom="0" percent="0" rank="0" text="" dxfId="10">
      <formula>"Evet"</formula>
    </cfRule>
  </conditionalFormatting>
  <conditionalFormatting sqref="D492">
    <cfRule type="cellIs" priority="972" operator="greaterThan" aboveAverage="0" equalAverage="0" bottom="0" percent="0" rank="0" text="" dxfId="8">
      <formula>0</formula>
    </cfRule>
  </conditionalFormatting>
  <conditionalFormatting sqref="E492">
    <cfRule type="cellIs" priority="973" operator="equal" aboveAverage="0" equalAverage="0" bottom="0" percent="0" rank="0" text="" dxfId="10">
      <formula>"Evet"</formula>
    </cfRule>
  </conditionalFormatting>
  <conditionalFormatting sqref="D493">
    <cfRule type="cellIs" priority="974" operator="greaterThan" aboveAverage="0" equalAverage="0" bottom="0" percent="0" rank="0" text="" dxfId="8">
      <formula>0</formula>
    </cfRule>
  </conditionalFormatting>
  <conditionalFormatting sqref="E493">
    <cfRule type="cellIs" priority="975" operator="equal" aboveAverage="0" equalAverage="0" bottom="0" percent="0" rank="0" text="" dxfId="10">
      <formula>"Evet"</formula>
    </cfRule>
  </conditionalFormatting>
  <conditionalFormatting sqref="D494">
    <cfRule type="cellIs" priority="976" operator="greaterThan" aboveAverage="0" equalAverage="0" bottom="0" percent="0" rank="0" text="" dxfId="8">
      <formula>0</formula>
    </cfRule>
  </conditionalFormatting>
  <conditionalFormatting sqref="E494">
    <cfRule type="cellIs" priority="977" operator="equal" aboveAverage="0" equalAverage="0" bottom="0" percent="0" rank="0" text="" dxfId="10">
      <formula>"Evet"</formula>
    </cfRule>
  </conditionalFormatting>
  <conditionalFormatting sqref="D495">
    <cfRule type="cellIs" priority="978" operator="greaterThan" aboveAverage="0" equalAverage="0" bottom="0" percent="0" rank="0" text="" dxfId="8">
      <formula>0</formula>
    </cfRule>
  </conditionalFormatting>
  <conditionalFormatting sqref="E495">
    <cfRule type="cellIs" priority="979" operator="equal" aboveAverage="0" equalAverage="0" bottom="0" percent="0" rank="0" text="" dxfId="10">
      <formula>"Evet"</formula>
    </cfRule>
  </conditionalFormatting>
  <conditionalFormatting sqref="D496">
    <cfRule type="cellIs" priority="980" operator="greaterThan" aboveAverage="0" equalAverage="0" bottom="0" percent="0" rank="0" text="" dxfId="8">
      <formula>0</formula>
    </cfRule>
  </conditionalFormatting>
  <conditionalFormatting sqref="E496">
    <cfRule type="cellIs" priority="981" operator="equal" aboveAverage="0" equalAverage="0" bottom="0" percent="0" rank="0" text="" dxfId="10">
      <formula>"Evet"</formula>
    </cfRule>
  </conditionalFormatting>
  <conditionalFormatting sqref="D497">
    <cfRule type="cellIs" priority="982" operator="greaterThan" aboveAverage="0" equalAverage="0" bottom="0" percent="0" rank="0" text="" dxfId="8">
      <formula>0</formula>
    </cfRule>
  </conditionalFormatting>
  <conditionalFormatting sqref="E497">
    <cfRule type="cellIs" priority="983" operator="equal" aboveAverage="0" equalAverage="0" bottom="0" percent="0" rank="0" text="" dxfId="10">
      <formula>"Evet"</formula>
    </cfRule>
  </conditionalFormatting>
  <conditionalFormatting sqref="D498">
    <cfRule type="cellIs" priority="984" operator="greaterThan" aboveAverage="0" equalAverage="0" bottom="0" percent="0" rank="0" text="" dxfId="8">
      <formula>0</formula>
    </cfRule>
  </conditionalFormatting>
  <conditionalFormatting sqref="E498">
    <cfRule type="cellIs" priority="985" operator="equal" aboveAverage="0" equalAverage="0" bottom="0" percent="0" rank="0" text="" dxfId="10">
      <formula>"Evet"</formula>
    </cfRule>
  </conditionalFormatting>
  <conditionalFormatting sqref="D499">
    <cfRule type="cellIs" priority="986" operator="greaterThan" aboveAverage="0" equalAverage="0" bottom="0" percent="0" rank="0" text="" dxfId="8">
      <formula>0</formula>
    </cfRule>
  </conditionalFormatting>
  <conditionalFormatting sqref="E499">
    <cfRule type="cellIs" priority="987" operator="equal" aboveAverage="0" equalAverage="0" bottom="0" percent="0" rank="0" text="" dxfId="10">
      <formula>"Evet"</formula>
    </cfRule>
  </conditionalFormatting>
  <conditionalFormatting sqref="D500">
    <cfRule type="cellIs" priority="988" operator="greaterThan" aboveAverage="0" equalAverage="0" bottom="0" percent="0" rank="0" text="" dxfId="8">
      <formula>0</formula>
    </cfRule>
  </conditionalFormatting>
  <conditionalFormatting sqref="E500">
    <cfRule type="cellIs" priority="989" operator="equal" aboveAverage="0" equalAverage="0" bottom="0" percent="0" rank="0" text="" dxfId="10">
      <formula>"Evet"</formula>
    </cfRule>
  </conditionalFormatting>
  <conditionalFormatting sqref="D501">
    <cfRule type="cellIs" priority="990" operator="greaterThan" aboveAverage="0" equalAverage="0" bottom="0" percent="0" rank="0" text="" dxfId="8">
      <formula>0</formula>
    </cfRule>
  </conditionalFormatting>
  <conditionalFormatting sqref="E501">
    <cfRule type="cellIs" priority="991" operator="equal" aboveAverage="0" equalAverage="0" bottom="0" percent="0" rank="0" text="" dxfId="10">
      <formula>"Evet"</formula>
    </cfRule>
  </conditionalFormatting>
  <conditionalFormatting sqref="D502">
    <cfRule type="cellIs" priority="992" operator="greaterThan" aboveAverage="0" equalAverage="0" bottom="0" percent="0" rank="0" text="" dxfId="8">
      <formula>0</formula>
    </cfRule>
  </conditionalFormatting>
  <conditionalFormatting sqref="E502">
    <cfRule type="cellIs" priority="993" operator="equal" aboveAverage="0" equalAverage="0" bottom="0" percent="0" rank="0" text="" dxfId="10">
      <formula>"Evet"</formula>
    </cfRule>
  </conditionalFormatting>
  <conditionalFormatting sqref="D503">
    <cfRule type="cellIs" priority="994" operator="greaterThan" aboveAverage="0" equalAverage="0" bottom="0" percent="0" rank="0" text="" dxfId="8">
      <formula>0</formula>
    </cfRule>
  </conditionalFormatting>
  <conditionalFormatting sqref="E503">
    <cfRule type="cellIs" priority="995" operator="equal" aboveAverage="0" equalAverage="0" bottom="0" percent="0" rank="0" text="" dxfId="10">
      <formula>"Evet"</formula>
    </cfRule>
  </conditionalFormatting>
  <conditionalFormatting sqref="D504">
    <cfRule type="cellIs" priority="996" operator="greaterThan" aboveAverage="0" equalAverage="0" bottom="0" percent="0" rank="0" text="" dxfId="8">
      <formula>0</formula>
    </cfRule>
  </conditionalFormatting>
  <conditionalFormatting sqref="E504">
    <cfRule type="cellIs" priority="997" operator="equal" aboveAverage="0" equalAverage="0" bottom="0" percent="0" rank="0" text="" dxfId="10">
      <formula>"Evet"</formula>
    </cfRule>
  </conditionalFormatting>
  <conditionalFormatting sqref="D505">
    <cfRule type="cellIs" priority="998" operator="greaterThan" aboveAverage="0" equalAverage="0" bottom="0" percent="0" rank="0" text="" dxfId="8">
      <formula>0</formula>
    </cfRule>
  </conditionalFormatting>
  <conditionalFormatting sqref="E505">
    <cfRule type="cellIs" priority="999" operator="equal" aboveAverage="0" equalAverage="0" bottom="0" percent="0" rank="0" text="" dxfId="10">
      <formula>"Evet"</formula>
    </cfRule>
  </conditionalFormatting>
  <conditionalFormatting sqref="D506">
    <cfRule type="cellIs" priority="1000" operator="greaterThan" aboveAverage="0" equalAverage="0" bottom="0" percent="0" rank="0" text="" dxfId="8">
      <formula>0</formula>
    </cfRule>
  </conditionalFormatting>
  <conditionalFormatting sqref="E506">
    <cfRule type="cellIs" priority="1001" operator="equal" aboveAverage="0" equalAverage="0" bottom="0" percent="0" rank="0" text="" dxfId="10">
      <formula>"Evet"</formula>
    </cfRule>
  </conditionalFormatting>
  <conditionalFormatting sqref="D507">
    <cfRule type="cellIs" priority="1002" operator="greaterThan" aboveAverage="0" equalAverage="0" bottom="0" percent="0" rank="0" text="" dxfId="8">
      <formula>0</formula>
    </cfRule>
  </conditionalFormatting>
  <conditionalFormatting sqref="E507">
    <cfRule type="cellIs" priority="1003" operator="equal" aboveAverage="0" equalAverage="0" bottom="0" percent="0" rank="0" text="" dxfId="10">
      <formula>"Evet"</formula>
    </cfRule>
  </conditionalFormatting>
  <conditionalFormatting sqref="D508">
    <cfRule type="cellIs" priority="1004" operator="greaterThan" aboveAverage="0" equalAverage="0" bottom="0" percent="0" rank="0" text="" dxfId="8">
      <formula>0</formula>
    </cfRule>
  </conditionalFormatting>
  <conditionalFormatting sqref="E508">
    <cfRule type="cellIs" priority="1005" operator="equal" aboveAverage="0" equalAverage="0" bottom="0" percent="0" rank="0" text="" dxfId="10">
      <formula>"Evet"</formula>
    </cfRule>
  </conditionalFormatting>
  <conditionalFormatting sqref="D509">
    <cfRule type="cellIs" priority="1006" operator="greaterThan" aboveAverage="0" equalAverage="0" bottom="0" percent="0" rank="0" text="" dxfId="8">
      <formula>0</formula>
    </cfRule>
  </conditionalFormatting>
  <conditionalFormatting sqref="E509">
    <cfRule type="cellIs" priority="1007" operator="equal" aboveAverage="0" equalAverage="0" bottom="0" percent="0" rank="0" text="" dxfId="10">
      <formula>"Evet"</formula>
    </cfRule>
  </conditionalFormatting>
  <conditionalFormatting sqref="D510">
    <cfRule type="cellIs" priority="1008" operator="greaterThan" aboveAverage="0" equalAverage="0" bottom="0" percent="0" rank="0" text="" dxfId="8">
      <formula>0</formula>
    </cfRule>
  </conditionalFormatting>
  <conditionalFormatting sqref="E510">
    <cfRule type="cellIs" priority="1009" operator="equal" aboveAverage="0" equalAverage="0" bottom="0" percent="0" rank="0" text="" dxfId="10">
      <formula>"Evet"</formula>
    </cfRule>
  </conditionalFormatting>
  <conditionalFormatting sqref="D511">
    <cfRule type="cellIs" priority="1010" operator="greaterThan" aboveAverage="0" equalAverage="0" bottom="0" percent="0" rank="0" text="" dxfId="8">
      <formula>0</formula>
    </cfRule>
  </conditionalFormatting>
  <conditionalFormatting sqref="E511">
    <cfRule type="cellIs" priority="1011" operator="equal" aboveAverage="0" equalAverage="0" bottom="0" percent="0" rank="0" text="" dxfId="10">
      <formula>"Evet"</formula>
    </cfRule>
  </conditionalFormatting>
  <conditionalFormatting sqref="D512">
    <cfRule type="cellIs" priority="1012" operator="greaterThan" aboveAverage="0" equalAverage="0" bottom="0" percent="0" rank="0" text="" dxfId="8">
      <formula>0</formula>
    </cfRule>
  </conditionalFormatting>
  <conditionalFormatting sqref="E512">
    <cfRule type="cellIs" priority="1013" operator="equal" aboveAverage="0" equalAverage="0" bottom="0" percent="0" rank="0" text="" dxfId="10">
      <formula>"Evet"</formula>
    </cfRule>
  </conditionalFormatting>
  <conditionalFormatting sqref="D513">
    <cfRule type="cellIs" priority="1014" operator="greaterThan" aboveAverage="0" equalAverage="0" bottom="0" percent="0" rank="0" text="" dxfId="8">
      <formula>0</formula>
    </cfRule>
  </conditionalFormatting>
  <conditionalFormatting sqref="E513">
    <cfRule type="cellIs" priority="1015" operator="equal" aboveAverage="0" equalAverage="0" bottom="0" percent="0" rank="0" text="" dxfId="10">
      <formula>"Evet"</formula>
    </cfRule>
  </conditionalFormatting>
  <conditionalFormatting sqref="D514">
    <cfRule type="cellIs" priority="1016" operator="greaterThan" aboveAverage="0" equalAverage="0" bottom="0" percent="0" rank="0" text="" dxfId="8">
      <formula>0</formula>
    </cfRule>
  </conditionalFormatting>
  <conditionalFormatting sqref="E514">
    <cfRule type="cellIs" priority="1017" operator="equal" aboveAverage="0" equalAverage="0" bottom="0" percent="0" rank="0" text="" dxfId="10">
      <formula>"Evet"</formula>
    </cfRule>
  </conditionalFormatting>
  <conditionalFormatting sqref="D515">
    <cfRule type="cellIs" priority="1018" operator="greaterThan" aboveAverage="0" equalAverage="0" bottom="0" percent="0" rank="0" text="" dxfId="8">
      <formula>0</formula>
    </cfRule>
  </conditionalFormatting>
  <conditionalFormatting sqref="E515">
    <cfRule type="cellIs" priority="1019" operator="equal" aboveAverage="0" equalAverage="0" bottom="0" percent="0" rank="0" text="" dxfId="10">
      <formula>"Evet"</formula>
    </cfRule>
  </conditionalFormatting>
  <conditionalFormatting sqref="D516">
    <cfRule type="cellIs" priority="1020" operator="greaterThan" aboveAverage="0" equalAverage="0" bottom="0" percent="0" rank="0" text="" dxfId="8">
      <formula>0</formula>
    </cfRule>
  </conditionalFormatting>
  <conditionalFormatting sqref="E516">
    <cfRule type="cellIs" priority="1021" operator="equal" aboveAverage="0" equalAverage="0" bottom="0" percent="0" rank="0" text="" dxfId="10">
      <formula>"Evet"</formula>
    </cfRule>
  </conditionalFormatting>
  <conditionalFormatting sqref="D517">
    <cfRule type="cellIs" priority="1022" operator="greaterThan" aboveAverage="0" equalAverage="0" bottom="0" percent="0" rank="0" text="" dxfId="8">
      <formula>0</formula>
    </cfRule>
  </conditionalFormatting>
  <conditionalFormatting sqref="E517">
    <cfRule type="cellIs" priority="1023" operator="equal" aboveAverage="0" equalAverage="0" bottom="0" percent="0" rank="0" text="" dxfId="10">
      <formula>"Evet"</formula>
    </cfRule>
  </conditionalFormatting>
  <conditionalFormatting sqref="D518">
    <cfRule type="cellIs" priority="1024" operator="greaterThan" aboveAverage="0" equalAverage="0" bottom="0" percent="0" rank="0" text="" dxfId="8">
      <formula>0</formula>
    </cfRule>
  </conditionalFormatting>
  <conditionalFormatting sqref="E518">
    <cfRule type="cellIs" priority="1025" operator="equal" aboveAverage="0" equalAverage="0" bottom="0" percent="0" rank="0" text="" dxfId="10">
      <formula>"Evet"</formula>
    </cfRule>
  </conditionalFormatting>
  <conditionalFormatting sqref="D519">
    <cfRule type="cellIs" priority="1026" operator="greaterThan" aboveAverage="0" equalAverage="0" bottom="0" percent="0" rank="0" text="" dxfId="8">
      <formula>0</formula>
    </cfRule>
  </conditionalFormatting>
  <conditionalFormatting sqref="E519">
    <cfRule type="cellIs" priority="1027" operator="equal" aboveAverage="0" equalAverage="0" bottom="0" percent="0" rank="0" text="" dxfId="10">
      <formula>"Evet"</formula>
    </cfRule>
  </conditionalFormatting>
  <conditionalFormatting sqref="D520">
    <cfRule type="cellIs" priority="1028" operator="greaterThan" aboveAverage="0" equalAverage="0" bottom="0" percent="0" rank="0" text="" dxfId="8">
      <formula>0</formula>
    </cfRule>
  </conditionalFormatting>
  <conditionalFormatting sqref="E520">
    <cfRule type="cellIs" priority="1029" operator="equal" aboveAverage="0" equalAverage="0" bottom="0" percent="0" rank="0" text="" dxfId="10">
      <formula>"Evet"</formula>
    </cfRule>
  </conditionalFormatting>
  <conditionalFormatting sqref="D521">
    <cfRule type="cellIs" priority="1030" operator="greaterThan" aboveAverage="0" equalAverage="0" bottom="0" percent="0" rank="0" text="" dxfId="8">
      <formula>0</formula>
    </cfRule>
  </conditionalFormatting>
  <conditionalFormatting sqref="E521">
    <cfRule type="cellIs" priority="1031" operator="equal" aboveAverage="0" equalAverage="0" bottom="0" percent="0" rank="0" text="" dxfId="10">
      <formula>"Evet"</formula>
    </cfRule>
  </conditionalFormatting>
  <conditionalFormatting sqref="D522">
    <cfRule type="cellIs" priority="1032" operator="greaterThan" aboveAverage="0" equalAverage="0" bottom="0" percent="0" rank="0" text="" dxfId="8">
      <formula>0</formula>
    </cfRule>
  </conditionalFormatting>
  <conditionalFormatting sqref="E522">
    <cfRule type="cellIs" priority="1033" operator="equal" aboveAverage="0" equalAverage="0" bottom="0" percent="0" rank="0" text="" dxfId="10">
      <formula>"Evet"</formula>
    </cfRule>
  </conditionalFormatting>
  <conditionalFormatting sqref="D523">
    <cfRule type="cellIs" priority="1034" operator="greaterThan" aboveAverage="0" equalAverage="0" bottom="0" percent="0" rank="0" text="" dxfId="8">
      <formula>0</formula>
    </cfRule>
  </conditionalFormatting>
  <conditionalFormatting sqref="E523">
    <cfRule type="cellIs" priority="1035" operator="equal" aboveAverage="0" equalAverage="0" bottom="0" percent="0" rank="0" text="" dxfId="10">
      <formula>"Evet"</formula>
    </cfRule>
  </conditionalFormatting>
  <conditionalFormatting sqref="D524">
    <cfRule type="cellIs" priority="1036" operator="greaterThan" aboveAverage="0" equalAverage="0" bottom="0" percent="0" rank="0" text="" dxfId="8">
      <formula>0</formula>
    </cfRule>
  </conditionalFormatting>
  <conditionalFormatting sqref="E524">
    <cfRule type="cellIs" priority="1037" operator="equal" aboveAverage="0" equalAverage="0" bottom="0" percent="0" rank="0" text="" dxfId="10">
      <formula>"Evet"</formula>
    </cfRule>
  </conditionalFormatting>
  <conditionalFormatting sqref="D525">
    <cfRule type="cellIs" priority="1038" operator="greaterThan" aboveAverage="0" equalAverage="0" bottom="0" percent="0" rank="0" text="" dxfId="8">
      <formula>0</formula>
    </cfRule>
  </conditionalFormatting>
  <conditionalFormatting sqref="E525">
    <cfRule type="cellIs" priority="1039" operator="equal" aboveAverage="0" equalAverage="0" bottom="0" percent="0" rank="0" text="" dxfId="10">
      <formula>"Evet"</formula>
    </cfRule>
  </conditionalFormatting>
  <conditionalFormatting sqref="D526">
    <cfRule type="cellIs" priority="1040" operator="greaterThan" aboveAverage="0" equalAverage="0" bottom="0" percent="0" rank="0" text="" dxfId="8">
      <formula>0</formula>
    </cfRule>
  </conditionalFormatting>
  <conditionalFormatting sqref="E526">
    <cfRule type="cellIs" priority="1041" operator="equal" aboveAverage="0" equalAverage="0" bottom="0" percent="0" rank="0" text="" dxfId="10">
      <formula>"Evet"</formula>
    </cfRule>
  </conditionalFormatting>
  <conditionalFormatting sqref="D527">
    <cfRule type="cellIs" priority="1042" operator="greaterThan" aboveAverage="0" equalAverage="0" bottom="0" percent="0" rank="0" text="" dxfId="8">
      <formula>0</formula>
    </cfRule>
  </conditionalFormatting>
  <conditionalFormatting sqref="E527">
    <cfRule type="cellIs" priority="1043" operator="equal" aboveAverage="0" equalAverage="0" bottom="0" percent="0" rank="0" text="" dxfId="10">
      <formula>"Evet"</formula>
    </cfRule>
  </conditionalFormatting>
  <conditionalFormatting sqref="D528">
    <cfRule type="cellIs" priority="1044" operator="greaterThan" aboveAverage="0" equalAverage="0" bottom="0" percent="0" rank="0" text="" dxfId="8">
      <formula>0</formula>
    </cfRule>
  </conditionalFormatting>
  <conditionalFormatting sqref="E528">
    <cfRule type="cellIs" priority="1045" operator="equal" aboveAverage="0" equalAverage="0" bottom="0" percent="0" rank="0" text="" dxfId="10">
      <formula>"Evet"</formula>
    </cfRule>
  </conditionalFormatting>
  <conditionalFormatting sqref="D529">
    <cfRule type="cellIs" priority="1046" operator="greaterThan" aboveAverage="0" equalAverage="0" bottom="0" percent="0" rank="0" text="" dxfId="8">
      <formula>0</formula>
    </cfRule>
  </conditionalFormatting>
  <conditionalFormatting sqref="E529">
    <cfRule type="cellIs" priority="1047" operator="equal" aboveAverage="0" equalAverage="0" bottom="0" percent="0" rank="0" text="" dxfId="10">
      <formula>"Evet"</formula>
    </cfRule>
  </conditionalFormatting>
  <conditionalFormatting sqref="D530">
    <cfRule type="cellIs" priority="1048" operator="greaterThan" aboveAverage="0" equalAverage="0" bottom="0" percent="0" rank="0" text="" dxfId="8">
      <formula>0</formula>
    </cfRule>
  </conditionalFormatting>
  <conditionalFormatting sqref="E530">
    <cfRule type="cellIs" priority="1049" operator="equal" aboveAverage="0" equalAverage="0" bottom="0" percent="0" rank="0" text="" dxfId="10">
      <formula>"Evet"</formula>
    </cfRule>
  </conditionalFormatting>
  <conditionalFormatting sqref="D531">
    <cfRule type="cellIs" priority="1050" operator="greaterThan" aboveAverage="0" equalAverage="0" bottom="0" percent="0" rank="0" text="" dxfId="8">
      <formula>0</formula>
    </cfRule>
  </conditionalFormatting>
  <conditionalFormatting sqref="E531">
    <cfRule type="cellIs" priority="1051" operator="equal" aboveAverage="0" equalAverage="0" bottom="0" percent="0" rank="0" text="" dxfId="10">
      <formula>"Evet"</formula>
    </cfRule>
  </conditionalFormatting>
  <conditionalFormatting sqref="D532">
    <cfRule type="cellIs" priority="1052" operator="greaterThan" aboveAverage="0" equalAverage="0" bottom="0" percent="0" rank="0" text="" dxfId="8">
      <formula>0</formula>
    </cfRule>
  </conditionalFormatting>
  <conditionalFormatting sqref="E532">
    <cfRule type="cellIs" priority="1053" operator="equal" aboveAverage="0" equalAverage="0" bottom="0" percent="0" rank="0" text="" dxfId="10">
      <formula>"Evet"</formula>
    </cfRule>
  </conditionalFormatting>
  <conditionalFormatting sqref="D533">
    <cfRule type="cellIs" priority="1054" operator="greaterThan" aboveAverage="0" equalAverage="0" bottom="0" percent="0" rank="0" text="" dxfId="8">
      <formula>0</formula>
    </cfRule>
  </conditionalFormatting>
  <conditionalFormatting sqref="E533">
    <cfRule type="cellIs" priority="1055" operator="equal" aboveAverage="0" equalAverage="0" bottom="0" percent="0" rank="0" text="" dxfId="10">
      <formula>"Evet"</formula>
    </cfRule>
  </conditionalFormatting>
  <conditionalFormatting sqref="D534">
    <cfRule type="cellIs" priority="1056" operator="greaterThan" aboveAverage="0" equalAverage="0" bottom="0" percent="0" rank="0" text="" dxfId="8">
      <formula>0</formula>
    </cfRule>
  </conditionalFormatting>
  <conditionalFormatting sqref="E534">
    <cfRule type="cellIs" priority="1057" operator="equal" aboveAverage="0" equalAverage="0" bottom="0" percent="0" rank="0" text="" dxfId="10">
      <formula>"Evet"</formula>
    </cfRule>
  </conditionalFormatting>
  <conditionalFormatting sqref="D535">
    <cfRule type="cellIs" priority="1058" operator="greaterThan" aboveAverage="0" equalAverage="0" bottom="0" percent="0" rank="0" text="" dxfId="8">
      <formula>0</formula>
    </cfRule>
  </conditionalFormatting>
  <conditionalFormatting sqref="E535">
    <cfRule type="cellIs" priority="1059" operator="equal" aboveAverage="0" equalAverage="0" bottom="0" percent="0" rank="0" text="" dxfId="10">
      <formula>"Evet"</formula>
    </cfRule>
  </conditionalFormatting>
  <conditionalFormatting sqref="D536">
    <cfRule type="cellIs" priority="1060" operator="greaterThan" aboveAverage="0" equalAverage="0" bottom="0" percent="0" rank="0" text="" dxfId="8">
      <formula>0</formula>
    </cfRule>
  </conditionalFormatting>
  <conditionalFormatting sqref="E536">
    <cfRule type="cellIs" priority="1061" operator="equal" aboveAverage="0" equalAverage="0" bottom="0" percent="0" rank="0" text="" dxfId="10">
      <formula>"Evet"</formula>
    </cfRule>
  </conditionalFormatting>
  <conditionalFormatting sqref="D537">
    <cfRule type="cellIs" priority="1062" operator="greaterThan" aboveAverage="0" equalAverage="0" bottom="0" percent="0" rank="0" text="" dxfId="8">
      <formula>0</formula>
    </cfRule>
  </conditionalFormatting>
  <conditionalFormatting sqref="E537">
    <cfRule type="cellIs" priority="1063" operator="equal" aboveAverage="0" equalAverage="0" bottom="0" percent="0" rank="0" text="" dxfId="10">
      <formula>"Evet"</formula>
    </cfRule>
  </conditionalFormatting>
  <conditionalFormatting sqref="D538">
    <cfRule type="cellIs" priority="1064" operator="greaterThan" aboveAverage="0" equalAverage="0" bottom="0" percent="0" rank="0" text="" dxfId="8">
      <formula>0</formula>
    </cfRule>
  </conditionalFormatting>
  <conditionalFormatting sqref="E538">
    <cfRule type="cellIs" priority="1065" operator="equal" aboveAverage="0" equalAverage="0" bottom="0" percent="0" rank="0" text="" dxfId="10">
      <formula>"Evet"</formula>
    </cfRule>
  </conditionalFormatting>
  <conditionalFormatting sqref="D539">
    <cfRule type="cellIs" priority="1066" operator="greaterThan" aboveAverage="0" equalAverage="0" bottom="0" percent="0" rank="0" text="" dxfId="8">
      <formula>0</formula>
    </cfRule>
  </conditionalFormatting>
  <conditionalFormatting sqref="E539">
    <cfRule type="cellIs" priority="1067" operator="equal" aboveAverage="0" equalAverage="0" bottom="0" percent="0" rank="0" text="" dxfId="10">
      <formula>"Evet"</formula>
    </cfRule>
  </conditionalFormatting>
  <conditionalFormatting sqref="D540">
    <cfRule type="cellIs" priority="1068" operator="greaterThan" aboveAverage="0" equalAverage="0" bottom="0" percent="0" rank="0" text="" dxfId="8">
      <formula>0</formula>
    </cfRule>
  </conditionalFormatting>
  <conditionalFormatting sqref="E540">
    <cfRule type="cellIs" priority="1069" operator="equal" aboveAverage="0" equalAverage="0" bottom="0" percent="0" rank="0" text="" dxfId="10">
      <formula>"Evet"</formula>
    </cfRule>
  </conditionalFormatting>
  <conditionalFormatting sqref="D541">
    <cfRule type="cellIs" priority="1070" operator="greaterThan" aboveAverage="0" equalAverage="0" bottom="0" percent="0" rank="0" text="" dxfId="8">
      <formula>0</formula>
    </cfRule>
  </conditionalFormatting>
  <conditionalFormatting sqref="E541">
    <cfRule type="cellIs" priority="1071" operator="equal" aboveAverage="0" equalAverage="0" bottom="0" percent="0" rank="0" text="" dxfId="10">
      <formula>"Evet"</formula>
    </cfRule>
  </conditionalFormatting>
  <conditionalFormatting sqref="D542">
    <cfRule type="cellIs" priority="1072" operator="greaterThan" aboveAverage="0" equalAverage="0" bottom="0" percent="0" rank="0" text="" dxfId="8">
      <formula>0</formula>
    </cfRule>
  </conditionalFormatting>
  <conditionalFormatting sqref="E542">
    <cfRule type="cellIs" priority="1073" operator="equal" aboveAverage="0" equalAverage="0" bottom="0" percent="0" rank="0" text="" dxfId="10">
      <formula>"Evet"</formula>
    </cfRule>
  </conditionalFormatting>
  <conditionalFormatting sqref="D543">
    <cfRule type="cellIs" priority="1074" operator="greaterThan" aboveAverage="0" equalAverage="0" bottom="0" percent="0" rank="0" text="" dxfId="8">
      <formula>0</formula>
    </cfRule>
  </conditionalFormatting>
  <conditionalFormatting sqref="E543">
    <cfRule type="cellIs" priority="1075" operator="equal" aboveAverage="0" equalAverage="0" bottom="0" percent="0" rank="0" text="" dxfId="10">
      <formula>"Evet"</formula>
    </cfRule>
  </conditionalFormatting>
  <conditionalFormatting sqref="D544">
    <cfRule type="cellIs" priority="1076" operator="greaterThan" aboveAverage="0" equalAverage="0" bottom="0" percent="0" rank="0" text="" dxfId="8">
      <formula>0</formula>
    </cfRule>
  </conditionalFormatting>
  <conditionalFormatting sqref="E544">
    <cfRule type="cellIs" priority="1077" operator="equal" aboveAverage="0" equalAverage="0" bottom="0" percent="0" rank="0" text="" dxfId="10">
      <formula>"Evet"</formula>
    </cfRule>
  </conditionalFormatting>
  <conditionalFormatting sqref="D545">
    <cfRule type="cellIs" priority="1078" operator="greaterThan" aboveAverage="0" equalAverage="0" bottom="0" percent="0" rank="0" text="" dxfId="8">
      <formula>0</formula>
    </cfRule>
  </conditionalFormatting>
  <conditionalFormatting sqref="E545">
    <cfRule type="cellIs" priority="1079" operator="equal" aboveAverage="0" equalAverage="0" bottom="0" percent="0" rank="0" text="" dxfId="10">
      <formula>"Evet"</formula>
    </cfRule>
  </conditionalFormatting>
  <conditionalFormatting sqref="D546">
    <cfRule type="cellIs" priority="1080" operator="greaterThan" aboveAverage="0" equalAverage="0" bottom="0" percent="0" rank="0" text="" dxfId="8">
      <formula>0</formula>
    </cfRule>
  </conditionalFormatting>
  <conditionalFormatting sqref="E546">
    <cfRule type="cellIs" priority="1081" operator="equal" aboveAverage="0" equalAverage="0" bottom="0" percent="0" rank="0" text="" dxfId="10">
      <formula>"Evet"</formula>
    </cfRule>
  </conditionalFormatting>
  <conditionalFormatting sqref="D547">
    <cfRule type="cellIs" priority="1082" operator="greaterThan" aboveAverage="0" equalAverage="0" bottom="0" percent="0" rank="0" text="" dxfId="8">
      <formula>0</formula>
    </cfRule>
  </conditionalFormatting>
  <conditionalFormatting sqref="E547">
    <cfRule type="cellIs" priority="1083" operator="equal" aboveAverage="0" equalAverage="0" bottom="0" percent="0" rank="0" text="" dxfId="10">
      <formula>"Evet"</formula>
    </cfRule>
  </conditionalFormatting>
  <conditionalFormatting sqref="D548">
    <cfRule type="cellIs" priority="1084" operator="greaterThan" aboveAverage="0" equalAverage="0" bottom="0" percent="0" rank="0" text="" dxfId="8">
      <formula>0</formula>
    </cfRule>
  </conditionalFormatting>
  <conditionalFormatting sqref="E548">
    <cfRule type="cellIs" priority="1085" operator="equal" aboveAverage="0" equalAverage="0" bottom="0" percent="0" rank="0" text="" dxfId="10">
      <formula>"Evet"</formula>
    </cfRule>
  </conditionalFormatting>
  <conditionalFormatting sqref="D549">
    <cfRule type="cellIs" priority="1086" operator="greaterThan" aboveAverage="0" equalAverage="0" bottom="0" percent="0" rank="0" text="" dxfId="8">
      <formula>0</formula>
    </cfRule>
  </conditionalFormatting>
  <conditionalFormatting sqref="E549">
    <cfRule type="cellIs" priority="1087" operator="equal" aboveAverage="0" equalAverage="0" bottom="0" percent="0" rank="0" text="" dxfId="10">
      <formula>"Evet"</formula>
    </cfRule>
  </conditionalFormatting>
  <conditionalFormatting sqref="D550">
    <cfRule type="cellIs" priority="1088" operator="greaterThan" aboveAverage="0" equalAverage="0" bottom="0" percent="0" rank="0" text="" dxfId="8">
      <formula>0</formula>
    </cfRule>
  </conditionalFormatting>
  <conditionalFormatting sqref="E550">
    <cfRule type="cellIs" priority="1089" operator="equal" aboveAverage="0" equalAverage="0" bottom="0" percent="0" rank="0" text="" dxfId="10">
      <formula>"Evet"</formula>
    </cfRule>
  </conditionalFormatting>
  <conditionalFormatting sqref="D551">
    <cfRule type="cellIs" priority="1090" operator="greaterThan" aboveAverage="0" equalAverage="0" bottom="0" percent="0" rank="0" text="" dxfId="8">
      <formula>0</formula>
    </cfRule>
  </conditionalFormatting>
  <conditionalFormatting sqref="E551">
    <cfRule type="cellIs" priority="1091" operator="equal" aboveAverage="0" equalAverage="0" bottom="0" percent="0" rank="0" text="" dxfId="10">
      <formula>"Evet"</formula>
    </cfRule>
  </conditionalFormatting>
  <conditionalFormatting sqref="D552">
    <cfRule type="cellIs" priority="1092" operator="greaterThan" aboveAverage="0" equalAverage="0" bottom="0" percent="0" rank="0" text="" dxfId="8">
      <formula>0</formula>
    </cfRule>
  </conditionalFormatting>
  <conditionalFormatting sqref="E552">
    <cfRule type="cellIs" priority="1093" operator="equal" aboveAverage="0" equalAverage="0" bottom="0" percent="0" rank="0" text="" dxfId="10">
      <formula>"Evet"</formula>
    </cfRule>
  </conditionalFormatting>
  <conditionalFormatting sqref="D553">
    <cfRule type="cellIs" priority="1094" operator="greaterThan" aboveAverage="0" equalAverage="0" bottom="0" percent="0" rank="0" text="" dxfId="8">
      <formula>0</formula>
    </cfRule>
  </conditionalFormatting>
  <conditionalFormatting sqref="E553">
    <cfRule type="cellIs" priority="1095" operator="equal" aboveAverage="0" equalAverage="0" bottom="0" percent="0" rank="0" text="" dxfId="10">
      <formula>"Evet"</formula>
    </cfRule>
  </conditionalFormatting>
  <conditionalFormatting sqref="D554">
    <cfRule type="cellIs" priority="1096" operator="greaterThan" aboveAverage="0" equalAverage="0" bottom="0" percent="0" rank="0" text="" dxfId="8">
      <formula>0</formula>
    </cfRule>
  </conditionalFormatting>
  <conditionalFormatting sqref="E554">
    <cfRule type="cellIs" priority="1097" operator="equal" aboveAverage="0" equalAverage="0" bottom="0" percent="0" rank="0" text="" dxfId="10">
      <formula>"Evet"</formula>
    </cfRule>
  </conditionalFormatting>
  <conditionalFormatting sqref="D555">
    <cfRule type="cellIs" priority="1098" operator="greaterThan" aboveAverage="0" equalAverage="0" bottom="0" percent="0" rank="0" text="" dxfId="8">
      <formula>0</formula>
    </cfRule>
  </conditionalFormatting>
  <conditionalFormatting sqref="E555">
    <cfRule type="cellIs" priority="1099" operator="equal" aboveAverage="0" equalAverage="0" bottom="0" percent="0" rank="0" text="" dxfId="10">
      <formula>"Evet"</formula>
    </cfRule>
  </conditionalFormatting>
  <conditionalFormatting sqref="D556">
    <cfRule type="cellIs" priority="1100" operator="greaterThan" aboveAverage="0" equalAverage="0" bottom="0" percent="0" rank="0" text="" dxfId="8">
      <formula>0</formula>
    </cfRule>
  </conditionalFormatting>
  <conditionalFormatting sqref="E556">
    <cfRule type="cellIs" priority="1101" operator="equal" aboveAverage="0" equalAverage="0" bottom="0" percent="0" rank="0" text="" dxfId="10">
      <formula>"Evet"</formula>
    </cfRule>
  </conditionalFormatting>
  <conditionalFormatting sqref="D557">
    <cfRule type="cellIs" priority="1102" operator="greaterThan" aboveAverage="0" equalAverage="0" bottom="0" percent="0" rank="0" text="" dxfId="8">
      <formula>0</formula>
    </cfRule>
  </conditionalFormatting>
  <conditionalFormatting sqref="E557">
    <cfRule type="cellIs" priority="1103" operator="equal" aboveAverage="0" equalAverage="0" bottom="0" percent="0" rank="0" text="" dxfId="10">
      <formula>"Evet"</formula>
    </cfRule>
  </conditionalFormatting>
  <conditionalFormatting sqref="D558">
    <cfRule type="cellIs" priority="1104" operator="greaterThan" aboveAverage="0" equalAverage="0" bottom="0" percent="0" rank="0" text="" dxfId="8">
      <formula>0</formula>
    </cfRule>
  </conditionalFormatting>
  <conditionalFormatting sqref="E558">
    <cfRule type="cellIs" priority="1105" operator="equal" aboveAverage="0" equalAverage="0" bottom="0" percent="0" rank="0" text="" dxfId="10">
      <formula>"Evet"</formula>
    </cfRule>
  </conditionalFormatting>
  <conditionalFormatting sqref="D559">
    <cfRule type="cellIs" priority="1106" operator="greaterThan" aboveAverage="0" equalAverage="0" bottom="0" percent="0" rank="0" text="" dxfId="8">
      <formula>0</formula>
    </cfRule>
  </conditionalFormatting>
  <conditionalFormatting sqref="E559">
    <cfRule type="cellIs" priority="1107" operator="equal" aboveAverage="0" equalAverage="0" bottom="0" percent="0" rank="0" text="" dxfId="10">
      <formula>"Evet"</formula>
    </cfRule>
  </conditionalFormatting>
  <conditionalFormatting sqref="D560">
    <cfRule type="cellIs" priority="1108" operator="greaterThan" aboveAverage="0" equalAverage="0" bottom="0" percent="0" rank="0" text="" dxfId="8">
      <formula>0</formula>
    </cfRule>
  </conditionalFormatting>
  <conditionalFormatting sqref="E560">
    <cfRule type="cellIs" priority="1109" operator="equal" aboveAverage="0" equalAverage="0" bottom="0" percent="0" rank="0" text="" dxfId="10">
      <formula>"Evet"</formula>
    </cfRule>
  </conditionalFormatting>
  <conditionalFormatting sqref="D561">
    <cfRule type="cellIs" priority="1110" operator="greaterThan" aboveAverage="0" equalAverage="0" bottom="0" percent="0" rank="0" text="" dxfId="8">
      <formula>0</formula>
    </cfRule>
  </conditionalFormatting>
  <conditionalFormatting sqref="E561">
    <cfRule type="cellIs" priority="1111" operator="equal" aboveAverage="0" equalAverage="0" bottom="0" percent="0" rank="0" text="" dxfId="10">
      <formula>"Evet"</formula>
    </cfRule>
  </conditionalFormatting>
  <conditionalFormatting sqref="D562">
    <cfRule type="cellIs" priority="1112" operator="greaterThan" aboveAverage="0" equalAverage="0" bottom="0" percent="0" rank="0" text="" dxfId="8">
      <formula>0</formula>
    </cfRule>
  </conditionalFormatting>
  <conditionalFormatting sqref="E562">
    <cfRule type="cellIs" priority="1113" operator="equal" aboveAverage="0" equalAverage="0" bottom="0" percent="0" rank="0" text="" dxfId="10">
      <formula>"Evet"</formula>
    </cfRule>
  </conditionalFormatting>
  <conditionalFormatting sqref="D563">
    <cfRule type="cellIs" priority="1114" operator="greaterThan" aboveAverage="0" equalAverage="0" bottom="0" percent="0" rank="0" text="" dxfId="8">
      <formula>0</formula>
    </cfRule>
  </conditionalFormatting>
  <conditionalFormatting sqref="E563">
    <cfRule type="cellIs" priority="1115" operator="equal" aboveAverage="0" equalAverage="0" bottom="0" percent="0" rank="0" text="" dxfId="10">
      <formula>"Evet"</formula>
    </cfRule>
  </conditionalFormatting>
  <conditionalFormatting sqref="D564">
    <cfRule type="cellIs" priority="1116" operator="greaterThan" aboveAverage="0" equalAverage="0" bottom="0" percent="0" rank="0" text="" dxfId="8">
      <formula>0</formula>
    </cfRule>
  </conditionalFormatting>
  <conditionalFormatting sqref="E564">
    <cfRule type="cellIs" priority="1117" operator="equal" aboveAverage="0" equalAverage="0" bottom="0" percent="0" rank="0" text="" dxfId="10">
      <formula>"Evet"</formula>
    </cfRule>
  </conditionalFormatting>
  <conditionalFormatting sqref="D565">
    <cfRule type="cellIs" priority="1118" operator="greaterThan" aboveAverage="0" equalAverage="0" bottom="0" percent="0" rank="0" text="" dxfId="8">
      <formula>0</formula>
    </cfRule>
  </conditionalFormatting>
  <conditionalFormatting sqref="E565">
    <cfRule type="cellIs" priority="1119" operator="equal" aboveAverage="0" equalAverage="0" bottom="0" percent="0" rank="0" text="" dxfId="10">
      <formula>"Evet"</formula>
    </cfRule>
  </conditionalFormatting>
  <conditionalFormatting sqref="D566">
    <cfRule type="cellIs" priority="1120" operator="greaterThan" aboveAverage="0" equalAverage="0" bottom="0" percent="0" rank="0" text="" dxfId="8">
      <formula>0</formula>
    </cfRule>
  </conditionalFormatting>
  <conditionalFormatting sqref="E566">
    <cfRule type="cellIs" priority="1121" operator="equal" aboveAverage="0" equalAverage="0" bottom="0" percent="0" rank="0" text="" dxfId="10">
      <formula>"Evet"</formula>
    </cfRule>
  </conditionalFormatting>
  <conditionalFormatting sqref="D567">
    <cfRule type="cellIs" priority="1122" operator="greaterThan" aboveAverage="0" equalAverage="0" bottom="0" percent="0" rank="0" text="" dxfId="8">
      <formula>0</formula>
    </cfRule>
  </conditionalFormatting>
  <conditionalFormatting sqref="E567">
    <cfRule type="cellIs" priority="1123" operator="equal" aboveAverage="0" equalAverage="0" bottom="0" percent="0" rank="0" text="" dxfId="10">
      <formula>"Evet"</formula>
    </cfRule>
  </conditionalFormatting>
  <conditionalFormatting sqref="D568">
    <cfRule type="cellIs" priority="1124" operator="greaterThan" aboveAverage="0" equalAverage="0" bottom="0" percent="0" rank="0" text="" dxfId="8">
      <formula>0</formula>
    </cfRule>
  </conditionalFormatting>
  <conditionalFormatting sqref="E568">
    <cfRule type="cellIs" priority="1125" operator="equal" aboveAverage="0" equalAverage="0" bottom="0" percent="0" rank="0" text="" dxfId="10">
      <formula>"Evet"</formula>
    </cfRule>
  </conditionalFormatting>
  <conditionalFormatting sqref="D569">
    <cfRule type="cellIs" priority="1126" operator="greaterThan" aboveAverage="0" equalAverage="0" bottom="0" percent="0" rank="0" text="" dxfId="8">
      <formula>0</formula>
    </cfRule>
  </conditionalFormatting>
  <conditionalFormatting sqref="E569">
    <cfRule type="cellIs" priority="1127" operator="equal" aboveAverage="0" equalAverage="0" bottom="0" percent="0" rank="0" text="" dxfId="10">
      <formula>"Evet"</formula>
    </cfRule>
  </conditionalFormatting>
  <conditionalFormatting sqref="D570">
    <cfRule type="cellIs" priority="1128" operator="greaterThan" aboveAverage="0" equalAverage="0" bottom="0" percent="0" rank="0" text="" dxfId="8">
      <formula>0</formula>
    </cfRule>
  </conditionalFormatting>
  <conditionalFormatting sqref="E570">
    <cfRule type="cellIs" priority="1129" operator="equal" aboveAverage="0" equalAverage="0" bottom="0" percent="0" rank="0" text="" dxfId="10">
      <formula>"Evet"</formula>
    </cfRule>
  </conditionalFormatting>
  <conditionalFormatting sqref="D571">
    <cfRule type="cellIs" priority="1130" operator="greaterThan" aboveAverage="0" equalAverage="0" bottom="0" percent="0" rank="0" text="" dxfId="8">
      <formula>0</formula>
    </cfRule>
  </conditionalFormatting>
  <conditionalFormatting sqref="E571">
    <cfRule type="cellIs" priority="1131" operator="equal" aboveAverage="0" equalAverage="0" bottom="0" percent="0" rank="0" text="" dxfId="10">
      <formula>"Evet"</formula>
    </cfRule>
  </conditionalFormatting>
  <conditionalFormatting sqref="D572">
    <cfRule type="cellIs" priority="1132" operator="greaterThan" aboveAverage="0" equalAverage="0" bottom="0" percent="0" rank="0" text="" dxfId="8">
      <formula>0</formula>
    </cfRule>
  </conditionalFormatting>
  <conditionalFormatting sqref="E572">
    <cfRule type="cellIs" priority="1133" operator="equal" aboveAverage="0" equalAverage="0" bottom="0" percent="0" rank="0" text="" dxfId="10">
      <formula>"Evet"</formula>
    </cfRule>
  </conditionalFormatting>
  <conditionalFormatting sqref="D573">
    <cfRule type="cellIs" priority="1134" operator="greaterThan" aboveAverage="0" equalAverage="0" bottom="0" percent="0" rank="0" text="" dxfId="8">
      <formula>0</formula>
    </cfRule>
  </conditionalFormatting>
  <conditionalFormatting sqref="E573">
    <cfRule type="cellIs" priority="1135" operator="equal" aboveAverage="0" equalAverage="0" bottom="0" percent="0" rank="0" text="" dxfId="10">
      <formula>"Evet"</formula>
    </cfRule>
  </conditionalFormatting>
  <conditionalFormatting sqref="D574">
    <cfRule type="cellIs" priority="1136" operator="greaterThan" aboveAverage="0" equalAverage="0" bottom="0" percent="0" rank="0" text="" dxfId="8">
      <formula>0</formula>
    </cfRule>
  </conditionalFormatting>
  <conditionalFormatting sqref="E574">
    <cfRule type="cellIs" priority="1137" operator="equal" aboveAverage="0" equalAverage="0" bottom="0" percent="0" rank="0" text="" dxfId="10">
      <formula>"Evet"</formula>
    </cfRule>
  </conditionalFormatting>
  <conditionalFormatting sqref="D575">
    <cfRule type="cellIs" priority="1138" operator="greaterThan" aboveAverage="0" equalAverage="0" bottom="0" percent="0" rank="0" text="" dxfId="8">
      <formula>0</formula>
    </cfRule>
  </conditionalFormatting>
  <conditionalFormatting sqref="E575">
    <cfRule type="cellIs" priority="1139" operator="equal" aboveAverage="0" equalAverage="0" bottom="0" percent="0" rank="0" text="" dxfId="10">
      <formula>"Evet"</formula>
    </cfRule>
  </conditionalFormatting>
  <conditionalFormatting sqref="D576">
    <cfRule type="cellIs" priority="1140" operator="greaterThan" aboveAverage="0" equalAverage="0" bottom="0" percent="0" rank="0" text="" dxfId="8">
      <formula>0</formula>
    </cfRule>
  </conditionalFormatting>
  <conditionalFormatting sqref="E576">
    <cfRule type="cellIs" priority="1141" operator="equal" aboveAverage="0" equalAverage="0" bottom="0" percent="0" rank="0" text="" dxfId="10">
      <formula>"Evet"</formula>
    </cfRule>
  </conditionalFormatting>
  <conditionalFormatting sqref="D577">
    <cfRule type="cellIs" priority="1142" operator="greaterThan" aboveAverage="0" equalAverage="0" bottom="0" percent="0" rank="0" text="" dxfId="8">
      <formula>0</formula>
    </cfRule>
  </conditionalFormatting>
  <conditionalFormatting sqref="E577">
    <cfRule type="cellIs" priority="1143" operator="equal" aboveAverage="0" equalAverage="0" bottom="0" percent="0" rank="0" text="" dxfId="10">
      <formula>"Evet"</formula>
    </cfRule>
  </conditionalFormatting>
  <conditionalFormatting sqref="D578">
    <cfRule type="cellIs" priority="1144" operator="greaterThan" aboveAverage="0" equalAverage="0" bottom="0" percent="0" rank="0" text="" dxfId="8">
      <formula>0</formula>
    </cfRule>
  </conditionalFormatting>
  <conditionalFormatting sqref="E578">
    <cfRule type="cellIs" priority="1145" operator="equal" aboveAverage="0" equalAverage="0" bottom="0" percent="0" rank="0" text="" dxfId="10">
      <formula>"Evet"</formula>
    </cfRule>
  </conditionalFormatting>
  <conditionalFormatting sqref="D579">
    <cfRule type="cellIs" priority="1146" operator="greaterThan" aboveAverage="0" equalAverage="0" bottom="0" percent="0" rank="0" text="" dxfId="8">
      <formula>0</formula>
    </cfRule>
  </conditionalFormatting>
  <conditionalFormatting sqref="E579">
    <cfRule type="cellIs" priority="1147" operator="equal" aboveAverage="0" equalAverage="0" bottom="0" percent="0" rank="0" text="" dxfId="10">
      <formula>"Evet"</formula>
    </cfRule>
  </conditionalFormatting>
  <conditionalFormatting sqref="D580">
    <cfRule type="cellIs" priority="1148" operator="greaterThan" aboveAverage="0" equalAverage="0" bottom="0" percent="0" rank="0" text="" dxfId="8">
      <formula>0</formula>
    </cfRule>
  </conditionalFormatting>
  <conditionalFormatting sqref="E580">
    <cfRule type="cellIs" priority="1149" operator="equal" aboveAverage="0" equalAverage="0" bottom="0" percent="0" rank="0" text="" dxfId="10">
      <formula>"Evet"</formula>
    </cfRule>
  </conditionalFormatting>
  <conditionalFormatting sqref="D581">
    <cfRule type="cellIs" priority="1150" operator="greaterThan" aboveAverage="0" equalAverage="0" bottom="0" percent="0" rank="0" text="" dxfId="8">
      <formula>0</formula>
    </cfRule>
  </conditionalFormatting>
  <conditionalFormatting sqref="E581">
    <cfRule type="cellIs" priority="1151" operator="equal" aboveAverage="0" equalAverage="0" bottom="0" percent="0" rank="0" text="" dxfId="10">
      <formula>"Evet"</formula>
    </cfRule>
  </conditionalFormatting>
  <conditionalFormatting sqref="D582">
    <cfRule type="cellIs" priority="1152" operator="greaterThan" aboveAverage="0" equalAverage="0" bottom="0" percent="0" rank="0" text="" dxfId="8">
      <formula>0</formula>
    </cfRule>
  </conditionalFormatting>
  <conditionalFormatting sqref="E582">
    <cfRule type="cellIs" priority="1153" operator="equal" aboveAverage="0" equalAverage="0" bottom="0" percent="0" rank="0" text="" dxfId="10">
      <formula>"Evet"</formula>
    </cfRule>
  </conditionalFormatting>
  <conditionalFormatting sqref="D583">
    <cfRule type="cellIs" priority="1154" operator="greaterThan" aboveAverage="0" equalAverage="0" bottom="0" percent="0" rank="0" text="" dxfId="8">
      <formula>0</formula>
    </cfRule>
  </conditionalFormatting>
  <conditionalFormatting sqref="E583">
    <cfRule type="cellIs" priority="1155" operator="equal" aboveAverage="0" equalAverage="0" bottom="0" percent="0" rank="0" text="" dxfId="10">
      <formula>"Evet"</formula>
    </cfRule>
  </conditionalFormatting>
  <conditionalFormatting sqref="D584">
    <cfRule type="cellIs" priority="1156" operator="greaterThan" aboveAverage="0" equalAverage="0" bottom="0" percent="0" rank="0" text="" dxfId="8">
      <formula>0</formula>
    </cfRule>
  </conditionalFormatting>
  <conditionalFormatting sqref="E584">
    <cfRule type="cellIs" priority="1157" operator="equal" aboveAverage="0" equalAverage="0" bottom="0" percent="0" rank="0" text="" dxfId="10">
      <formula>"Evet"</formula>
    </cfRule>
  </conditionalFormatting>
  <conditionalFormatting sqref="D585">
    <cfRule type="cellIs" priority="1158" operator="greaterThan" aboveAverage="0" equalAverage="0" bottom="0" percent="0" rank="0" text="" dxfId="8">
      <formula>0</formula>
    </cfRule>
  </conditionalFormatting>
  <conditionalFormatting sqref="E585">
    <cfRule type="cellIs" priority="1159" operator="equal" aboveAverage="0" equalAverage="0" bottom="0" percent="0" rank="0" text="" dxfId="10">
      <formula>"Evet"</formula>
    </cfRule>
  </conditionalFormatting>
  <conditionalFormatting sqref="D586">
    <cfRule type="cellIs" priority="1160" operator="greaterThan" aboveAverage="0" equalAverage="0" bottom="0" percent="0" rank="0" text="" dxfId="8">
      <formula>0</formula>
    </cfRule>
  </conditionalFormatting>
  <conditionalFormatting sqref="E586">
    <cfRule type="cellIs" priority="1161" operator="equal" aboveAverage="0" equalAverage="0" bottom="0" percent="0" rank="0" text="" dxfId="10">
      <formula>"Evet"</formula>
    </cfRule>
  </conditionalFormatting>
  <conditionalFormatting sqref="D587">
    <cfRule type="cellIs" priority="1162" operator="greaterThan" aboveAverage="0" equalAverage="0" bottom="0" percent="0" rank="0" text="" dxfId="8">
      <formula>0</formula>
    </cfRule>
  </conditionalFormatting>
  <conditionalFormatting sqref="E587">
    <cfRule type="cellIs" priority="1163" operator="equal" aboveAverage="0" equalAverage="0" bottom="0" percent="0" rank="0" text="" dxfId="10">
      <formula>"Evet"</formula>
    </cfRule>
  </conditionalFormatting>
  <conditionalFormatting sqref="D588">
    <cfRule type="cellIs" priority="1164" operator="greaterThan" aboveAverage="0" equalAverage="0" bottom="0" percent="0" rank="0" text="" dxfId="8">
      <formula>0</formula>
    </cfRule>
  </conditionalFormatting>
  <conditionalFormatting sqref="E588">
    <cfRule type="cellIs" priority="1165" operator="equal" aboveAverage="0" equalAverage="0" bottom="0" percent="0" rank="0" text="" dxfId="10">
      <formula>"Evet"</formula>
    </cfRule>
  </conditionalFormatting>
  <conditionalFormatting sqref="D589">
    <cfRule type="cellIs" priority="1166" operator="greaterThan" aboveAverage="0" equalAverage="0" bottom="0" percent="0" rank="0" text="" dxfId="8">
      <formula>0</formula>
    </cfRule>
  </conditionalFormatting>
  <conditionalFormatting sqref="E589">
    <cfRule type="cellIs" priority="1167" operator="equal" aboveAverage="0" equalAverage="0" bottom="0" percent="0" rank="0" text="" dxfId="10">
      <formula>"Evet"</formula>
    </cfRule>
  </conditionalFormatting>
  <conditionalFormatting sqref="D590">
    <cfRule type="cellIs" priority="1168" operator="greaterThan" aboveAverage="0" equalAverage="0" bottom="0" percent="0" rank="0" text="" dxfId="8">
      <formula>0</formula>
    </cfRule>
  </conditionalFormatting>
  <conditionalFormatting sqref="E590">
    <cfRule type="cellIs" priority="1169" operator="equal" aboveAverage="0" equalAverage="0" bottom="0" percent="0" rank="0" text="" dxfId="10">
      <formula>"Evet"</formula>
    </cfRule>
  </conditionalFormatting>
  <conditionalFormatting sqref="D591">
    <cfRule type="cellIs" priority="1170" operator="greaterThan" aboveAverage="0" equalAverage="0" bottom="0" percent="0" rank="0" text="" dxfId="8">
      <formula>0</formula>
    </cfRule>
  </conditionalFormatting>
  <conditionalFormatting sqref="E591">
    <cfRule type="cellIs" priority="1171" operator="equal" aboveAverage="0" equalAverage="0" bottom="0" percent="0" rank="0" text="" dxfId="10">
      <formula>"Evet"</formula>
    </cfRule>
  </conditionalFormatting>
  <conditionalFormatting sqref="D592">
    <cfRule type="cellIs" priority="1172" operator="greaterThan" aboveAverage="0" equalAverage="0" bottom="0" percent="0" rank="0" text="" dxfId="8">
      <formula>0</formula>
    </cfRule>
  </conditionalFormatting>
  <conditionalFormatting sqref="E592">
    <cfRule type="cellIs" priority="1173" operator="equal" aboveAverage="0" equalAverage="0" bottom="0" percent="0" rank="0" text="" dxfId="10">
      <formula>"Evet"</formula>
    </cfRule>
  </conditionalFormatting>
  <conditionalFormatting sqref="D593">
    <cfRule type="cellIs" priority="1174" operator="greaterThan" aboveAverage="0" equalAverage="0" bottom="0" percent="0" rank="0" text="" dxfId="8">
      <formula>0</formula>
    </cfRule>
  </conditionalFormatting>
  <conditionalFormatting sqref="E593">
    <cfRule type="cellIs" priority="1175" operator="equal" aboveAverage="0" equalAverage="0" bottom="0" percent="0" rank="0" text="" dxfId="10">
      <formula>"Evet"</formula>
    </cfRule>
  </conditionalFormatting>
  <conditionalFormatting sqref="D594">
    <cfRule type="cellIs" priority="1176" operator="greaterThan" aboveAverage="0" equalAverage="0" bottom="0" percent="0" rank="0" text="" dxfId="8">
      <formula>0</formula>
    </cfRule>
  </conditionalFormatting>
  <conditionalFormatting sqref="E594">
    <cfRule type="cellIs" priority="1177" operator="equal" aboveAverage="0" equalAverage="0" bottom="0" percent="0" rank="0" text="" dxfId="10">
      <formula>"Evet"</formula>
    </cfRule>
  </conditionalFormatting>
  <conditionalFormatting sqref="D595">
    <cfRule type="cellIs" priority="1178" operator="greaterThan" aboveAverage="0" equalAverage="0" bottom="0" percent="0" rank="0" text="" dxfId="8">
      <formula>0</formula>
    </cfRule>
  </conditionalFormatting>
  <conditionalFormatting sqref="E595">
    <cfRule type="cellIs" priority="1179" operator="equal" aboveAverage="0" equalAverage="0" bottom="0" percent="0" rank="0" text="" dxfId="10">
      <formula>"Evet"</formula>
    </cfRule>
  </conditionalFormatting>
  <conditionalFormatting sqref="D596">
    <cfRule type="cellIs" priority="1180" operator="greaterThan" aboveAverage="0" equalAverage="0" bottom="0" percent="0" rank="0" text="" dxfId="8">
      <formula>0</formula>
    </cfRule>
  </conditionalFormatting>
  <conditionalFormatting sqref="E596">
    <cfRule type="cellIs" priority="1181" operator="equal" aboveAverage="0" equalAverage="0" bottom="0" percent="0" rank="0" text="" dxfId="10">
      <formula>"Evet"</formula>
    </cfRule>
  </conditionalFormatting>
  <conditionalFormatting sqref="D597">
    <cfRule type="cellIs" priority="1182" operator="greaterThan" aboveAverage="0" equalAverage="0" bottom="0" percent="0" rank="0" text="" dxfId="8">
      <formula>0</formula>
    </cfRule>
  </conditionalFormatting>
  <conditionalFormatting sqref="E597">
    <cfRule type="cellIs" priority="1183" operator="equal" aboveAverage="0" equalAverage="0" bottom="0" percent="0" rank="0" text="" dxfId="10">
      <formula>"Evet"</formula>
    </cfRule>
  </conditionalFormatting>
  <conditionalFormatting sqref="D598">
    <cfRule type="cellIs" priority="1184" operator="greaterThan" aboveAverage="0" equalAverage="0" bottom="0" percent="0" rank="0" text="" dxfId="8">
      <formula>0</formula>
    </cfRule>
  </conditionalFormatting>
  <conditionalFormatting sqref="E598">
    <cfRule type="cellIs" priority="1185" operator="equal" aboveAverage="0" equalAverage="0" bottom="0" percent="0" rank="0" text="" dxfId="10">
      <formula>"Evet"</formula>
    </cfRule>
  </conditionalFormatting>
  <conditionalFormatting sqref="D599">
    <cfRule type="cellIs" priority="1186" operator="greaterThan" aboveAverage="0" equalAverage="0" bottom="0" percent="0" rank="0" text="" dxfId="8">
      <formula>0</formula>
    </cfRule>
  </conditionalFormatting>
  <conditionalFormatting sqref="E599">
    <cfRule type="cellIs" priority="1187" operator="equal" aboveAverage="0" equalAverage="0" bottom="0" percent="0" rank="0" text="" dxfId="10">
      <formula>"Evet"</formula>
    </cfRule>
  </conditionalFormatting>
  <conditionalFormatting sqref="D600">
    <cfRule type="cellIs" priority="1188" operator="greaterThan" aboveAverage="0" equalAverage="0" bottom="0" percent="0" rank="0" text="" dxfId="8">
      <formula>0</formula>
    </cfRule>
  </conditionalFormatting>
  <conditionalFormatting sqref="E600">
    <cfRule type="cellIs" priority="1189" operator="equal" aboveAverage="0" equalAverage="0" bottom="0" percent="0" rank="0" text="" dxfId="10">
      <formula>"Evet"</formula>
    </cfRule>
  </conditionalFormatting>
  <conditionalFormatting sqref="D601">
    <cfRule type="cellIs" priority="1190" operator="greaterThan" aboveAverage="0" equalAverage="0" bottom="0" percent="0" rank="0" text="" dxfId="8">
      <formula>0</formula>
    </cfRule>
  </conditionalFormatting>
  <conditionalFormatting sqref="E601">
    <cfRule type="cellIs" priority="1191" operator="equal" aboveAverage="0" equalAverage="0" bottom="0" percent="0" rank="0" text="" dxfId="10">
      <formula>"Evet"</formula>
    </cfRule>
  </conditionalFormatting>
  <conditionalFormatting sqref="D602">
    <cfRule type="cellIs" priority="1192" operator="greaterThan" aboveAverage="0" equalAverage="0" bottom="0" percent="0" rank="0" text="" dxfId="8">
      <formula>0</formula>
    </cfRule>
  </conditionalFormatting>
  <conditionalFormatting sqref="E602">
    <cfRule type="cellIs" priority="1193" operator="equal" aboveAverage="0" equalAverage="0" bottom="0" percent="0" rank="0" text="" dxfId="10">
      <formula>"Evet"</formula>
    </cfRule>
  </conditionalFormatting>
  <conditionalFormatting sqref="D603">
    <cfRule type="cellIs" priority="1194" operator="greaterThan" aboveAverage="0" equalAverage="0" bottom="0" percent="0" rank="0" text="" dxfId="8">
      <formula>0</formula>
    </cfRule>
  </conditionalFormatting>
  <conditionalFormatting sqref="E603">
    <cfRule type="cellIs" priority="1195" operator="equal" aboveAverage="0" equalAverage="0" bottom="0" percent="0" rank="0" text="" dxfId="10">
      <formula>"Evet"</formula>
    </cfRule>
  </conditionalFormatting>
  <conditionalFormatting sqref="D604">
    <cfRule type="cellIs" priority="1196" operator="greaterThan" aboveAverage="0" equalAverage="0" bottom="0" percent="0" rank="0" text="" dxfId="8">
      <formula>0</formula>
    </cfRule>
  </conditionalFormatting>
  <conditionalFormatting sqref="E604">
    <cfRule type="cellIs" priority="1197" operator="equal" aboveAverage="0" equalAverage="0" bottom="0" percent="0" rank="0" text="" dxfId="10">
      <formula>"Evet"</formula>
    </cfRule>
  </conditionalFormatting>
  <conditionalFormatting sqref="D605">
    <cfRule type="cellIs" priority="1198" operator="greaterThan" aboveAverage="0" equalAverage="0" bottom="0" percent="0" rank="0" text="" dxfId="8">
      <formula>0</formula>
    </cfRule>
  </conditionalFormatting>
  <conditionalFormatting sqref="E605">
    <cfRule type="cellIs" priority="1199" operator="equal" aboveAverage="0" equalAverage="0" bottom="0" percent="0" rank="0" text="" dxfId="10">
      <formula>"Evet"</formula>
    </cfRule>
  </conditionalFormatting>
  <conditionalFormatting sqref="D606">
    <cfRule type="cellIs" priority="1200" operator="greaterThan" aboveAverage="0" equalAverage="0" bottom="0" percent="0" rank="0" text="" dxfId="8">
      <formula>0</formula>
    </cfRule>
  </conditionalFormatting>
  <conditionalFormatting sqref="E606">
    <cfRule type="cellIs" priority="1201" operator="equal" aboveAverage="0" equalAverage="0" bottom="0" percent="0" rank="0" text="" dxfId="10">
      <formula>"Evet"</formula>
    </cfRule>
  </conditionalFormatting>
  <conditionalFormatting sqref="D607">
    <cfRule type="cellIs" priority="1202" operator="greaterThan" aboveAverage="0" equalAverage="0" bottom="0" percent="0" rank="0" text="" dxfId="8">
      <formula>0</formula>
    </cfRule>
  </conditionalFormatting>
  <conditionalFormatting sqref="E607">
    <cfRule type="cellIs" priority="1203" operator="equal" aboveAverage="0" equalAverage="0" bottom="0" percent="0" rank="0" text="" dxfId="10">
      <formula>"Evet"</formula>
    </cfRule>
  </conditionalFormatting>
  <conditionalFormatting sqref="D608">
    <cfRule type="cellIs" priority="1204" operator="greaterThan" aboveAverage="0" equalAverage="0" bottom="0" percent="0" rank="0" text="" dxfId="8">
      <formula>0</formula>
    </cfRule>
  </conditionalFormatting>
  <conditionalFormatting sqref="E608">
    <cfRule type="cellIs" priority="1205" operator="equal" aboveAverage="0" equalAverage="0" bottom="0" percent="0" rank="0" text="" dxfId="10">
      <formula>"Evet"</formula>
    </cfRule>
  </conditionalFormatting>
  <conditionalFormatting sqref="D609">
    <cfRule type="cellIs" priority="1206" operator="greaterThan" aboveAverage="0" equalAverage="0" bottom="0" percent="0" rank="0" text="" dxfId="8">
      <formula>0</formula>
    </cfRule>
  </conditionalFormatting>
  <conditionalFormatting sqref="E609">
    <cfRule type="cellIs" priority="1207" operator="equal" aboveAverage="0" equalAverage="0" bottom="0" percent="0" rank="0" text="" dxfId="10">
      <formula>"Evet"</formula>
    </cfRule>
  </conditionalFormatting>
  <conditionalFormatting sqref="D610">
    <cfRule type="cellIs" priority="1208" operator="greaterThan" aboveAverage="0" equalAverage="0" bottom="0" percent="0" rank="0" text="" dxfId="8">
      <formula>0</formula>
    </cfRule>
  </conditionalFormatting>
  <conditionalFormatting sqref="E610">
    <cfRule type="cellIs" priority="1209" operator="equal" aboveAverage="0" equalAverage="0" bottom="0" percent="0" rank="0" text="" dxfId="10">
      <formula>"Evet"</formula>
    </cfRule>
  </conditionalFormatting>
  <conditionalFormatting sqref="D611">
    <cfRule type="cellIs" priority="1210" operator="greaterThan" aboveAverage="0" equalAverage="0" bottom="0" percent="0" rank="0" text="" dxfId="8">
      <formula>0</formula>
    </cfRule>
  </conditionalFormatting>
  <conditionalFormatting sqref="E611">
    <cfRule type="cellIs" priority="1211" operator="equal" aboveAverage="0" equalAverage="0" bottom="0" percent="0" rank="0" text="" dxfId="10">
      <formula>"Evet"</formula>
    </cfRule>
  </conditionalFormatting>
  <conditionalFormatting sqref="D612">
    <cfRule type="cellIs" priority="1212" operator="greaterThan" aboveAverage="0" equalAverage="0" bottom="0" percent="0" rank="0" text="" dxfId="8">
      <formula>0</formula>
    </cfRule>
  </conditionalFormatting>
  <conditionalFormatting sqref="E612">
    <cfRule type="cellIs" priority="1213" operator="equal" aboveAverage="0" equalAverage="0" bottom="0" percent="0" rank="0" text="" dxfId="10">
      <formula>"Evet"</formula>
    </cfRule>
  </conditionalFormatting>
  <conditionalFormatting sqref="D613">
    <cfRule type="cellIs" priority="1214" operator="greaterThan" aboveAverage="0" equalAverage="0" bottom="0" percent="0" rank="0" text="" dxfId="8">
      <formula>0</formula>
    </cfRule>
  </conditionalFormatting>
  <conditionalFormatting sqref="E613">
    <cfRule type="cellIs" priority="1215" operator="equal" aboveAverage="0" equalAverage="0" bottom="0" percent="0" rank="0" text="" dxfId="10">
      <formula>"Evet"</formula>
    </cfRule>
  </conditionalFormatting>
  <conditionalFormatting sqref="D614">
    <cfRule type="cellIs" priority="1216" operator="greaterThan" aboveAverage="0" equalAverage="0" bottom="0" percent="0" rank="0" text="" dxfId="8">
      <formula>0</formula>
    </cfRule>
  </conditionalFormatting>
  <conditionalFormatting sqref="E614">
    <cfRule type="cellIs" priority="1217" operator="equal" aboveAverage="0" equalAverage="0" bottom="0" percent="0" rank="0" text="" dxfId="10">
      <formula>"Evet"</formula>
    </cfRule>
  </conditionalFormatting>
  <conditionalFormatting sqref="D615">
    <cfRule type="cellIs" priority="1218" operator="greaterThan" aboveAverage="0" equalAverage="0" bottom="0" percent="0" rank="0" text="" dxfId="8">
      <formula>0</formula>
    </cfRule>
  </conditionalFormatting>
  <conditionalFormatting sqref="E615">
    <cfRule type="cellIs" priority="1219" operator="equal" aboveAverage="0" equalAverage="0" bottom="0" percent="0" rank="0" text="" dxfId="10">
      <formula>"Evet"</formula>
    </cfRule>
  </conditionalFormatting>
  <conditionalFormatting sqref="D616">
    <cfRule type="cellIs" priority="1220" operator="greaterThan" aboveAverage="0" equalAverage="0" bottom="0" percent="0" rank="0" text="" dxfId="8">
      <formula>0</formula>
    </cfRule>
  </conditionalFormatting>
  <conditionalFormatting sqref="E616">
    <cfRule type="cellIs" priority="1221" operator="equal" aboveAverage="0" equalAverage="0" bottom="0" percent="0" rank="0" text="" dxfId="10">
      <formula>"Evet"</formula>
    </cfRule>
  </conditionalFormatting>
  <conditionalFormatting sqref="D617">
    <cfRule type="cellIs" priority="1222" operator="greaterThan" aboveAverage="0" equalAverage="0" bottom="0" percent="0" rank="0" text="" dxfId="8">
      <formula>0</formula>
    </cfRule>
  </conditionalFormatting>
  <conditionalFormatting sqref="E617">
    <cfRule type="cellIs" priority="1223" operator="equal" aboveAverage="0" equalAverage="0" bottom="0" percent="0" rank="0" text="" dxfId="10">
      <formula>"Evet"</formula>
    </cfRule>
  </conditionalFormatting>
  <conditionalFormatting sqref="D618">
    <cfRule type="cellIs" priority="1224" operator="greaterThan" aboveAverage="0" equalAverage="0" bottom="0" percent="0" rank="0" text="" dxfId="8">
      <formula>0</formula>
    </cfRule>
  </conditionalFormatting>
  <conditionalFormatting sqref="E618">
    <cfRule type="cellIs" priority="1225" operator="equal" aboveAverage="0" equalAverage="0" bottom="0" percent="0" rank="0" text="" dxfId="10">
      <formula>"Evet"</formula>
    </cfRule>
  </conditionalFormatting>
  <conditionalFormatting sqref="D619">
    <cfRule type="cellIs" priority="1226" operator="greaterThan" aboveAverage="0" equalAverage="0" bottom="0" percent="0" rank="0" text="" dxfId="8">
      <formula>0</formula>
    </cfRule>
  </conditionalFormatting>
  <conditionalFormatting sqref="E619">
    <cfRule type="cellIs" priority="1227" operator="equal" aboveAverage="0" equalAverage="0" bottom="0" percent="0" rank="0" text="" dxfId="10">
      <formula>"Evet"</formula>
    </cfRule>
  </conditionalFormatting>
  <conditionalFormatting sqref="D620">
    <cfRule type="cellIs" priority="1228" operator="greaterThan" aboveAverage="0" equalAverage="0" bottom="0" percent="0" rank="0" text="" dxfId="8">
      <formula>0</formula>
    </cfRule>
  </conditionalFormatting>
  <conditionalFormatting sqref="E620">
    <cfRule type="cellIs" priority="1229" operator="equal" aboveAverage="0" equalAverage="0" bottom="0" percent="0" rank="0" text="" dxfId="10">
      <formula>"Evet"</formula>
    </cfRule>
  </conditionalFormatting>
  <conditionalFormatting sqref="D621">
    <cfRule type="cellIs" priority="1230" operator="greaterThan" aboveAverage="0" equalAverage="0" bottom="0" percent="0" rank="0" text="" dxfId="8">
      <formula>0</formula>
    </cfRule>
  </conditionalFormatting>
  <conditionalFormatting sqref="E621">
    <cfRule type="cellIs" priority="1231" operator="equal" aboveAverage="0" equalAverage="0" bottom="0" percent="0" rank="0" text="" dxfId="10">
      <formula>"Evet"</formula>
    </cfRule>
  </conditionalFormatting>
  <conditionalFormatting sqref="D622">
    <cfRule type="cellIs" priority="1232" operator="greaterThan" aboveAverage="0" equalAverage="0" bottom="0" percent="0" rank="0" text="" dxfId="8">
      <formula>0</formula>
    </cfRule>
  </conditionalFormatting>
  <conditionalFormatting sqref="E622">
    <cfRule type="cellIs" priority="1233" operator="equal" aboveAverage="0" equalAverage="0" bottom="0" percent="0" rank="0" text="" dxfId="10">
      <formula>"Evet"</formula>
    </cfRule>
  </conditionalFormatting>
  <conditionalFormatting sqref="D623">
    <cfRule type="cellIs" priority="1234" operator="greaterThan" aboveAverage="0" equalAverage="0" bottom="0" percent="0" rank="0" text="" dxfId="8">
      <formula>0</formula>
    </cfRule>
  </conditionalFormatting>
  <conditionalFormatting sqref="E623">
    <cfRule type="cellIs" priority="1235" operator="equal" aboveAverage="0" equalAverage="0" bottom="0" percent="0" rank="0" text="" dxfId="10">
      <formula>"Evet"</formula>
    </cfRule>
  </conditionalFormatting>
  <conditionalFormatting sqref="D624">
    <cfRule type="cellIs" priority="1236" operator="greaterThan" aboveAverage="0" equalAverage="0" bottom="0" percent="0" rank="0" text="" dxfId="8">
      <formula>0</formula>
    </cfRule>
  </conditionalFormatting>
  <conditionalFormatting sqref="E624">
    <cfRule type="cellIs" priority="1237" operator="equal" aboveAverage="0" equalAverage="0" bottom="0" percent="0" rank="0" text="" dxfId="10">
      <formula>"Evet"</formula>
    </cfRule>
  </conditionalFormatting>
  <conditionalFormatting sqref="D625">
    <cfRule type="cellIs" priority="1238" operator="greaterThan" aboveAverage="0" equalAverage="0" bottom="0" percent="0" rank="0" text="" dxfId="8">
      <formula>0</formula>
    </cfRule>
  </conditionalFormatting>
  <conditionalFormatting sqref="E625">
    <cfRule type="cellIs" priority="1239" operator="equal" aboveAverage="0" equalAverage="0" bottom="0" percent="0" rank="0" text="" dxfId="10">
      <formula>"Evet"</formula>
    </cfRule>
  </conditionalFormatting>
  <conditionalFormatting sqref="D626">
    <cfRule type="cellIs" priority="1240" operator="greaterThan" aboveAverage="0" equalAverage="0" bottom="0" percent="0" rank="0" text="" dxfId="8">
      <formula>0</formula>
    </cfRule>
  </conditionalFormatting>
  <conditionalFormatting sqref="E626">
    <cfRule type="cellIs" priority="1241" operator="equal" aboveAverage="0" equalAverage="0" bottom="0" percent="0" rank="0" text="" dxfId="10">
      <formula>"Evet"</formula>
    </cfRule>
  </conditionalFormatting>
  <conditionalFormatting sqref="D627">
    <cfRule type="cellIs" priority="1242" operator="greaterThan" aboveAverage="0" equalAverage="0" bottom="0" percent="0" rank="0" text="" dxfId="8">
      <formula>0</formula>
    </cfRule>
  </conditionalFormatting>
  <conditionalFormatting sqref="E627">
    <cfRule type="cellIs" priority="1243" operator="equal" aboveAverage="0" equalAverage="0" bottom="0" percent="0" rank="0" text="" dxfId="10">
      <formula>"Evet"</formula>
    </cfRule>
  </conditionalFormatting>
  <conditionalFormatting sqref="D628">
    <cfRule type="cellIs" priority="1244" operator="greaterThan" aboveAverage="0" equalAverage="0" bottom="0" percent="0" rank="0" text="" dxfId="8">
      <formula>0</formula>
    </cfRule>
  </conditionalFormatting>
  <conditionalFormatting sqref="E628">
    <cfRule type="cellIs" priority="1245" operator="equal" aboveAverage="0" equalAverage="0" bottom="0" percent="0" rank="0" text="" dxfId="10">
      <formula>"Evet"</formula>
    </cfRule>
  </conditionalFormatting>
  <conditionalFormatting sqref="D629">
    <cfRule type="cellIs" priority="1246" operator="greaterThan" aboveAverage="0" equalAverage="0" bottom="0" percent="0" rank="0" text="" dxfId="8">
      <formula>0</formula>
    </cfRule>
  </conditionalFormatting>
  <conditionalFormatting sqref="E629">
    <cfRule type="cellIs" priority="1247" operator="equal" aboveAverage="0" equalAverage="0" bottom="0" percent="0" rank="0" text="" dxfId="10">
      <formula>"Evet"</formula>
    </cfRule>
  </conditionalFormatting>
  <conditionalFormatting sqref="D630">
    <cfRule type="cellIs" priority="1248" operator="greaterThan" aboveAverage="0" equalAverage="0" bottom="0" percent="0" rank="0" text="" dxfId="8">
      <formula>0</formula>
    </cfRule>
  </conditionalFormatting>
  <conditionalFormatting sqref="E630">
    <cfRule type="cellIs" priority="1249" operator="equal" aboveAverage="0" equalAverage="0" bottom="0" percent="0" rank="0" text="" dxfId="10">
      <formula>"Evet"</formula>
    </cfRule>
  </conditionalFormatting>
  <conditionalFormatting sqref="D631">
    <cfRule type="cellIs" priority="1250" operator="greaterThan" aboveAverage="0" equalAverage="0" bottom="0" percent="0" rank="0" text="" dxfId="8">
      <formula>0</formula>
    </cfRule>
  </conditionalFormatting>
  <conditionalFormatting sqref="E631">
    <cfRule type="cellIs" priority="1251" operator="equal" aboveAverage="0" equalAverage="0" bottom="0" percent="0" rank="0" text="" dxfId="10">
      <formula>"Evet"</formula>
    </cfRule>
  </conditionalFormatting>
  <conditionalFormatting sqref="D632">
    <cfRule type="cellIs" priority="1252" operator="greaterThan" aboveAverage="0" equalAverage="0" bottom="0" percent="0" rank="0" text="" dxfId="8">
      <formula>0</formula>
    </cfRule>
  </conditionalFormatting>
  <conditionalFormatting sqref="E632">
    <cfRule type="cellIs" priority="1253" operator="equal" aboveAverage="0" equalAverage="0" bottom="0" percent="0" rank="0" text="" dxfId="10">
      <formula>"Evet"</formula>
    </cfRule>
  </conditionalFormatting>
  <conditionalFormatting sqref="D633">
    <cfRule type="cellIs" priority="1254" operator="greaterThan" aboveAverage="0" equalAverage="0" bottom="0" percent="0" rank="0" text="" dxfId="8">
      <formula>0</formula>
    </cfRule>
  </conditionalFormatting>
  <conditionalFormatting sqref="E633">
    <cfRule type="cellIs" priority="1255" operator="equal" aboveAverage="0" equalAverage="0" bottom="0" percent="0" rank="0" text="" dxfId="10">
      <formula>"Evet"</formula>
    </cfRule>
  </conditionalFormatting>
  <conditionalFormatting sqref="D634">
    <cfRule type="cellIs" priority="1256" operator="greaterThan" aboveAverage="0" equalAverage="0" bottom="0" percent="0" rank="0" text="" dxfId="8">
      <formula>0</formula>
    </cfRule>
  </conditionalFormatting>
  <conditionalFormatting sqref="E634">
    <cfRule type="cellIs" priority="1257" operator="equal" aboveAverage="0" equalAverage="0" bottom="0" percent="0" rank="0" text="" dxfId="10">
      <formula>"Evet"</formula>
    </cfRule>
  </conditionalFormatting>
  <conditionalFormatting sqref="D635">
    <cfRule type="cellIs" priority="1258" operator="greaterThan" aboveAverage="0" equalAverage="0" bottom="0" percent="0" rank="0" text="" dxfId="8">
      <formula>0</formula>
    </cfRule>
  </conditionalFormatting>
  <conditionalFormatting sqref="E635">
    <cfRule type="cellIs" priority="1259" operator="equal" aboveAverage="0" equalAverage="0" bottom="0" percent="0" rank="0" text="" dxfId="10">
      <formula>"Evet"</formula>
    </cfRule>
  </conditionalFormatting>
  <conditionalFormatting sqref="D636">
    <cfRule type="cellIs" priority="1260" operator="greaterThan" aboveAverage="0" equalAverage="0" bottom="0" percent="0" rank="0" text="" dxfId="8">
      <formula>0</formula>
    </cfRule>
  </conditionalFormatting>
  <conditionalFormatting sqref="E636">
    <cfRule type="cellIs" priority="1261" operator="equal" aboveAverage="0" equalAverage="0" bottom="0" percent="0" rank="0" text="" dxfId="10">
      <formula>"Evet"</formula>
    </cfRule>
  </conditionalFormatting>
  <conditionalFormatting sqref="D637">
    <cfRule type="cellIs" priority="1262" operator="greaterThan" aboveAverage="0" equalAverage="0" bottom="0" percent="0" rank="0" text="" dxfId="8">
      <formula>0</formula>
    </cfRule>
  </conditionalFormatting>
  <conditionalFormatting sqref="E637">
    <cfRule type="cellIs" priority="1263" operator="equal" aboveAverage="0" equalAverage="0" bottom="0" percent="0" rank="0" text="" dxfId="10">
      <formula>"Evet"</formula>
    </cfRule>
  </conditionalFormatting>
  <conditionalFormatting sqref="D638">
    <cfRule type="cellIs" priority="1264" operator="greaterThan" aboveAverage="0" equalAverage="0" bottom="0" percent="0" rank="0" text="" dxfId="8">
      <formula>0</formula>
    </cfRule>
  </conditionalFormatting>
  <conditionalFormatting sqref="E638">
    <cfRule type="cellIs" priority="1265" operator="equal" aboveAverage="0" equalAverage="0" bottom="0" percent="0" rank="0" text="" dxfId="10">
      <formula>"Evet"</formula>
    </cfRule>
  </conditionalFormatting>
  <conditionalFormatting sqref="D639">
    <cfRule type="cellIs" priority="1266" operator="greaterThan" aboveAverage="0" equalAverage="0" bottom="0" percent="0" rank="0" text="" dxfId="8">
      <formula>0</formula>
    </cfRule>
  </conditionalFormatting>
  <conditionalFormatting sqref="E639">
    <cfRule type="cellIs" priority="1267" operator="equal" aboveAverage="0" equalAverage="0" bottom="0" percent="0" rank="0" text="" dxfId="10">
      <formula>"Evet"</formula>
    </cfRule>
  </conditionalFormatting>
  <conditionalFormatting sqref="D640">
    <cfRule type="cellIs" priority="1268" operator="greaterThan" aboveAverage="0" equalAverage="0" bottom="0" percent="0" rank="0" text="" dxfId="8">
      <formula>0</formula>
    </cfRule>
  </conditionalFormatting>
  <conditionalFormatting sqref="E640">
    <cfRule type="cellIs" priority="1269" operator="equal" aboveAverage="0" equalAverage="0" bottom="0" percent="0" rank="0" text="" dxfId="10">
      <formula>"Evet"</formula>
    </cfRule>
  </conditionalFormatting>
  <conditionalFormatting sqref="D641">
    <cfRule type="cellIs" priority="1270" operator="greaterThan" aboveAverage="0" equalAverage="0" bottom="0" percent="0" rank="0" text="" dxfId="8">
      <formula>0</formula>
    </cfRule>
  </conditionalFormatting>
  <conditionalFormatting sqref="E641">
    <cfRule type="cellIs" priority="1271" operator="equal" aboveAverage="0" equalAverage="0" bottom="0" percent="0" rank="0" text="" dxfId="10">
      <formula>"Evet"</formula>
    </cfRule>
  </conditionalFormatting>
  <conditionalFormatting sqref="D642">
    <cfRule type="cellIs" priority="1272" operator="greaterThan" aboveAverage="0" equalAverage="0" bottom="0" percent="0" rank="0" text="" dxfId="8">
      <formula>0</formula>
    </cfRule>
  </conditionalFormatting>
  <conditionalFormatting sqref="E642">
    <cfRule type="cellIs" priority="1273" operator="equal" aboveAverage="0" equalAverage="0" bottom="0" percent="0" rank="0" text="" dxfId="10">
      <formula>"Evet"</formula>
    </cfRule>
  </conditionalFormatting>
  <conditionalFormatting sqref="D643">
    <cfRule type="cellIs" priority="1274" operator="greaterThan" aboveAverage="0" equalAverage="0" bottom="0" percent="0" rank="0" text="" dxfId="8">
      <formula>0</formula>
    </cfRule>
  </conditionalFormatting>
  <conditionalFormatting sqref="E643">
    <cfRule type="cellIs" priority="1275" operator="equal" aboveAverage="0" equalAverage="0" bottom="0" percent="0" rank="0" text="" dxfId="10">
      <formula>"Evet"</formula>
    </cfRule>
  </conditionalFormatting>
  <conditionalFormatting sqref="D644">
    <cfRule type="cellIs" priority="1276" operator="greaterThan" aboveAverage="0" equalAverage="0" bottom="0" percent="0" rank="0" text="" dxfId="8">
      <formula>0</formula>
    </cfRule>
  </conditionalFormatting>
  <conditionalFormatting sqref="E644">
    <cfRule type="cellIs" priority="1277" operator="equal" aboveAverage="0" equalAverage="0" bottom="0" percent="0" rank="0" text="" dxfId="10">
      <formula>"Evet"</formula>
    </cfRule>
  </conditionalFormatting>
  <conditionalFormatting sqref="D645">
    <cfRule type="cellIs" priority="1278" operator="greaterThan" aboveAverage="0" equalAverage="0" bottom="0" percent="0" rank="0" text="" dxfId="8">
      <formula>0</formula>
    </cfRule>
  </conditionalFormatting>
  <conditionalFormatting sqref="E645">
    <cfRule type="cellIs" priority="1279" operator="equal" aboveAverage="0" equalAverage="0" bottom="0" percent="0" rank="0" text="" dxfId="10">
      <formula>"Evet"</formula>
    </cfRule>
  </conditionalFormatting>
  <conditionalFormatting sqref="D646">
    <cfRule type="cellIs" priority="1280" operator="greaterThan" aboveAverage="0" equalAverage="0" bottom="0" percent="0" rank="0" text="" dxfId="8">
      <formula>0</formula>
    </cfRule>
  </conditionalFormatting>
  <conditionalFormatting sqref="E646">
    <cfRule type="cellIs" priority="1281" operator="equal" aboveAverage="0" equalAverage="0" bottom="0" percent="0" rank="0" text="" dxfId="10">
      <formula>"Evet"</formula>
    </cfRule>
  </conditionalFormatting>
  <conditionalFormatting sqref="D647">
    <cfRule type="cellIs" priority="1282" operator="greaterThan" aboveAverage="0" equalAverage="0" bottom="0" percent="0" rank="0" text="" dxfId="8">
      <formula>0</formula>
    </cfRule>
  </conditionalFormatting>
  <conditionalFormatting sqref="E647">
    <cfRule type="cellIs" priority="1283" operator="equal" aboveAverage="0" equalAverage="0" bottom="0" percent="0" rank="0" text="" dxfId="10">
      <formula>"Evet"</formula>
    </cfRule>
  </conditionalFormatting>
  <conditionalFormatting sqref="D648">
    <cfRule type="cellIs" priority="1284" operator="greaterThan" aboveAverage="0" equalAverage="0" bottom="0" percent="0" rank="0" text="" dxfId="8">
      <formula>0</formula>
    </cfRule>
  </conditionalFormatting>
  <conditionalFormatting sqref="E648">
    <cfRule type="cellIs" priority="1285" operator="equal" aboveAverage="0" equalAverage="0" bottom="0" percent="0" rank="0" text="" dxfId="10">
      <formula>"Evet"</formula>
    </cfRule>
  </conditionalFormatting>
  <conditionalFormatting sqref="D649">
    <cfRule type="cellIs" priority="1286" operator="greaterThan" aboveAverage="0" equalAverage="0" bottom="0" percent="0" rank="0" text="" dxfId="8">
      <formula>0</formula>
    </cfRule>
  </conditionalFormatting>
  <conditionalFormatting sqref="E649">
    <cfRule type="cellIs" priority="1287" operator="equal" aboveAverage="0" equalAverage="0" bottom="0" percent="0" rank="0" text="" dxfId="10">
      <formula>"Evet"</formula>
    </cfRule>
  </conditionalFormatting>
  <conditionalFormatting sqref="D650">
    <cfRule type="cellIs" priority="1288" operator="greaterThan" aboveAverage="0" equalAverage="0" bottom="0" percent="0" rank="0" text="" dxfId="8">
      <formula>0</formula>
    </cfRule>
  </conditionalFormatting>
  <conditionalFormatting sqref="E650">
    <cfRule type="cellIs" priority="1289" operator="equal" aboveAverage="0" equalAverage="0" bottom="0" percent="0" rank="0" text="" dxfId="10">
      <formula>"Evet"</formula>
    </cfRule>
  </conditionalFormatting>
  <conditionalFormatting sqref="D651">
    <cfRule type="cellIs" priority="1290" operator="greaterThan" aboveAverage="0" equalAverage="0" bottom="0" percent="0" rank="0" text="" dxfId="8">
      <formula>0</formula>
    </cfRule>
  </conditionalFormatting>
  <conditionalFormatting sqref="E651">
    <cfRule type="cellIs" priority="1291" operator="equal" aboveAverage="0" equalAverage="0" bottom="0" percent="0" rank="0" text="" dxfId="10">
      <formula>"Evet"</formula>
    </cfRule>
  </conditionalFormatting>
  <conditionalFormatting sqref="D652">
    <cfRule type="cellIs" priority="1292" operator="greaterThan" aboveAverage="0" equalAverage="0" bottom="0" percent="0" rank="0" text="" dxfId="8">
      <formula>0</formula>
    </cfRule>
  </conditionalFormatting>
  <conditionalFormatting sqref="E652">
    <cfRule type="cellIs" priority="1293" operator="equal" aboveAverage="0" equalAverage="0" bottom="0" percent="0" rank="0" text="" dxfId="10">
      <formula>"Evet"</formula>
    </cfRule>
  </conditionalFormatting>
  <conditionalFormatting sqref="D653">
    <cfRule type="cellIs" priority="1294" operator="greaterThan" aboveAverage="0" equalAverage="0" bottom="0" percent="0" rank="0" text="" dxfId="8">
      <formula>0</formula>
    </cfRule>
  </conditionalFormatting>
  <conditionalFormatting sqref="E653">
    <cfRule type="cellIs" priority="1295" operator="equal" aboveAverage="0" equalAverage="0" bottom="0" percent="0" rank="0" text="" dxfId="10">
      <formula>"Evet"</formula>
    </cfRule>
  </conditionalFormatting>
  <conditionalFormatting sqref="D654">
    <cfRule type="cellIs" priority="1296" operator="greaterThan" aboveAverage="0" equalAverage="0" bottom="0" percent="0" rank="0" text="" dxfId="8">
      <formula>0</formula>
    </cfRule>
  </conditionalFormatting>
  <conditionalFormatting sqref="E654">
    <cfRule type="cellIs" priority="1297" operator="equal" aboveAverage="0" equalAverage="0" bottom="0" percent="0" rank="0" text="" dxfId="10">
      <formula>"Evet"</formula>
    </cfRule>
  </conditionalFormatting>
  <conditionalFormatting sqref="D655">
    <cfRule type="cellIs" priority="1298" operator="greaterThan" aboveAverage="0" equalAverage="0" bottom="0" percent="0" rank="0" text="" dxfId="8">
      <formula>0</formula>
    </cfRule>
  </conditionalFormatting>
  <conditionalFormatting sqref="E655">
    <cfRule type="cellIs" priority="1299" operator="equal" aboveAverage="0" equalAverage="0" bottom="0" percent="0" rank="0" text="" dxfId="10">
      <formula>"Evet"</formula>
    </cfRule>
  </conditionalFormatting>
  <conditionalFormatting sqref="D656">
    <cfRule type="cellIs" priority="1300" operator="greaterThan" aboveAverage="0" equalAverage="0" bottom="0" percent="0" rank="0" text="" dxfId="8">
      <formula>0</formula>
    </cfRule>
  </conditionalFormatting>
  <conditionalFormatting sqref="E656">
    <cfRule type="cellIs" priority="1301" operator="equal" aboveAverage="0" equalAverage="0" bottom="0" percent="0" rank="0" text="" dxfId="10">
      <formula>"Evet"</formula>
    </cfRule>
  </conditionalFormatting>
  <conditionalFormatting sqref="D657">
    <cfRule type="cellIs" priority="1302" operator="greaterThan" aboveAverage="0" equalAverage="0" bottom="0" percent="0" rank="0" text="" dxfId="8">
      <formula>0</formula>
    </cfRule>
  </conditionalFormatting>
  <conditionalFormatting sqref="E657">
    <cfRule type="cellIs" priority="1303" operator="equal" aboveAverage="0" equalAverage="0" bottom="0" percent="0" rank="0" text="" dxfId="10">
      <formula>"Evet"</formula>
    </cfRule>
  </conditionalFormatting>
  <conditionalFormatting sqref="D658">
    <cfRule type="cellIs" priority="1304" operator="greaterThan" aboveAverage="0" equalAverage="0" bottom="0" percent="0" rank="0" text="" dxfId="8">
      <formula>0</formula>
    </cfRule>
  </conditionalFormatting>
  <conditionalFormatting sqref="E658">
    <cfRule type="cellIs" priority="1305" operator="equal" aboveAverage="0" equalAverage="0" bottom="0" percent="0" rank="0" text="" dxfId="10">
      <formula>"Evet"</formula>
    </cfRule>
  </conditionalFormatting>
  <conditionalFormatting sqref="D659">
    <cfRule type="cellIs" priority="1306" operator="greaterThan" aboveAverage="0" equalAverage="0" bottom="0" percent="0" rank="0" text="" dxfId="8">
      <formula>0</formula>
    </cfRule>
  </conditionalFormatting>
  <conditionalFormatting sqref="E659">
    <cfRule type="cellIs" priority="1307" operator="equal" aboveAverage="0" equalAverage="0" bottom="0" percent="0" rank="0" text="" dxfId="10">
      <formula>"Evet"</formula>
    </cfRule>
  </conditionalFormatting>
  <conditionalFormatting sqref="D660">
    <cfRule type="cellIs" priority="1308" operator="greaterThan" aboveAverage="0" equalAverage="0" bottom="0" percent="0" rank="0" text="" dxfId="8">
      <formula>0</formula>
    </cfRule>
  </conditionalFormatting>
  <conditionalFormatting sqref="E660">
    <cfRule type="cellIs" priority="1309" operator="equal" aboveAverage="0" equalAverage="0" bottom="0" percent="0" rank="0" text="" dxfId="10">
      <formula>"Evet"</formula>
    </cfRule>
  </conditionalFormatting>
  <conditionalFormatting sqref="D661">
    <cfRule type="cellIs" priority="1310" operator="greaterThan" aboveAverage="0" equalAverage="0" bottom="0" percent="0" rank="0" text="" dxfId="8">
      <formula>0</formula>
    </cfRule>
  </conditionalFormatting>
  <conditionalFormatting sqref="E661">
    <cfRule type="cellIs" priority="1311" operator="equal" aboveAverage="0" equalAverage="0" bottom="0" percent="0" rank="0" text="" dxfId="10">
      <formula>"Evet"</formula>
    </cfRule>
  </conditionalFormatting>
  <conditionalFormatting sqref="D662">
    <cfRule type="cellIs" priority="1312" operator="greaterThan" aboveAverage="0" equalAverage="0" bottom="0" percent="0" rank="0" text="" dxfId="8">
      <formula>0</formula>
    </cfRule>
  </conditionalFormatting>
  <conditionalFormatting sqref="E662">
    <cfRule type="cellIs" priority="1313" operator="equal" aboveAverage="0" equalAverage="0" bottom="0" percent="0" rank="0" text="" dxfId="10">
      <formula>"Evet"</formula>
    </cfRule>
  </conditionalFormatting>
  <conditionalFormatting sqref="D663">
    <cfRule type="cellIs" priority="1314" operator="greaterThan" aboveAverage="0" equalAverage="0" bottom="0" percent="0" rank="0" text="" dxfId="8">
      <formula>0</formula>
    </cfRule>
  </conditionalFormatting>
  <conditionalFormatting sqref="E663">
    <cfRule type="cellIs" priority="1315" operator="equal" aboveAverage="0" equalAverage="0" bottom="0" percent="0" rank="0" text="" dxfId="10">
      <formula>"Evet"</formula>
    </cfRule>
  </conditionalFormatting>
  <conditionalFormatting sqref="D664">
    <cfRule type="cellIs" priority="1316" operator="greaterThan" aboveAverage="0" equalAverage="0" bottom="0" percent="0" rank="0" text="" dxfId="8">
      <formula>0</formula>
    </cfRule>
  </conditionalFormatting>
  <conditionalFormatting sqref="E664">
    <cfRule type="cellIs" priority="1317" operator="equal" aboveAverage="0" equalAverage="0" bottom="0" percent="0" rank="0" text="" dxfId="10">
      <formula>"Evet"</formula>
    </cfRule>
  </conditionalFormatting>
  <conditionalFormatting sqref="D665">
    <cfRule type="cellIs" priority="1318" operator="greaterThan" aboveAverage="0" equalAverage="0" bottom="0" percent="0" rank="0" text="" dxfId="8">
      <formula>0</formula>
    </cfRule>
  </conditionalFormatting>
  <conditionalFormatting sqref="E665">
    <cfRule type="cellIs" priority="1319" operator="equal" aboveAverage="0" equalAverage="0" bottom="0" percent="0" rank="0" text="" dxfId="10">
      <formula>"Evet"</formula>
    </cfRule>
  </conditionalFormatting>
  <conditionalFormatting sqref="D666">
    <cfRule type="cellIs" priority="1320" operator="greaterThan" aboveAverage="0" equalAverage="0" bottom="0" percent="0" rank="0" text="" dxfId="8">
      <formula>0</formula>
    </cfRule>
  </conditionalFormatting>
  <conditionalFormatting sqref="E666">
    <cfRule type="cellIs" priority="1321" operator="equal" aboveAverage="0" equalAverage="0" bottom="0" percent="0" rank="0" text="" dxfId="10">
      <formula>"Evet"</formula>
    </cfRule>
  </conditionalFormatting>
  <conditionalFormatting sqref="D667">
    <cfRule type="cellIs" priority="1322" operator="greaterThan" aboveAverage="0" equalAverage="0" bottom="0" percent="0" rank="0" text="" dxfId="8">
      <formula>0</formula>
    </cfRule>
  </conditionalFormatting>
  <conditionalFormatting sqref="E667">
    <cfRule type="cellIs" priority="1323" operator="equal" aboveAverage="0" equalAverage="0" bottom="0" percent="0" rank="0" text="" dxfId="10">
      <formula>"Evet"</formula>
    </cfRule>
  </conditionalFormatting>
  <conditionalFormatting sqref="D668">
    <cfRule type="cellIs" priority="1324" operator="greaterThan" aboveAverage="0" equalAverage="0" bottom="0" percent="0" rank="0" text="" dxfId="8">
      <formula>0</formula>
    </cfRule>
  </conditionalFormatting>
  <conditionalFormatting sqref="E668">
    <cfRule type="cellIs" priority="1325" operator="equal" aboveAverage="0" equalAverage="0" bottom="0" percent="0" rank="0" text="" dxfId="10">
      <formula>"Evet"</formula>
    </cfRule>
  </conditionalFormatting>
  <conditionalFormatting sqref="D669">
    <cfRule type="cellIs" priority="1326" operator="greaterThan" aboveAverage="0" equalAverage="0" bottom="0" percent="0" rank="0" text="" dxfId="8">
      <formula>0</formula>
    </cfRule>
  </conditionalFormatting>
  <conditionalFormatting sqref="E669">
    <cfRule type="cellIs" priority="1327" operator="equal" aboveAverage="0" equalAverage="0" bottom="0" percent="0" rank="0" text="" dxfId="10">
      <formula>"Evet"</formula>
    </cfRule>
  </conditionalFormatting>
  <conditionalFormatting sqref="D670">
    <cfRule type="cellIs" priority="1328" operator="greaterThan" aboveAverage="0" equalAverage="0" bottom="0" percent="0" rank="0" text="" dxfId="8">
      <formula>0</formula>
    </cfRule>
  </conditionalFormatting>
  <conditionalFormatting sqref="E670">
    <cfRule type="cellIs" priority="1329" operator="equal" aboveAverage="0" equalAverage="0" bottom="0" percent="0" rank="0" text="" dxfId="10">
      <formula>"Evet"</formula>
    </cfRule>
  </conditionalFormatting>
  <conditionalFormatting sqref="D671">
    <cfRule type="cellIs" priority="1330" operator="greaterThan" aboveAverage="0" equalAverage="0" bottom="0" percent="0" rank="0" text="" dxfId="8">
      <formula>0</formula>
    </cfRule>
  </conditionalFormatting>
  <conditionalFormatting sqref="E671">
    <cfRule type="cellIs" priority="1331" operator="equal" aboveAverage="0" equalAverage="0" bottom="0" percent="0" rank="0" text="" dxfId="10">
      <formula>"Evet"</formula>
    </cfRule>
  </conditionalFormatting>
  <conditionalFormatting sqref="D672">
    <cfRule type="cellIs" priority="1332" operator="greaterThan" aboveAverage="0" equalAverage="0" bottom="0" percent="0" rank="0" text="" dxfId="8">
      <formula>0</formula>
    </cfRule>
  </conditionalFormatting>
  <conditionalFormatting sqref="E672">
    <cfRule type="cellIs" priority="1333" operator="equal" aboveAverage="0" equalAverage="0" bottom="0" percent="0" rank="0" text="" dxfId="10">
      <formula>"Evet"</formula>
    </cfRule>
  </conditionalFormatting>
  <conditionalFormatting sqref="D673">
    <cfRule type="cellIs" priority="1334" operator="greaterThan" aboveAverage="0" equalAverage="0" bottom="0" percent="0" rank="0" text="" dxfId="8">
      <formula>0</formula>
    </cfRule>
  </conditionalFormatting>
  <conditionalFormatting sqref="E673">
    <cfRule type="cellIs" priority="1335" operator="equal" aboveAverage="0" equalAverage="0" bottom="0" percent="0" rank="0" text="" dxfId="10">
      <formula>"Evet"</formula>
    </cfRule>
  </conditionalFormatting>
  <conditionalFormatting sqref="D674">
    <cfRule type="cellIs" priority="1336" operator="greaterThan" aboveAverage="0" equalAverage="0" bottom="0" percent="0" rank="0" text="" dxfId="8">
      <formula>0</formula>
    </cfRule>
  </conditionalFormatting>
  <conditionalFormatting sqref="E674">
    <cfRule type="cellIs" priority="1337" operator="equal" aboveAverage="0" equalAverage="0" bottom="0" percent="0" rank="0" text="" dxfId="10">
      <formula>"Evet"</formula>
    </cfRule>
  </conditionalFormatting>
  <conditionalFormatting sqref="D675">
    <cfRule type="cellIs" priority="1338" operator="greaterThan" aboveAverage="0" equalAverage="0" bottom="0" percent="0" rank="0" text="" dxfId="8">
      <formula>0</formula>
    </cfRule>
  </conditionalFormatting>
  <conditionalFormatting sqref="E675">
    <cfRule type="cellIs" priority="1339" operator="equal" aboveAverage="0" equalAverage="0" bottom="0" percent="0" rank="0" text="" dxfId="10">
      <formula>"Evet"</formula>
    </cfRule>
  </conditionalFormatting>
  <conditionalFormatting sqref="D676">
    <cfRule type="cellIs" priority="1340" operator="greaterThan" aboveAverage="0" equalAverage="0" bottom="0" percent="0" rank="0" text="" dxfId="8">
      <formula>0</formula>
    </cfRule>
  </conditionalFormatting>
  <conditionalFormatting sqref="E676">
    <cfRule type="cellIs" priority="1341" operator="equal" aboveAverage="0" equalAverage="0" bottom="0" percent="0" rank="0" text="" dxfId="10">
      <formula>"Evet"</formula>
    </cfRule>
  </conditionalFormatting>
  <conditionalFormatting sqref="D677">
    <cfRule type="cellIs" priority="1342" operator="greaterThan" aboveAverage="0" equalAverage="0" bottom="0" percent="0" rank="0" text="" dxfId="8">
      <formula>0</formula>
    </cfRule>
  </conditionalFormatting>
  <conditionalFormatting sqref="E677">
    <cfRule type="cellIs" priority="1343" operator="equal" aboveAverage="0" equalAverage="0" bottom="0" percent="0" rank="0" text="" dxfId="10">
      <formula>"Evet"</formula>
    </cfRule>
  </conditionalFormatting>
  <conditionalFormatting sqref="D678">
    <cfRule type="cellIs" priority="1344" operator="greaterThan" aboveAverage="0" equalAverage="0" bottom="0" percent="0" rank="0" text="" dxfId="8">
      <formula>0</formula>
    </cfRule>
  </conditionalFormatting>
  <conditionalFormatting sqref="E678">
    <cfRule type="cellIs" priority="1345" operator="equal" aboveAverage="0" equalAverage="0" bottom="0" percent="0" rank="0" text="" dxfId="10">
      <formula>"Evet"</formula>
    </cfRule>
  </conditionalFormatting>
  <conditionalFormatting sqref="D679">
    <cfRule type="cellIs" priority="1346" operator="greaterThan" aboveAverage="0" equalAverage="0" bottom="0" percent="0" rank="0" text="" dxfId="8">
      <formula>0</formula>
    </cfRule>
  </conditionalFormatting>
  <conditionalFormatting sqref="E679">
    <cfRule type="cellIs" priority="1347" operator="equal" aboveAverage="0" equalAverage="0" bottom="0" percent="0" rank="0" text="" dxfId="10">
      <formula>"Evet"</formula>
    </cfRule>
  </conditionalFormatting>
  <conditionalFormatting sqref="D680">
    <cfRule type="cellIs" priority="1348" operator="greaterThan" aboveAverage="0" equalAverage="0" bottom="0" percent="0" rank="0" text="" dxfId="8">
      <formula>0</formula>
    </cfRule>
  </conditionalFormatting>
  <conditionalFormatting sqref="E680">
    <cfRule type="cellIs" priority="1349" operator="equal" aboveAverage="0" equalAverage="0" bottom="0" percent="0" rank="0" text="" dxfId="10">
      <formula>"Evet"</formula>
    </cfRule>
  </conditionalFormatting>
  <conditionalFormatting sqref="D681">
    <cfRule type="cellIs" priority="1350" operator="greaterThan" aboveAverage="0" equalAverage="0" bottom="0" percent="0" rank="0" text="" dxfId="8">
      <formula>0</formula>
    </cfRule>
  </conditionalFormatting>
  <conditionalFormatting sqref="E681">
    <cfRule type="cellIs" priority="1351" operator="equal" aboveAverage="0" equalAverage="0" bottom="0" percent="0" rank="0" text="" dxfId="10">
      <formula>"Evet"</formula>
    </cfRule>
  </conditionalFormatting>
  <conditionalFormatting sqref="D682">
    <cfRule type="cellIs" priority="1352" operator="greaterThan" aboveAverage="0" equalAverage="0" bottom="0" percent="0" rank="0" text="" dxfId="8">
      <formula>0</formula>
    </cfRule>
  </conditionalFormatting>
  <conditionalFormatting sqref="E682">
    <cfRule type="cellIs" priority="1353" operator="equal" aboveAverage="0" equalAverage="0" bottom="0" percent="0" rank="0" text="" dxfId="10">
      <formula>"Evet"</formula>
    </cfRule>
  </conditionalFormatting>
  <conditionalFormatting sqref="D683">
    <cfRule type="cellIs" priority="1354" operator="greaterThan" aboveAverage="0" equalAverage="0" bottom="0" percent="0" rank="0" text="" dxfId="8">
      <formula>0</formula>
    </cfRule>
  </conditionalFormatting>
  <conditionalFormatting sqref="E683">
    <cfRule type="cellIs" priority="1355" operator="equal" aboveAverage="0" equalAverage="0" bottom="0" percent="0" rank="0" text="" dxfId="10">
      <formula>"Evet"</formula>
    </cfRule>
  </conditionalFormatting>
  <conditionalFormatting sqref="D684">
    <cfRule type="cellIs" priority="1356" operator="greaterThan" aboveAverage="0" equalAverage="0" bottom="0" percent="0" rank="0" text="" dxfId="8">
      <formula>0</formula>
    </cfRule>
  </conditionalFormatting>
  <conditionalFormatting sqref="E684">
    <cfRule type="cellIs" priority="1357" operator="equal" aboveAverage="0" equalAverage="0" bottom="0" percent="0" rank="0" text="" dxfId="10">
      <formula>"Evet"</formula>
    </cfRule>
  </conditionalFormatting>
  <conditionalFormatting sqref="D685">
    <cfRule type="cellIs" priority="1358" operator="greaterThan" aboveAverage="0" equalAverage="0" bottom="0" percent="0" rank="0" text="" dxfId="8">
      <formula>0</formula>
    </cfRule>
  </conditionalFormatting>
  <conditionalFormatting sqref="E685">
    <cfRule type="cellIs" priority="1359" operator="equal" aboveAverage="0" equalAverage="0" bottom="0" percent="0" rank="0" text="" dxfId="10">
      <formula>"Evet"</formula>
    </cfRule>
  </conditionalFormatting>
  <conditionalFormatting sqref="D686">
    <cfRule type="cellIs" priority="1360" operator="greaterThan" aboveAverage="0" equalAverage="0" bottom="0" percent="0" rank="0" text="" dxfId="8">
      <formula>0</formula>
    </cfRule>
  </conditionalFormatting>
  <conditionalFormatting sqref="E686">
    <cfRule type="cellIs" priority="1361" operator="equal" aboveAverage="0" equalAverage="0" bottom="0" percent="0" rank="0" text="" dxfId="10">
      <formula>"Evet"</formula>
    </cfRule>
  </conditionalFormatting>
  <conditionalFormatting sqref="D687">
    <cfRule type="cellIs" priority="1362" operator="greaterThan" aboveAverage="0" equalAverage="0" bottom="0" percent="0" rank="0" text="" dxfId="8">
      <formula>0</formula>
    </cfRule>
  </conditionalFormatting>
  <conditionalFormatting sqref="E687">
    <cfRule type="cellIs" priority="1363" operator="equal" aboveAverage="0" equalAverage="0" bottom="0" percent="0" rank="0" text="" dxfId="10">
      <formula>"Evet"</formula>
    </cfRule>
  </conditionalFormatting>
  <conditionalFormatting sqref="D688">
    <cfRule type="cellIs" priority="1364" operator="greaterThan" aboveAverage="0" equalAverage="0" bottom="0" percent="0" rank="0" text="" dxfId="8">
      <formula>0</formula>
    </cfRule>
  </conditionalFormatting>
  <conditionalFormatting sqref="E688">
    <cfRule type="cellIs" priority="1365" operator="equal" aboveAverage="0" equalAverage="0" bottom="0" percent="0" rank="0" text="" dxfId="10">
      <formula>"Evet"</formula>
    </cfRule>
  </conditionalFormatting>
  <conditionalFormatting sqref="D689">
    <cfRule type="cellIs" priority="1366" operator="greaterThan" aboveAverage="0" equalAverage="0" bottom="0" percent="0" rank="0" text="" dxfId="8">
      <formula>0</formula>
    </cfRule>
  </conditionalFormatting>
  <conditionalFormatting sqref="E689">
    <cfRule type="cellIs" priority="1367" operator="equal" aboveAverage="0" equalAverage="0" bottom="0" percent="0" rank="0" text="" dxfId="10">
      <formula>"Evet"</formula>
    </cfRule>
  </conditionalFormatting>
  <conditionalFormatting sqref="D690">
    <cfRule type="cellIs" priority="1368" operator="greaterThan" aboveAverage="0" equalAverage="0" bottom="0" percent="0" rank="0" text="" dxfId="8">
      <formula>0</formula>
    </cfRule>
  </conditionalFormatting>
  <conditionalFormatting sqref="E690">
    <cfRule type="cellIs" priority="1369" operator="equal" aboveAverage="0" equalAverage="0" bottom="0" percent="0" rank="0" text="" dxfId="10">
      <formula>"Evet"</formula>
    </cfRule>
  </conditionalFormatting>
  <conditionalFormatting sqref="D691">
    <cfRule type="cellIs" priority="1370" operator="greaterThan" aboveAverage="0" equalAverage="0" bottom="0" percent="0" rank="0" text="" dxfId="8">
      <formula>0</formula>
    </cfRule>
  </conditionalFormatting>
  <conditionalFormatting sqref="E691">
    <cfRule type="cellIs" priority="1371" operator="equal" aboveAverage="0" equalAverage="0" bottom="0" percent="0" rank="0" text="" dxfId="10">
      <formula>"Evet"</formula>
    </cfRule>
  </conditionalFormatting>
  <conditionalFormatting sqref="D692">
    <cfRule type="cellIs" priority="1372" operator="greaterThan" aboveAverage="0" equalAverage="0" bottom="0" percent="0" rank="0" text="" dxfId="8">
      <formula>0</formula>
    </cfRule>
  </conditionalFormatting>
  <conditionalFormatting sqref="E692">
    <cfRule type="cellIs" priority="1373" operator="equal" aboveAverage="0" equalAverage="0" bottom="0" percent="0" rank="0" text="" dxfId="10">
      <formula>"Evet"</formula>
    </cfRule>
  </conditionalFormatting>
  <conditionalFormatting sqref="D693">
    <cfRule type="cellIs" priority="1374" operator="greaterThan" aboveAverage="0" equalAverage="0" bottom="0" percent="0" rank="0" text="" dxfId="8">
      <formula>0</formula>
    </cfRule>
  </conditionalFormatting>
  <conditionalFormatting sqref="E693">
    <cfRule type="cellIs" priority="1375" operator="equal" aboveAverage="0" equalAverage="0" bottom="0" percent="0" rank="0" text="" dxfId="10">
      <formula>"Evet"</formula>
    </cfRule>
  </conditionalFormatting>
  <conditionalFormatting sqref="D694">
    <cfRule type="cellIs" priority="1376" operator="greaterThan" aboveAverage="0" equalAverage="0" bottom="0" percent="0" rank="0" text="" dxfId="8">
      <formula>0</formula>
    </cfRule>
  </conditionalFormatting>
  <conditionalFormatting sqref="E694">
    <cfRule type="cellIs" priority="1377" operator="equal" aboveAverage="0" equalAverage="0" bottom="0" percent="0" rank="0" text="" dxfId="10">
      <formula>"Evet"</formula>
    </cfRule>
  </conditionalFormatting>
  <conditionalFormatting sqref="D695">
    <cfRule type="cellIs" priority="1378" operator="greaterThan" aboveAverage="0" equalAverage="0" bottom="0" percent="0" rank="0" text="" dxfId="8">
      <formula>0</formula>
    </cfRule>
  </conditionalFormatting>
  <conditionalFormatting sqref="E695">
    <cfRule type="cellIs" priority="1379" operator="equal" aboveAverage="0" equalAverage="0" bottom="0" percent="0" rank="0" text="" dxfId="10">
      <formula>"Evet"</formula>
    </cfRule>
  </conditionalFormatting>
  <conditionalFormatting sqref="D696">
    <cfRule type="cellIs" priority="1380" operator="greaterThan" aboveAverage="0" equalAverage="0" bottom="0" percent="0" rank="0" text="" dxfId="8">
      <formula>0</formula>
    </cfRule>
  </conditionalFormatting>
  <conditionalFormatting sqref="E696">
    <cfRule type="cellIs" priority="1381" operator="equal" aboveAverage="0" equalAverage="0" bottom="0" percent="0" rank="0" text="" dxfId="10">
      <formula>"Evet"</formula>
    </cfRule>
  </conditionalFormatting>
  <conditionalFormatting sqref="D697">
    <cfRule type="cellIs" priority="1382" operator="greaterThan" aboveAverage="0" equalAverage="0" bottom="0" percent="0" rank="0" text="" dxfId="8">
      <formula>0</formula>
    </cfRule>
  </conditionalFormatting>
  <conditionalFormatting sqref="E697">
    <cfRule type="cellIs" priority="1383" operator="equal" aboveAverage="0" equalAverage="0" bottom="0" percent="0" rank="0" text="" dxfId="10">
      <formula>"Evet"</formula>
    </cfRule>
  </conditionalFormatting>
  <conditionalFormatting sqref="D698">
    <cfRule type="cellIs" priority="1384" operator="greaterThan" aboveAverage="0" equalAverage="0" bottom="0" percent="0" rank="0" text="" dxfId="8">
      <formula>0</formula>
    </cfRule>
  </conditionalFormatting>
  <conditionalFormatting sqref="E698">
    <cfRule type="cellIs" priority="1385" operator="equal" aboveAverage="0" equalAverage="0" bottom="0" percent="0" rank="0" text="" dxfId="10">
      <formula>"Evet"</formula>
    </cfRule>
  </conditionalFormatting>
  <conditionalFormatting sqref="D699">
    <cfRule type="cellIs" priority="1386" operator="greaterThan" aboveAverage="0" equalAverage="0" bottom="0" percent="0" rank="0" text="" dxfId="8">
      <formula>0</formula>
    </cfRule>
  </conditionalFormatting>
  <conditionalFormatting sqref="E699">
    <cfRule type="cellIs" priority="1387" operator="equal" aboveAverage="0" equalAverage="0" bottom="0" percent="0" rank="0" text="" dxfId="10">
      <formula>"Evet"</formula>
    </cfRule>
  </conditionalFormatting>
  <conditionalFormatting sqref="D700">
    <cfRule type="cellIs" priority="1388" operator="greaterThan" aboveAverage="0" equalAverage="0" bottom="0" percent="0" rank="0" text="" dxfId="8">
      <formula>0</formula>
    </cfRule>
  </conditionalFormatting>
  <conditionalFormatting sqref="E700">
    <cfRule type="cellIs" priority="1389" operator="equal" aboveAverage="0" equalAverage="0" bottom="0" percent="0" rank="0" text="" dxfId="10">
      <formula>"Evet"</formula>
    </cfRule>
  </conditionalFormatting>
  <conditionalFormatting sqref="D701">
    <cfRule type="cellIs" priority="1390" operator="greaterThan" aboveAverage="0" equalAverage="0" bottom="0" percent="0" rank="0" text="" dxfId="8">
      <formula>0</formula>
    </cfRule>
  </conditionalFormatting>
  <conditionalFormatting sqref="E701">
    <cfRule type="cellIs" priority="1391" operator="equal" aboveAverage="0" equalAverage="0" bottom="0" percent="0" rank="0" text="" dxfId="10">
      <formula>"Evet"</formula>
    </cfRule>
  </conditionalFormatting>
  <conditionalFormatting sqref="D702">
    <cfRule type="cellIs" priority="1392" operator="greaterThan" aboveAverage="0" equalAverage="0" bottom="0" percent="0" rank="0" text="" dxfId="8">
      <formula>0</formula>
    </cfRule>
  </conditionalFormatting>
  <conditionalFormatting sqref="E702">
    <cfRule type="cellIs" priority="1393" operator="equal" aboveAverage="0" equalAverage="0" bottom="0" percent="0" rank="0" text="" dxfId="10">
      <formula>"Evet"</formula>
    </cfRule>
  </conditionalFormatting>
  <conditionalFormatting sqref="D703">
    <cfRule type="cellIs" priority="1394" operator="greaterThan" aboveAverage="0" equalAverage="0" bottom="0" percent="0" rank="0" text="" dxfId="8">
      <formula>0</formula>
    </cfRule>
  </conditionalFormatting>
  <conditionalFormatting sqref="E703">
    <cfRule type="cellIs" priority="1395" operator="equal" aboveAverage="0" equalAverage="0" bottom="0" percent="0" rank="0" text="" dxfId="10">
      <formula>"Evet"</formula>
    </cfRule>
  </conditionalFormatting>
  <conditionalFormatting sqref="D704">
    <cfRule type="cellIs" priority="1396" operator="greaterThan" aboveAverage="0" equalAverage="0" bottom="0" percent="0" rank="0" text="" dxfId="8">
      <formula>0</formula>
    </cfRule>
  </conditionalFormatting>
  <conditionalFormatting sqref="E704">
    <cfRule type="cellIs" priority="1397" operator="equal" aboveAverage="0" equalAverage="0" bottom="0" percent="0" rank="0" text="" dxfId="10">
      <formula>"Evet"</formula>
    </cfRule>
  </conditionalFormatting>
  <conditionalFormatting sqref="D705">
    <cfRule type="cellIs" priority="1398" operator="greaterThan" aboveAverage="0" equalAverage="0" bottom="0" percent="0" rank="0" text="" dxfId="8">
      <formula>0</formula>
    </cfRule>
  </conditionalFormatting>
  <conditionalFormatting sqref="E705">
    <cfRule type="cellIs" priority="1399" operator="equal" aboveAverage="0" equalAverage="0" bottom="0" percent="0" rank="0" text="" dxfId="10">
      <formula>"Evet"</formula>
    </cfRule>
  </conditionalFormatting>
  <conditionalFormatting sqref="D706">
    <cfRule type="cellIs" priority="1400" operator="greaterThan" aboveAverage="0" equalAverage="0" bottom="0" percent="0" rank="0" text="" dxfId="8">
      <formula>0</formula>
    </cfRule>
  </conditionalFormatting>
  <conditionalFormatting sqref="E706">
    <cfRule type="cellIs" priority="1401" operator="equal" aboveAverage="0" equalAverage="0" bottom="0" percent="0" rank="0" text="" dxfId="10">
      <formula>"Evet"</formula>
    </cfRule>
  </conditionalFormatting>
  <conditionalFormatting sqref="D707">
    <cfRule type="cellIs" priority="1402" operator="greaterThan" aboveAverage="0" equalAverage="0" bottom="0" percent="0" rank="0" text="" dxfId="8">
      <formula>0</formula>
    </cfRule>
  </conditionalFormatting>
  <conditionalFormatting sqref="E707">
    <cfRule type="cellIs" priority="1403" operator="equal" aboveAverage="0" equalAverage="0" bottom="0" percent="0" rank="0" text="" dxfId="10">
      <formula>"Evet"</formula>
    </cfRule>
  </conditionalFormatting>
  <conditionalFormatting sqref="D708">
    <cfRule type="cellIs" priority="1404" operator="greaterThan" aboveAverage="0" equalAverage="0" bottom="0" percent="0" rank="0" text="" dxfId="8">
      <formula>0</formula>
    </cfRule>
  </conditionalFormatting>
  <conditionalFormatting sqref="E708">
    <cfRule type="cellIs" priority="1405" operator="equal" aboveAverage="0" equalAverage="0" bottom="0" percent="0" rank="0" text="" dxfId="10">
      <formula>"Evet"</formula>
    </cfRule>
  </conditionalFormatting>
  <conditionalFormatting sqref="D709">
    <cfRule type="cellIs" priority="1406" operator="greaterThan" aboveAverage="0" equalAverage="0" bottom="0" percent="0" rank="0" text="" dxfId="8">
      <formula>0</formula>
    </cfRule>
  </conditionalFormatting>
  <conditionalFormatting sqref="E709">
    <cfRule type="cellIs" priority="1407" operator="equal" aboveAverage="0" equalAverage="0" bottom="0" percent="0" rank="0" text="" dxfId="10">
      <formula>"Evet"</formula>
    </cfRule>
  </conditionalFormatting>
  <conditionalFormatting sqref="D710">
    <cfRule type="cellIs" priority="1408" operator="greaterThan" aboveAverage="0" equalAverage="0" bottom="0" percent="0" rank="0" text="" dxfId="8">
      <formula>0</formula>
    </cfRule>
  </conditionalFormatting>
  <conditionalFormatting sqref="E710">
    <cfRule type="cellIs" priority="1409" operator="equal" aboveAverage="0" equalAverage="0" bottom="0" percent="0" rank="0" text="" dxfId="10">
      <formula>"Evet"</formula>
    </cfRule>
  </conditionalFormatting>
  <conditionalFormatting sqref="D711">
    <cfRule type="cellIs" priority="1410" operator="greaterThan" aboveAverage="0" equalAverage="0" bottom="0" percent="0" rank="0" text="" dxfId="8">
      <formula>0</formula>
    </cfRule>
  </conditionalFormatting>
  <conditionalFormatting sqref="E711">
    <cfRule type="cellIs" priority="1411" operator="equal" aboveAverage="0" equalAverage="0" bottom="0" percent="0" rank="0" text="" dxfId="10">
      <formula>"Evet"</formula>
    </cfRule>
  </conditionalFormatting>
  <conditionalFormatting sqref="D712">
    <cfRule type="cellIs" priority="1412" operator="greaterThan" aboveAverage="0" equalAverage="0" bottom="0" percent="0" rank="0" text="" dxfId="8">
      <formula>0</formula>
    </cfRule>
  </conditionalFormatting>
  <conditionalFormatting sqref="E712">
    <cfRule type="cellIs" priority="1413" operator="equal" aboveAverage="0" equalAverage="0" bottom="0" percent="0" rank="0" text="" dxfId="10">
      <formula>"Evet"</formula>
    </cfRule>
  </conditionalFormatting>
  <conditionalFormatting sqref="D713">
    <cfRule type="cellIs" priority="1414" operator="greaterThan" aboveAverage="0" equalAverage="0" bottom="0" percent="0" rank="0" text="" dxfId="8">
      <formula>0</formula>
    </cfRule>
  </conditionalFormatting>
  <conditionalFormatting sqref="E713">
    <cfRule type="cellIs" priority="1415" operator="equal" aboveAverage="0" equalAverage="0" bottom="0" percent="0" rank="0" text="" dxfId="10">
      <formula>"Evet"</formula>
    </cfRule>
  </conditionalFormatting>
  <conditionalFormatting sqref="D714">
    <cfRule type="cellIs" priority="1416" operator="greaterThan" aboveAverage="0" equalAverage="0" bottom="0" percent="0" rank="0" text="" dxfId="8">
      <formula>0</formula>
    </cfRule>
  </conditionalFormatting>
  <conditionalFormatting sqref="E714">
    <cfRule type="cellIs" priority="1417" operator="equal" aboveAverage="0" equalAverage="0" bottom="0" percent="0" rank="0" text="" dxfId="10">
      <formula>"Evet"</formula>
    </cfRule>
  </conditionalFormatting>
  <conditionalFormatting sqref="D715">
    <cfRule type="cellIs" priority="1418" operator="greaterThan" aboveAverage="0" equalAverage="0" bottom="0" percent="0" rank="0" text="" dxfId="8">
      <formula>0</formula>
    </cfRule>
  </conditionalFormatting>
  <conditionalFormatting sqref="E715">
    <cfRule type="cellIs" priority="1419" operator="equal" aboveAverage="0" equalAverage="0" bottom="0" percent="0" rank="0" text="" dxfId="10">
      <formula>"Evet"</formula>
    </cfRule>
  </conditionalFormatting>
  <conditionalFormatting sqref="D716">
    <cfRule type="cellIs" priority="1420" operator="greaterThan" aboveAverage="0" equalAverage="0" bottom="0" percent="0" rank="0" text="" dxfId="8">
      <formula>0</formula>
    </cfRule>
  </conditionalFormatting>
  <conditionalFormatting sqref="E716">
    <cfRule type="cellIs" priority="1421" operator="equal" aboveAverage="0" equalAverage="0" bottom="0" percent="0" rank="0" text="" dxfId="10">
      <formula>"Evet"</formula>
    </cfRule>
  </conditionalFormatting>
  <conditionalFormatting sqref="D717">
    <cfRule type="cellIs" priority="1422" operator="greaterThan" aboveAverage="0" equalAverage="0" bottom="0" percent="0" rank="0" text="" dxfId="8">
      <formula>0</formula>
    </cfRule>
  </conditionalFormatting>
  <conditionalFormatting sqref="E717">
    <cfRule type="cellIs" priority="1423" operator="equal" aboveAverage="0" equalAverage="0" bottom="0" percent="0" rank="0" text="" dxfId="10">
      <formula>"Evet"</formula>
    </cfRule>
  </conditionalFormatting>
  <conditionalFormatting sqref="D718">
    <cfRule type="cellIs" priority="1424" operator="greaterThan" aboveAverage="0" equalAverage="0" bottom="0" percent="0" rank="0" text="" dxfId="8">
      <formula>0</formula>
    </cfRule>
  </conditionalFormatting>
  <conditionalFormatting sqref="E718">
    <cfRule type="cellIs" priority="1425" operator="equal" aboveAverage="0" equalAverage="0" bottom="0" percent="0" rank="0" text="" dxfId="10">
      <formula>"Evet"</formula>
    </cfRule>
  </conditionalFormatting>
  <conditionalFormatting sqref="D719">
    <cfRule type="cellIs" priority="1426" operator="greaterThan" aboveAverage="0" equalAverage="0" bottom="0" percent="0" rank="0" text="" dxfId="8">
      <formula>0</formula>
    </cfRule>
  </conditionalFormatting>
  <conditionalFormatting sqref="E719">
    <cfRule type="cellIs" priority="1427" operator="equal" aboveAverage="0" equalAverage="0" bottom="0" percent="0" rank="0" text="" dxfId="10">
      <formula>"Evet"</formula>
    </cfRule>
  </conditionalFormatting>
  <conditionalFormatting sqref="D720">
    <cfRule type="cellIs" priority="1428" operator="greaterThan" aboveAverage="0" equalAverage="0" bottom="0" percent="0" rank="0" text="" dxfId="8">
      <formula>0</formula>
    </cfRule>
  </conditionalFormatting>
  <conditionalFormatting sqref="E720">
    <cfRule type="cellIs" priority="1429" operator="equal" aboveAverage="0" equalAverage="0" bottom="0" percent="0" rank="0" text="" dxfId="10">
      <formula>"Evet"</formula>
    </cfRule>
  </conditionalFormatting>
  <conditionalFormatting sqref="D721">
    <cfRule type="cellIs" priority="1430" operator="greaterThan" aboveAverage="0" equalAverage="0" bottom="0" percent="0" rank="0" text="" dxfId="8">
      <formula>0</formula>
    </cfRule>
  </conditionalFormatting>
  <conditionalFormatting sqref="E721">
    <cfRule type="cellIs" priority="1431" operator="equal" aboveAverage="0" equalAverage="0" bottom="0" percent="0" rank="0" text="" dxfId="10">
      <formula>"Evet"</formula>
    </cfRule>
  </conditionalFormatting>
  <conditionalFormatting sqref="D722">
    <cfRule type="cellIs" priority="1432" operator="greaterThan" aboveAverage="0" equalAverage="0" bottom="0" percent="0" rank="0" text="" dxfId="8">
      <formula>0</formula>
    </cfRule>
  </conditionalFormatting>
  <conditionalFormatting sqref="E722">
    <cfRule type="cellIs" priority="1433" operator="equal" aboveAverage="0" equalAverage="0" bottom="0" percent="0" rank="0" text="" dxfId="10">
      <formula>"Evet"</formula>
    </cfRule>
  </conditionalFormatting>
  <conditionalFormatting sqref="D723">
    <cfRule type="cellIs" priority="1434" operator="greaterThan" aboveAverage="0" equalAverage="0" bottom="0" percent="0" rank="0" text="" dxfId="8">
      <formula>0</formula>
    </cfRule>
  </conditionalFormatting>
  <conditionalFormatting sqref="E723">
    <cfRule type="cellIs" priority="1435" operator="equal" aboveAverage="0" equalAverage="0" bottom="0" percent="0" rank="0" text="" dxfId="10">
      <formula>"Evet"</formula>
    </cfRule>
  </conditionalFormatting>
  <conditionalFormatting sqref="D724">
    <cfRule type="cellIs" priority="1436" operator="greaterThan" aboveAverage="0" equalAverage="0" bottom="0" percent="0" rank="0" text="" dxfId="8">
      <formula>0</formula>
    </cfRule>
  </conditionalFormatting>
  <conditionalFormatting sqref="E724">
    <cfRule type="cellIs" priority="1437" operator="equal" aboveAverage="0" equalAverage="0" bottom="0" percent="0" rank="0" text="" dxfId="10">
      <formula>"Evet"</formula>
    </cfRule>
  </conditionalFormatting>
  <conditionalFormatting sqref="D725">
    <cfRule type="cellIs" priority="1438" operator="greaterThan" aboveAverage="0" equalAverage="0" bottom="0" percent="0" rank="0" text="" dxfId="8">
      <formula>0</formula>
    </cfRule>
  </conditionalFormatting>
  <conditionalFormatting sqref="E725">
    <cfRule type="cellIs" priority="1439" operator="equal" aboveAverage="0" equalAverage="0" bottom="0" percent="0" rank="0" text="" dxfId="10">
      <formula>"Evet"</formula>
    </cfRule>
  </conditionalFormatting>
  <conditionalFormatting sqref="D726">
    <cfRule type="cellIs" priority="1440" operator="greaterThan" aboveAverage="0" equalAverage="0" bottom="0" percent="0" rank="0" text="" dxfId="8">
      <formula>0</formula>
    </cfRule>
  </conditionalFormatting>
  <conditionalFormatting sqref="E726">
    <cfRule type="cellIs" priority="1441" operator="equal" aboveAverage="0" equalAverage="0" bottom="0" percent="0" rank="0" text="" dxfId="10">
      <formula>"Evet"</formula>
    </cfRule>
  </conditionalFormatting>
  <conditionalFormatting sqref="D727">
    <cfRule type="cellIs" priority="1442" operator="greaterThan" aboveAverage="0" equalAverage="0" bottom="0" percent="0" rank="0" text="" dxfId="8">
      <formula>0</formula>
    </cfRule>
  </conditionalFormatting>
  <conditionalFormatting sqref="E727">
    <cfRule type="cellIs" priority="1443" operator="equal" aboveAverage="0" equalAverage="0" bottom="0" percent="0" rank="0" text="" dxfId="10">
      <formula>"Evet"</formula>
    </cfRule>
  </conditionalFormatting>
  <conditionalFormatting sqref="D728">
    <cfRule type="cellIs" priority="1444" operator="greaterThan" aboveAverage="0" equalAverage="0" bottom="0" percent="0" rank="0" text="" dxfId="8">
      <formula>0</formula>
    </cfRule>
  </conditionalFormatting>
  <conditionalFormatting sqref="E728">
    <cfRule type="cellIs" priority="1445" operator="equal" aboveAverage="0" equalAverage="0" bottom="0" percent="0" rank="0" text="" dxfId="10">
      <formula>"Evet"</formula>
    </cfRule>
  </conditionalFormatting>
  <conditionalFormatting sqref="D729">
    <cfRule type="cellIs" priority="1446" operator="greaterThan" aboveAverage="0" equalAverage="0" bottom="0" percent="0" rank="0" text="" dxfId="8">
      <formula>0</formula>
    </cfRule>
  </conditionalFormatting>
  <conditionalFormatting sqref="E729">
    <cfRule type="cellIs" priority="1447" operator="equal" aboveAverage="0" equalAverage="0" bottom="0" percent="0" rank="0" text="" dxfId="10">
      <formula>"Evet"</formula>
    </cfRule>
  </conditionalFormatting>
  <conditionalFormatting sqref="D730">
    <cfRule type="cellIs" priority="1448" operator="greaterThan" aboveAverage="0" equalAverage="0" bottom="0" percent="0" rank="0" text="" dxfId="8">
      <formula>0</formula>
    </cfRule>
  </conditionalFormatting>
  <conditionalFormatting sqref="E730">
    <cfRule type="cellIs" priority="1449" operator="equal" aboveAverage="0" equalAverage="0" bottom="0" percent="0" rank="0" text="" dxfId="10">
      <formula>"Evet"</formula>
    </cfRule>
  </conditionalFormatting>
  <conditionalFormatting sqref="D731">
    <cfRule type="cellIs" priority="1450" operator="greaterThan" aboveAverage="0" equalAverage="0" bottom="0" percent="0" rank="0" text="" dxfId="8">
      <formula>0</formula>
    </cfRule>
  </conditionalFormatting>
  <conditionalFormatting sqref="E731">
    <cfRule type="cellIs" priority="1451" operator="equal" aboveAverage="0" equalAverage="0" bottom="0" percent="0" rank="0" text="" dxfId="10">
      <formula>"Evet"</formula>
    </cfRule>
  </conditionalFormatting>
  <conditionalFormatting sqref="D732">
    <cfRule type="cellIs" priority="1452" operator="greaterThan" aboveAverage="0" equalAverage="0" bottom="0" percent="0" rank="0" text="" dxfId="8">
      <formula>0</formula>
    </cfRule>
  </conditionalFormatting>
  <conditionalFormatting sqref="E732">
    <cfRule type="cellIs" priority="1453" operator="equal" aboveAverage="0" equalAverage="0" bottom="0" percent="0" rank="0" text="" dxfId="10">
      <formula>"Evet"</formula>
    </cfRule>
  </conditionalFormatting>
  <conditionalFormatting sqref="D733">
    <cfRule type="cellIs" priority="1454" operator="greaterThan" aboveAverage="0" equalAverage="0" bottom="0" percent="0" rank="0" text="" dxfId="8">
      <formula>0</formula>
    </cfRule>
  </conditionalFormatting>
  <conditionalFormatting sqref="E733">
    <cfRule type="cellIs" priority="1455" operator="equal" aboveAverage="0" equalAverage="0" bottom="0" percent="0" rank="0" text="" dxfId="10">
      <formula>"Evet"</formula>
    </cfRule>
  </conditionalFormatting>
  <conditionalFormatting sqref="D734">
    <cfRule type="cellIs" priority="1456" operator="greaterThan" aboveAverage="0" equalAverage="0" bottom="0" percent="0" rank="0" text="" dxfId="8">
      <formula>0</formula>
    </cfRule>
  </conditionalFormatting>
  <conditionalFormatting sqref="E734">
    <cfRule type="cellIs" priority="1457" operator="equal" aboveAverage="0" equalAverage="0" bottom="0" percent="0" rank="0" text="" dxfId="10">
      <formula>"Evet"</formula>
    </cfRule>
  </conditionalFormatting>
  <conditionalFormatting sqref="D735">
    <cfRule type="cellIs" priority="1458" operator="greaterThan" aboveAverage="0" equalAverage="0" bottom="0" percent="0" rank="0" text="" dxfId="8">
      <formula>0</formula>
    </cfRule>
  </conditionalFormatting>
  <conditionalFormatting sqref="E735">
    <cfRule type="cellIs" priority="1459" operator="equal" aboveAverage="0" equalAverage="0" bottom="0" percent="0" rank="0" text="" dxfId="10">
      <formula>"Evet"</formula>
    </cfRule>
  </conditionalFormatting>
  <conditionalFormatting sqref="D736">
    <cfRule type="cellIs" priority="1460" operator="greaterThan" aboveAverage="0" equalAverage="0" bottom="0" percent="0" rank="0" text="" dxfId="8">
      <formula>0</formula>
    </cfRule>
  </conditionalFormatting>
  <conditionalFormatting sqref="E736">
    <cfRule type="cellIs" priority="1461" operator="equal" aboveAverage="0" equalAverage="0" bottom="0" percent="0" rank="0" text="" dxfId="10">
      <formula>"Evet"</formula>
    </cfRule>
  </conditionalFormatting>
  <conditionalFormatting sqref="D737">
    <cfRule type="cellIs" priority="1462" operator="greaterThan" aboveAverage="0" equalAverage="0" bottom="0" percent="0" rank="0" text="" dxfId="8">
      <formula>0</formula>
    </cfRule>
  </conditionalFormatting>
  <conditionalFormatting sqref="E737">
    <cfRule type="cellIs" priority="1463" operator="equal" aboveAverage="0" equalAverage="0" bottom="0" percent="0" rank="0" text="" dxfId="10">
      <formula>"Evet"</formula>
    </cfRule>
  </conditionalFormatting>
  <conditionalFormatting sqref="D738">
    <cfRule type="cellIs" priority="1464" operator="greaterThan" aboveAverage="0" equalAverage="0" bottom="0" percent="0" rank="0" text="" dxfId="8">
      <formula>0</formula>
    </cfRule>
  </conditionalFormatting>
  <conditionalFormatting sqref="E738">
    <cfRule type="cellIs" priority="1465" operator="equal" aboveAverage="0" equalAverage="0" bottom="0" percent="0" rank="0" text="" dxfId="10">
      <formula>"Evet"</formula>
    </cfRule>
  </conditionalFormatting>
  <conditionalFormatting sqref="D739">
    <cfRule type="cellIs" priority="1466" operator="greaterThan" aboveAverage="0" equalAverage="0" bottom="0" percent="0" rank="0" text="" dxfId="8">
      <formula>0</formula>
    </cfRule>
  </conditionalFormatting>
  <conditionalFormatting sqref="E739">
    <cfRule type="cellIs" priority="1467" operator="equal" aboveAverage="0" equalAverage="0" bottom="0" percent="0" rank="0" text="" dxfId="10">
      <formula>"Evet"</formula>
    </cfRule>
  </conditionalFormatting>
  <conditionalFormatting sqref="D740">
    <cfRule type="cellIs" priority="1468" operator="greaterThan" aboveAverage="0" equalAverage="0" bottom="0" percent="0" rank="0" text="" dxfId="8">
      <formula>0</formula>
    </cfRule>
  </conditionalFormatting>
  <conditionalFormatting sqref="E740">
    <cfRule type="cellIs" priority="1469" operator="equal" aboveAverage="0" equalAverage="0" bottom="0" percent="0" rank="0" text="" dxfId="10">
      <formula>"Evet"</formula>
    </cfRule>
  </conditionalFormatting>
  <conditionalFormatting sqref="D741">
    <cfRule type="cellIs" priority="1470" operator="greaterThan" aboveAverage="0" equalAverage="0" bottom="0" percent="0" rank="0" text="" dxfId="8">
      <formula>0</formula>
    </cfRule>
  </conditionalFormatting>
  <conditionalFormatting sqref="E741">
    <cfRule type="cellIs" priority="1471" operator="equal" aboveAverage="0" equalAverage="0" bottom="0" percent="0" rank="0" text="" dxfId="10">
      <formula>"Evet"</formula>
    </cfRule>
  </conditionalFormatting>
  <conditionalFormatting sqref="D742">
    <cfRule type="cellIs" priority="1472" operator="greaterThan" aboveAverage="0" equalAverage="0" bottom="0" percent="0" rank="0" text="" dxfId="8">
      <formula>0</formula>
    </cfRule>
  </conditionalFormatting>
  <conditionalFormatting sqref="E742">
    <cfRule type="cellIs" priority="1473" operator="equal" aboveAverage="0" equalAverage="0" bottom="0" percent="0" rank="0" text="" dxfId="10">
      <formula>"Evet"</formula>
    </cfRule>
  </conditionalFormatting>
  <conditionalFormatting sqref="D743">
    <cfRule type="cellIs" priority="1474" operator="greaterThan" aboveAverage="0" equalAverage="0" bottom="0" percent="0" rank="0" text="" dxfId="8">
      <formula>0</formula>
    </cfRule>
  </conditionalFormatting>
  <conditionalFormatting sqref="E743">
    <cfRule type="cellIs" priority="1475" operator="equal" aboveAverage="0" equalAverage="0" bottom="0" percent="0" rank="0" text="" dxfId="10">
      <formula>"Evet"</formula>
    </cfRule>
  </conditionalFormatting>
  <conditionalFormatting sqref="D744">
    <cfRule type="cellIs" priority="1476" operator="greaterThan" aboveAverage="0" equalAverage="0" bottom="0" percent="0" rank="0" text="" dxfId="8">
      <formula>0</formula>
    </cfRule>
  </conditionalFormatting>
  <conditionalFormatting sqref="E744">
    <cfRule type="cellIs" priority="1477" operator="equal" aboveAverage="0" equalAverage="0" bottom="0" percent="0" rank="0" text="" dxfId="10">
      <formula>"Evet"</formula>
    </cfRule>
  </conditionalFormatting>
  <conditionalFormatting sqref="D745">
    <cfRule type="cellIs" priority="1478" operator="greaterThan" aboveAverage="0" equalAverage="0" bottom="0" percent="0" rank="0" text="" dxfId="8">
      <formula>0</formula>
    </cfRule>
  </conditionalFormatting>
  <conditionalFormatting sqref="E745">
    <cfRule type="cellIs" priority="1479" operator="equal" aboveAverage="0" equalAverage="0" bottom="0" percent="0" rank="0" text="" dxfId="10">
      <formula>"Evet"</formula>
    </cfRule>
  </conditionalFormatting>
  <conditionalFormatting sqref="D746">
    <cfRule type="cellIs" priority="1480" operator="greaterThan" aboveAverage="0" equalAverage="0" bottom="0" percent="0" rank="0" text="" dxfId="8">
      <formula>0</formula>
    </cfRule>
  </conditionalFormatting>
  <conditionalFormatting sqref="E746">
    <cfRule type="cellIs" priority="1481" operator="equal" aboveAverage="0" equalAverage="0" bottom="0" percent="0" rank="0" text="" dxfId="10">
      <formula>"Evet"</formula>
    </cfRule>
  </conditionalFormatting>
  <conditionalFormatting sqref="D747">
    <cfRule type="cellIs" priority="1482" operator="greaterThan" aboveAverage="0" equalAverage="0" bottom="0" percent="0" rank="0" text="" dxfId="8">
      <formula>0</formula>
    </cfRule>
  </conditionalFormatting>
  <conditionalFormatting sqref="E747">
    <cfRule type="cellIs" priority="1483" operator="equal" aboveAverage="0" equalAverage="0" bottom="0" percent="0" rank="0" text="" dxfId="10">
      <formula>"Evet"</formula>
    </cfRule>
  </conditionalFormatting>
  <conditionalFormatting sqref="D748">
    <cfRule type="cellIs" priority="1484" operator="greaterThan" aboveAverage="0" equalAverage="0" bottom="0" percent="0" rank="0" text="" dxfId="8">
      <formula>0</formula>
    </cfRule>
  </conditionalFormatting>
  <conditionalFormatting sqref="E748">
    <cfRule type="cellIs" priority="1485" operator="equal" aboveAverage="0" equalAverage="0" bottom="0" percent="0" rank="0" text="" dxfId="10">
      <formula>"Evet"</formula>
    </cfRule>
  </conditionalFormatting>
  <conditionalFormatting sqref="D749">
    <cfRule type="cellIs" priority="1486" operator="greaterThan" aboveAverage="0" equalAverage="0" bottom="0" percent="0" rank="0" text="" dxfId="8">
      <formula>0</formula>
    </cfRule>
  </conditionalFormatting>
  <conditionalFormatting sqref="E749">
    <cfRule type="cellIs" priority="1487" operator="equal" aboveAverage="0" equalAverage="0" bottom="0" percent="0" rank="0" text="" dxfId="10">
      <formula>"Evet"</formula>
    </cfRule>
  </conditionalFormatting>
  <conditionalFormatting sqref="D750">
    <cfRule type="cellIs" priority="1488" operator="greaterThan" aboveAverage="0" equalAverage="0" bottom="0" percent="0" rank="0" text="" dxfId="8">
      <formula>0</formula>
    </cfRule>
  </conditionalFormatting>
  <conditionalFormatting sqref="E750">
    <cfRule type="cellIs" priority="1489" operator="equal" aboveAverage="0" equalAverage="0" bottom="0" percent="0" rank="0" text="" dxfId="10">
      <formula>"Evet"</formula>
    </cfRule>
  </conditionalFormatting>
  <conditionalFormatting sqref="D751">
    <cfRule type="cellIs" priority="1490" operator="greaterThan" aboveAverage="0" equalAverage="0" bottom="0" percent="0" rank="0" text="" dxfId="8">
      <formula>0</formula>
    </cfRule>
  </conditionalFormatting>
  <conditionalFormatting sqref="E751">
    <cfRule type="cellIs" priority="1491" operator="equal" aboveAverage="0" equalAverage="0" bottom="0" percent="0" rank="0" text="" dxfId="10">
      <formula>"Evet"</formula>
    </cfRule>
  </conditionalFormatting>
  <conditionalFormatting sqref="D752">
    <cfRule type="cellIs" priority="1492" operator="greaterThan" aboveAverage="0" equalAverage="0" bottom="0" percent="0" rank="0" text="" dxfId="8">
      <formula>0</formula>
    </cfRule>
  </conditionalFormatting>
  <conditionalFormatting sqref="E752">
    <cfRule type="cellIs" priority="1493" operator="equal" aboveAverage="0" equalAverage="0" bottom="0" percent="0" rank="0" text="" dxfId="10">
      <formula>"Evet"</formula>
    </cfRule>
  </conditionalFormatting>
  <conditionalFormatting sqref="D753">
    <cfRule type="cellIs" priority="1494" operator="greaterThan" aboveAverage="0" equalAverage="0" bottom="0" percent="0" rank="0" text="" dxfId="8">
      <formula>0</formula>
    </cfRule>
  </conditionalFormatting>
  <conditionalFormatting sqref="E753">
    <cfRule type="cellIs" priority="1495" operator="equal" aboveAverage="0" equalAverage="0" bottom="0" percent="0" rank="0" text="" dxfId="10">
      <formula>"Evet"</formula>
    </cfRule>
  </conditionalFormatting>
  <conditionalFormatting sqref="D754">
    <cfRule type="cellIs" priority="1496" operator="greaterThan" aboveAverage="0" equalAverage="0" bottom="0" percent="0" rank="0" text="" dxfId="8">
      <formula>0</formula>
    </cfRule>
  </conditionalFormatting>
  <conditionalFormatting sqref="E754">
    <cfRule type="cellIs" priority="1497" operator="equal" aboveAverage="0" equalAverage="0" bottom="0" percent="0" rank="0" text="" dxfId="10">
      <formula>"Evet"</formula>
    </cfRule>
  </conditionalFormatting>
  <conditionalFormatting sqref="D755">
    <cfRule type="cellIs" priority="1498" operator="greaterThan" aboveAverage="0" equalAverage="0" bottom="0" percent="0" rank="0" text="" dxfId="8">
      <formula>0</formula>
    </cfRule>
  </conditionalFormatting>
  <conditionalFormatting sqref="E755">
    <cfRule type="cellIs" priority="1499" operator="equal" aboveAverage="0" equalAverage="0" bottom="0" percent="0" rank="0" text="" dxfId="10">
      <formula>"Evet"</formula>
    </cfRule>
  </conditionalFormatting>
  <conditionalFormatting sqref="D756">
    <cfRule type="cellIs" priority="1500" operator="greaterThan" aboveAverage="0" equalAverage="0" bottom="0" percent="0" rank="0" text="" dxfId="8">
      <formula>0</formula>
    </cfRule>
  </conditionalFormatting>
  <conditionalFormatting sqref="E756">
    <cfRule type="cellIs" priority="1501" operator="equal" aboveAverage="0" equalAverage="0" bottom="0" percent="0" rank="0" text="" dxfId="10">
      <formula>"Evet"</formula>
    </cfRule>
  </conditionalFormatting>
  <conditionalFormatting sqref="D757">
    <cfRule type="cellIs" priority="1502" operator="greaterThan" aboveAverage="0" equalAverage="0" bottom="0" percent="0" rank="0" text="" dxfId="8">
      <formula>0</formula>
    </cfRule>
  </conditionalFormatting>
  <conditionalFormatting sqref="E757">
    <cfRule type="cellIs" priority="1503" operator="equal" aboveAverage="0" equalAverage="0" bottom="0" percent="0" rank="0" text="" dxfId="10">
      <formula>"Evet"</formula>
    </cfRule>
  </conditionalFormatting>
  <conditionalFormatting sqref="D758">
    <cfRule type="cellIs" priority="1504" operator="greaterThan" aboveAverage="0" equalAverage="0" bottom="0" percent="0" rank="0" text="" dxfId="8">
      <formula>0</formula>
    </cfRule>
  </conditionalFormatting>
  <conditionalFormatting sqref="E758">
    <cfRule type="cellIs" priority="1505" operator="equal" aboveAverage="0" equalAverage="0" bottom="0" percent="0" rank="0" text="" dxfId="10">
      <formula>"Evet"</formula>
    </cfRule>
  </conditionalFormatting>
  <conditionalFormatting sqref="D759">
    <cfRule type="cellIs" priority="1506" operator="greaterThan" aboveAverage="0" equalAverage="0" bottom="0" percent="0" rank="0" text="" dxfId="8">
      <formula>0</formula>
    </cfRule>
  </conditionalFormatting>
  <conditionalFormatting sqref="E759">
    <cfRule type="cellIs" priority="1507" operator="equal" aboveAverage="0" equalAverage="0" bottom="0" percent="0" rank="0" text="" dxfId="10">
      <formula>"Evet"</formula>
    </cfRule>
  </conditionalFormatting>
  <conditionalFormatting sqref="D760">
    <cfRule type="cellIs" priority="1508" operator="greaterThan" aboveAverage="0" equalAverage="0" bottom="0" percent="0" rank="0" text="" dxfId="8">
      <formula>0</formula>
    </cfRule>
  </conditionalFormatting>
  <conditionalFormatting sqref="E760">
    <cfRule type="cellIs" priority="1509" operator="equal" aboveAverage="0" equalAverage="0" bottom="0" percent="0" rank="0" text="" dxfId="10">
      <formula>"Evet"</formula>
    </cfRule>
  </conditionalFormatting>
  <conditionalFormatting sqref="D761">
    <cfRule type="cellIs" priority="1510" operator="greaterThan" aboveAverage="0" equalAverage="0" bottom="0" percent="0" rank="0" text="" dxfId="8">
      <formula>0</formula>
    </cfRule>
  </conditionalFormatting>
  <conditionalFormatting sqref="E761">
    <cfRule type="cellIs" priority="1511" operator="equal" aboveAverage="0" equalAverage="0" bottom="0" percent="0" rank="0" text="" dxfId="10">
      <formula>"Evet"</formula>
    </cfRule>
  </conditionalFormatting>
  <conditionalFormatting sqref="D762">
    <cfRule type="cellIs" priority="1512" operator="greaterThan" aboveAverage="0" equalAverage="0" bottom="0" percent="0" rank="0" text="" dxfId="8">
      <formula>0</formula>
    </cfRule>
  </conditionalFormatting>
  <conditionalFormatting sqref="E762">
    <cfRule type="cellIs" priority="1513" operator="equal" aboveAverage="0" equalAverage="0" bottom="0" percent="0" rank="0" text="" dxfId="10">
      <formula>"Evet"</formula>
    </cfRule>
  </conditionalFormatting>
  <conditionalFormatting sqref="D763">
    <cfRule type="cellIs" priority="1514" operator="greaterThan" aboveAverage="0" equalAverage="0" bottom="0" percent="0" rank="0" text="" dxfId="8">
      <formula>0</formula>
    </cfRule>
  </conditionalFormatting>
  <conditionalFormatting sqref="E763">
    <cfRule type="cellIs" priority="1515" operator="equal" aboveAverage="0" equalAverage="0" bottom="0" percent="0" rank="0" text="" dxfId="10">
      <formula>"Evet"</formula>
    </cfRule>
  </conditionalFormatting>
  <conditionalFormatting sqref="D764">
    <cfRule type="cellIs" priority="1516" operator="greaterThan" aboveAverage="0" equalAverage="0" bottom="0" percent="0" rank="0" text="" dxfId="8">
      <formula>0</formula>
    </cfRule>
  </conditionalFormatting>
  <conditionalFormatting sqref="E764">
    <cfRule type="cellIs" priority="1517" operator="equal" aboveAverage="0" equalAverage="0" bottom="0" percent="0" rank="0" text="" dxfId="10">
      <formula>"Evet"</formula>
    </cfRule>
  </conditionalFormatting>
  <conditionalFormatting sqref="D765">
    <cfRule type="cellIs" priority="1518" operator="greaterThan" aboveAverage="0" equalAverage="0" bottom="0" percent="0" rank="0" text="" dxfId="8">
      <formula>0</formula>
    </cfRule>
  </conditionalFormatting>
  <conditionalFormatting sqref="E765">
    <cfRule type="cellIs" priority="1519" operator="equal" aboveAverage="0" equalAverage="0" bottom="0" percent="0" rank="0" text="" dxfId="10">
      <formula>"Evet"</formula>
    </cfRule>
  </conditionalFormatting>
  <conditionalFormatting sqref="D766">
    <cfRule type="cellIs" priority="1520" operator="greaterThan" aboveAverage="0" equalAverage="0" bottom="0" percent="0" rank="0" text="" dxfId="8">
      <formula>0</formula>
    </cfRule>
  </conditionalFormatting>
  <conditionalFormatting sqref="E766">
    <cfRule type="cellIs" priority="1521" operator="equal" aboveAverage="0" equalAverage="0" bottom="0" percent="0" rank="0" text="" dxfId="10">
      <formula>"Evet"</formula>
    </cfRule>
  </conditionalFormatting>
  <conditionalFormatting sqref="D767">
    <cfRule type="cellIs" priority="1522" operator="greaterThan" aboveAverage="0" equalAverage="0" bottom="0" percent="0" rank="0" text="" dxfId="8">
      <formula>0</formula>
    </cfRule>
  </conditionalFormatting>
  <conditionalFormatting sqref="E767">
    <cfRule type="cellIs" priority="1523" operator="equal" aboveAverage="0" equalAverage="0" bottom="0" percent="0" rank="0" text="" dxfId="10">
      <formula>"Evet"</formula>
    </cfRule>
  </conditionalFormatting>
  <conditionalFormatting sqref="D768">
    <cfRule type="cellIs" priority="1524" operator="greaterThan" aboveAverage="0" equalAverage="0" bottom="0" percent="0" rank="0" text="" dxfId="8">
      <formula>0</formula>
    </cfRule>
  </conditionalFormatting>
  <conditionalFormatting sqref="E768">
    <cfRule type="cellIs" priority="1525" operator="equal" aboveAverage="0" equalAverage="0" bottom="0" percent="0" rank="0" text="" dxfId="10">
      <formula>"Evet"</formula>
    </cfRule>
  </conditionalFormatting>
  <conditionalFormatting sqref="D769">
    <cfRule type="cellIs" priority="1526" operator="greaterThan" aboveAverage="0" equalAverage="0" bottom="0" percent="0" rank="0" text="" dxfId="8">
      <formula>0</formula>
    </cfRule>
  </conditionalFormatting>
  <conditionalFormatting sqref="E769">
    <cfRule type="cellIs" priority="1527" operator="equal" aboveAverage="0" equalAverage="0" bottom="0" percent="0" rank="0" text="" dxfId="10">
      <formula>"Evet"</formula>
    </cfRule>
  </conditionalFormatting>
  <conditionalFormatting sqref="D770">
    <cfRule type="cellIs" priority="1528" operator="greaterThan" aboveAverage="0" equalAverage="0" bottom="0" percent="0" rank="0" text="" dxfId="8">
      <formula>0</formula>
    </cfRule>
  </conditionalFormatting>
  <conditionalFormatting sqref="E770">
    <cfRule type="cellIs" priority="1529" operator="equal" aboveAverage="0" equalAverage="0" bottom="0" percent="0" rank="0" text="" dxfId="10">
      <formula>"Evet"</formula>
    </cfRule>
  </conditionalFormatting>
  <conditionalFormatting sqref="D771">
    <cfRule type="cellIs" priority="1530" operator="greaterThan" aboveAverage="0" equalAverage="0" bottom="0" percent="0" rank="0" text="" dxfId="8">
      <formula>0</formula>
    </cfRule>
  </conditionalFormatting>
  <conditionalFormatting sqref="E771">
    <cfRule type="cellIs" priority="1531" operator="equal" aboveAverage="0" equalAverage="0" bottom="0" percent="0" rank="0" text="" dxfId="10">
      <formula>"Evet"</formula>
    </cfRule>
  </conditionalFormatting>
  <conditionalFormatting sqref="D772">
    <cfRule type="cellIs" priority="1532" operator="greaterThan" aboveAverage="0" equalAverage="0" bottom="0" percent="0" rank="0" text="" dxfId="8">
      <formula>0</formula>
    </cfRule>
  </conditionalFormatting>
  <conditionalFormatting sqref="E772">
    <cfRule type="cellIs" priority="1533" operator="equal" aboveAverage="0" equalAverage="0" bottom="0" percent="0" rank="0" text="" dxfId="10">
      <formula>"Evet"</formula>
    </cfRule>
  </conditionalFormatting>
  <conditionalFormatting sqref="D773">
    <cfRule type="cellIs" priority="1534" operator="greaterThan" aboveAverage="0" equalAverage="0" bottom="0" percent="0" rank="0" text="" dxfId="8">
      <formula>0</formula>
    </cfRule>
  </conditionalFormatting>
  <conditionalFormatting sqref="E773">
    <cfRule type="cellIs" priority="1535" operator="equal" aboveAverage="0" equalAverage="0" bottom="0" percent="0" rank="0" text="" dxfId="10">
      <formula>"Evet"</formula>
    </cfRule>
  </conditionalFormatting>
  <conditionalFormatting sqref="D774">
    <cfRule type="cellIs" priority="1536" operator="greaterThan" aboveAverage="0" equalAverage="0" bottom="0" percent="0" rank="0" text="" dxfId="8">
      <formula>0</formula>
    </cfRule>
  </conditionalFormatting>
  <conditionalFormatting sqref="E774">
    <cfRule type="cellIs" priority="1537" operator="equal" aboveAverage="0" equalAverage="0" bottom="0" percent="0" rank="0" text="" dxfId="10">
      <formula>"Evet"</formula>
    </cfRule>
  </conditionalFormatting>
  <conditionalFormatting sqref="D775">
    <cfRule type="cellIs" priority="1538" operator="greaterThan" aboveAverage="0" equalAverage="0" bottom="0" percent="0" rank="0" text="" dxfId="8">
      <formula>0</formula>
    </cfRule>
  </conditionalFormatting>
  <conditionalFormatting sqref="E775">
    <cfRule type="cellIs" priority="1539" operator="equal" aboveAverage="0" equalAverage="0" bottom="0" percent="0" rank="0" text="" dxfId="10">
      <formula>"Evet"</formula>
    </cfRule>
  </conditionalFormatting>
  <conditionalFormatting sqref="D776">
    <cfRule type="cellIs" priority="1540" operator="greaterThan" aboveAverage="0" equalAverage="0" bottom="0" percent="0" rank="0" text="" dxfId="8">
      <formula>0</formula>
    </cfRule>
  </conditionalFormatting>
  <conditionalFormatting sqref="E776">
    <cfRule type="cellIs" priority="1541" operator="equal" aboveAverage="0" equalAverage="0" bottom="0" percent="0" rank="0" text="" dxfId="10">
      <formula>"Evet"</formula>
    </cfRule>
  </conditionalFormatting>
  <conditionalFormatting sqref="D777">
    <cfRule type="cellIs" priority="1542" operator="greaterThan" aboveAverage="0" equalAverage="0" bottom="0" percent="0" rank="0" text="" dxfId="8">
      <formula>0</formula>
    </cfRule>
  </conditionalFormatting>
  <conditionalFormatting sqref="E777">
    <cfRule type="cellIs" priority="1543" operator="equal" aboveAverage="0" equalAverage="0" bottom="0" percent="0" rank="0" text="" dxfId="10">
      <formula>"Evet"</formula>
    </cfRule>
  </conditionalFormatting>
  <conditionalFormatting sqref="D778">
    <cfRule type="cellIs" priority="1544" operator="greaterThan" aboveAverage="0" equalAverage="0" bottom="0" percent="0" rank="0" text="" dxfId="8">
      <formula>0</formula>
    </cfRule>
  </conditionalFormatting>
  <conditionalFormatting sqref="E778">
    <cfRule type="cellIs" priority="1545" operator="equal" aboveAverage="0" equalAverage="0" bottom="0" percent="0" rank="0" text="" dxfId="10">
      <formula>"Evet"</formula>
    </cfRule>
  </conditionalFormatting>
  <conditionalFormatting sqref="D779">
    <cfRule type="cellIs" priority="1546" operator="greaterThan" aboveAverage="0" equalAverage="0" bottom="0" percent="0" rank="0" text="" dxfId="8">
      <formula>0</formula>
    </cfRule>
  </conditionalFormatting>
  <conditionalFormatting sqref="E779">
    <cfRule type="cellIs" priority="1547" operator="equal" aboveAverage="0" equalAverage="0" bottom="0" percent="0" rank="0" text="" dxfId="10">
      <formula>"Evet"</formula>
    </cfRule>
  </conditionalFormatting>
  <conditionalFormatting sqref="D780">
    <cfRule type="cellIs" priority="1548" operator="greaterThan" aboveAverage="0" equalAverage="0" bottom="0" percent="0" rank="0" text="" dxfId="8">
      <formula>0</formula>
    </cfRule>
  </conditionalFormatting>
  <conditionalFormatting sqref="E780">
    <cfRule type="cellIs" priority="1549" operator="equal" aboveAverage="0" equalAverage="0" bottom="0" percent="0" rank="0" text="" dxfId="10">
      <formula>"Evet"</formula>
    </cfRule>
  </conditionalFormatting>
  <conditionalFormatting sqref="D781">
    <cfRule type="cellIs" priority="1550" operator="greaterThan" aboveAverage="0" equalAverage="0" bottom="0" percent="0" rank="0" text="" dxfId="8">
      <formula>0</formula>
    </cfRule>
  </conditionalFormatting>
  <conditionalFormatting sqref="E781">
    <cfRule type="cellIs" priority="1551" operator="equal" aboveAverage="0" equalAverage="0" bottom="0" percent="0" rank="0" text="" dxfId="10">
      <formula>"Evet"</formula>
    </cfRule>
  </conditionalFormatting>
  <conditionalFormatting sqref="D782">
    <cfRule type="cellIs" priority="1552" operator="greaterThan" aboveAverage="0" equalAverage="0" bottom="0" percent="0" rank="0" text="" dxfId="8">
      <formula>0</formula>
    </cfRule>
  </conditionalFormatting>
  <conditionalFormatting sqref="E782">
    <cfRule type="cellIs" priority="1553" operator="equal" aboveAverage="0" equalAverage="0" bottom="0" percent="0" rank="0" text="" dxfId="10">
      <formula>"Evet"</formula>
    </cfRule>
  </conditionalFormatting>
  <conditionalFormatting sqref="D783">
    <cfRule type="cellIs" priority="1554" operator="greaterThan" aboveAverage="0" equalAverage="0" bottom="0" percent="0" rank="0" text="" dxfId="8">
      <formula>0</formula>
    </cfRule>
  </conditionalFormatting>
  <conditionalFormatting sqref="E783">
    <cfRule type="cellIs" priority="1555" operator="equal" aboveAverage="0" equalAverage="0" bottom="0" percent="0" rank="0" text="" dxfId="10">
      <formula>"Evet"</formula>
    </cfRule>
  </conditionalFormatting>
  <conditionalFormatting sqref="D784">
    <cfRule type="cellIs" priority="1556" operator="greaterThan" aboveAverage="0" equalAverage="0" bottom="0" percent="0" rank="0" text="" dxfId="8">
      <formula>0</formula>
    </cfRule>
  </conditionalFormatting>
  <conditionalFormatting sqref="E784">
    <cfRule type="cellIs" priority="1557" operator="equal" aboveAverage="0" equalAverage="0" bottom="0" percent="0" rank="0" text="" dxfId="10">
      <formula>"Evet"</formula>
    </cfRule>
  </conditionalFormatting>
  <conditionalFormatting sqref="D785">
    <cfRule type="cellIs" priority="1558" operator="greaterThan" aboveAverage="0" equalAverage="0" bottom="0" percent="0" rank="0" text="" dxfId="8">
      <formula>0</formula>
    </cfRule>
  </conditionalFormatting>
  <conditionalFormatting sqref="E785">
    <cfRule type="cellIs" priority="1559" operator="equal" aboveAverage="0" equalAverage="0" bottom="0" percent="0" rank="0" text="" dxfId="10">
      <formula>"Evet"</formula>
    </cfRule>
  </conditionalFormatting>
  <conditionalFormatting sqref="D786">
    <cfRule type="cellIs" priority="1560" operator="greaterThan" aboveAverage="0" equalAverage="0" bottom="0" percent="0" rank="0" text="" dxfId="8">
      <formula>0</formula>
    </cfRule>
  </conditionalFormatting>
  <conditionalFormatting sqref="E786">
    <cfRule type="cellIs" priority="1561" operator="equal" aboveAverage="0" equalAverage="0" bottom="0" percent="0" rank="0" text="" dxfId="10">
      <formula>"Evet"</formula>
    </cfRule>
  </conditionalFormatting>
  <conditionalFormatting sqref="D787">
    <cfRule type="cellIs" priority="1562" operator="greaterThan" aboveAverage="0" equalAverage="0" bottom="0" percent="0" rank="0" text="" dxfId="8">
      <formula>0</formula>
    </cfRule>
  </conditionalFormatting>
  <conditionalFormatting sqref="E787">
    <cfRule type="cellIs" priority="1563" operator="equal" aboveAverage="0" equalAverage="0" bottom="0" percent="0" rank="0" text="" dxfId="10">
      <formula>"Evet"</formula>
    </cfRule>
  </conditionalFormatting>
  <conditionalFormatting sqref="D788">
    <cfRule type="cellIs" priority="1564" operator="greaterThan" aboveAverage="0" equalAverage="0" bottom="0" percent="0" rank="0" text="" dxfId="8">
      <formula>0</formula>
    </cfRule>
  </conditionalFormatting>
  <conditionalFormatting sqref="E788">
    <cfRule type="cellIs" priority="1565" operator="equal" aboveAverage="0" equalAverage="0" bottom="0" percent="0" rank="0" text="" dxfId="10">
      <formula>"Evet"</formula>
    </cfRule>
  </conditionalFormatting>
  <conditionalFormatting sqref="D789">
    <cfRule type="cellIs" priority="1566" operator="greaterThan" aboveAverage="0" equalAverage="0" bottom="0" percent="0" rank="0" text="" dxfId="8">
      <formula>0</formula>
    </cfRule>
  </conditionalFormatting>
  <conditionalFormatting sqref="E789">
    <cfRule type="cellIs" priority="1567" operator="equal" aboveAverage="0" equalAverage="0" bottom="0" percent="0" rank="0" text="" dxfId="10">
      <formula>"Evet"</formula>
    </cfRule>
  </conditionalFormatting>
  <conditionalFormatting sqref="D790">
    <cfRule type="cellIs" priority="1568" operator="greaterThan" aboveAverage="0" equalAverage="0" bottom="0" percent="0" rank="0" text="" dxfId="8">
      <formula>0</formula>
    </cfRule>
  </conditionalFormatting>
  <conditionalFormatting sqref="E790">
    <cfRule type="cellIs" priority="1569" operator="equal" aboveAverage="0" equalAverage="0" bottom="0" percent="0" rank="0" text="" dxfId="10">
      <formula>"Evet"</formula>
    </cfRule>
  </conditionalFormatting>
  <conditionalFormatting sqref="D791">
    <cfRule type="cellIs" priority="1570" operator="greaterThan" aboveAverage="0" equalAverage="0" bottom="0" percent="0" rank="0" text="" dxfId="8">
      <formula>0</formula>
    </cfRule>
  </conditionalFormatting>
  <conditionalFormatting sqref="E791">
    <cfRule type="cellIs" priority="1571" operator="equal" aboveAverage="0" equalAverage="0" bottom="0" percent="0" rank="0" text="" dxfId="10">
      <formula>"Evet"</formula>
    </cfRule>
  </conditionalFormatting>
  <conditionalFormatting sqref="D792">
    <cfRule type="cellIs" priority="1572" operator="greaterThan" aboveAverage="0" equalAverage="0" bottom="0" percent="0" rank="0" text="" dxfId="8">
      <formula>0</formula>
    </cfRule>
  </conditionalFormatting>
  <conditionalFormatting sqref="E792">
    <cfRule type="cellIs" priority="1573" operator="equal" aboveAverage="0" equalAverage="0" bottom="0" percent="0" rank="0" text="" dxfId="10">
      <formula>"Evet"</formula>
    </cfRule>
  </conditionalFormatting>
  <conditionalFormatting sqref="D793">
    <cfRule type="cellIs" priority="1574" operator="greaterThan" aboveAverage="0" equalAverage="0" bottom="0" percent="0" rank="0" text="" dxfId="8">
      <formula>0</formula>
    </cfRule>
  </conditionalFormatting>
  <conditionalFormatting sqref="E793">
    <cfRule type="cellIs" priority="1575" operator="equal" aboveAverage="0" equalAverage="0" bottom="0" percent="0" rank="0" text="" dxfId="10">
      <formula>"Evet"</formula>
    </cfRule>
  </conditionalFormatting>
  <conditionalFormatting sqref="D794">
    <cfRule type="cellIs" priority="1576" operator="greaterThan" aboveAverage="0" equalAverage="0" bottom="0" percent="0" rank="0" text="" dxfId="8">
      <formula>0</formula>
    </cfRule>
  </conditionalFormatting>
  <conditionalFormatting sqref="E794">
    <cfRule type="cellIs" priority="1577" operator="equal" aboveAverage="0" equalAverage="0" bottom="0" percent="0" rank="0" text="" dxfId="10">
      <formula>"Evet"</formula>
    </cfRule>
  </conditionalFormatting>
  <conditionalFormatting sqref="D795">
    <cfRule type="cellIs" priority="1578" operator="greaterThan" aboveAverage="0" equalAverage="0" bottom="0" percent="0" rank="0" text="" dxfId="8">
      <formula>0</formula>
    </cfRule>
  </conditionalFormatting>
  <conditionalFormatting sqref="E795">
    <cfRule type="cellIs" priority="1579" operator="equal" aboveAverage="0" equalAverage="0" bottom="0" percent="0" rank="0" text="" dxfId="10">
      <formula>"Evet"</formula>
    </cfRule>
  </conditionalFormatting>
  <conditionalFormatting sqref="D796">
    <cfRule type="cellIs" priority="1580" operator="greaterThan" aboveAverage="0" equalAverage="0" bottom="0" percent="0" rank="0" text="" dxfId="8">
      <formula>0</formula>
    </cfRule>
  </conditionalFormatting>
  <conditionalFormatting sqref="E796">
    <cfRule type="cellIs" priority="1581" operator="equal" aboveAverage="0" equalAverage="0" bottom="0" percent="0" rank="0" text="" dxfId="10">
      <formula>"Evet"</formula>
    </cfRule>
  </conditionalFormatting>
  <conditionalFormatting sqref="D797">
    <cfRule type="cellIs" priority="1582" operator="greaterThan" aboveAverage="0" equalAverage="0" bottom="0" percent="0" rank="0" text="" dxfId="8">
      <formula>0</formula>
    </cfRule>
  </conditionalFormatting>
  <conditionalFormatting sqref="E797">
    <cfRule type="cellIs" priority="1583" operator="equal" aboveAverage="0" equalAverage="0" bottom="0" percent="0" rank="0" text="" dxfId="10">
      <formula>"Evet"</formula>
    </cfRule>
  </conditionalFormatting>
  <conditionalFormatting sqref="D798">
    <cfRule type="cellIs" priority="1584" operator="greaterThan" aboveAverage="0" equalAverage="0" bottom="0" percent="0" rank="0" text="" dxfId="8">
      <formula>0</formula>
    </cfRule>
  </conditionalFormatting>
  <conditionalFormatting sqref="E798">
    <cfRule type="cellIs" priority="1585" operator="equal" aboveAverage="0" equalAverage="0" bottom="0" percent="0" rank="0" text="" dxfId="10">
      <formula>"Evet"</formula>
    </cfRule>
  </conditionalFormatting>
  <conditionalFormatting sqref="D799">
    <cfRule type="cellIs" priority="1586" operator="greaterThan" aboveAverage="0" equalAverage="0" bottom="0" percent="0" rank="0" text="" dxfId="8">
      <formula>0</formula>
    </cfRule>
  </conditionalFormatting>
  <conditionalFormatting sqref="E799">
    <cfRule type="cellIs" priority="1587" operator="equal" aboveAverage="0" equalAverage="0" bottom="0" percent="0" rank="0" text="" dxfId="10">
      <formula>"Evet"</formula>
    </cfRule>
  </conditionalFormatting>
  <conditionalFormatting sqref="D800">
    <cfRule type="cellIs" priority="1588" operator="greaterThan" aboveAverage="0" equalAverage="0" bottom="0" percent="0" rank="0" text="" dxfId="8">
      <formula>0</formula>
    </cfRule>
  </conditionalFormatting>
  <conditionalFormatting sqref="E800">
    <cfRule type="cellIs" priority="1589" operator="equal" aboveAverage="0" equalAverage="0" bottom="0" percent="0" rank="0" text="" dxfId="10">
      <formula>"Evet"</formula>
    </cfRule>
  </conditionalFormatting>
  <conditionalFormatting sqref="D801">
    <cfRule type="cellIs" priority="1590" operator="greaterThan" aboveAverage="0" equalAverage="0" bottom="0" percent="0" rank="0" text="" dxfId="8">
      <formula>0</formula>
    </cfRule>
  </conditionalFormatting>
  <conditionalFormatting sqref="E801">
    <cfRule type="cellIs" priority="1591" operator="equal" aboveAverage="0" equalAverage="0" bottom="0" percent="0" rank="0" text="" dxfId="10">
      <formula>"Evet"</formula>
    </cfRule>
  </conditionalFormatting>
  <conditionalFormatting sqref="D802">
    <cfRule type="cellIs" priority="1592" operator="greaterThan" aboveAverage="0" equalAverage="0" bottom="0" percent="0" rank="0" text="" dxfId="8">
      <formula>0</formula>
    </cfRule>
  </conditionalFormatting>
  <conditionalFormatting sqref="E802">
    <cfRule type="cellIs" priority="1593" operator="equal" aboveAverage="0" equalAverage="0" bottom="0" percent="0" rank="0" text="" dxfId="10">
      <formula>"Evet"</formula>
    </cfRule>
  </conditionalFormatting>
  <conditionalFormatting sqref="D803">
    <cfRule type="cellIs" priority="1594" operator="greaterThan" aboveAverage="0" equalAverage="0" bottom="0" percent="0" rank="0" text="" dxfId="8">
      <formula>0</formula>
    </cfRule>
  </conditionalFormatting>
  <conditionalFormatting sqref="E803">
    <cfRule type="cellIs" priority="1595" operator="equal" aboveAverage="0" equalAverage="0" bottom="0" percent="0" rank="0" text="" dxfId="10">
      <formula>"Evet"</formula>
    </cfRule>
  </conditionalFormatting>
  <conditionalFormatting sqref="D804">
    <cfRule type="cellIs" priority="1596" operator="greaterThan" aboveAverage="0" equalAverage="0" bottom="0" percent="0" rank="0" text="" dxfId="8">
      <formula>0</formula>
    </cfRule>
  </conditionalFormatting>
  <conditionalFormatting sqref="E804">
    <cfRule type="cellIs" priority="1597" operator="equal" aboveAverage="0" equalAverage="0" bottom="0" percent="0" rank="0" text="" dxfId="10">
      <formula>"Evet"</formula>
    </cfRule>
  </conditionalFormatting>
  <conditionalFormatting sqref="D805">
    <cfRule type="cellIs" priority="1598" operator="greaterThan" aboveAverage="0" equalAverage="0" bottom="0" percent="0" rank="0" text="" dxfId="8">
      <formula>0</formula>
    </cfRule>
  </conditionalFormatting>
  <conditionalFormatting sqref="E805">
    <cfRule type="cellIs" priority="1599" operator="equal" aboveAverage="0" equalAverage="0" bottom="0" percent="0" rank="0" text="" dxfId="10">
      <formula>"Evet"</formula>
    </cfRule>
  </conditionalFormatting>
  <conditionalFormatting sqref="D806">
    <cfRule type="cellIs" priority="1600" operator="greaterThan" aboveAverage="0" equalAverage="0" bottom="0" percent="0" rank="0" text="" dxfId="8">
      <formula>0</formula>
    </cfRule>
  </conditionalFormatting>
  <conditionalFormatting sqref="E806">
    <cfRule type="cellIs" priority="1601" operator="equal" aboveAverage="0" equalAverage="0" bottom="0" percent="0" rank="0" text="" dxfId="10">
      <formula>"Evet"</formula>
    </cfRule>
  </conditionalFormatting>
  <conditionalFormatting sqref="D807">
    <cfRule type="cellIs" priority="1602" operator="greaterThan" aboveAverage="0" equalAverage="0" bottom="0" percent="0" rank="0" text="" dxfId="8">
      <formula>0</formula>
    </cfRule>
  </conditionalFormatting>
  <conditionalFormatting sqref="E807">
    <cfRule type="cellIs" priority="1603" operator="equal" aboveAverage="0" equalAverage="0" bottom="0" percent="0" rank="0" text="" dxfId="10">
      <formula>"Evet"</formula>
    </cfRule>
  </conditionalFormatting>
  <conditionalFormatting sqref="D808">
    <cfRule type="cellIs" priority="1604" operator="greaterThan" aboveAverage="0" equalAverage="0" bottom="0" percent="0" rank="0" text="" dxfId="8">
      <formula>0</formula>
    </cfRule>
  </conditionalFormatting>
  <conditionalFormatting sqref="E808">
    <cfRule type="cellIs" priority="1605" operator="equal" aboveAverage="0" equalAverage="0" bottom="0" percent="0" rank="0" text="" dxfId="10">
      <formula>"Evet"</formula>
    </cfRule>
  </conditionalFormatting>
  <conditionalFormatting sqref="D809">
    <cfRule type="cellIs" priority="1606" operator="greaterThan" aboveAverage="0" equalAverage="0" bottom="0" percent="0" rank="0" text="" dxfId="8">
      <formula>0</formula>
    </cfRule>
  </conditionalFormatting>
  <conditionalFormatting sqref="E809">
    <cfRule type="cellIs" priority="1607" operator="equal" aboveAverage="0" equalAverage="0" bottom="0" percent="0" rank="0" text="" dxfId="10">
      <formula>"Evet"</formula>
    </cfRule>
  </conditionalFormatting>
  <conditionalFormatting sqref="D810">
    <cfRule type="cellIs" priority="1608" operator="greaterThan" aboveAverage="0" equalAverage="0" bottom="0" percent="0" rank="0" text="" dxfId="8">
      <formula>0</formula>
    </cfRule>
  </conditionalFormatting>
  <conditionalFormatting sqref="E810">
    <cfRule type="cellIs" priority="1609" operator="equal" aboveAverage="0" equalAverage="0" bottom="0" percent="0" rank="0" text="" dxfId="10">
      <formula>"Evet"</formula>
    </cfRule>
  </conditionalFormatting>
  <conditionalFormatting sqref="D811">
    <cfRule type="cellIs" priority="1610" operator="greaterThan" aboveAverage="0" equalAverage="0" bottom="0" percent="0" rank="0" text="" dxfId="8">
      <formula>0</formula>
    </cfRule>
  </conditionalFormatting>
  <conditionalFormatting sqref="E811">
    <cfRule type="cellIs" priority="1611" operator="equal" aboveAverage="0" equalAverage="0" bottom="0" percent="0" rank="0" text="" dxfId="10">
      <formula>"Evet"</formula>
    </cfRule>
  </conditionalFormatting>
  <conditionalFormatting sqref="D812">
    <cfRule type="cellIs" priority="1612" operator="greaterThan" aboveAverage="0" equalAverage="0" bottom="0" percent="0" rank="0" text="" dxfId="8">
      <formula>0</formula>
    </cfRule>
  </conditionalFormatting>
  <conditionalFormatting sqref="E812">
    <cfRule type="cellIs" priority="1613" operator="equal" aboveAverage="0" equalAverage="0" bottom="0" percent="0" rank="0" text="" dxfId="10">
      <formula>"Evet"</formula>
    </cfRule>
  </conditionalFormatting>
  <conditionalFormatting sqref="D813">
    <cfRule type="cellIs" priority="1614" operator="greaterThan" aboveAverage="0" equalAverage="0" bottom="0" percent="0" rank="0" text="" dxfId="8">
      <formula>0</formula>
    </cfRule>
  </conditionalFormatting>
  <conditionalFormatting sqref="E813">
    <cfRule type="cellIs" priority="1615" operator="equal" aboveAverage="0" equalAverage="0" bottom="0" percent="0" rank="0" text="" dxfId="10">
      <formula>"Evet"</formula>
    </cfRule>
  </conditionalFormatting>
  <conditionalFormatting sqref="D814">
    <cfRule type="cellIs" priority="1616" operator="greaterThan" aboveAverage="0" equalAverage="0" bottom="0" percent="0" rank="0" text="" dxfId="8">
      <formula>0</formula>
    </cfRule>
  </conditionalFormatting>
  <conditionalFormatting sqref="E814">
    <cfRule type="cellIs" priority="1617" operator="equal" aboveAverage="0" equalAverage="0" bottom="0" percent="0" rank="0" text="" dxfId="10">
      <formula>"Evet"</formula>
    </cfRule>
  </conditionalFormatting>
  <conditionalFormatting sqref="D815">
    <cfRule type="cellIs" priority="1618" operator="greaterThan" aboveAverage="0" equalAverage="0" bottom="0" percent="0" rank="0" text="" dxfId="8">
      <formula>0</formula>
    </cfRule>
  </conditionalFormatting>
  <conditionalFormatting sqref="E815">
    <cfRule type="cellIs" priority="1619" operator="equal" aboveAverage="0" equalAverage="0" bottom="0" percent="0" rank="0" text="" dxfId="10">
      <formula>"Evet"</formula>
    </cfRule>
  </conditionalFormatting>
  <conditionalFormatting sqref="D816">
    <cfRule type="cellIs" priority="1620" operator="greaterThan" aboveAverage="0" equalAverage="0" bottom="0" percent="0" rank="0" text="" dxfId="8">
      <formula>0</formula>
    </cfRule>
  </conditionalFormatting>
  <conditionalFormatting sqref="E816">
    <cfRule type="cellIs" priority="1621" operator="equal" aboveAverage="0" equalAverage="0" bottom="0" percent="0" rank="0" text="" dxfId="10">
      <formula>"Evet"</formula>
    </cfRule>
  </conditionalFormatting>
  <conditionalFormatting sqref="D817">
    <cfRule type="cellIs" priority="1622" operator="greaterThan" aboveAverage="0" equalAverage="0" bottom="0" percent="0" rank="0" text="" dxfId="8">
      <formula>0</formula>
    </cfRule>
  </conditionalFormatting>
  <conditionalFormatting sqref="E817">
    <cfRule type="cellIs" priority="1623" operator="equal" aboveAverage="0" equalAverage="0" bottom="0" percent="0" rank="0" text="" dxfId="10">
      <formula>"Evet"</formula>
    </cfRule>
  </conditionalFormatting>
  <conditionalFormatting sqref="D818">
    <cfRule type="cellIs" priority="1624" operator="greaterThan" aboveAverage="0" equalAverage="0" bottom="0" percent="0" rank="0" text="" dxfId="8">
      <formula>0</formula>
    </cfRule>
  </conditionalFormatting>
  <conditionalFormatting sqref="E818">
    <cfRule type="cellIs" priority="1625" operator="equal" aboveAverage="0" equalAverage="0" bottom="0" percent="0" rank="0" text="" dxfId="10">
      <formula>"Evet"</formula>
    </cfRule>
  </conditionalFormatting>
  <conditionalFormatting sqref="D819">
    <cfRule type="cellIs" priority="1626" operator="greaterThan" aboveAverage="0" equalAverage="0" bottom="0" percent="0" rank="0" text="" dxfId="8">
      <formula>0</formula>
    </cfRule>
  </conditionalFormatting>
  <conditionalFormatting sqref="E819">
    <cfRule type="cellIs" priority="1627" operator="equal" aboveAverage="0" equalAverage="0" bottom="0" percent="0" rank="0" text="" dxfId="10">
      <formula>"Evet"</formula>
    </cfRule>
  </conditionalFormatting>
  <conditionalFormatting sqref="D820">
    <cfRule type="cellIs" priority="1628" operator="greaterThan" aboveAverage="0" equalAverage="0" bottom="0" percent="0" rank="0" text="" dxfId="8">
      <formula>0</formula>
    </cfRule>
  </conditionalFormatting>
  <conditionalFormatting sqref="E820">
    <cfRule type="cellIs" priority="1629" operator="equal" aboveAverage="0" equalAverage="0" bottom="0" percent="0" rank="0" text="" dxfId="10">
      <formula>"Evet"</formula>
    </cfRule>
  </conditionalFormatting>
  <conditionalFormatting sqref="D821">
    <cfRule type="cellIs" priority="1630" operator="greaterThan" aboveAverage="0" equalAverage="0" bottom="0" percent="0" rank="0" text="" dxfId="8">
      <formula>0</formula>
    </cfRule>
  </conditionalFormatting>
  <conditionalFormatting sqref="E821">
    <cfRule type="cellIs" priority="1631" operator="equal" aboveAverage="0" equalAverage="0" bottom="0" percent="0" rank="0" text="" dxfId="10">
      <formula>"Evet"</formula>
    </cfRule>
  </conditionalFormatting>
  <conditionalFormatting sqref="D822">
    <cfRule type="cellIs" priority="1632" operator="greaterThan" aboveAverage="0" equalAverage="0" bottom="0" percent="0" rank="0" text="" dxfId="8">
      <formula>0</formula>
    </cfRule>
  </conditionalFormatting>
  <conditionalFormatting sqref="E822">
    <cfRule type="cellIs" priority="1633" operator="equal" aboveAverage="0" equalAverage="0" bottom="0" percent="0" rank="0" text="" dxfId="10">
      <formula>"Evet"</formula>
    </cfRule>
  </conditionalFormatting>
  <conditionalFormatting sqref="D823">
    <cfRule type="cellIs" priority="1634" operator="greaterThan" aboveAverage="0" equalAverage="0" bottom="0" percent="0" rank="0" text="" dxfId="8">
      <formula>0</formula>
    </cfRule>
  </conditionalFormatting>
  <conditionalFormatting sqref="E823">
    <cfRule type="cellIs" priority="1635" operator="equal" aboveAverage="0" equalAverage="0" bottom="0" percent="0" rank="0" text="" dxfId="10">
      <formula>"Evet"</formula>
    </cfRule>
  </conditionalFormatting>
  <conditionalFormatting sqref="D824">
    <cfRule type="cellIs" priority="1636" operator="greaterThan" aboveAverage="0" equalAverage="0" bottom="0" percent="0" rank="0" text="" dxfId="8">
      <formula>0</formula>
    </cfRule>
  </conditionalFormatting>
  <conditionalFormatting sqref="E824">
    <cfRule type="cellIs" priority="1637" operator="equal" aboveAverage="0" equalAverage="0" bottom="0" percent="0" rank="0" text="" dxfId="10">
      <formula>"Evet"</formula>
    </cfRule>
  </conditionalFormatting>
  <conditionalFormatting sqref="D825">
    <cfRule type="cellIs" priority="1638" operator="greaterThan" aboveAverage="0" equalAverage="0" bottom="0" percent="0" rank="0" text="" dxfId="8">
      <formula>0</formula>
    </cfRule>
  </conditionalFormatting>
  <conditionalFormatting sqref="E825">
    <cfRule type="cellIs" priority="1639" operator="equal" aboveAverage="0" equalAverage="0" bottom="0" percent="0" rank="0" text="" dxfId="10">
      <formula>"Evet"</formula>
    </cfRule>
  </conditionalFormatting>
  <conditionalFormatting sqref="D826">
    <cfRule type="cellIs" priority="1640" operator="greaterThan" aboveAverage="0" equalAverage="0" bottom="0" percent="0" rank="0" text="" dxfId="8">
      <formula>0</formula>
    </cfRule>
  </conditionalFormatting>
  <conditionalFormatting sqref="E826">
    <cfRule type="cellIs" priority="1641" operator="equal" aboveAverage="0" equalAverage="0" bottom="0" percent="0" rank="0" text="" dxfId="10">
      <formula>"Evet"</formula>
    </cfRule>
  </conditionalFormatting>
  <conditionalFormatting sqref="D827">
    <cfRule type="cellIs" priority="1642" operator="greaterThan" aboveAverage="0" equalAverage="0" bottom="0" percent="0" rank="0" text="" dxfId="8">
      <formula>0</formula>
    </cfRule>
  </conditionalFormatting>
  <conditionalFormatting sqref="E827">
    <cfRule type="cellIs" priority="1643" operator="equal" aboveAverage="0" equalAverage="0" bottom="0" percent="0" rank="0" text="" dxfId="10">
      <formula>"Evet"</formula>
    </cfRule>
  </conditionalFormatting>
  <conditionalFormatting sqref="D828">
    <cfRule type="cellIs" priority="1644" operator="greaterThan" aboveAverage="0" equalAverage="0" bottom="0" percent="0" rank="0" text="" dxfId="8">
      <formula>0</formula>
    </cfRule>
  </conditionalFormatting>
  <conditionalFormatting sqref="E828">
    <cfRule type="cellIs" priority="1645" operator="equal" aboveAverage="0" equalAverage="0" bottom="0" percent="0" rank="0" text="" dxfId="10">
      <formula>"Evet"</formula>
    </cfRule>
  </conditionalFormatting>
  <conditionalFormatting sqref="D829">
    <cfRule type="cellIs" priority="1646" operator="greaterThan" aboveAverage="0" equalAverage="0" bottom="0" percent="0" rank="0" text="" dxfId="8">
      <formula>0</formula>
    </cfRule>
  </conditionalFormatting>
  <conditionalFormatting sqref="E829">
    <cfRule type="cellIs" priority="1647" operator="equal" aboveAverage="0" equalAverage="0" bottom="0" percent="0" rank="0" text="" dxfId="10">
      <formula>"Evet"</formula>
    </cfRule>
  </conditionalFormatting>
  <conditionalFormatting sqref="D830">
    <cfRule type="cellIs" priority="1648" operator="greaterThan" aboveAverage="0" equalAverage="0" bottom="0" percent="0" rank="0" text="" dxfId="8">
      <formula>0</formula>
    </cfRule>
  </conditionalFormatting>
  <conditionalFormatting sqref="E830">
    <cfRule type="cellIs" priority="1649" operator="equal" aboveAverage="0" equalAverage="0" bottom="0" percent="0" rank="0" text="" dxfId="10">
      <formula>"Evet"</formula>
    </cfRule>
  </conditionalFormatting>
  <conditionalFormatting sqref="D831">
    <cfRule type="cellIs" priority="1650" operator="greaterThan" aboveAverage="0" equalAverage="0" bottom="0" percent="0" rank="0" text="" dxfId="8">
      <formula>0</formula>
    </cfRule>
  </conditionalFormatting>
  <conditionalFormatting sqref="E831">
    <cfRule type="cellIs" priority="1651" operator="equal" aboveAverage="0" equalAverage="0" bottom="0" percent="0" rank="0" text="" dxfId="10">
      <formula>"Evet"</formula>
    </cfRule>
  </conditionalFormatting>
  <conditionalFormatting sqref="D832">
    <cfRule type="cellIs" priority="1652" operator="greaterThan" aboveAverage="0" equalAverage="0" bottom="0" percent="0" rank="0" text="" dxfId="8">
      <formula>0</formula>
    </cfRule>
  </conditionalFormatting>
  <conditionalFormatting sqref="E832">
    <cfRule type="cellIs" priority="1653" operator="equal" aboveAverage="0" equalAverage="0" bottom="0" percent="0" rank="0" text="" dxfId="10">
      <formula>"Evet"</formula>
    </cfRule>
  </conditionalFormatting>
  <conditionalFormatting sqref="D833">
    <cfRule type="cellIs" priority="1654" operator="greaterThan" aboveAverage="0" equalAverage="0" bottom="0" percent="0" rank="0" text="" dxfId="8">
      <formula>0</formula>
    </cfRule>
  </conditionalFormatting>
  <conditionalFormatting sqref="E833">
    <cfRule type="cellIs" priority="1655" operator="equal" aboveAverage="0" equalAverage="0" bottom="0" percent="0" rank="0" text="" dxfId="10">
      <formula>"Evet"</formula>
    </cfRule>
  </conditionalFormatting>
  <conditionalFormatting sqref="D834">
    <cfRule type="cellIs" priority="1656" operator="greaterThan" aboveAverage="0" equalAverage="0" bottom="0" percent="0" rank="0" text="" dxfId="8">
      <formula>0</formula>
    </cfRule>
  </conditionalFormatting>
  <conditionalFormatting sqref="E834">
    <cfRule type="cellIs" priority="1657" operator="equal" aboveAverage="0" equalAverage="0" bottom="0" percent="0" rank="0" text="" dxfId="10">
      <formula>"Evet"</formula>
    </cfRule>
  </conditionalFormatting>
  <conditionalFormatting sqref="D835">
    <cfRule type="cellIs" priority="1658" operator="greaterThan" aboveAverage="0" equalAverage="0" bottom="0" percent="0" rank="0" text="" dxfId="8">
      <formula>0</formula>
    </cfRule>
  </conditionalFormatting>
  <conditionalFormatting sqref="E835">
    <cfRule type="cellIs" priority="1659" operator="equal" aboveAverage="0" equalAverage="0" bottom="0" percent="0" rank="0" text="" dxfId="10">
      <formula>"Evet"</formula>
    </cfRule>
  </conditionalFormatting>
  <conditionalFormatting sqref="D836">
    <cfRule type="cellIs" priority="1660" operator="greaterThan" aboveAverage="0" equalAverage="0" bottom="0" percent="0" rank="0" text="" dxfId="8">
      <formula>0</formula>
    </cfRule>
  </conditionalFormatting>
  <conditionalFormatting sqref="E836">
    <cfRule type="cellIs" priority="1661" operator="equal" aboveAverage="0" equalAverage="0" bottom="0" percent="0" rank="0" text="" dxfId="10">
      <formula>"Evet"</formula>
    </cfRule>
  </conditionalFormatting>
  <conditionalFormatting sqref="D837">
    <cfRule type="cellIs" priority="1662" operator="greaterThan" aboveAverage="0" equalAverage="0" bottom="0" percent="0" rank="0" text="" dxfId="8">
      <formula>0</formula>
    </cfRule>
  </conditionalFormatting>
  <conditionalFormatting sqref="E837">
    <cfRule type="cellIs" priority="1663" operator="equal" aboveAverage="0" equalAverage="0" bottom="0" percent="0" rank="0" text="" dxfId="10">
      <formula>"Evet"</formula>
    </cfRule>
  </conditionalFormatting>
  <conditionalFormatting sqref="D838">
    <cfRule type="cellIs" priority="1664" operator="greaterThan" aboveAverage="0" equalAverage="0" bottom="0" percent="0" rank="0" text="" dxfId="8">
      <formula>0</formula>
    </cfRule>
  </conditionalFormatting>
  <conditionalFormatting sqref="E838">
    <cfRule type="cellIs" priority="1665" operator="equal" aboveAverage="0" equalAverage="0" bottom="0" percent="0" rank="0" text="" dxfId="10">
      <formula>"Evet"</formula>
    </cfRule>
  </conditionalFormatting>
  <conditionalFormatting sqref="D839">
    <cfRule type="cellIs" priority="1666" operator="greaterThan" aboveAverage="0" equalAverage="0" bottom="0" percent="0" rank="0" text="" dxfId="8">
      <formula>0</formula>
    </cfRule>
  </conditionalFormatting>
  <conditionalFormatting sqref="E839">
    <cfRule type="cellIs" priority="1667" operator="equal" aboveAverage="0" equalAverage="0" bottom="0" percent="0" rank="0" text="" dxfId="10">
      <formula>"Evet"</formula>
    </cfRule>
  </conditionalFormatting>
  <conditionalFormatting sqref="D840">
    <cfRule type="cellIs" priority="1668" operator="greaterThan" aboveAverage="0" equalAverage="0" bottom="0" percent="0" rank="0" text="" dxfId="8">
      <formula>0</formula>
    </cfRule>
  </conditionalFormatting>
  <conditionalFormatting sqref="E840">
    <cfRule type="cellIs" priority="1669" operator="equal" aboveAverage="0" equalAverage="0" bottom="0" percent="0" rank="0" text="" dxfId="10">
      <formula>"Evet"</formula>
    </cfRule>
  </conditionalFormatting>
  <conditionalFormatting sqref="D841">
    <cfRule type="cellIs" priority="1670" operator="greaterThan" aboveAverage="0" equalAverage="0" bottom="0" percent="0" rank="0" text="" dxfId="8">
      <formula>0</formula>
    </cfRule>
  </conditionalFormatting>
  <conditionalFormatting sqref="E841">
    <cfRule type="cellIs" priority="1671" operator="equal" aboveAverage="0" equalAverage="0" bottom="0" percent="0" rank="0" text="" dxfId="10">
      <formula>"Evet"</formula>
    </cfRule>
  </conditionalFormatting>
  <conditionalFormatting sqref="D842">
    <cfRule type="cellIs" priority="1672" operator="greaterThan" aboveAverage="0" equalAverage="0" bottom="0" percent="0" rank="0" text="" dxfId="8">
      <formula>0</formula>
    </cfRule>
  </conditionalFormatting>
  <conditionalFormatting sqref="E842">
    <cfRule type="cellIs" priority="1673" operator="equal" aboveAverage="0" equalAverage="0" bottom="0" percent="0" rank="0" text="" dxfId="10">
      <formula>"Evet"</formula>
    </cfRule>
  </conditionalFormatting>
  <conditionalFormatting sqref="D843">
    <cfRule type="cellIs" priority="1674" operator="greaterThan" aboveAverage="0" equalAverage="0" bottom="0" percent="0" rank="0" text="" dxfId="8">
      <formula>0</formula>
    </cfRule>
  </conditionalFormatting>
  <conditionalFormatting sqref="E843">
    <cfRule type="cellIs" priority="1675" operator="equal" aboveAverage="0" equalAverage="0" bottom="0" percent="0" rank="0" text="" dxfId="10">
      <formula>"Evet"</formula>
    </cfRule>
  </conditionalFormatting>
  <conditionalFormatting sqref="D844">
    <cfRule type="cellIs" priority="1676" operator="greaterThan" aboveAverage="0" equalAverage="0" bottom="0" percent="0" rank="0" text="" dxfId="8">
      <formula>0</formula>
    </cfRule>
  </conditionalFormatting>
  <conditionalFormatting sqref="E844">
    <cfRule type="cellIs" priority="1677" operator="equal" aboveAverage="0" equalAverage="0" bottom="0" percent="0" rank="0" text="" dxfId="10">
      <formula>"Evet"</formula>
    </cfRule>
  </conditionalFormatting>
  <conditionalFormatting sqref="D845">
    <cfRule type="cellIs" priority="1678" operator="greaterThan" aboveAverage="0" equalAverage="0" bottom="0" percent="0" rank="0" text="" dxfId="8">
      <formula>0</formula>
    </cfRule>
  </conditionalFormatting>
  <conditionalFormatting sqref="E845">
    <cfRule type="cellIs" priority="1679" operator="equal" aboveAverage="0" equalAverage="0" bottom="0" percent="0" rank="0" text="" dxfId="10">
      <formula>"Evet"</formula>
    </cfRule>
  </conditionalFormatting>
  <conditionalFormatting sqref="D846">
    <cfRule type="cellIs" priority="1680" operator="greaterThan" aboveAverage="0" equalAverage="0" bottom="0" percent="0" rank="0" text="" dxfId="8">
      <formula>0</formula>
    </cfRule>
  </conditionalFormatting>
  <conditionalFormatting sqref="E846">
    <cfRule type="cellIs" priority="1681" operator="equal" aboveAverage="0" equalAverage="0" bottom="0" percent="0" rank="0" text="" dxfId="10">
      <formula>"Evet"</formula>
    </cfRule>
  </conditionalFormatting>
  <conditionalFormatting sqref="D847">
    <cfRule type="cellIs" priority="1682" operator="greaterThan" aboveAverage="0" equalAverage="0" bottom="0" percent="0" rank="0" text="" dxfId="8">
      <formula>0</formula>
    </cfRule>
  </conditionalFormatting>
  <conditionalFormatting sqref="E847">
    <cfRule type="cellIs" priority="1683" operator="equal" aboveAverage="0" equalAverage="0" bottom="0" percent="0" rank="0" text="" dxfId="10">
      <formula>"Evet"</formula>
    </cfRule>
  </conditionalFormatting>
  <conditionalFormatting sqref="D848">
    <cfRule type="cellIs" priority="1684" operator="greaterThan" aboveAverage="0" equalAverage="0" bottom="0" percent="0" rank="0" text="" dxfId="8">
      <formula>0</formula>
    </cfRule>
  </conditionalFormatting>
  <conditionalFormatting sqref="E848">
    <cfRule type="cellIs" priority="1685" operator="equal" aboveAverage="0" equalAverage="0" bottom="0" percent="0" rank="0" text="" dxfId="10">
      <formula>"Evet"</formula>
    </cfRule>
  </conditionalFormatting>
  <conditionalFormatting sqref="D849">
    <cfRule type="cellIs" priority="1686" operator="greaterThan" aboveAverage="0" equalAverage="0" bottom="0" percent="0" rank="0" text="" dxfId="8">
      <formula>0</formula>
    </cfRule>
  </conditionalFormatting>
  <conditionalFormatting sqref="E849">
    <cfRule type="cellIs" priority="1687" operator="equal" aboveAverage="0" equalAverage="0" bottom="0" percent="0" rank="0" text="" dxfId="10">
      <formula>"Evet"</formula>
    </cfRule>
  </conditionalFormatting>
  <conditionalFormatting sqref="D850">
    <cfRule type="cellIs" priority="1688" operator="greaterThan" aboveAverage="0" equalAverage="0" bottom="0" percent="0" rank="0" text="" dxfId="8">
      <formula>0</formula>
    </cfRule>
  </conditionalFormatting>
  <conditionalFormatting sqref="E850">
    <cfRule type="cellIs" priority="1689" operator="equal" aboveAverage="0" equalAverage="0" bottom="0" percent="0" rank="0" text="" dxfId="10">
      <formula>"Evet"</formula>
    </cfRule>
  </conditionalFormatting>
  <conditionalFormatting sqref="D851">
    <cfRule type="cellIs" priority="1690" operator="greaterThan" aboveAverage="0" equalAverage="0" bottom="0" percent="0" rank="0" text="" dxfId="8">
      <formula>0</formula>
    </cfRule>
  </conditionalFormatting>
  <conditionalFormatting sqref="E851">
    <cfRule type="cellIs" priority="1691" operator="equal" aboveAverage="0" equalAverage="0" bottom="0" percent="0" rank="0" text="" dxfId="10">
      <formula>"Evet"</formula>
    </cfRule>
  </conditionalFormatting>
  <conditionalFormatting sqref="D852">
    <cfRule type="cellIs" priority="1692" operator="greaterThan" aboveAverage="0" equalAverage="0" bottom="0" percent="0" rank="0" text="" dxfId="8">
      <formula>0</formula>
    </cfRule>
  </conditionalFormatting>
  <conditionalFormatting sqref="E852">
    <cfRule type="cellIs" priority="1693" operator="equal" aboveAverage="0" equalAverage="0" bottom="0" percent="0" rank="0" text="" dxfId="10">
      <formula>"Evet"</formula>
    </cfRule>
  </conditionalFormatting>
  <conditionalFormatting sqref="D853">
    <cfRule type="cellIs" priority="1694" operator="greaterThan" aboveAverage="0" equalAverage="0" bottom="0" percent="0" rank="0" text="" dxfId="8">
      <formula>0</formula>
    </cfRule>
  </conditionalFormatting>
  <conditionalFormatting sqref="E853">
    <cfRule type="cellIs" priority="1695" operator="equal" aboveAverage="0" equalAverage="0" bottom="0" percent="0" rank="0" text="" dxfId="10">
      <formula>"Evet"</formula>
    </cfRule>
  </conditionalFormatting>
  <conditionalFormatting sqref="D854">
    <cfRule type="cellIs" priority="1696" operator="greaterThan" aboveAverage="0" equalAverage="0" bottom="0" percent="0" rank="0" text="" dxfId="8">
      <formula>0</formula>
    </cfRule>
  </conditionalFormatting>
  <conditionalFormatting sqref="E854">
    <cfRule type="cellIs" priority="1697" operator="equal" aboveAverage="0" equalAverage="0" bottom="0" percent="0" rank="0" text="" dxfId="10">
      <formula>"Evet"</formula>
    </cfRule>
  </conditionalFormatting>
  <conditionalFormatting sqref="D855">
    <cfRule type="cellIs" priority="1698" operator="greaterThan" aboveAverage="0" equalAverage="0" bottom="0" percent="0" rank="0" text="" dxfId="8">
      <formula>0</formula>
    </cfRule>
  </conditionalFormatting>
  <conditionalFormatting sqref="E855">
    <cfRule type="cellIs" priority="1699" operator="equal" aboveAverage="0" equalAverage="0" bottom="0" percent="0" rank="0" text="" dxfId="10">
      <formula>"Evet"</formula>
    </cfRule>
  </conditionalFormatting>
  <conditionalFormatting sqref="D856">
    <cfRule type="cellIs" priority="1700" operator="greaterThan" aboveAverage="0" equalAverage="0" bottom="0" percent="0" rank="0" text="" dxfId="8">
      <formula>0</formula>
    </cfRule>
  </conditionalFormatting>
  <conditionalFormatting sqref="E856">
    <cfRule type="cellIs" priority="1701" operator="equal" aboveAverage="0" equalAverage="0" bottom="0" percent="0" rank="0" text="" dxfId="10">
      <formula>"Evet"</formula>
    </cfRule>
  </conditionalFormatting>
  <conditionalFormatting sqref="D857">
    <cfRule type="cellIs" priority="1702" operator="greaterThan" aboveAverage="0" equalAverage="0" bottom="0" percent="0" rank="0" text="" dxfId="8">
      <formula>0</formula>
    </cfRule>
  </conditionalFormatting>
  <conditionalFormatting sqref="E857">
    <cfRule type="cellIs" priority="1703" operator="equal" aboveAverage="0" equalAverage="0" bottom="0" percent="0" rank="0" text="" dxfId="10">
      <formula>"Evet"</formula>
    </cfRule>
  </conditionalFormatting>
  <conditionalFormatting sqref="D858">
    <cfRule type="cellIs" priority="1704" operator="greaterThan" aboveAverage="0" equalAverage="0" bottom="0" percent="0" rank="0" text="" dxfId="8">
      <formula>0</formula>
    </cfRule>
  </conditionalFormatting>
  <conditionalFormatting sqref="E858">
    <cfRule type="cellIs" priority="1705" operator="equal" aboveAverage="0" equalAverage="0" bottom="0" percent="0" rank="0" text="" dxfId="10">
      <formula>"Evet"</formula>
    </cfRule>
  </conditionalFormatting>
  <conditionalFormatting sqref="D859">
    <cfRule type="cellIs" priority="1706" operator="greaterThan" aboveAverage="0" equalAverage="0" bottom="0" percent="0" rank="0" text="" dxfId="8">
      <formula>0</formula>
    </cfRule>
  </conditionalFormatting>
  <conditionalFormatting sqref="E859">
    <cfRule type="cellIs" priority="1707" operator="equal" aboveAverage="0" equalAverage="0" bottom="0" percent="0" rank="0" text="" dxfId="10">
      <formula>"Evet"</formula>
    </cfRule>
  </conditionalFormatting>
  <conditionalFormatting sqref="D860">
    <cfRule type="cellIs" priority="1708" operator="greaterThan" aboveAverage="0" equalAverage="0" bottom="0" percent="0" rank="0" text="" dxfId="8">
      <formula>0</formula>
    </cfRule>
  </conditionalFormatting>
  <conditionalFormatting sqref="E860">
    <cfRule type="cellIs" priority="1709" operator="equal" aboveAverage="0" equalAverage="0" bottom="0" percent="0" rank="0" text="" dxfId="10">
      <formula>"Evet"</formula>
    </cfRule>
  </conditionalFormatting>
  <conditionalFormatting sqref="D861">
    <cfRule type="cellIs" priority="1710" operator="greaterThan" aboveAverage="0" equalAverage="0" bottom="0" percent="0" rank="0" text="" dxfId="8">
      <formula>0</formula>
    </cfRule>
  </conditionalFormatting>
  <conditionalFormatting sqref="E861">
    <cfRule type="cellIs" priority="1711" operator="equal" aboveAverage="0" equalAverage="0" bottom="0" percent="0" rank="0" text="" dxfId="10">
      <formula>"Evet"</formula>
    </cfRule>
  </conditionalFormatting>
  <conditionalFormatting sqref="D862">
    <cfRule type="cellIs" priority="1712" operator="greaterThan" aboveAverage="0" equalAverage="0" bottom="0" percent="0" rank="0" text="" dxfId="8">
      <formula>0</formula>
    </cfRule>
  </conditionalFormatting>
  <conditionalFormatting sqref="E862">
    <cfRule type="cellIs" priority="1713" operator="equal" aboveAverage="0" equalAverage="0" bottom="0" percent="0" rank="0" text="" dxfId="10">
      <formula>"Evet"</formula>
    </cfRule>
  </conditionalFormatting>
  <conditionalFormatting sqref="D863">
    <cfRule type="cellIs" priority="1714" operator="greaterThan" aboveAverage="0" equalAverage="0" bottom="0" percent="0" rank="0" text="" dxfId="8">
      <formula>0</formula>
    </cfRule>
  </conditionalFormatting>
  <conditionalFormatting sqref="E863">
    <cfRule type="cellIs" priority="1715" operator="equal" aboveAverage="0" equalAverage="0" bottom="0" percent="0" rank="0" text="" dxfId="10">
      <formula>"Evet"</formula>
    </cfRule>
  </conditionalFormatting>
  <conditionalFormatting sqref="D864">
    <cfRule type="cellIs" priority="1716" operator="greaterThan" aboveAverage="0" equalAverage="0" bottom="0" percent="0" rank="0" text="" dxfId="8">
      <formula>0</formula>
    </cfRule>
  </conditionalFormatting>
  <conditionalFormatting sqref="E864">
    <cfRule type="cellIs" priority="1717" operator="equal" aboveAverage="0" equalAverage="0" bottom="0" percent="0" rank="0" text="" dxfId="10">
      <formula>"Evet"</formula>
    </cfRule>
  </conditionalFormatting>
  <conditionalFormatting sqref="D865">
    <cfRule type="cellIs" priority="1718" operator="greaterThan" aboveAverage="0" equalAverage="0" bottom="0" percent="0" rank="0" text="" dxfId="8">
      <formula>0</formula>
    </cfRule>
  </conditionalFormatting>
  <conditionalFormatting sqref="E865">
    <cfRule type="cellIs" priority="1719" operator="equal" aboveAverage="0" equalAverage="0" bottom="0" percent="0" rank="0" text="" dxfId="10">
      <formula>"Evet"</formula>
    </cfRule>
  </conditionalFormatting>
  <conditionalFormatting sqref="D866">
    <cfRule type="cellIs" priority="1720" operator="greaterThan" aboveAverage="0" equalAverage="0" bottom="0" percent="0" rank="0" text="" dxfId="8">
      <formula>0</formula>
    </cfRule>
  </conditionalFormatting>
  <conditionalFormatting sqref="E866">
    <cfRule type="cellIs" priority="1721" operator="equal" aboveAverage="0" equalAverage="0" bottom="0" percent="0" rank="0" text="" dxfId="10">
      <formula>"Evet"</formula>
    </cfRule>
  </conditionalFormatting>
  <conditionalFormatting sqref="D867">
    <cfRule type="cellIs" priority="1722" operator="greaterThan" aboveAverage="0" equalAverage="0" bottom="0" percent="0" rank="0" text="" dxfId="8">
      <formula>0</formula>
    </cfRule>
  </conditionalFormatting>
  <conditionalFormatting sqref="E867">
    <cfRule type="cellIs" priority="1723" operator="equal" aboveAverage="0" equalAverage="0" bottom="0" percent="0" rank="0" text="" dxfId="10">
      <formula>"Evet"</formula>
    </cfRule>
  </conditionalFormatting>
  <conditionalFormatting sqref="D868">
    <cfRule type="cellIs" priority="1724" operator="greaterThan" aboveAverage="0" equalAverage="0" bottom="0" percent="0" rank="0" text="" dxfId="8">
      <formula>0</formula>
    </cfRule>
  </conditionalFormatting>
  <conditionalFormatting sqref="E868">
    <cfRule type="cellIs" priority="1725" operator="equal" aboveAverage="0" equalAverage="0" bottom="0" percent="0" rank="0" text="" dxfId="10">
      <formula>"Evet"</formula>
    </cfRule>
  </conditionalFormatting>
  <conditionalFormatting sqref="D869">
    <cfRule type="cellIs" priority="1726" operator="greaterThan" aboveAverage="0" equalAverage="0" bottom="0" percent="0" rank="0" text="" dxfId="8">
      <formula>0</formula>
    </cfRule>
  </conditionalFormatting>
  <conditionalFormatting sqref="E869">
    <cfRule type="cellIs" priority="1727" operator="equal" aboveAverage="0" equalAverage="0" bottom="0" percent="0" rank="0" text="" dxfId="10">
      <formula>"Evet"</formula>
    </cfRule>
  </conditionalFormatting>
  <conditionalFormatting sqref="D870">
    <cfRule type="cellIs" priority="1728" operator="greaterThan" aboveAverage="0" equalAverage="0" bottom="0" percent="0" rank="0" text="" dxfId="8">
      <formula>0</formula>
    </cfRule>
  </conditionalFormatting>
  <conditionalFormatting sqref="E870">
    <cfRule type="cellIs" priority="1729" operator="equal" aboveAverage="0" equalAverage="0" bottom="0" percent="0" rank="0" text="" dxfId="10">
      <formula>"Evet"</formula>
    </cfRule>
  </conditionalFormatting>
  <conditionalFormatting sqref="D871">
    <cfRule type="cellIs" priority="1730" operator="greaterThan" aboveAverage="0" equalAverage="0" bottom="0" percent="0" rank="0" text="" dxfId="8">
      <formula>0</formula>
    </cfRule>
  </conditionalFormatting>
  <conditionalFormatting sqref="E871">
    <cfRule type="cellIs" priority="1731" operator="equal" aboveAverage="0" equalAverage="0" bottom="0" percent="0" rank="0" text="" dxfId="10">
      <formula>"Evet"</formula>
    </cfRule>
  </conditionalFormatting>
  <conditionalFormatting sqref="D872">
    <cfRule type="cellIs" priority="1732" operator="greaterThan" aboveAverage="0" equalAverage="0" bottom="0" percent="0" rank="0" text="" dxfId="8">
      <formula>0</formula>
    </cfRule>
  </conditionalFormatting>
  <conditionalFormatting sqref="E872">
    <cfRule type="cellIs" priority="1733" operator="equal" aboveAverage="0" equalAverage="0" bottom="0" percent="0" rank="0" text="" dxfId="10">
      <formula>"Evet"</formula>
    </cfRule>
  </conditionalFormatting>
  <conditionalFormatting sqref="D873">
    <cfRule type="cellIs" priority="1734" operator="greaterThan" aboveAverage="0" equalAverage="0" bottom="0" percent="0" rank="0" text="" dxfId="8">
      <formula>0</formula>
    </cfRule>
  </conditionalFormatting>
  <conditionalFormatting sqref="E873">
    <cfRule type="cellIs" priority="1735" operator="equal" aboveAverage="0" equalAverage="0" bottom="0" percent="0" rank="0" text="" dxfId="10">
      <formula>"Evet"</formula>
    </cfRule>
  </conditionalFormatting>
  <conditionalFormatting sqref="D874">
    <cfRule type="cellIs" priority="1736" operator="greaterThan" aboveAverage="0" equalAverage="0" bottom="0" percent="0" rank="0" text="" dxfId="8">
      <formula>0</formula>
    </cfRule>
  </conditionalFormatting>
  <conditionalFormatting sqref="E874">
    <cfRule type="cellIs" priority="1737" operator="equal" aboveAverage="0" equalAverage="0" bottom="0" percent="0" rank="0" text="" dxfId="10">
      <formula>"Evet"</formula>
    </cfRule>
  </conditionalFormatting>
  <conditionalFormatting sqref="D875">
    <cfRule type="cellIs" priority="1738" operator="greaterThan" aboveAverage="0" equalAverage="0" bottom="0" percent="0" rank="0" text="" dxfId="8">
      <formula>0</formula>
    </cfRule>
  </conditionalFormatting>
  <conditionalFormatting sqref="E875">
    <cfRule type="cellIs" priority="1739" operator="equal" aboveAverage="0" equalAverage="0" bottom="0" percent="0" rank="0" text="" dxfId="10">
      <formula>"Evet"</formula>
    </cfRule>
  </conditionalFormatting>
  <conditionalFormatting sqref="D876">
    <cfRule type="cellIs" priority="1740" operator="greaterThan" aboveAverage="0" equalAverage="0" bottom="0" percent="0" rank="0" text="" dxfId="8">
      <formula>0</formula>
    </cfRule>
  </conditionalFormatting>
  <conditionalFormatting sqref="E876">
    <cfRule type="cellIs" priority="1741" operator="equal" aboveAverage="0" equalAverage="0" bottom="0" percent="0" rank="0" text="" dxfId="10">
      <formula>"Evet"</formula>
    </cfRule>
  </conditionalFormatting>
  <conditionalFormatting sqref="D877">
    <cfRule type="cellIs" priority="1742" operator="greaterThan" aboveAverage="0" equalAverage="0" bottom="0" percent="0" rank="0" text="" dxfId="8">
      <formula>0</formula>
    </cfRule>
  </conditionalFormatting>
  <conditionalFormatting sqref="E877">
    <cfRule type="cellIs" priority="1743" operator="equal" aboveAverage="0" equalAverage="0" bottom="0" percent="0" rank="0" text="" dxfId="10">
      <formula>"Evet"</formula>
    </cfRule>
  </conditionalFormatting>
  <conditionalFormatting sqref="D878">
    <cfRule type="cellIs" priority="1744" operator="greaterThan" aboveAverage="0" equalAverage="0" bottom="0" percent="0" rank="0" text="" dxfId="8">
      <formula>0</formula>
    </cfRule>
  </conditionalFormatting>
  <conditionalFormatting sqref="E878">
    <cfRule type="cellIs" priority="1745" operator="equal" aboveAverage="0" equalAverage="0" bottom="0" percent="0" rank="0" text="" dxfId="10">
      <formula>"Evet"</formula>
    </cfRule>
  </conditionalFormatting>
  <conditionalFormatting sqref="D879">
    <cfRule type="cellIs" priority="1746" operator="greaterThan" aboveAverage="0" equalAverage="0" bottom="0" percent="0" rank="0" text="" dxfId="8">
      <formula>0</formula>
    </cfRule>
  </conditionalFormatting>
  <conditionalFormatting sqref="E879">
    <cfRule type="cellIs" priority="1747" operator="equal" aboveAverage="0" equalAverage="0" bottom="0" percent="0" rank="0" text="" dxfId="10">
      <formula>"Evet"</formula>
    </cfRule>
  </conditionalFormatting>
  <conditionalFormatting sqref="D880">
    <cfRule type="cellIs" priority="1748" operator="greaterThan" aboveAverage="0" equalAverage="0" bottom="0" percent="0" rank="0" text="" dxfId="8">
      <formula>0</formula>
    </cfRule>
  </conditionalFormatting>
  <conditionalFormatting sqref="E880">
    <cfRule type="cellIs" priority="1749" operator="equal" aboveAverage="0" equalAverage="0" bottom="0" percent="0" rank="0" text="" dxfId="10">
      <formula>"Evet"</formula>
    </cfRule>
  </conditionalFormatting>
  <conditionalFormatting sqref="D881">
    <cfRule type="cellIs" priority="1750" operator="greaterThan" aboveAverage="0" equalAverage="0" bottom="0" percent="0" rank="0" text="" dxfId="8">
      <formula>0</formula>
    </cfRule>
  </conditionalFormatting>
  <conditionalFormatting sqref="E881">
    <cfRule type="cellIs" priority="1751" operator="equal" aboveAverage="0" equalAverage="0" bottom="0" percent="0" rank="0" text="" dxfId="10">
      <formula>"Evet"</formula>
    </cfRule>
  </conditionalFormatting>
  <conditionalFormatting sqref="D882">
    <cfRule type="cellIs" priority="1752" operator="greaterThan" aboveAverage="0" equalAverage="0" bottom="0" percent="0" rank="0" text="" dxfId="8">
      <formula>0</formula>
    </cfRule>
  </conditionalFormatting>
  <conditionalFormatting sqref="E882">
    <cfRule type="cellIs" priority="1753" operator="equal" aboveAverage="0" equalAverage="0" bottom="0" percent="0" rank="0" text="" dxfId="10">
      <formula>"Evet"</formula>
    </cfRule>
  </conditionalFormatting>
  <conditionalFormatting sqref="D883">
    <cfRule type="cellIs" priority="1754" operator="greaterThan" aboveAverage="0" equalAverage="0" bottom="0" percent="0" rank="0" text="" dxfId="8">
      <formula>0</formula>
    </cfRule>
  </conditionalFormatting>
  <conditionalFormatting sqref="E883">
    <cfRule type="cellIs" priority="1755" operator="equal" aboveAverage="0" equalAverage="0" bottom="0" percent="0" rank="0" text="" dxfId="10">
      <formula>"Evet"</formula>
    </cfRule>
  </conditionalFormatting>
  <conditionalFormatting sqref="D884">
    <cfRule type="cellIs" priority="1756" operator="greaterThan" aboveAverage="0" equalAverage="0" bottom="0" percent="0" rank="0" text="" dxfId="8">
      <formula>0</formula>
    </cfRule>
  </conditionalFormatting>
  <conditionalFormatting sqref="E884">
    <cfRule type="cellIs" priority="1757" operator="equal" aboveAverage="0" equalAverage="0" bottom="0" percent="0" rank="0" text="" dxfId="10">
      <formula>"Evet"</formula>
    </cfRule>
  </conditionalFormatting>
  <conditionalFormatting sqref="D885">
    <cfRule type="cellIs" priority="1758" operator="greaterThan" aboveAverage="0" equalAverage="0" bottom="0" percent="0" rank="0" text="" dxfId="8">
      <formula>0</formula>
    </cfRule>
  </conditionalFormatting>
  <conditionalFormatting sqref="E885">
    <cfRule type="cellIs" priority="1759" operator="equal" aboveAverage="0" equalAverage="0" bottom="0" percent="0" rank="0" text="" dxfId="10">
      <formula>"Evet"</formula>
    </cfRule>
  </conditionalFormatting>
  <conditionalFormatting sqref="D886">
    <cfRule type="cellIs" priority="1760" operator="greaterThan" aboveAverage="0" equalAverage="0" bottom="0" percent="0" rank="0" text="" dxfId="8">
      <formula>0</formula>
    </cfRule>
  </conditionalFormatting>
  <conditionalFormatting sqref="E886">
    <cfRule type="cellIs" priority="1761" operator="equal" aboveAverage="0" equalAverage="0" bottom="0" percent="0" rank="0" text="" dxfId="10">
      <formula>"Evet"</formula>
    </cfRule>
  </conditionalFormatting>
  <conditionalFormatting sqref="D887">
    <cfRule type="cellIs" priority="1762" operator="greaterThan" aboveAverage="0" equalAverage="0" bottom="0" percent="0" rank="0" text="" dxfId="8">
      <formula>0</formula>
    </cfRule>
  </conditionalFormatting>
  <conditionalFormatting sqref="E887">
    <cfRule type="cellIs" priority="1763" operator="equal" aboveAverage="0" equalAverage="0" bottom="0" percent="0" rank="0" text="" dxfId="10">
      <formula>"Evet"</formula>
    </cfRule>
  </conditionalFormatting>
  <conditionalFormatting sqref="D888">
    <cfRule type="cellIs" priority="1764" operator="greaterThan" aboveAverage="0" equalAverage="0" bottom="0" percent="0" rank="0" text="" dxfId="8">
      <formula>0</formula>
    </cfRule>
  </conditionalFormatting>
  <conditionalFormatting sqref="E888">
    <cfRule type="cellIs" priority="1765" operator="equal" aboveAverage="0" equalAverage="0" bottom="0" percent="0" rank="0" text="" dxfId="10">
      <formula>"Evet"</formula>
    </cfRule>
  </conditionalFormatting>
  <conditionalFormatting sqref="D889">
    <cfRule type="cellIs" priority="1766" operator="greaterThan" aboveAverage="0" equalAverage="0" bottom="0" percent="0" rank="0" text="" dxfId="8">
      <formula>0</formula>
    </cfRule>
  </conditionalFormatting>
  <conditionalFormatting sqref="E889">
    <cfRule type="cellIs" priority="1767" operator="equal" aboveAverage="0" equalAverage="0" bottom="0" percent="0" rank="0" text="" dxfId="10">
      <formula>"Evet"</formula>
    </cfRule>
  </conditionalFormatting>
  <conditionalFormatting sqref="D890">
    <cfRule type="cellIs" priority="1768" operator="greaterThan" aboveAverage="0" equalAverage="0" bottom="0" percent="0" rank="0" text="" dxfId="8">
      <formula>0</formula>
    </cfRule>
  </conditionalFormatting>
  <conditionalFormatting sqref="E890">
    <cfRule type="cellIs" priority="1769" operator="equal" aboveAverage="0" equalAverage="0" bottom="0" percent="0" rank="0" text="" dxfId="10">
      <formula>"Evet"</formula>
    </cfRule>
  </conditionalFormatting>
  <conditionalFormatting sqref="D891">
    <cfRule type="cellIs" priority="1770" operator="greaterThan" aboveAverage="0" equalAverage="0" bottom="0" percent="0" rank="0" text="" dxfId="8">
      <formula>0</formula>
    </cfRule>
  </conditionalFormatting>
  <conditionalFormatting sqref="E891">
    <cfRule type="cellIs" priority="1771" operator="equal" aboveAverage="0" equalAverage="0" bottom="0" percent="0" rank="0" text="" dxfId="10">
      <formula>"Evet"</formula>
    </cfRule>
  </conditionalFormatting>
  <conditionalFormatting sqref="D892">
    <cfRule type="cellIs" priority="1772" operator="greaterThan" aboveAverage="0" equalAverage="0" bottom="0" percent="0" rank="0" text="" dxfId="8">
      <formula>0</formula>
    </cfRule>
  </conditionalFormatting>
  <conditionalFormatting sqref="E892">
    <cfRule type="cellIs" priority="1773" operator="equal" aboveAverage="0" equalAverage="0" bottom="0" percent="0" rank="0" text="" dxfId="10">
      <formula>"Evet"</formula>
    </cfRule>
  </conditionalFormatting>
  <conditionalFormatting sqref="D893">
    <cfRule type="cellIs" priority="1774" operator="greaterThan" aboveAverage="0" equalAverage="0" bottom="0" percent="0" rank="0" text="" dxfId="8">
      <formula>0</formula>
    </cfRule>
  </conditionalFormatting>
  <conditionalFormatting sqref="E893">
    <cfRule type="cellIs" priority="1775" operator="equal" aboveAverage="0" equalAverage="0" bottom="0" percent="0" rank="0" text="" dxfId="10">
      <formula>"Evet"</formula>
    </cfRule>
  </conditionalFormatting>
  <conditionalFormatting sqref="D894">
    <cfRule type="cellIs" priority="1776" operator="greaterThan" aboveAverage="0" equalAverage="0" bottom="0" percent="0" rank="0" text="" dxfId="8">
      <formula>0</formula>
    </cfRule>
  </conditionalFormatting>
  <conditionalFormatting sqref="E894">
    <cfRule type="cellIs" priority="1777" operator="equal" aboveAverage="0" equalAverage="0" bottom="0" percent="0" rank="0" text="" dxfId="10">
      <formula>"Evet"</formula>
    </cfRule>
  </conditionalFormatting>
  <conditionalFormatting sqref="D895">
    <cfRule type="cellIs" priority="1778" operator="greaterThan" aboveAverage="0" equalAverage="0" bottom="0" percent="0" rank="0" text="" dxfId="8">
      <formula>0</formula>
    </cfRule>
  </conditionalFormatting>
  <conditionalFormatting sqref="E895">
    <cfRule type="cellIs" priority="1779" operator="equal" aboveAverage="0" equalAverage="0" bottom="0" percent="0" rank="0" text="" dxfId="10">
      <formula>"Evet"</formula>
    </cfRule>
  </conditionalFormatting>
  <conditionalFormatting sqref="D896">
    <cfRule type="cellIs" priority="1780" operator="greaterThan" aboveAverage="0" equalAverage="0" bottom="0" percent="0" rank="0" text="" dxfId="8">
      <formula>0</formula>
    </cfRule>
  </conditionalFormatting>
  <conditionalFormatting sqref="E896">
    <cfRule type="cellIs" priority="1781" operator="equal" aboveAverage="0" equalAverage="0" bottom="0" percent="0" rank="0" text="" dxfId="10">
      <formula>"Evet"</formula>
    </cfRule>
  </conditionalFormatting>
  <conditionalFormatting sqref="D897">
    <cfRule type="cellIs" priority="1782" operator="greaterThan" aboveAverage="0" equalAverage="0" bottom="0" percent="0" rank="0" text="" dxfId="8">
      <formula>0</formula>
    </cfRule>
  </conditionalFormatting>
  <conditionalFormatting sqref="E897">
    <cfRule type="cellIs" priority="1783" operator="equal" aboveAverage="0" equalAverage="0" bottom="0" percent="0" rank="0" text="" dxfId="10">
      <formula>"Evet"</formula>
    </cfRule>
  </conditionalFormatting>
  <conditionalFormatting sqref="D898">
    <cfRule type="cellIs" priority="1784" operator="greaterThan" aboveAverage="0" equalAverage="0" bottom="0" percent="0" rank="0" text="" dxfId="8">
      <formula>0</formula>
    </cfRule>
  </conditionalFormatting>
  <conditionalFormatting sqref="E898">
    <cfRule type="cellIs" priority="1785" operator="equal" aboveAverage="0" equalAverage="0" bottom="0" percent="0" rank="0" text="" dxfId="10">
      <formula>"Evet"</formula>
    </cfRule>
  </conditionalFormatting>
  <conditionalFormatting sqref="D899">
    <cfRule type="cellIs" priority="1786" operator="greaterThan" aboveAverage="0" equalAverage="0" bottom="0" percent="0" rank="0" text="" dxfId="8">
      <formula>0</formula>
    </cfRule>
  </conditionalFormatting>
  <conditionalFormatting sqref="E899">
    <cfRule type="cellIs" priority="1787" operator="equal" aboveAverage="0" equalAverage="0" bottom="0" percent="0" rank="0" text="" dxfId="10">
      <formula>"Evet"</formula>
    </cfRule>
  </conditionalFormatting>
  <conditionalFormatting sqref="D900">
    <cfRule type="cellIs" priority="1788" operator="greaterThan" aboveAverage="0" equalAverage="0" bottom="0" percent="0" rank="0" text="" dxfId="8">
      <formula>0</formula>
    </cfRule>
  </conditionalFormatting>
  <conditionalFormatting sqref="E900">
    <cfRule type="cellIs" priority="1789" operator="equal" aboveAverage="0" equalAverage="0" bottom="0" percent="0" rank="0" text="" dxfId="10">
      <formula>"Evet"</formula>
    </cfRule>
  </conditionalFormatting>
  <conditionalFormatting sqref="D901">
    <cfRule type="cellIs" priority="1790" operator="greaterThan" aboveAverage="0" equalAverage="0" bottom="0" percent="0" rank="0" text="" dxfId="8">
      <formula>0</formula>
    </cfRule>
  </conditionalFormatting>
  <conditionalFormatting sqref="E901">
    <cfRule type="cellIs" priority="1791" operator="equal" aboveAverage="0" equalAverage="0" bottom="0" percent="0" rank="0" text="" dxfId="10">
      <formula>"Evet"</formula>
    </cfRule>
  </conditionalFormatting>
  <conditionalFormatting sqref="D902">
    <cfRule type="cellIs" priority="1792" operator="greaterThan" aboveAverage="0" equalAverage="0" bottom="0" percent="0" rank="0" text="" dxfId="8">
      <formula>0</formula>
    </cfRule>
  </conditionalFormatting>
  <conditionalFormatting sqref="E902">
    <cfRule type="cellIs" priority="1793" operator="equal" aboveAverage="0" equalAverage="0" bottom="0" percent="0" rank="0" text="" dxfId="10">
      <formula>"Evet"</formula>
    </cfRule>
  </conditionalFormatting>
  <conditionalFormatting sqref="D903">
    <cfRule type="cellIs" priority="1794" operator="greaterThan" aboveAverage="0" equalAverage="0" bottom="0" percent="0" rank="0" text="" dxfId="8">
      <formula>0</formula>
    </cfRule>
  </conditionalFormatting>
  <conditionalFormatting sqref="E903">
    <cfRule type="cellIs" priority="1795" operator="equal" aboveAverage="0" equalAverage="0" bottom="0" percent="0" rank="0" text="" dxfId="10">
      <formula>"Evet"</formula>
    </cfRule>
  </conditionalFormatting>
  <conditionalFormatting sqref="D904">
    <cfRule type="cellIs" priority="1796" operator="greaterThan" aboveAverage="0" equalAverage="0" bottom="0" percent="0" rank="0" text="" dxfId="8">
      <formula>0</formula>
    </cfRule>
  </conditionalFormatting>
  <conditionalFormatting sqref="E904">
    <cfRule type="cellIs" priority="1797" operator="equal" aboveAverage="0" equalAverage="0" bottom="0" percent="0" rank="0" text="" dxfId="10">
      <formula>"Evet"</formula>
    </cfRule>
  </conditionalFormatting>
  <conditionalFormatting sqref="D905">
    <cfRule type="cellIs" priority="1798" operator="greaterThan" aboveAverage="0" equalAverage="0" bottom="0" percent="0" rank="0" text="" dxfId="8">
      <formula>0</formula>
    </cfRule>
  </conditionalFormatting>
  <conditionalFormatting sqref="E905">
    <cfRule type="cellIs" priority="1799" operator="equal" aboveAverage="0" equalAverage="0" bottom="0" percent="0" rank="0" text="" dxfId="10">
      <formula>"Evet"</formula>
    </cfRule>
  </conditionalFormatting>
  <conditionalFormatting sqref="D906">
    <cfRule type="cellIs" priority="1800" operator="greaterThan" aboveAverage="0" equalAverage="0" bottom="0" percent="0" rank="0" text="" dxfId="8">
      <formula>0</formula>
    </cfRule>
  </conditionalFormatting>
  <conditionalFormatting sqref="E906">
    <cfRule type="cellIs" priority="1801" operator="equal" aboveAverage="0" equalAverage="0" bottom="0" percent="0" rank="0" text="" dxfId="10">
      <formula>"Evet"</formula>
    </cfRule>
  </conditionalFormatting>
  <conditionalFormatting sqref="D907">
    <cfRule type="cellIs" priority="1802" operator="greaterThan" aboveAverage="0" equalAverage="0" bottom="0" percent="0" rank="0" text="" dxfId="8">
      <formula>0</formula>
    </cfRule>
  </conditionalFormatting>
  <conditionalFormatting sqref="E907">
    <cfRule type="cellIs" priority="1803" operator="equal" aboveAverage="0" equalAverage="0" bottom="0" percent="0" rank="0" text="" dxfId="10">
      <formula>"Evet"</formula>
    </cfRule>
  </conditionalFormatting>
  <conditionalFormatting sqref="D908">
    <cfRule type="cellIs" priority="1804" operator="greaterThan" aboveAverage="0" equalAverage="0" bottom="0" percent="0" rank="0" text="" dxfId="8">
      <formula>0</formula>
    </cfRule>
  </conditionalFormatting>
  <conditionalFormatting sqref="E908">
    <cfRule type="cellIs" priority="1805" operator="equal" aboveAverage="0" equalAverage="0" bottom="0" percent="0" rank="0" text="" dxfId="10">
      <formula>"Evet"</formula>
    </cfRule>
  </conditionalFormatting>
  <conditionalFormatting sqref="D909">
    <cfRule type="cellIs" priority="1806" operator="greaterThan" aboveAverage="0" equalAverage="0" bottom="0" percent="0" rank="0" text="" dxfId="8">
      <formula>0</formula>
    </cfRule>
  </conditionalFormatting>
  <conditionalFormatting sqref="E909">
    <cfRule type="cellIs" priority="1807" operator="equal" aboveAverage="0" equalAverage="0" bottom="0" percent="0" rank="0" text="" dxfId="10">
      <formula>"Evet"</formula>
    </cfRule>
  </conditionalFormatting>
  <conditionalFormatting sqref="D910">
    <cfRule type="cellIs" priority="1808" operator="greaterThan" aboveAverage="0" equalAverage="0" bottom="0" percent="0" rank="0" text="" dxfId="8">
      <formula>0</formula>
    </cfRule>
  </conditionalFormatting>
  <conditionalFormatting sqref="E910">
    <cfRule type="cellIs" priority="1809" operator="equal" aboveAverage="0" equalAverage="0" bottom="0" percent="0" rank="0" text="" dxfId="10">
      <formula>"Evet"</formula>
    </cfRule>
  </conditionalFormatting>
  <conditionalFormatting sqref="D911">
    <cfRule type="cellIs" priority="1810" operator="greaterThan" aboveAverage="0" equalAverage="0" bottom="0" percent="0" rank="0" text="" dxfId="8">
      <formula>0</formula>
    </cfRule>
  </conditionalFormatting>
  <conditionalFormatting sqref="E911">
    <cfRule type="cellIs" priority="1811" operator="equal" aboveAverage="0" equalAverage="0" bottom="0" percent="0" rank="0" text="" dxfId="10">
      <formula>"Evet"</formula>
    </cfRule>
  </conditionalFormatting>
  <conditionalFormatting sqref="D912">
    <cfRule type="cellIs" priority="1812" operator="greaterThan" aboveAverage="0" equalAverage="0" bottom="0" percent="0" rank="0" text="" dxfId="8">
      <formula>0</formula>
    </cfRule>
  </conditionalFormatting>
  <conditionalFormatting sqref="E912">
    <cfRule type="cellIs" priority="1813" operator="equal" aboveAverage="0" equalAverage="0" bottom="0" percent="0" rank="0" text="" dxfId="10">
      <formula>"Evet"</formula>
    </cfRule>
  </conditionalFormatting>
  <conditionalFormatting sqref="D913">
    <cfRule type="cellIs" priority="1814" operator="greaterThan" aboveAverage="0" equalAverage="0" bottom="0" percent="0" rank="0" text="" dxfId="8">
      <formula>0</formula>
    </cfRule>
  </conditionalFormatting>
  <conditionalFormatting sqref="E913">
    <cfRule type="cellIs" priority="1815" operator="equal" aboveAverage="0" equalAverage="0" bottom="0" percent="0" rank="0" text="" dxfId="10">
      <formula>"Evet"</formula>
    </cfRule>
  </conditionalFormatting>
  <conditionalFormatting sqref="D914">
    <cfRule type="cellIs" priority="1816" operator="greaterThan" aboveAverage="0" equalAverage="0" bottom="0" percent="0" rank="0" text="" dxfId="8">
      <formula>0</formula>
    </cfRule>
  </conditionalFormatting>
  <conditionalFormatting sqref="E914">
    <cfRule type="cellIs" priority="1817" operator="equal" aboveAverage="0" equalAverage="0" bottom="0" percent="0" rank="0" text="" dxfId="10">
      <formula>"Evet"</formula>
    </cfRule>
  </conditionalFormatting>
  <conditionalFormatting sqref="D915">
    <cfRule type="cellIs" priority="1818" operator="greaterThan" aboveAverage="0" equalAverage="0" bottom="0" percent="0" rank="0" text="" dxfId="8">
      <formula>0</formula>
    </cfRule>
  </conditionalFormatting>
  <conditionalFormatting sqref="E915">
    <cfRule type="cellIs" priority="1819" operator="equal" aboveAverage="0" equalAverage="0" bottom="0" percent="0" rank="0" text="" dxfId="10">
      <formula>"Evet"</formula>
    </cfRule>
  </conditionalFormatting>
  <conditionalFormatting sqref="D916">
    <cfRule type="cellIs" priority="1820" operator="greaterThan" aboveAverage="0" equalAverage="0" bottom="0" percent="0" rank="0" text="" dxfId="8">
      <formula>0</formula>
    </cfRule>
  </conditionalFormatting>
  <conditionalFormatting sqref="E916">
    <cfRule type="cellIs" priority="1821" operator="equal" aboveAverage="0" equalAverage="0" bottom="0" percent="0" rank="0" text="" dxfId="10">
      <formula>"Evet"</formula>
    </cfRule>
  </conditionalFormatting>
  <conditionalFormatting sqref="D917">
    <cfRule type="cellIs" priority="1822" operator="greaterThan" aboveAverage="0" equalAverage="0" bottom="0" percent="0" rank="0" text="" dxfId="8">
      <formula>0</formula>
    </cfRule>
  </conditionalFormatting>
  <conditionalFormatting sqref="E917">
    <cfRule type="cellIs" priority="1823" operator="equal" aboveAverage="0" equalAverage="0" bottom="0" percent="0" rank="0" text="" dxfId="10">
      <formula>"Evet"</formula>
    </cfRule>
  </conditionalFormatting>
  <conditionalFormatting sqref="D918">
    <cfRule type="cellIs" priority="1824" operator="greaterThan" aboveAverage="0" equalAverage="0" bottom="0" percent="0" rank="0" text="" dxfId="8">
      <formula>0</formula>
    </cfRule>
  </conditionalFormatting>
  <conditionalFormatting sqref="E918">
    <cfRule type="cellIs" priority="1825" operator="equal" aboveAverage="0" equalAverage="0" bottom="0" percent="0" rank="0" text="" dxfId="10">
      <formula>"Evet"</formula>
    </cfRule>
  </conditionalFormatting>
  <conditionalFormatting sqref="D919">
    <cfRule type="cellIs" priority="1826" operator="greaterThan" aboveAverage="0" equalAverage="0" bottom="0" percent="0" rank="0" text="" dxfId="8">
      <formula>0</formula>
    </cfRule>
  </conditionalFormatting>
  <conditionalFormatting sqref="E919">
    <cfRule type="cellIs" priority="1827" operator="equal" aboveAverage="0" equalAverage="0" bottom="0" percent="0" rank="0" text="" dxfId="10">
      <formula>"Evet"</formula>
    </cfRule>
  </conditionalFormatting>
  <conditionalFormatting sqref="D920">
    <cfRule type="cellIs" priority="1828" operator="greaterThan" aboveAverage="0" equalAverage="0" bottom="0" percent="0" rank="0" text="" dxfId="8">
      <formula>0</formula>
    </cfRule>
  </conditionalFormatting>
  <conditionalFormatting sqref="E920">
    <cfRule type="cellIs" priority="1829" operator="equal" aboveAverage="0" equalAverage="0" bottom="0" percent="0" rank="0" text="" dxfId="10">
      <formula>"Evet"</formula>
    </cfRule>
  </conditionalFormatting>
  <conditionalFormatting sqref="D921">
    <cfRule type="cellIs" priority="1830" operator="greaterThan" aboveAverage="0" equalAverage="0" bottom="0" percent="0" rank="0" text="" dxfId="8">
      <formula>0</formula>
    </cfRule>
  </conditionalFormatting>
  <conditionalFormatting sqref="E921">
    <cfRule type="cellIs" priority="1831" operator="equal" aboveAverage="0" equalAverage="0" bottom="0" percent="0" rank="0" text="" dxfId="10">
      <formula>"Evet"</formula>
    </cfRule>
  </conditionalFormatting>
  <conditionalFormatting sqref="D922">
    <cfRule type="cellIs" priority="1832" operator="greaterThan" aboveAverage="0" equalAverage="0" bottom="0" percent="0" rank="0" text="" dxfId="8">
      <formula>0</formula>
    </cfRule>
  </conditionalFormatting>
  <conditionalFormatting sqref="E922">
    <cfRule type="cellIs" priority="1833" operator="equal" aboveAverage="0" equalAverage="0" bottom="0" percent="0" rank="0" text="" dxfId="10">
      <formula>"Evet"</formula>
    </cfRule>
  </conditionalFormatting>
  <conditionalFormatting sqref="D923">
    <cfRule type="cellIs" priority="1834" operator="greaterThan" aboveAverage="0" equalAverage="0" bottom="0" percent="0" rank="0" text="" dxfId="8">
      <formula>0</formula>
    </cfRule>
  </conditionalFormatting>
  <conditionalFormatting sqref="E923">
    <cfRule type="cellIs" priority="1835" operator="equal" aboveAverage="0" equalAverage="0" bottom="0" percent="0" rank="0" text="" dxfId="10">
      <formula>"Evet"</formula>
    </cfRule>
  </conditionalFormatting>
  <conditionalFormatting sqref="D924">
    <cfRule type="cellIs" priority="1836" operator="greaterThan" aboveAverage="0" equalAverage="0" bottom="0" percent="0" rank="0" text="" dxfId="8">
      <formula>0</formula>
    </cfRule>
  </conditionalFormatting>
  <conditionalFormatting sqref="E924">
    <cfRule type="cellIs" priority="1837" operator="equal" aboveAverage="0" equalAverage="0" bottom="0" percent="0" rank="0" text="" dxfId="10">
      <formula>"Evet"</formula>
    </cfRule>
  </conditionalFormatting>
  <conditionalFormatting sqref="D925">
    <cfRule type="cellIs" priority="1838" operator="greaterThan" aboveAverage="0" equalAverage="0" bottom="0" percent="0" rank="0" text="" dxfId="8">
      <formula>0</formula>
    </cfRule>
  </conditionalFormatting>
  <conditionalFormatting sqref="E925">
    <cfRule type="cellIs" priority="1839" operator="equal" aboveAverage="0" equalAverage="0" bottom="0" percent="0" rank="0" text="" dxfId="10">
      <formula>"Evet"</formula>
    </cfRule>
  </conditionalFormatting>
  <conditionalFormatting sqref="D926">
    <cfRule type="cellIs" priority="1840" operator="greaterThan" aboveAverage="0" equalAverage="0" bottom="0" percent="0" rank="0" text="" dxfId="8">
      <formula>0</formula>
    </cfRule>
  </conditionalFormatting>
  <conditionalFormatting sqref="E926">
    <cfRule type="cellIs" priority="1841" operator="equal" aboveAverage="0" equalAverage="0" bottom="0" percent="0" rank="0" text="" dxfId="10">
      <formula>"Evet"</formula>
    </cfRule>
  </conditionalFormatting>
  <conditionalFormatting sqref="D927">
    <cfRule type="cellIs" priority="1842" operator="greaterThan" aboveAverage="0" equalAverage="0" bottom="0" percent="0" rank="0" text="" dxfId="8">
      <formula>0</formula>
    </cfRule>
  </conditionalFormatting>
  <conditionalFormatting sqref="E927">
    <cfRule type="cellIs" priority="1843" operator="equal" aboveAverage="0" equalAverage="0" bottom="0" percent="0" rank="0" text="" dxfId="10">
      <formula>"Evet"</formula>
    </cfRule>
  </conditionalFormatting>
  <conditionalFormatting sqref="D928">
    <cfRule type="cellIs" priority="1844" operator="greaterThan" aboveAverage="0" equalAverage="0" bottom="0" percent="0" rank="0" text="" dxfId="8">
      <formula>0</formula>
    </cfRule>
  </conditionalFormatting>
  <conditionalFormatting sqref="E928">
    <cfRule type="cellIs" priority="1845" operator="equal" aboveAverage="0" equalAverage="0" bottom="0" percent="0" rank="0" text="" dxfId="10">
      <formula>"Evet"</formula>
    </cfRule>
  </conditionalFormatting>
  <conditionalFormatting sqref="D929">
    <cfRule type="cellIs" priority="1846" operator="greaterThan" aboveAverage="0" equalAverage="0" bottom="0" percent="0" rank="0" text="" dxfId="8">
      <formula>0</formula>
    </cfRule>
  </conditionalFormatting>
  <conditionalFormatting sqref="E929">
    <cfRule type="cellIs" priority="1847" operator="equal" aboveAverage="0" equalAverage="0" bottom="0" percent="0" rank="0" text="" dxfId="10">
      <formula>"Evet"</formula>
    </cfRule>
  </conditionalFormatting>
  <conditionalFormatting sqref="D930">
    <cfRule type="cellIs" priority="1848" operator="greaterThan" aboveAverage="0" equalAverage="0" bottom="0" percent="0" rank="0" text="" dxfId="8">
      <formula>0</formula>
    </cfRule>
  </conditionalFormatting>
  <conditionalFormatting sqref="E930">
    <cfRule type="cellIs" priority="1849" operator="equal" aboveAverage="0" equalAverage="0" bottom="0" percent="0" rank="0" text="" dxfId="10">
      <formula>"Evet"</formula>
    </cfRule>
  </conditionalFormatting>
  <conditionalFormatting sqref="D931">
    <cfRule type="cellIs" priority="1850" operator="greaterThan" aboveAverage="0" equalAverage="0" bottom="0" percent="0" rank="0" text="" dxfId="8">
      <formula>0</formula>
    </cfRule>
  </conditionalFormatting>
  <conditionalFormatting sqref="E931">
    <cfRule type="cellIs" priority="1851" operator="equal" aboveAverage="0" equalAverage="0" bottom="0" percent="0" rank="0" text="" dxfId="10">
      <formula>"Evet"</formula>
    </cfRule>
  </conditionalFormatting>
  <conditionalFormatting sqref="D932">
    <cfRule type="cellIs" priority="1852" operator="greaterThan" aboveAverage="0" equalAverage="0" bottom="0" percent="0" rank="0" text="" dxfId="8">
      <formula>0</formula>
    </cfRule>
  </conditionalFormatting>
  <conditionalFormatting sqref="E932">
    <cfRule type="cellIs" priority="1853" operator="equal" aboveAverage="0" equalAverage="0" bottom="0" percent="0" rank="0" text="" dxfId="10">
      <formula>"Evet"</formula>
    </cfRule>
  </conditionalFormatting>
  <conditionalFormatting sqref="D933">
    <cfRule type="cellIs" priority="1854" operator="greaterThan" aboveAverage="0" equalAverage="0" bottom="0" percent="0" rank="0" text="" dxfId="8">
      <formula>0</formula>
    </cfRule>
  </conditionalFormatting>
  <conditionalFormatting sqref="E933">
    <cfRule type="cellIs" priority="1855" operator="equal" aboveAverage="0" equalAverage="0" bottom="0" percent="0" rank="0" text="" dxfId="10">
      <formula>"Evet"</formula>
    </cfRule>
  </conditionalFormatting>
  <conditionalFormatting sqref="D934">
    <cfRule type="cellIs" priority="1856" operator="greaterThan" aboveAverage="0" equalAverage="0" bottom="0" percent="0" rank="0" text="" dxfId="8">
      <formula>0</formula>
    </cfRule>
  </conditionalFormatting>
  <conditionalFormatting sqref="E934">
    <cfRule type="cellIs" priority="1857" operator="equal" aboveAverage="0" equalAverage="0" bottom="0" percent="0" rank="0" text="" dxfId="10">
      <formula>"Evet"</formula>
    </cfRule>
  </conditionalFormatting>
  <conditionalFormatting sqref="D935">
    <cfRule type="cellIs" priority="1858" operator="greaterThan" aboveAverage="0" equalAverage="0" bottom="0" percent="0" rank="0" text="" dxfId="8">
      <formula>0</formula>
    </cfRule>
  </conditionalFormatting>
  <conditionalFormatting sqref="E935">
    <cfRule type="cellIs" priority="1859" operator="equal" aboveAverage="0" equalAverage="0" bottom="0" percent="0" rank="0" text="" dxfId="10">
      <formula>"Evet"</formula>
    </cfRule>
  </conditionalFormatting>
  <conditionalFormatting sqref="D936">
    <cfRule type="cellIs" priority="1860" operator="greaterThan" aboveAverage="0" equalAverage="0" bottom="0" percent="0" rank="0" text="" dxfId="8">
      <formula>0</formula>
    </cfRule>
  </conditionalFormatting>
  <conditionalFormatting sqref="E936">
    <cfRule type="cellIs" priority="1861" operator="equal" aboveAverage="0" equalAverage="0" bottom="0" percent="0" rank="0" text="" dxfId="10">
      <formula>"Evet"</formula>
    </cfRule>
  </conditionalFormatting>
  <conditionalFormatting sqref="D937">
    <cfRule type="cellIs" priority="1862" operator="greaterThan" aboveAverage="0" equalAverage="0" bottom="0" percent="0" rank="0" text="" dxfId="8">
      <formula>0</formula>
    </cfRule>
  </conditionalFormatting>
  <conditionalFormatting sqref="E937">
    <cfRule type="cellIs" priority="1863" operator="equal" aboveAverage="0" equalAverage="0" bottom="0" percent="0" rank="0" text="" dxfId="10">
      <formula>"Evet"</formula>
    </cfRule>
  </conditionalFormatting>
  <conditionalFormatting sqref="D938">
    <cfRule type="cellIs" priority="1864" operator="greaterThan" aboveAverage="0" equalAverage="0" bottom="0" percent="0" rank="0" text="" dxfId="8">
      <formula>0</formula>
    </cfRule>
  </conditionalFormatting>
  <conditionalFormatting sqref="E938">
    <cfRule type="cellIs" priority="1865" operator="equal" aboveAverage="0" equalAverage="0" bottom="0" percent="0" rank="0" text="" dxfId="10">
      <formula>"Evet"</formula>
    </cfRule>
  </conditionalFormatting>
  <conditionalFormatting sqref="D939">
    <cfRule type="cellIs" priority="1866" operator="greaterThan" aboveAverage="0" equalAverage="0" bottom="0" percent="0" rank="0" text="" dxfId="8">
      <formula>0</formula>
    </cfRule>
  </conditionalFormatting>
  <conditionalFormatting sqref="E939">
    <cfRule type="cellIs" priority="1867" operator="equal" aboveAverage="0" equalAverage="0" bottom="0" percent="0" rank="0" text="" dxfId="10">
      <formula>"Evet"</formula>
    </cfRule>
  </conditionalFormatting>
  <conditionalFormatting sqref="D940">
    <cfRule type="cellIs" priority="1868" operator="greaterThan" aboveAverage="0" equalAverage="0" bottom="0" percent="0" rank="0" text="" dxfId="8">
      <formula>0</formula>
    </cfRule>
  </conditionalFormatting>
  <conditionalFormatting sqref="E940">
    <cfRule type="cellIs" priority="1869" operator="equal" aboveAverage="0" equalAverage="0" bottom="0" percent="0" rank="0" text="" dxfId="10">
      <formula>"Evet"</formula>
    </cfRule>
  </conditionalFormatting>
  <conditionalFormatting sqref="D941">
    <cfRule type="cellIs" priority="1870" operator="greaterThan" aboveAverage="0" equalAverage="0" bottom="0" percent="0" rank="0" text="" dxfId="8">
      <formula>0</formula>
    </cfRule>
  </conditionalFormatting>
  <conditionalFormatting sqref="E941">
    <cfRule type="cellIs" priority="1871" operator="equal" aboveAverage="0" equalAverage="0" bottom="0" percent="0" rank="0" text="" dxfId="10">
      <formula>"Evet"</formula>
    </cfRule>
  </conditionalFormatting>
  <conditionalFormatting sqref="D942">
    <cfRule type="cellIs" priority="1872" operator="greaterThan" aboveAverage="0" equalAverage="0" bottom="0" percent="0" rank="0" text="" dxfId="8">
      <formula>0</formula>
    </cfRule>
  </conditionalFormatting>
  <conditionalFormatting sqref="E942">
    <cfRule type="cellIs" priority="1873" operator="equal" aboveAverage="0" equalAverage="0" bottom="0" percent="0" rank="0" text="" dxfId="10">
      <formula>"Evet"</formula>
    </cfRule>
  </conditionalFormatting>
  <conditionalFormatting sqref="D943">
    <cfRule type="cellIs" priority="1874" operator="greaterThan" aboveAverage="0" equalAverage="0" bottom="0" percent="0" rank="0" text="" dxfId="8">
      <formula>0</formula>
    </cfRule>
  </conditionalFormatting>
  <conditionalFormatting sqref="E943">
    <cfRule type="cellIs" priority="1875" operator="equal" aboveAverage="0" equalAverage="0" bottom="0" percent="0" rank="0" text="" dxfId="10">
      <formula>"Evet"</formula>
    </cfRule>
  </conditionalFormatting>
  <conditionalFormatting sqref="D944">
    <cfRule type="cellIs" priority="1876" operator="greaterThan" aboveAverage="0" equalAverage="0" bottom="0" percent="0" rank="0" text="" dxfId="8">
      <formula>0</formula>
    </cfRule>
  </conditionalFormatting>
  <conditionalFormatting sqref="E944">
    <cfRule type="cellIs" priority="1877" operator="equal" aboveAverage="0" equalAverage="0" bottom="0" percent="0" rank="0" text="" dxfId="10">
      <formula>"Evet"</formula>
    </cfRule>
  </conditionalFormatting>
  <conditionalFormatting sqref="D945">
    <cfRule type="cellIs" priority="1878" operator="greaterThan" aboveAverage="0" equalAverage="0" bottom="0" percent="0" rank="0" text="" dxfId="8">
      <formula>0</formula>
    </cfRule>
  </conditionalFormatting>
  <conditionalFormatting sqref="E945">
    <cfRule type="cellIs" priority="1879" operator="equal" aboveAverage="0" equalAverage="0" bottom="0" percent="0" rank="0" text="" dxfId="10">
      <formula>"Evet"</formula>
    </cfRule>
  </conditionalFormatting>
  <conditionalFormatting sqref="D946">
    <cfRule type="cellIs" priority="1880" operator="greaterThan" aboveAverage="0" equalAverage="0" bottom="0" percent="0" rank="0" text="" dxfId="8">
      <formula>0</formula>
    </cfRule>
  </conditionalFormatting>
  <conditionalFormatting sqref="E946">
    <cfRule type="cellIs" priority="1881" operator="equal" aboveAverage="0" equalAverage="0" bottom="0" percent="0" rank="0" text="" dxfId="10">
      <formula>"Evet"</formula>
    </cfRule>
  </conditionalFormatting>
  <conditionalFormatting sqref="D947">
    <cfRule type="cellIs" priority="1882" operator="greaterThan" aboveAverage="0" equalAverage="0" bottom="0" percent="0" rank="0" text="" dxfId="8">
      <formula>0</formula>
    </cfRule>
  </conditionalFormatting>
  <conditionalFormatting sqref="E947">
    <cfRule type="cellIs" priority="1883" operator="equal" aboveAverage="0" equalAverage="0" bottom="0" percent="0" rank="0" text="" dxfId="10">
      <formula>"Evet"</formula>
    </cfRule>
  </conditionalFormatting>
  <conditionalFormatting sqref="D948">
    <cfRule type="cellIs" priority="1884" operator="greaterThan" aboveAverage="0" equalAverage="0" bottom="0" percent="0" rank="0" text="" dxfId="8">
      <formula>0</formula>
    </cfRule>
  </conditionalFormatting>
  <conditionalFormatting sqref="E948">
    <cfRule type="cellIs" priority="1885" operator="equal" aboveAverage="0" equalAverage="0" bottom="0" percent="0" rank="0" text="" dxfId="10">
      <formula>"Evet"</formula>
    </cfRule>
  </conditionalFormatting>
  <conditionalFormatting sqref="D949">
    <cfRule type="cellIs" priority="1886" operator="greaterThan" aboveAverage="0" equalAverage="0" bottom="0" percent="0" rank="0" text="" dxfId="8">
      <formula>0</formula>
    </cfRule>
  </conditionalFormatting>
  <conditionalFormatting sqref="E949">
    <cfRule type="cellIs" priority="1887" operator="equal" aboveAverage="0" equalAverage="0" bottom="0" percent="0" rank="0" text="" dxfId="10">
      <formula>"Evet"</formula>
    </cfRule>
  </conditionalFormatting>
  <conditionalFormatting sqref="D950">
    <cfRule type="cellIs" priority="1888" operator="greaterThan" aboveAverage="0" equalAverage="0" bottom="0" percent="0" rank="0" text="" dxfId="8">
      <formula>0</formula>
    </cfRule>
  </conditionalFormatting>
  <conditionalFormatting sqref="E950">
    <cfRule type="cellIs" priority="1889" operator="equal" aboveAverage="0" equalAverage="0" bottom="0" percent="0" rank="0" text="" dxfId="10">
      <formula>"Evet"</formula>
    </cfRule>
  </conditionalFormatting>
  <conditionalFormatting sqref="D951">
    <cfRule type="cellIs" priority="1890" operator="greaterThan" aboveAverage="0" equalAverage="0" bottom="0" percent="0" rank="0" text="" dxfId="8">
      <formula>0</formula>
    </cfRule>
  </conditionalFormatting>
  <conditionalFormatting sqref="E951">
    <cfRule type="cellIs" priority="1891" operator="equal" aboveAverage="0" equalAverage="0" bottom="0" percent="0" rank="0" text="" dxfId="10">
      <formula>"Evet"</formula>
    </cfRule>
  </conditionalFormatting>
  <conditionalFormatting sqref="D952">
    <cfRule type="cellIs" priority="1892" operator="greaterThan" aboveAverage="0" equalAverage="0" bottom="0" percent="0" rank="0" text="" dxfId="8">
      <formula>0</formula>
    </cfRule>
  </conditionalFormatting>
  <conditionalFormatting sqref="E952">
    <cfRule type="cellIs" priority="1893" operator="equal" aboveAverage="0" equalAverage="0" bottom="0" percent="0" rank="0" text="" dxfId="10">
      <formula>"Evet"</formula>
    </cfRule>
  </conditionalFormatting>
  <conditionalFormatting sqref="D953">
    <cfRule type="cellIs" priority="1894" operator="greaterThan" aboveAverage="0" equalAverage="0" bottom="0" percent="0" rank="0" text="" dxfId="8">
      <formula>0</formula>
    </cfRule>
  </conditionalFormatting>
  <conditionalFormatting sqref="E953">
    <cfRule type="cellIs" priority="1895" operator="equal" aboveAverage="0" equalAverage="0" bottom="0" percent="0" rank="0" text="" dxfId="10">
      <formula>"Evet"</formula>
    </cfRule>
  </conditionalFormatting>
  <conditionalFormatting sqref="D954">
    <cfRule type="cellIs" priority="1896" operator="greaterThan" aboveAverage="0" equalAverage="0" bottom="0" percent="0" rank="0" text="" dxfId="8">
      <formula>0</formula>
    </cfRule>
  </conditionalFormatting>
  <conditionalFormatting sqref="E954">
    <cfRule type="cellIs" priority="1897" operator="equal" aboveAverage="0" equalAverage="0" bottom="0" percent="0" rank="0" text="" dxfId="10">
      <formula>"Evet"</formula>
    </cfRule>
  </conditionalFormatting>
  <conditionalFormatting sqref="D955">
    <cfRule type="cellIs" priority="1898" operator="greaterThan" aboveAverage="0" equalAverage="0" bottom="0" percent="0" rank="0" text="" dxfId="8">
      <formula>0</formula>
    </cfRule>
  </conditionalFormatting>
  <conditionalFormatting sqref="E955">
    <cfRule type="cellIs" priority="1899" operator="equal" aboveAverage="0" equalAverage="0" bottom="0" percent="0" rank="0" text="" dxfId="10">
      <formula>"Evet"</formula>
    </cfRule>
  </conditionalFormatting>
  <conditionalFormatting sqref="D956">
    <cfRule type="cellIs" priority="1900" operator="greaterThan" aboveAverage="0" equalAverage="0" bottom="0" percent="0" rank="0" text="" dxfId="8">
      <formula>0</formula>
    </cfRule>
  </conditionalFormatting>
  <conditionalFormatting sqref="E956">
    <cfRule type="cellIs" priority="1901" operator="equal" aboveAverage="0" equalAverage="0" bottom="0" percent="0" rank="0" text="" dxfId="10">
      <formula>"Evet"</formula>
    </cfRule>
  </conditionalFormatting>
  <conditionalFormatting sqref="D957">
    <cfRule type="cellIs" priority="1902" operator="greaterThan" aboveAverage="0" equalAverage="0" bottom="0" percent="0" rank="0" text="" dxfId="8">
      <formula>0</formula>
    </cfRule>
  </conditionalFormatting>
  <conditionalFormatting sqref="E957">
    <cfRule type="cellIs" priority="1903" operator="equal" aboveAverage="0" equalAverage="0" bottom="0" percent="0" rank="0" text="" dxfId="10">
      <formula>"Evet"</formula>
    </cfRule>
  </conditionalFormatting>
  <conditionalFormatting sqref="D958">
    <cfRule type="cellIs" priority="1904" operator="greaterThan" aboveAverage="0" equalAverage="0" bottom="0" percent="0" rank="0" text="" dxfId="8">
      <formula>0</formula>
    </cfRule>
  </conditionalFormatting>
  <conditionalFormatting sqref="E958">
    <cfRule type="cellIs" priority="1905" operator="equal" aboveAverage="0" equalAverage="0" bottom="0" percent="0" rank="0" text="" dxfId="10">
      <formula>"Evet"</formula>
    </cfRule>
  </conditionalFormatting>
  <conditionalFormatting sqref="D959">
    <cfRule type="cellIs" priority="1906" operator="greaterThan" aboveAverage="0" equalAverage="0" bottom="0" percent="0" rank="0" text="" dxfId="8">
      <formula>0</formula>
    </cfRule>
  </conditionalFormatting>
  <conditionalFormatting sqref="E959">
    <cfRule type="cellIs" priority="1907" operator="equal" aboveAverage="0" equalAverage="0" bottom="0" percent="0" rank="0" text="" dxfId="10">
      <formula>"Evet"</formula>
    </cfRule>
  </conditionalFormatting>
  <conditionalFormatting sqref="D960">
    <cfRule type="cellIs" priority="1908" operator="greaterThan" aboveAverage="0" equalAverage="0" bottom="0" percent="0" rank="0" text="" dxfId="8">
      <formula>0</formula>
    </cfRule>
  </conditionalFormatting>
  <conditionalFormatting sqref="E960">
    <cfRule type="cellIs" priority="1909" operator="equal" aboveAverage="0" equalAverage="0" bottom="0" percent="0" rank="0" text="" dxfId="10">
      <formula>"Evet"</formula>
    </cfRule>
  </conditionalFormatting>
  <conditionalFormatting sqref="D961">
    <cfRule type="cellIs" priority="1910" operator="greaterThan" aboveAverage="0" equalAverage="0" bottom="0" percent="0" rank="0" text="" dxfId="8">
      <formula>0</formula>
    </cfRule>
  </conditionalFormatting>
  <conditionalFormatting sqref="E961">
    <cfRule type="cellIs" priority="1911" operator="equal" aboveAverage="0" equalAverage="0" bottom="0" percent="0" rank="0" text="" dxfId="10">
      <formula>"Evet"</formula>
    </cfRule>
  </conditionalFormatting>
  <conditionalFormatting sqref="D962">
    <cfRule type="cellIs" priority="1912" operator="greaterThan" aboveAverage="0" equalAverage="0" bottom="0" percent="0" rank="0" text="" dxfId="8">
      <formula>0</formula>
    </cfRule>
  </conditionalFormatting>
  <conditionalFormatting sqref="E962">
    <cfRule type="cellIs" priority="1913" operator="equal" aboveAverage="0" equalAverage="0" bottom="0" percent="0" rank="0" text="" dxfId="10">
      <formula>"Evet"</formula>
    </cfRule>
  </conditionalFormatting>
  <conditionalFormatting sqref="D963">
    <cfRule type="cellIs" priority="1914" operator="greaterThan" aboveAverage="0" equalAverage="0" bottom="0" percent="0" rank="0" text="" dxfId="8">
      <formula>0</formula>
    </cfRule>
  </conditionalFormatting>
  <conditionalFormatting sqref="E963">
    <cfRule type="cellIs" priority="1915" operator="equal" aboveAverage="0" equalAverage="0" bottom="0" percent="0" rank="0" text="" dxfId="10">
      <formula>"Evet"</formula>
    </cfRule>
  </conditionalFormatting>
  <conditionalFormatting sqref="D964">
    <cfRule type="cellIs" priority="1916" operator="greaterThan" aboveAverage="0" equalAverage="0" bottom="0" percent="0" rank="0" text="" dxfId="8">
      <formula>0</formula>
    </cfRule>
  </conditionalFormatting>
  <conditionalFormatting sqref="E964">
    <cfRule type="cellIs" priority="1917" operator="equal" aboveAverage="0" equalAverage="0" bottom="0" percent="0" rank="0" text="" dxfId="10">
      <formula>"Evet"</formula>
    </cfRule>
  </conditionalFormatting>
  <conditionalFormatting sqref="D965">
    <cfRule type="cellIs" priority="1918" operator="greaterThan" aboveAverage="0" equalAverage="0" bottom="0" percent="0" rank="0" text="" dxfId="8">
      <formula>0</formula>
    </cfRule>
  </conditionalFormatting>
  <conditionalFormatting sqref="E965">
    <cfRule type="cellIs" priority="1919" operator="equal" aboveAverage="0" equalAverage="0" bottom="0" percent="0" rank="0" text="" dxfId="10">
      <formula>"Evet"</formula>
    </cfRule>
  </conditionalFormatting>
  <conditionalFormatting sqref="D966">
    <cfRule type="cellIs" priority="1920" operator="greaterThan" aboveAverage="0" equalAverage="0" bottom="0" percent="0" rank="0" text="" dxfId="8">
      <formula>0</formula>
    </cfRule>
  </conditionalFormatting>
  <conditionalFormatting sqref="E966">
    <cfRule type="cellIs" priority="1921" operator="equal" aboveAverage="0" equalAverage="0" bottom="0" percent="0" rank="0" text="" dxfId="10">
      <formula>"Evet"</formula>
    </cfRule>
  </conditionalFormatting>
  <conditionalFormatting sqref="D967">
    <cfRule type="cellIs" priority="1922" operator="greaterThan" aboveAverage="0" equalAverage="0" bottom="0" percent="0" rank="0" text="" dxfId="8">
      <formula>0</formula>
    </cfRule>
  </conditionalFormatting>
  <conditionalFormatting sqref="E967">
    <cfRule type="cellIs" priority="1923" operator="equal" aboveAverage="0" equalAverage="0" bottom="0" percent="0" rank="0" text="" dxfId="10">
      <formula>"Evet"</formula>
    </cfRule>
  </conditionalFormatting>
  <conditionalFormatting sqref="D968">
    <cfRule type="cellIs" priority="1924" operator="greaterThan" aboveAverage="0" equalAverage="0" bottom="0" percent="0" rank="0" text="" dxfId="8">
      <formula>0</formula>
    </cfRule>
  </conditionalFormatting>
  <conditionalFormatting sqref="E968">
    <cfRule type="cellIs" priority="1925" operator="equal" aboveAverage="0" equalAverage="0" bottom="0" percent="0" rank="0" text="" dxfId="10">
      <formula>"Evet"</formula>
    </cfRule>
  </conditionalFormatting>
  <conditionalFormatting sqref="D969">
    <cfRule type="cellIs" priority="1926" operator="greaterThan" aboveAverage="0" equalAverage="0" bottom="0" percent="0" rank="0" text="" dxfId="8">
      <formula>0</formula>
    </cfRule>
  </conditionalFormatting>
  <conditionalFormatting sqref="E969">
    <cfRule type="cellIs" priority="1927" operator="equal" aboveAverage="0" equalAverage="0" bottom="0" percent="0" rank="0" text="" dxfId="10">
      <formula>"Evet"</formula>
    </cfRule>
  </conditionalFormatting>
  <conditionalFormatting sqref="D970">
    <cfRule type="cellIs" priority="1928" operator="greaterThan" aboveAverage="0" equalAverage="0" bottom="0" percent="0" rank="0" text="" dxfId="8">
      <formula>0</formula>
    </cfRule>
  </conditionalFormatting>
  <conditionalFormatting sqref="E970">
    <cfRule type="cellIs" priority="1929" operator="equal" aboveAverage="0" equalAverage="0" bottom="0" percent="0" rank="0" text="" dxfId="10">
      <formula>"Evet"</formula>
    </cfRule>
  </conditionalFormatting>
  <conditionalFormatting sqref="D971">
    <cfRule type="cellIs" priority="1930" operator="greaterThan" aboveAverage="0" equalAverage="0" bottom="0" percent="0" rank="0" text="" dxfId="8">
      <formula>0</formula>
    </cfRule>
  </conditionalFormatting>
  <conditionalFormatting sqref="E971">
    <cfRule type="cellIs" priority="1931" operator="equal" aboveAverage="0" equalAverage="0" bottom="0" percent="0" rank="0" text="" dxfId="10">
      <formula>"Evet"</formula>
    </cfRule>
  </conditionalFormatting>
  <conditionalFormatting sqref="D972">
    <cfRule type="cellIs" priority="1932" operator="greaterThan" aboveAverage="0" equalAverage="0" bottom="0" percent="0" rank="0" text="" dxfId="8">
      <formula>0</formula>
    </cfRule>
  </conditionalFormatting>
  <conditionalFormatting sqref="E972">
    <cfRule type="cellIs" priority="1933" operator="equal" aboveAverage="0" equalAverage="0" bottom="0" percent="0" rank="0" text="" dxfId="10">
      <formula>"Evet"</formula>
    </cfRule>
  </conditionalFormatting>
  <conditionalFormatting sqref="D973">
    <cfRule type="cellIs" priority="1934" operator="greaterThan" aboveAverage="0" equalAverage="0" bottom="0" percent="0" rank="0" text="" dxfId="8">
      <formula>0</formula>
    </cfRule>
  </conditionalFormatting>
  <conditionalFormatting sqref="E973">
    <cfRule type="cellIs" priority="1935" operator="equal" aboveAverage="0" equalAverage="0" bottom="0" percent="0" rank="0" text="" dxfId="10">
      <formula>"Evet"</formula>
    </cfRule>
  </conditionalFormatting>
  <conditionalFormatting sqref="D974">
    <cfRule type="cellIs" priority="1936" operator="greaterThan" aboveAverage="0" equalAverage="0" bottom="0" percent="0" rank="0" text="" dxfId="8">
      <formula>0</formula>
    </cfRule>
  </conditionalFormatting>
  <conditionalFormatting sqref="E974">
    <cfRule type="cellIs" priority="1937" operator="equal" aboveAverage="0" equalAverage="0" bottom="0" percent="0" rank="0" text="" dxfId="10">
      <formula>"Evet"</formula>
    </cfRule>
  </conditionalFormatting>
  <conditionalFormatting sqref="D975">
    <cfRule type="cellIs" priority="1938" operator="greaterThan" aboveAverage="0" equalAverage="0" bottom="0" percent="0" rank="0" text="" dxfId="8">
      <formula>0</formula>
    </cfRule>
  </conditionalFormatting>
  <conditionalFormatting sqref="E975">
    <cfRule type="cellIs" priority="1939" operator="equal" aboveAverage="0" equalAverage="0" bottom="0" percent="0" rank="0" text="" dxfId="10">
      <formula>"Evet"</formula>
    </cfRule>
  </conditionalFormatting>
  <conditionalFormatting sqref="D976">
    <cfRule type="cellIs" priority="1940" operator="greaterThan" aboveAverage="0" equalAverage="0" bottom="0" percent="0" rank="0" text="" dxfId="8">
      <formula>0</formula>
    </cfRule>
  </conditionalFormatting>
  <conditionalFormatting sqref="E976">
    <cfRule type="cellIs" priority="1941" operator="equal" aboveAverage="0" equalAverage="0" bottom="0" percent="0" rank="0" text="" dxfId="10">
      <formula>"Evet"</formula>
    </cfRule>
  </conditionalFormatting>
  <conditionalFormatting sqref="D977">
    <cfRule type="cellIs" priority="1942" operator="greaterThan" aboveAverage="0" equalAverage="0" bottom="0" percent="0" rank="0" text="" dxfId="8">
      <formula>0</formula>
    </cfRule>
  </conditionalFormatting>
  <conditionalFormatting sqref="E977">
    <cfRule type="cellIs" priority="1943" operator="equal" aboveAverage="0" equalAverage="0" bottom="0" percent="0" rank="0" text="" dxfId="10">
      <formula>"Evet"</formula>
    </cfRule>
  </conditionalFormatting>
  <conditionalFormatting sqref="D978">
    <cfRule type="cellIs" priority="1944" operator="greaterThan" aboveAverage="0" equalAverage="0" bottom="0" percent="0" rank="0" text="" dxfId="8">
      <formula>0</formula>
    </cfRule>
  </conditionalFormatting>
  <conditionalFormatting sqref="E978">
    <cfRule type="cellIs" priority="1945" operator="equal" aboveAverage="0" equalAverage="0" bottom="0" percent="0" rank="0" text="" dxfId="10">
      <formula>"Evet"</formula>
    </cfRule>
  </conditionalFormatting>
  <conditionalFormatting sqref="D979">
    <cfRule type="cellIs" priority="1946" operator="greaterThan" aboveAverage="0" equalAverage="0" bottom="0" percent="0" rank="0" text="" dxfId="8">
      <formula>0</formula>
    </cfRule>
  </conditionalFormatting>
  <conditionalFormatting sqref="E979">
    <cfRule type="cellIs" priority="1947" operator="equal" aboveAverage="0" equalAverage="0" bottom="0" percent="0" rank="0" text="" dxfId="10">
      <formula>"Evet"</formula>
    </cfRule>
  </conditionalFormatting>
  <conditionalFormatting sqref="D980">
    <cfRule type="cellIs" priority="1948" operator="greaterThan" aboveAverage="0" equalAverage="0" bottom="0" percent="0" rank="0" text="" dxfId="8">
      <formula>0</formula>
    </cfRule>
  </conditionalFormatting>
  <conditionalFormatting sqref="E980">
    <cfRule type="cellIs" priority="1949" operator="equal" aboveAverage="0" equalAverage="0" bottom="0" percent="0" rank="0" text="" dxfId="10">
      <formula>"Evet"</formula>
    </cfRule>
  </conditionalFormatting>
  <conditionalFormatting sqref="D981">
    <cfRule type="cellIs" priority="1950" operator="greaterThan" aboveAverage="0" equalAverage="0" bottom="0" percent="0" rank="0" text="" dxfId="8">
      <formula>0</formula>
    </cfRule>
  </conditionalFormatting>
  <conditionalFormatting sqref="E981">
    <cfRule type="cellIs" priority="1951" operator="equal" aboveAverage="0" equalAverage="0" bottom="0" percent="0" rank="0" text="" dxfId="10">
      <formula>"Evet"</formula>
    </cfRule>
  </conditionalFormatting>
  <conditionalFormatting sqref="D982">
    <cfRule type="cellIs" priority="1952" operator="greaterThan" aboveAverage="0" equalAverage="0" bottom="0" percent="0" rank="0" text="" dxfId="8">
      <formula>0</formula>
    </cfRule>
  </conditionalFormatting>
  <conditionalFormatting sqref="E982">
    <cfRule type="cellIs" priority="1953" operator="equal" aboveAverage="0" equalAverage="0" bottom="0" percent="0" rank="0" text="" dxfId="10">
      <formula>"Evet"</formula>
    </cfRule>
  </conditionalFormatting>
  <conditionalFormatting sqref="D983">
    <cfRule type="cellIs" priority="1954" operator="greaterThan" aboveAverage="0" equalAverage="0" bottom="0" percent="0" rank="0" text="" dxfId="8">
      <formula>0</formula>
    </cfRule>
  </conditionalFormatting>
  <conditionalFormatting sqref="E983">
    <cfRule type="cellIs" priority="1955" operator="equal" aboveAverage="0" equalAverage="0" bottom="0" percent="0" rank="0" text="" dxfId="10">
      <formula>"Evet"</formula>
    </cfRule>
  </conditionalFormatting>
  <conditionalFormatting sqref="D984">
    <cfRule type="cellIs" priority="1956" operator="greaterThan" aboveAverage="0" equalAverage="0" bottom="0" percent="0" rank="0" text="" dxfId="8">
      <formula>0</formula>
    </cfRule>
  </conditionalFormatting>
  <conditionalFormatting sqref="E984">
    <cfRule type="cellIs" priority="1957" operator="equal" aboveAverage="0" equalAverage="0" bottom="0" percent="0" rank="0" text="" dxfId="10">
      <formula>"Evet"</formula>
    </cfRule>
  </conditionalFormatting>
  <conditionalFormatting sqref="D985">
    <cfRule type="cellIs" priority="1958" operator="greaterThan" aboveAverage="0" equalAverage="0" bottom="0" percent="0" rank="0" text="" dxfId="8">
      <formula>0</formula>
    </cfRule>
  </conditionalFormatting>
  <conditionalFormatting sqref="E985">
    <cfRule type="cellIs" priority="1959" operator="equal" aboveAverage="0" equalAverage="0" bottom="0" percent="0" rank="0" text="" dxfId="10">
      <formula>"Evet"</formula>
    </cfRule>
  </conditionalFormatting>
  <conditionalFormatting sqref="D986">
    <cfRule type="cellIs" priority="1960" operator="greaterThan" aboveAverage="0" equalAverage="0" bottom="0" percent="0" rank="0" text="" dxfId="8">
      <formula>0</formula>
    </cfRule>
  </conditionalFormatting>
  <conditionalFormatting sqref="E986">
    <cfRule type="cellIs" priority="1961" operator="equal" aboveAverage="0" equalAverage="0" bottom="0" percent="0" rank="0" text="" dxfId="10">
      <formula>"Evet"</formula>
    </cfRule>
  </conditionalFormatting>
  <conditionalFormatting sqref="D987">
    <cfRule type="cellIs" priority="1962" operator="greaterThan" aboveAverage="0" equalAverage="0" bottom="0" percent="0" rank="0" text="" dxfId="8">
      <formula>0</formula>
    </cfRule>
  </conditionalFormatting>
  <conditionalFormatting sqref="E987">
    <cfRule type="cellIs" priority="1963" operator="equal" aboveAverage="0" equalAverage="0" bottom="0" percent="0" rank="0" text="" dxfId="10">
      <formula>"Evet"</formula>
    </cfRule>
  </conditionalFormatting>
  <conditionalFormatting sqref="D988">
    <cfRule type="cellIs" priority="1964" operator="greaterThan" aboveAverage="0" equalAverage="0" bottom="0" percent="0" rank="0" text="" dxfId="8">
      <formula>0</formula>
    </cfRule>
  </conditionalFormatting>
  <conditionalFormatting sqref="E988">
    <cfRule type="cellIs" priority="1965" operator="equal" aboveAverage="0" equalAverage="0" bottom="0" percent="0" rank="0" text="" dxfId="10">
      <formula>"Evet"</formula>
    </cfRule>
  </conditionalFormatting>
  <conditionalFormatting sqref="D989">
    <cfRule type="cellIs" priority="1966" operator="greaterThan" aboveAverage="0" equalAverage="0" bottom="0" percent="0" rank="0" text="" dxfId="8">
      <formula>0</formula>
    </cfRule>
  </conditionalFormatting>
  <conditionalFormatting sqref="E989">
    <cfRule type="cellIs" priority="1967" operator="equal" aboveAverage="0" equalAverage="0" bottom="0" percent="0" rank="0" text="" dxfId="10">
      <formula>"Evet"</formula>
    </cfRule>
  </conditionalFormatting>
  <conditionalFormatting sqref="D990">
    <cfRule type="cellIs" priority="1968" operator="greaterThan" aboveAverage="0" equalAverage="0" bottom="0" percent="0" rank="0" text="" dxfId="8">
      <formula>0</formula>
    </cfRule>
  </conditionalFormatting>
  <conditionalFormatting sqref="E990">
    <cfRule type="cellIs" priority="1969" operator="equal" aboveAverage="0" equalAverage="0" bottom="0" percent="0" rank="0" text="" dxfId="10">
      <formula>"Evet"</formula>
    </cfRule>
  </conditionalFormatting>
  <conditionalFormatting sqref="D991">
    <cfRule type="cellIs" priority="1970" operator="greaterThan" aboveAverage="0" equalAverage="0" bottom="0" percent="0" rank="0" text="" dxfId="8">
      <formula>0</formula>
    </cfRule>
  </conditionalFormatting>
  <conditionalFormatting sqref="E991">
    <cfRule type="cellIs" priority="1971" operator="equal" aboveAverage="0" equalAverage="0" bottom="0" percent="0" rank="0" text="" dxfId="10">
      <formula>"Evet"</formula>
    </cfRule>
  </conditionalFormatting>
  <conditionalFormatting sqref="D992">
    <cfRule type="cellIs" priority="1972" operator="greaterThan" aboveAverage="0" equalAverage="0" bottom="0" percent="0" rank="0" text="" dxfId="8">
      <formula>0</formula>
    </cfRule>
  </conditionalFormatting>
  <conditionalFormatting sqref="E992">
    <cfRule type="cellIs" priority="1973" operator="equal" aboveAverage="0" equalAverage="0" bottom="0" percent="0" rank="0" text="" dxfId="10">
      <formula>"Evet"</formula>
    </cfRule>
  </conditionalFormatting>
  <conditionalFormatting sqref="D993">
    <cfRule type="cellIs" priority="1974" operator="greaterThan" aboveAverage="0" equalAverage="0" bottom="0" percent="0" rank="0" text="" dxfId="8">
      <formula>0</formula>
    </cfRule>
  </conditionalFormatting>
  <conditionalFormatting sqref="E993">
    <cfRule type="cellIs" priority="1975" operator="equal" aboveAverage="0" equalAverage="0" bottom="0" percent="0" rank="0" text="" dxfId="10">
      <formula>"Evet"</formula>
    </cfRule>
  </conditionalFormatting>
  <conditionalFormatting sqref="D994">
    <cfRule type="cellIs" priority="1976" operator="greaterThan" aboveAverage="0" equalAverage="0" bottom="0" percent="0" rank="0" text="" dxfId="8">
      <formula>0</formula>
    </cfRule>
  </conditionalFormatting>
  <conditionalFormatting sqref="E994">
    <cfRule type="cellIs" priority="1977" operator="equal" aboveAverage="0" equalAverage="0" bottom="0" percent="0" rank="0" text="" dxfId="10">
      <formula>"Evet"</formula>
    </cfRule>
  </conditionalFormatting>
  <conditionalFormatting sqref="D995">
    <cfRule type="cellIs" priority="1978" operator="greaterThan" aboveAverage="0" equalAverage="0" bottom="0" percent="0" rank="0" text="" dxfId="8">
      <formula>0</formula>
    </cfRule>
  </conditionalFormatting>
  <conditionalFormatting sqref="E995">
    <cfRule type="cellIs" priority="1979" operator="equal" aboveAverage="0" equalAverage="0" bottom="0" percent="0" rank="0" text="" dxfId="10">
      <formula>"Evet"</formula>
    </cfRule>
  </conditionalFormatting>
  <conditionalFormatting sqref="D996">
    <cfRule type="cellIs" priority="1980" operator="greaterThan" aboveAverage="0" equalAverage="0" bottom="0" percent="0" rank="0" text="" dxfId="8">
      <formula>0</formula>
    </cfRule>
  </conditionalFormatting>
  <conditionalFormatting sqref="E996">
    <cfRule type="cellIs" priority="1981" operator="equal" aboveAverage="0" equalAverage="0" bottom="0" percent="0" rank="0" text="" dxfId="10">
      <formula>"Evet"</formula>
    </cfRule>
  </conditionalFormatting>
  <conditionalFormatting sqref="D997">
    <cfRule type="cellIs" priority="1982" operator="greaterThan" aboveAverage="0" equalAverage="0" bottom="0" percent="0" rank="0" text="" dxfId="8">
      <formula>0</formula>
    </cfRule>
  </conditionalFormatting>
  <conditionalFormatting sqref="E997">
    <cfRule type="cellIs" priority="1983" operator="equal" aboveAverage="0" equalAverage="0" bottom="0" percent="0" rank="0" text="" dxfId="10">
      <formula>"Evet"</formula>
    </cfRule>
  </conditionalFormatting>
  <conditionalFormatting sqref="D998">
    <cfRule type="cellIs" priority="1984" operator="greaterThan" aboveAverage="0" equalAverage="0" bottom="0" percent="0" rank="0" text="" dxfId="8">
      <formula>0</formula>
    </cfRule>
  </conditionalFormatting>
  <conditionalFormatting sqref="E998">
    <cfRule type="cellIs" priority="1985" operator="equal" aboveAverage="0" equalAverage="0" bottom="0" percent="0" rank="0" text="" dxfId="10">
      <formula>"Evet"</formula>
    </cfRule>
  </conditionalFormatting>
  <conditionalFormatting sqref="D999">
    <cfRule type="cellIs" priority="1986" operator="greaterThan" aboveAverage="0" equalAverage="0" bottom="0" percent="0" rank="0" text="" dxfId="8">
      <formula>0</formula>
    </cfRule>
  </conditionalFormatting>
  <conditionalFormatting sqref="E999">
    <cfRule type="cellIs" priority="1987" operator="equal" aboveAverage="0" equalAverage="0" bottom="0" percent="0" rank="0" text="" dxfId="10">
      <formula>"Evet"</formula>
    </cfRule>
  </conditionalFormatting>
  <conditionalFormatting sqref="D1000">
    <cfRule type="cellIs" priority="1988" operator="greaterThan" aboveAverage="0" equalAverage="0" bottom="0" percent="0" rank="0" text="" dxfId="8">
      <formula>0</formula>
    </cfRule>
  </conditionalFormatting>
  <conditionalFormatting sqref="E1000">
    <cfRule type="cellIs" priority="1989" operator="equal" aboveAverage="0" equalAverage="0" bottom="0" percent="0" rank="0" text="" dxfId="10">
      <formula>"Evet"</formula>
    </cfRule>
  </conditionalFormatting>
  <conditionalFormatting sqref="D1001">
    <cfRule type="cellIs" priority="1990" operator="greaterThan" aboveAverage="0" equalAverage="0" bottom="0" percent="0" rank="0" text="" dxfId="8">
      <formula>0</formula>
    </cfRule>
  </conditionalFormatting>
  <conditionalFormatting sqref="E1001">
    <cfRule type="cellIs" priority="1991" operator="equal" aboveAverage="0" equalAverage="0" bottom="0" percent="0" rank="0" text="" dxfId="10">
      <formula>"Evet"</formula>
    </cfRule>
  </conditionalFormatting>
  <conditionalFormatting sqref="D1002">
    <cfRule type="cellIs" priority="1992" operator="greaterThan" aboveAverage="0" equalAverage="0" bottom="0" percent="0" rank="0" text="" dxfId="8">
      <formula>0</formula>
    </cfRule>
  </conditionalFormatting>
  <conditionalFormatting sqref="E1002">
    <cfRule type="cellIs" priority="1993" operator="equal" aboveAverage="0" equalAverage="0" bottom="0" percent="0" rank="0" text="" dxfId="10">
      <formula>"Evet"</formula>
    </cfRule>
  </conditionalFormatting>
  <conditionalFormatting sqref="D1003">
    <cfRule type="cellIs" priority="1994" operator="greaterThan" aboveAverage="0" equalAverage="0" bottom="0" percent="0" rank="0" text="" dxfId="8">
      <formula>0</formula>
    </cfRule>
  </conditionalFormatting>
  <conditionalFormatting sqref="E1003">
    <cfRule type="cellIs" priority="1995" operator="equal" aboveAverage="0" equalAverage="0" bottom="0" percent="0" rank="0" text="" dxfId="10">
      <formula>"Evet"</formula>
    </cfRule>
  </conditionalFormatting>
  <conditionalFormatting sqref="D1004">
    <cfRule type="cellIs" priority="1996" operator="greaterThan" aboveAverage="0" equalAverage="0" bottom="0" percent="0" rank="0" text="" dxfId="8">
      <formula>0</formula>
    </cfRule>
  </conditionalFormatting>
  <conditionalFormatting sqref="E1004">
    <cfRule type="cellIs" priority="1997" operator="equal" aboveAverage="0" equalAverage="0" bottom="0" percent="0" rank="0" text="" dxfId="10">
      <formula>"Evet"</formula>
    </cfRule>
  </conditionalFormatting>
  <conditionalFormatting sqref="D1005">
    <cfRule type="cellIs" priority="1998" operator="greaterThan" aboveAverage="0" equalAverage="0" bottom="0" percent="0" rank="0" text="" dxfId="8">
      <formula>0</formula>
    </cfRule>
  </conditionalFormatting>
  <conditionalFormatting sqref="E1005">
    <cfRule type="cellIs" priority="1999" operator="equal" aboveAverage="0" equalAverage="0" bottom="0" percent="0" rank="0" text="" dxfId="10">
      <formula>"Evet"</formula>
    </cfRule>
  </conditionalFormatting>
  <conditionalFormatting sqref="D1006">
    <cfRule type="cellIs" priority="2000" operator="greaterThan" aboveAverage="0" equalAverage="0" bottom="0" percent="0" rank="0" text="" dxfId="8">
      <formula>0</formula>
    </cfRule>
  </conditionalFormatting>
  <conditionalFormatting sqref="E1006">
    <cfRule type="cellIs" priority="2001" operator="equal" aboveAverage="0" equalAverage="0" bottom="0" percent="0" rank="0" text="" dxfId="10">
      <formula>"Evet"</formula>
    </cfRule>
  </conditionalFormatting>
  <conditionalFormatting sqref="E7:E1006">
    <cfRule type="cellIs" priority="2002" operator="equal" aboveAverage="0" equalAverage="0" bottom="0" percent="0" rank="0" text="" dxfId="10">
      <formula>"Evet"</formula>
    </cfRule>
    <cfRule type="cellIs" priority="2003" operator="equal" aboveAverage="0" equalAverage="0" bottom="0" percent="0" rank="0" text="" dxfId="8">
      <formula>"Hayır"</formula>
    </cfRule>
  </conditionalFormatting>
  <dataValidations count="2000"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2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2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3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3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4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4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5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5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6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6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7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7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8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8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0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0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1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1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2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2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3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3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4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4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5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5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6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6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7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7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8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8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6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7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7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8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8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999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999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0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0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1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1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2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2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3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3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4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4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5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5" type="list">
      <formula1>ListeEvetHayir</formula1>
      <formula2>0</formula2>
    </dataValidation>
    <dataValidation allowBlank="true" error="Listeden bir teşvik türü seçin." errorStyle="stop" errorTitle="Geçersiz seçim" operator="between" prompt="Uygulanabilir teşvik türünü seçin." promptTitle="Teşvik Türü" showDropDown="false" showErrorMessage="true" showInputMessage="true" sqref="B1006" type="list">
      <formula1>ListeTesvikTuru</formula1>
      <formula2>0</formula2>
    </dataValidation>
    <dataValidation allowBlank="true" error="Evet veya Hayır seçin." errorStyle="stop" errorTitle="Geçersiz seçim" operator="between" prompt="Teşvikten yararlanılıyor mu?" promptTitle="Kaçırılan?" showDropDown="false" showErrorMessage="true" showInputMessage="true" sqref="E1006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2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85</v>
      </c>
    </row>
    <row r="5" customFormat="false" ht="15" hidden="false" customHeight="false" outlineLevel="0" collapsed="false">
      <c r="A5" s="25" t="s">
        <v>86</v>
      </c>
    </row>
    <row r="6" customFormat="false" ht="15" hidden="false" customHeight="false" outlineLevel="0" collapsed="false">
      <c r="A6" s="14" t="s">
        <v>87</v>
      </c>
      <c r="B6" s="26" t="n">
        <f aca="false">IFERROR(ROUND(SUM(tblCalisan[Brüt Ücret (₺)]),0),0)</f>
        <v>481000</v>
      </c>
    </row>
    <row r="7" customFormat="false" ht="15" hidden="false" customHeight="false" outlineLevel="0" collapsed="false">
      <c r="A7" s="14" t="s">
        <v>88</v>
      </c>
      <c r="B7" s="27" t="n">
        <f aca="false">IFERROR(COUNT(tblCalisan[Brüt Ücret (₺)]),0)</f>
        <v>14</v>
      </c>
    </row>
    <row r="8" customFormat="false" ht="15" hidden="false" customHeight="false" outlineLevel="0" collapsed="false">
      <c r="A8" s="14" t="s">
        <v>89</v>
      </c>
      <c r="B8" s="27" t="n">
        <f aca="false">IFERROR(SUM(tblCalisan[Prim Günü]),0)</f>
        <v>420</v>
      </c>
    </row>
    <row r="9" customFormat="false" ht="15" hidden="false" customHeight="false" outlineLevel="0" collapsed="false">
      <c r="A9" s="14" t="s">
        <v>90</v>
      </c>
      <c r="B9" s="26" t="n">
        <f aca="false">IFERROR(ROUND(B6/B7,0),0)</f>
        <v>34357</v>
      </c>
    </row>
    <row r="10" customFormat="false" ht="15" hidden="false" customHeight="false" outlineLevel="0" collapsed="false">
      <c r="A10" s="14" t="s">
        <v>91</v>
      </c>
      <c r="B10" s="26" t="n">
        <f aca="false">IFERROR(MEDIAN(tblCalisan[Brüt Ücret (₺)]),0)</f>
        <v>34000</v>
      </c>
    </row>
    <row r="11" customFormat="false" ht="15" hidden="false" customHeight="false" outlineLevel="0" collapsed="false">
      <c r="A11" s="14" t="s">
        <v>92</v>
      </c>
      <c r="B11" s="26" t="n">
        <f aca="false">IFERROR(MAX(tblCalisan[Brüt Ücret (₺)]),0)</f>
        <v>47000</v>
      </c>
    </row>
    <row r="12" customFormat="false" ht="15" hidden="false" customHeight="false" outlineLevel="0" collapsed="false">
      <c r="A12" s="14" t="s">
        <v>93</v>
      </c>
      <c r="B12" s="26" t="n">
        <f aca="false">IFERROR(MIN(tblCalisan[Brüt Ücret (₺)]),0)</f>
        <v>24000</v>
      </c>
    </row>
    <row r="13" customFormat="false" ht="15" hidden="false" customHeight="false" outlineLevel="0" collapsed="false">
      <c r="A13" s="14" t="s">
        <v>94</v>
      </c>
      <c r="B13" s="26" t="n">
        <f aca="false">IFERROR(stdev.p(tblCalisan[Brüt Ücret (₺)]),0)</f>
        <v>0</v>
      </c>
    </row>
    <row r="15" customFormat="false" ht="15" hidden="false" customHeight="false" outlineLevel="0" collapsed="false">
      <c r="A15" s="25" t="s">
        <v>95</v>
      </c>
    </row>
    <row r="16" customFormat="false" ht="15" hidden="false" customHeight="false" outlineLevel="0" collapsed="false">
      <c r="A16" s="14" t="s">
        <v>96</v>
      </c>
      <c r="B16" s="26" t="n">
        <f aca="false">IFERROR(ROUND(SUM(tblMaliyet[SGK İşveren Payı (₺)]),0),0)</f>
        <v>98605</v>
      </c>
    </row>
    <row r="17" customFormat="false" ht="15" hidden="false" customHeight="false" outlineLevel="0" collapsed="false">
      <c r="A17" s="14" t="s">
        <v>97</v>
      </c>
      <c r="B17" s="26" t="n">
        <f aca="false">IFERROR(ROUND(SUM(tblMaliyet[İşsizlik Payı (₺)]),0),0)</f>
        <v>9620</v>
      </c>
    </row>
    <row r="18" customFormat="false" ht="15" hidden="false" customHeight="false" outlineLevel="0" collapsed="false">
      <c r="A18" s="14" t="s">
        <v>98</v>
      </c>
      <c r="B18" s="26" t="n">
        <f aca="false">IFERROR(ROUND(SUM(tblMaliyet[Kıdem Karşılığı (₺)]),0),0)</f>
        <v>40067</v>
      </c>
    </row>
    <row r="19" customFormat="false" ht="15" hidden="false" customHeight="false" outlineLevel="0" collapsed="false">
      <c r="A19" s="14" t="s">
        <v>99</v>
      </c>
      <c r="B19" s="26" t="n">
        <f aca="false">IFERROR(ROUND(SUM(tblMaliyet[Yan Fayda (₺)]),0),0)</f>
        <v>42000</v>
      </c>
    </row>
    <row r="20" customFormat="false" ht="15" hidden="false" customHeight="false" outlineLevel="0" collapsed="false">
      <c r="A20" s="14" t="s">
        <v>100</v>
      </c>
      <c r="B20" s="26" t="n">
        <f aca="false">B16+B17+B18+B19</f>
        <v>190292</v>
      </c>
    </row>
    <row r="21" customFormat="false" ht="15" hidden="false" customHeight="false" outlineLevel="0" collapsed="false">
      <c r="A21" s="14" t="s">
        <v>101</v>
      </c>
      <c r="B21" s="26" t="n">
        <f aca="false">B6+B20</f>
        <v>671292</v>
      </c>
    </row>
    <row r="22" customFormat="false" ht="15" hidden="false" customHeight="false" outlineLevel="0" collapsed="false">
      <c r="A22" s="14" t="s">
        <v>102</v>
      </c>
      <c r="B22" s="26" t="n">
        <f aca="false">IFERROR(B21/B7,0)</f>
        <v>47949.4285714286</v>
      </c>
    </row>
    <row r="24" customFormat="false" ht="15" hidden="false" customHeight="false" outlineLevel="0" collapsed="false">
      <c r="A24" s="25" t="s">
        <v>103</v>
      </c>
    </row>
    <row r="25" customFormat="false" ht="15" hidden="false" customHeight="false" outlineLevel="0" collapsed="false">
      <c r="A25" s="14" t="s">
        <v>104</v>
      </c>
      <c r="B25" s="26" t="n">
        <f aca="false">B6*AySayisi</f>
        <v>5772000</v>
      </c>
    </row>
    <row r="26" customFormat="false" ht="15" hidden="false" customHeight="false" outlineLevel="0" collapsed="false">
      <c r="A26" s="14" t="s">
        <v>105</v>
      </c>
      <c r="B26" s="26" t="n">
        <f aca="false">B20*AySayisi</f>
        <v>2283504</v>
      </c>
    </row>
    <row r="27" customFormat="false" ht="15" hidden="false" customHeight="false" outlineLevel="0" collapsed="false">
      <c r="A27" s="14" t="s">
        <v>106</v>
      </c>
      <c r="B27" s="26" t="n">
        <f aca="false">B21*AySayisi</f>
        <v>8055504</v>
      </c>
    </row>
    <row r="29" customFormat="false" ht="15" hidden="false" customHeight="false" outlineLevel="0" collapsed="false">
      <c r="A29" s="25" t="s">
        <v>107</v>
      </c>
    </row>
    <row r="30" customFormat="false" ht="15" hidden="false" customHeight="false" outlineLevel="0" collapsed="false">
      <c r="A30" s="14" t="s">
        <v>108</v>
      </c>
      <c r="B30" s="26" t="n">
        <f aca="false">IFERROR(ROUND(SUM(tblTesvik[Aylık Teşvik (₺)]),0),0)</f>
        <v>67300</v>
      </c>
    </row>
    <row r="31" customFormat="false" ht="15" hidden="false" customHeight="false" outlineLevel="0" collapsed="false">
      <c r="A31" s="14" t="s">
        <v>109</v>
      </c>
      <c r="B31" s="26" t="n">
        <f aca="false">B30*AySayisi</f>
        <v>807600</v>
      </c>
    </row>
    <row r="32" customFormat="false" ht="15" hidden="false" customHeight="false" outlineLevel="0" collapsed="false">
      <c r="A32" s="14" t="s">
        <v>110</v>
      </c>
      <c r="B32" s="26" t="n">
        <f aca="false">IFERROR(ROUND(SUMIFS(tblTesvik[Aylık Teşvik (₺)],tblTesvik[Kaçırılan?],"Evet"),0),0)</f>
        <v>28830</v>
      </c>
    </row>
    <row r="33" customFormat="false" ht="15" hidden="false" customHeight="false" outlineLevel="0" collapsed="false">
      <c r="A33" s="14" t="s">
        <v>111</v>
      </c>
      <c r="B33" s="26" t="n">
        <f aca="false">B32*AySayisi</f>
        <v>345960</v>
      </c>
    </row>
    <row r="34" customFormat="false" ht="15" hidden="false" customHeight="false" outlineLevel="0" collapsed="false">
      <c r="A34" s="14" t="s">
        <v>112</v>
      </c>
      <c r="B34" s="26" t="n">
        <f aca="false">B31-B33</f>
        <v>461640</v>
      </c>
    </row>
    <row r="35" customFormat="false" ht="15" hidden="false" customHeight="false" outlineLevel="0" collapsed="false">
      <c r="A35" s="14" t="s">
        <v>113</v>
      </c>
      <c r="B35" s="28" t="n">
        <f aca="false">IFERROR(B31/B27,0)</f>
        <v>0.100254434731831</v>
      </c>
    </row>
    <row r="36" customFormat="false" ht="15" hidden="false" customHeight="false" outlineLevel="0" collapsed="false">
      <c r="A36" s="14" t="s">
        <v>114</v>
      </c>
      <c r="B36" s="28" t="n">
        <f aca="false">IFERROR(B33/B27,0)</f>
        <v>0.0429470334817039</v>
      </c>
    </row>
    <row r="37" customFormat="false" ht="15" hidden="false" customHeight="false" outlineLevel="0" collapsed="false">
      <c r="A37" s="14" t="s">
        <v>115</v>
      </c>
      <c r="B37" s="26" t="n">
        <f aca="false">B21-B30</f>
        <v>603992</v>
      </c>
    </row>
    <row r="39" customFormat="false" ht="15" hidden="false" customHeight="false" outlineLevel="0" collapsed="false">
      <c r="A39" s="25" t="s">
        <v>116</v>
      </c>
    </row>
    <row r="40" customFormat="false" ht="15" hidden="false" customHeight="false" outlineLevel="0" collapsed="false">
      <c r="A40" s="14" t="s">
        <v>117</v>
      </c>
      <c r="B40" s="28" t="n">
        <f aca="false">IFERROR(B20/B6,0)</f>
        <v>0.395617463617464</v>
      </c>
    </row>
    <row r="41" customFormat="false" ht="15" hidden="false" customHeight="false" outlineLevel="0" collapsed="false">
      <c r="A41" s="14" t="s">
        <v>118</v>
      </c>
      <c r="B41" s="26" t="n">
        <f aca="false">IFERROR(B21/(B7*AylikCalismaSaati),0)</f>
        <v>266.385714285714</v>
      </c>
    </row>
    <row r="42" customFormat="false" ht="15" hidden="false" customHeight="false" outlineLevel="0" collapsed="false">
      <c r="A42" s="14" t="s">
        <v>119</v>
      </c>
      <c r="B42" s="26" t="n">
        <f aca="false">IFERROR(B27/B7,0)</f>
        <v>575393.142857143</v>
      </c>
    </row>
    <row r="44" customFormat="false" ht="15" hidden="false" customHeight="false" outlineLevel="0" collapsed="false">
      <c r="A44" s="25" t="s">
        <v>120</v>
      </c>
    </row>
    <row r="45" customFormat="false" ht="15" hidden="false" customHeight="false" outlineLevel="0" collapsed="false">
      <c r="A45" s="14" t="s">
        <v>121</v>
      </c>
      <c r="B45" s="27" t="n">
        <f aca="false">SUMPRODUCT(--(ABS(tblCalisan[Brüt Ücret (₺)]-B10)&gt;AnomaliEsikKat*B13))</f>
        <v>1000</v>
      </c>
    </row>
    <row r="46" customFormat="false" ht="25.5" hidden="false" customHeight="true" outlineLevel="0" collapsed="false">
      <c r="A46" s="14" t="s">
        <v>122</v>
      </c>
      <c r="B46" s="27" t="str">
        <f aca="false">_xlfn.TEXTJOIN(" | ",TRUE(),"Anomali sayısı "&amp;B45,"Ortanca "&amp;TEXT(B10,"#,##0")&amp;" ₺","Eşik sapma "&amp;TEXT(AnomaliEsikKat*B13,"#,##0")&amp;" ₺")</f>
        <v>Anomali sayısı 1000 | Ortanca 34.000 ₺ | Eşik sapma 0 ₺</v>
      </c>
    </row>
    <row r="47" customFormat="false" ht="25.5" hidden="false" customHeight="true" outlineLevel="0" collapsed="false">
      <c r="A47" s="14" t="s">
        <v>123</v>
      </c>
      <c r="B47" s="28" t="n">
        <f aca="false">IFERROR(MAX(SENARYO_DUYARLILIK!E13:E15),0)</f>
        <v>0.0468717264618081</v>
      </c>
    </row>
    <row r="48" customFormat="false" ht="25.5" hidden="false" customHeight="true" outlineLevel="0" collapsed="false">
      <c r="A48" s="14" t="s">
        <v>124</v>
      </c>
      <c r="B48" s="27" t="str">
        <f aca="false">_xlfn.TEXTJOIN(" | ",TRUE(),"En etkili değişken "&amp;TEXT(B47,"0.0%"),"Değişim "&amp;TEXT(DuyarliDegisim,"0.0%"),"Baz maliyet "&amp;TEXT(YillikGercekMaliyet,"#,##0")&amp;" ₺")</f>
        <v>En etkili değişken 05% | Değişim 05% | Baz maliyet 8.055.504 ₺</v>
      </c>
    </row>
    <row r="49" customFormat="false" ht="25.5" hidden="false" customHeight="true" outlineLevel="0" collapsed="false">
      <c r="A49" s="14" t="s">
        <v>125</v>
      </c>
      <c r="B49" s="26" t="n">
        <f aca="false">SENARYO_DUYARLILIK!D8</f>
        <v>7551504</v>
      </c>
    </row>
    <row r="50" customFormat="false" ht="25.5" hidden="false" customHeight="true" outlineLevel="0" collapsed="false">
      <c r="A50" s="14" t="s">
        <v>126</v>
      </c>
      <c r="B50" s="27" t="str">
        <f aca="false">_xlfn.TEXTJOIN(" | ",TRUE(),"Baz senaryo "&amp;TEXT(B49,"#,##0")&amp;" ₺","İyimser "&amp;TEXT(SENARYO_DUYARLILIK!D9,"#,##0")&amp;" ₺","Kötümser "&amp;TEXT(SENARYO_DUYARLILIK!D7,"#,##0")&amp;" ₺")</f>
        <v>Baz senaryo 7.551.504 ₺ | İyimser 8.306.664 ₺ | Kötümser 6.796.356 ₺</v>
      </c>
    </row>
    <row r="51" customFormat="false" ht="25.5" hidden="false" customHeight="true" outlineLevel="0" collapsed="false">
      <c r="A51" s="14" t="s">
        <v>127</v>
      </c>
      <c r="B51" s="27" t="n">
        <f aca="false">VeriKaliteSkoru</f>
        <v>90</v>
      </c>
    </row>
    <row r="52" customFormat="false" ht="25.5" hidden="false" customHeight="true" outlineLevel="0" collapsed="false">
      <c r="A52" s="14" t="s">
        <v>128</v>
      </c>
      <c r="B52" s="27" t="str">
        <f aca="false">_xlfn.TEXTJOIN(" | ",TRUE(),"Skor "&amp;TEXT(B51,"0")&amp;"/100","Seviye "&amp;VeriKaliteSeviyesi,"PASS "&amp;PASS_Sayisi&amp;" FAIL "&amp;FAIL_Sayisi)</f>
        <v>Skor 90/100 | Seviye SAĞLIKLI | PASS 7 FAIL 0</v>
      </c>
    </row>
    <row r="53" customFormat="false" ht="25.5" hidden="false" customHeight="true" outlineLevel="0" collapsed="false">
      <c r="A53" s="14" t="s">
        <v>129</v>
      </c>
      <c r="B53" s="26" t="n">
        <f aca="false">B21</f>
        <v>671292</v>
      </c>
    </row>
    <row r="54" customFormat="false" ht="25.5" hidden="false" customHeight="true" outlineLevel="0" collapsed="false">
      <c r="A54" s="14" t="s">
        <v>130</v>
      </c>
      <c r="B54" s="26" t="n">
        <f aca="false">IFERROR(B53-TahminGuvenKatsayisi*B13*SQRT(B7),0)</f>
        <v>671292</v>
      </c>
    </row>
    <row r="55" customFormat="false" ht="25.5" hidden="false" customHeight="true" outlineLevel="0" collapsed="false">
      <c r="A55" s="14" t="s">
        <v>131</v>
      </c>
      <c r="B55" s="26" t="n">
        <f aca="false">IFERROR(B53+TahminGuvenKatsayisi*B13*SQRT(B7),0)</f>
        <v>671292</v>
      </c>
    </row>
    <row r="56" customFormat="false" ht="25.5" hidden="false" customHeight="true" outlineLevel="0" collapsed="false">
      <c r="A56" s="14" t="s">
        <v>132</v>
      </c>
      <c r="B56" s="27" t="str">
        <f aca="false">_xlfn.TEXTJOIN(" | ",TRUE(),"Tahmin "&amp;TEXT(B53,"#,##0")&amp;" ₺/ay","Aralık "&amp;TEXT(B54,"#,##0")&amp;" - "&amp;TEXT(B55,"#,##0")&amp;" ₺","Güven "&amp;TEXT(TahminGuvenKatsayisi,"0.0"))</f>
        <v>Tahmin 671.292 ₺/ay | Aralık 671.292 - 671.292 ₺ | Güven 02</v>
      </c>
    </row>
    <row r="57" customFormat="false" ht="25.5" hidden="false" customHeight="true" outlineLevel="0" collapsed="false">
      <c r="A57" s="14" t="s">
        <v>133</v>
      </c>
      <c r="B57" s="26" t="n">
        <f aca="false">IFERROR(PERCENTILE(tblCalisan[Brüt Ücret (₺)],P10Katsayi),0)</f>
        <v>26300</v>
      </c>
    </row>
    <row r="58" customFormat="false" ht="25.5" hidden="false" customHeight="true" outlineLevel="0" collapsed="false">
      <c r="A58" s="14" t="s">
        <v>134</v>
      </c>
      <c r="B58" s="26" t="n">
        <f aca="false">IFERROR(PERCENTILE(tblCalisan[Brüt Ücret (₺)],P50Katsayi),0)</f>
        <v>34000</v>
      </c>
    </row>
    <row r="59" customFormat="false" ht="25.5" hidden="false" customHeight="true" outlineLevel="0" collapsed="false">
      <c r="A59" s="14" t="s">
        <v>135</v>
      </c>
      <c r="B59" s="26" t="n">
        <f aca="false">IFERROR(PERCENTILE(tblCalisan[Brüt Ücret (₺)],P90Katsayi),0)</f>
        <v>44100</v>
      </c>
    </row>
    <row r="60" customFormat="false" ht="25.5" hidden="false" customHeight="true" outlineLevel="0" collapsed="false">
      <c r="A60" s="14" t="s">
        <v>136</v>
      </c>
      <c r="B60" s="27" t="str">
        <f aca="false">_xlfn.TEXTJOIN(" | ",TRUE(),"P90 "&amp;TEXT(B59,"#,##0")&amp;" ₺","P50 "&amp;TEXT(B58,"#,##0")&amp;" ₺","P10 "&amp;TEXT(B57,"#,##0")&amp;" ₺")</f>
        <v>P90 44.100 ₺ | P50 34.000 ₺ | P10 26.300 ₺</v>
      </c>
    </row>
    <row r="61" customFormat="false" ht="25.5" hidden="false" customHeight="true" outlineLevel="0" collapsed="false">
      <c r="A61" s="14" t="s">
        <v>137</v>
      </c>
      <c r="B61" s="26" t="n">
        <f aca="false">IFERROR(B33/GeriKazanimHedefAy,0)</f>
        <v>28830</v>
      </c>
    </row>
    <row r="62" customFormat="false" ht="25.5" hidden="false" customHeight="true" outlineLevel="0" collapsed="false">
      <c r="A62" s="14" t="s">
        <v>138</v>
      </c>
      <c r="B62" s="27" t="str">
        <f aca="false">_xlfn.TEXTJOIN(" | ",TRUE(),"Aylık hedef "&amp;TEXT(B61,"#,##0")&amp;" ₺/ay","Hedef süre "&amp;TEXT(GeriKazanimHedefAy,"0")&amp;" ay","Kaçırılan "&amp;TEXT(B33,"#,##0")&amp;" ₺/yıl")</f>
        <v>Aylık hedef 28.830 ₺/ay | Hedef süre 12 ay | Kaçırılan 345.960 ₺/yıl</v>
      </c>
    </row>
    <row r="63" customFormat="false" ht="25.5" hidden="false" customHeight="true" outlineLevel="0" collapsed="false">
      <c r="A63" s="14" t="s">
        <v>139</v>
      </c>
      <c r="B63" s="28" t="n">
        <f aca="false">IFERROR(B40-YukOranKararEsik,0)</f>
        <v>0.0956174636174637</v>
      </c>
    </row>
    <row r="64" customFormat="false" ht="25.5" hidden="false" customHeight="true" outlineLevel="0" collapsed="false">
      <c r="A64" s="14" t="s">
        <v>140</v>
      </c>
      <c r="B64" s="27" t="str">
        <f aca="false">_xlfn.TEXTJOIN(" | ",TRUE(),"Eşik farkı "&amp;TEXT(B63,"0.0%"),"Karar eşiği "&amp;TEXT(YukOranKararEsik,"0.0%"),"Mevcut yük "&amp;TEXT(B40,"0.0%"))</f>
        <v>Eşik farkı 10% | Karar eşiği 30% | Mevcut yük 40%</v>
      </c>
    </row>
    <row r="66" customFormat="false" ht="19.5" hidden="false" customHeight="true" outlineLevel="0" collapsed="false">
      <c r="A66" s="11" t="s">
        <v>141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</row>
  </sheetData>
  <sheetProtection sheet="true" password="cc3d" objects="true" scenarios="true" deleteColumns="false" deleteRows="false"/>
  <mergeCells count="2">
    <mergeCell ref="A1:AD1"/>
    <mergeCell ref="A66:AN66"/>
  </mergeCells>
  <conditionalFormatting sqref="B36">
    <cfRule type="cellIs" priority="2" operator="greaterThan" aboveAverage="0" equalAverage="0" bottom="0" percent="0" rank="0" text="" dxfId="10">
      <formula>0.15</formula>
    </cfRule>
  </conditionalFormatting>
  <conditionalFormatting sqref="B45">
    <cfRule type="cellIs" priority="3" operator="greaterThan" aboveAverage="0" equalAverage="0" bottom="0" percent="0" rank="0" text="" dxfId="10">
      <formula>0</formula>
    </cfRule>
  </conditionalFormatting>
  <conditionalFormatting sqref="B63">
    <cfRule type="cellIs" priority="4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2" t="s">
        <v>142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143</v>
      </c>
    </row>
    <row r="6" customFormat="false" ht="15" hidden="false" customHeight="false" outlineLevel="0" collapsed="false">
      <c r="A6" s="14" t="s">
        <v>144</v>
      </c>
      <c r="B6" s="27" t="str">
        <f aca="false">IF(FirmaUnvani="","FAIL","PASS")</f>
        <v>PASS</v>
      </c>
    </row>
    <row r="7" customFormat="false" ht="15" hidden="false" customHeight="false" outlineLevel="0" collapsed="false">
      <c r="A7" s="14" t="s">
        <v>145</v>
      </c>
      <c r="B7" s="27" t="str">
        <f aca="false">IF(COUNTIF(tblCalisan[Brüt Ücret (₺)],"&lt;=0")&gt;0,"FAIL","PASS")</f>
        <v>PASS</v>
      </c>
    </row>
    <row r="8" customFormat="false" ht="15" hidden="false" customHeight="false" outlineLevel="0" collapsed="false">
      <c r="A8" s="14" t="s">
        <v>146</v>
      </c>
      <c r="B8" s="27" t="str">
        <f aca="false">IF(COUNTIF(tblCalisan[Prim Günü],"&lt;1")+COUNTIF(tblCalisan[Prim Günü],"&gt;30")&gt;0,"FAIL","PASS")</f>
        <v>PASS</v>
      </c>
    </row>
    <row r="9" customFormat="false" ht="15" hidden="false" customHeight="false" outlineLevel="0" collapsed="false">
      <c r="A9" s="14" t="s">
        <v>147</v>
      </c>
      <c r="B9" s="27" t="str">
        <f aca="false">IF(CalisanSayisi=0,"FAIL","PASS")</f>
        <v>PASS</v>
      </c>
    </row>
    <row r="10" customFormat="false" ht="15" hidden="false" customHeight="false" outlineLevel="0" collapsed="false">
      <c r="A10" s="14" t="s">
        <v>148</v>
      </c>
      <c r="B10" s="27" t="str">
        <f aca="false">IF(COUNT(tblTesvik[Aylık Teşvik (₺)])=0,"FAIL","PASS")</f>
        <v>PASS</v>
      </c>
    </row>
    <row r="11" customFormat="false" ht="15" hidden="false" customHeight="false" outlineLevel="0" collapsed="false">
      <c r="A11" s="14" t="s">
        <v>149</v>
      </c>
      <c r="B11" s="27" t="str">
        <f aca="false">IF(OR(IsverenYukOrani&lt;YukOranAltEsik,IsverenYukOrani&gt;YukOranUstEsik),"WARN","PASS")</f>
        <v>PASS</v>
      </c>
    </row>
    <row r="12" customFormat="false" ht="15" hidden="false" customHeight="false" outlineLevel="0" collapsed="false">
      <c r="A12" s="14" t="s">
        <v>150</v>
      </c>
      <c r="B12" s="27" t="str">
        <f aca="false">IF(KacirilanTesvik&gt;KacirilanTesvikEsik,"WARN","PASS")</f>
        <v>WARN</v>
      </c>
    </row>
    <row r="13" customFormat="false" ht="15" hidden="false" customHeight="false" outlineLevel="0" collapsed="false">
      <c r="A13" s="14" t="s">
        <v>151</v>
      </c>
      <c r="B13" s="27" t="str">
        <f aca="false">IF(ToplamAylikTesvik&gt;ToplamBrutUcret,"FAIL","PASS")</f>
        <v>PASS</v>
      </c>
    </row>
    <row r="16" customFormat="false" ht="15" hidden="false" customHeight="false" outlineLevel="0" collapsed="false">
      <c r="A16" s="14" t="s">
        <v>152</v>
      </c>
      <c r="B16" s="27" t="n">
        <f aca="false">COUNTIF(B6:B13,"PASS")</f>
        <v>7</v>
      </c>
    </row>
    <row r="17" customFormat="false" ht="15" hidden="false" customHeight="false" outlineLevel="0" collapsed="false">
      <c r="A17" s="14" t="s">
        <v>153</v>
      </c>
      <c r="B17" s="27" t="n">
        <f aca="false">COUNTIF(B6:B13,"FAIL")</f>
        <v>0</v>
      </c>
    </row>
    <row r="18" customFormat="false" ht="15" hidden="false" customHeight="false" outlineLevel="0" collapsed="false">
      <c r="A18" s="14" t="s">
        <v>154</v>
      </c>
      <c r="B18" s="27" t="n">
        <f aca="false">IF(COUNTIF(B6:B13,"FAIL")=0,ROUND(100-COUNTIF(B6:B13,"WARN")*VeriKaliteUyariCeza,0),0)</f>
        <v>90</v>
      </c>
    </row>
    <row r="19" customFormat="false" ht="15" hidden="false" customHeight="false" outlineLevel="0" collapsed="false">
      <c r="A19" s="14" t="s">
        <v>155</v>
      </c>
      <c r="B19" s="27" t="str">
        <f aca="false">IF(VeriKaliteSkoru=0,"VERİ YOK",IF(VeriKaliteSkoru&gt;=VeriKaliteIyiEsik,"SAĞLIKLI",IF(VeriKaliteSkoru&gt;=VeriKaliteOrtaEsik,"DİKKAT","ZAYIF")))</f>
        <v>SAĞLIKLI</v>
      </c>
    </row>
    <row r="20" customFormat="false" ht="15" hidden="false" customHeight="false" outlineLevel="0" collapsed="false">
      <c r="A20" s="14" t="s">
        <v>156</v>
      </c>
      <c r="B20" s="27" t="str">
        <f aca="false">IF(FAIL_Sayisi=0,"SAĞLIKLI","İNCELE")</f>
        <v>SAĞLIKLI</v>
      </c>
    </row>
    <row r="22" customFormat="false" ht="19.5" hidden="false" customHeight="true" outlineLevel="0" collapsed="false">
      <c r="A22" s="11" t="s">
        <v>157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0">
      <formula>"FAIL"</formula>
    </cfRule>
    <cfRule type="cellIs" priority="3" operator="equal" aboveAverage="0" equalAverage="0" bottom="0" percent="0" rank="0" text="" dxfId="9">
      <formula>"WARN"</formula>
    </cfRule>
    <cfRule type="cellIs" priority="4" operator="equal" aboveAverage="0" equalAverage="0" bottom="0" percent="0" rank="0" text="" dxfId="8">
      <formula>"PASS"</formula>
    </cfRule>
  </conditionalFormatting>
  <conditionalFormatting sqref="B20">
    <cfRule type="cellIs" priority="5" operator="equal" aboveAverage="0" equalAverage="0" bottom="0" percent="0" rank="0" text="" dxfId="8">
      <formula>"SAĞLIKLI"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2" t="s">
        <v>158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159</v>
      </c>
    </row>
    <row r="6" customFormat="false" ht="15" hidden="false" customHeight="false" outlineLevel="0" collapsed="false">
      <c r="A6" s="14" t="s">
        <v>160</v>
      </c>
      <c r="B6" s="26" t="n">
        <f aca="false">KacirilanTesvik</f>
        <v>345960</v>
      </c>
    </row>
    <row r="7" customFormat="false" ht="15" hidden="false" customHeight="false" outlineLevel="0" collapsed="false">
      <c r="A7" s="14" t="s">
        <v>113</v>
      </c>
      <c r="B7" s="28" t="n">
        <f aca="false">TesvikKullanimOrani</f>
        <v>0.100254434731831</v>
      </c>
    </row>
    <row r="8" customFormat="false" ht="15" hidden="false" customHeight="false" outlineLevel="0" collapsed="false">
      <c r="A8" s="14" t="s">
        <v>117</v>
      </c>
      <c r="B8" s="28" t="n">
        <f aca="false">IsverenYukOrani</f>
        <v>0.395617463617464</v>
      </c>
    </row>
    <row r="9" customFormat="false" ht="15" hidden="false" customHeight="false" outlineLevel="0" collapsed="false">
      <c r="A9" s="14" t="s">
        <v>161</v>
      </c>
      <c r="B9" s="26" t="n">
        <f aca="false">CalisanBasiMaliyet</f>
        <v>47949.4285714286</v>
      </c>
    </row>
    <row r="11" customFormat="false" ht="15" hidden="false" customHeight="false" outlineLevel="0" collapsed="false">
      <c r="A11" s="14" t="s">
        <v>162</v>
      </c>
      <c r="B11" s="27" t="str">
        <f aca="false">IF(VeriKaliteSkoru=0,"VERİ YOK",IF(KacirilanTesvik&gt;KacirilanTesvikEsik,"DURDUR",IF(CalisanBasiMaliyet&gt;MaliyetEsik,"İNCELE",IF(TesvikKullanimOrani&lt;KullanimOranEsik,"İNCELE","UYGUN"))))</f>
        <v>DURDUR</v>
      </c>
    </row>
    <row r="12" customFormat="false" ht="55.2" hidden="false" customHeight="false" outlineLevel="0" collapsed="false">
      <c r="A12" s="14" t="s">
        <v>163</v>
      </c>
      <c r="B12" s="29" t="str">
        <f aca="false">IF(VeriKaliteSkoru=0,"Girdi eksik; lütfen sarı hücreleri doldurun.",IF(KacirilanTesvik&gt;KacirilanTesvikEsik,"Yılda "&amp;TEXT(KacirilanTesvik,"#,##0")&amp;" ₺ teşvik kaçırılıyor; SGK başvuru süreçlerini başlatın.",IF(CalisanBasiMaliyet&gt;MaliyetEsik,"Çalışan başı maliyet "&amp;TEXT(CalisanBasiMaliyet,"#,##0")&amp;" ₺ ile eşik üzerinde; maliyet kalemlerini inceleyin.","Teşvik kullanımı yetersiz; kalan hakları araştırın.")))</f>
        <v>Yılda 345.960 ₺ teşvik kaçırılıyor; SGK başvuru süreçlerini başlatın.</v>
      </c>
    </row>
    <row r="15" customFormat="false" ht="28.35" hidden="false" customHeight="false" outlineLevel="0" collapsed="false">
      <c r="A15" s="30" t="str">
        <f aca="false">IF(OR(KararSonuc="VERİ YOK",KararSonuc="DURDUR"),"SGK e-Sigorta üzerinden teşvik başvuru ve bildirimlerini kontrol edin",IF(KacirilanTesvik&gt;0,"Kaçırılan teşvikleri aylık prim hizmet belgesiyle geriye dönük talep edin","Teşviklerden yararlanmaya devam edin"))</f>
        <v>SGK e-Sigorta üzerinden teşvik başvuru ve bildirimlerini kontrol edin</v>
      </c>
    </row>
    <row r="16" customFormat="false" ht="28.35" hidden="false" customHeight="false" outlineLevel="0" collapsed="false">
      <c r="A16" s="30" t="str">
        <f aca="false">IF(KacirilanTesvik&gt;KacirilanTesvikEsik,"Mali müşavirinizle SGK teşvik mutabakatı yapın","Teşvik durumunu üç ayda bir gözden geçirin")</f>
        <v>Mali müşavirinizle SGK teşvik mutabakatı yapın</v>
      </c>
    </row>
    <row r="17" customFormat="false" ht="28.35" hidden="false" customHeight="false" outlineLevel="0" collapsed="false">
      <c r="A17" s="30" t="str">
        <f aca="false">IF(IsverenYukOrani&gt;YukOranKararEsik,"İşveren yükü yüksek; teşvik kapsamını genişletin","İşveren yükü normal seviyede")</f>
        <v>İşveren yükü yüksek; teşvik kapsamını genişletin</v>
      </c>
    </row>
    <row r="19" customFormat="false" ht="19.5" hidden="false" customHeight="true" outlineLevel="0" collapsed="false">
      <c r="A19" s="11" t="s">
        <v>164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2">
    <mergeCell ref="A1:AD1"/>
    <mergeCell ref="A19:AN19"/>
  </mergeCells>
  <conditionalFormatting sqref="B11">
    <cfRule type="cellIs" priority="2" operator="equal" aboveAverage="0" equalAverage="0" bottom="0" percent="0" rank="0" text="" dxfId="8">
      <formula>"UYGUN"</formula>
    </cfRule>
    <cfRule type="cellIs" priority="3" operator="equal" aboveAverage="0" equalAverage="0" bottom="0" percent="0" rank="0" text="" dxfId="9">
      <formula>"İNCELE"</formula>
    </cfRule>
    <cfRule type="cellIs" priority="4" operator="equal" aboveAverage="0" equalAverage="0" bottom="0" percent="0" rank="0" text="" dxfId="10">
      <formula>"DURDUR"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31" t="s">
        <v>166</v>
      </c>
    </row>
    <row r="5" customFormat="false" ht="15" hidden="false" customHeight="false" outlineLevel="0" collapsed="false">
      <c r="A5" s="14" t="s">
        <v>101</v>
      </c>
      <c r="B5" s="32" t="n">
        <f aca="false">AylikGercekMaliyet</f>
        <v>671292</v>
      </c>
    </row>
    <row r="6" customFormat="false" ht="15" hidden="false" customHeight="false" outlineLevel="0" collapsed="false">
      <c r="A6" s="14" t="s">
        <v>106</v>
      </c>
      <c r="B6" s="32" t="n">
        <f aca="false">YillikGercekMaliyet</f>
        <v>8055504</v>
      </c>
    </row>
    <row r="7" customFormat="false" ht="15" hidden="false" customHeight="false" outlineLevel="0" collapsed="false">
      <c r="A7" s="14" t="s">
        <v>115</v>
      </c>
      <c r="B7" s="32" t="n">
        <f aca="false">TesvikliAylikMaliyet</f>
        <v>603992</v>
      </c>
    </row>
    <row r="8" customFormat="false" ht="15" hidden="false" customHeight="false" outlineLevel="0" collapsed="false">
      <c r="A8" s="14" t="s">
        <v>167</v>
      </c>
      <c r="B8" s="32" t="n">
        <f aca="false">AylikGercekMaliyet</f>
        <v>671292</v>
      </c>
    </row>
    <row r="9" customFormat="false" ht="15" hidden="false" customHeight="false" outlineLevel="0" collapsed="false">
      <c r="A9" s="14" t="s">
        <v>160</v>
      </c>
      <c r="B9" s="32" t="n">
        <f aca="false">KacirilanTesvik</f>
        <v>345960</v>
      </c>
    </row>
    <row r="10" customFormat="false" ht="15" hidden="false" customHeight="false" outlineLevel="0" collapsed="false">
      <c r="A10" s="14" t="s">
        <v>113</v>
      </c>
      <c r="B10" s="33" t="n">
        <f aca="false">TesvikKullanimOrani</f>
        <v>0.100254434731831</v>
      </c>
    </row>
    <row r="11" customFormat="false" ht="15" hidden="false" customHeight="false" outlineLevel="0" collapsed="false">
      <c r="A11" s="14" t="s">
        <v>117</v>
      </c>
      <c r="B11" s="33" t="n">
        <f aca="false">IsverenYukOrani</f>
        <v>0.395617463617464</v>
      </c>
    </row>
    <row r="12" customFormat="false" ht="15" hidden="false" customHeight="false" outlineLevel="0" collapsed="false">
      <c r="A12" s="14" t="s">
        <v>168</v>
      </c>
      <c r="B12" s="34" t="n">
        <f aca="false">CalisanSayisi</f>
        <v>14</v>
      </c>
    </row>
    <row r="13" customFormat="false" ht="15" hidden="false" customHeight="false" outlineLevel="0" collapsed="false">
      <c r="A13" s="14" t="s">
        <v>169</v>
      </c>
      <c r="B13" s="32" t="n">
        <f aca="false">CalisanBasiMaliyet</f>
        <v>47949.4285714286</v>
      </c>
    </row>
    <row r="14" customFormat="false" ht="15" hidden="false" customHeight="false" outlineLevel="0" collapsed="false">
      <c r="A14" s="14" t="s">
        <v>154</v>
      </c>
      <c r="B14" s="34" t="n">
        <f aca="false">VeriKaliteSkoru</f>
        <v>90</v>
      </c>
    </row>
    <row r="15" customFormat="false" ht="17.15" hidden="false" customHeight="false" outlineLevel="0" collapsed="false">
      <c r="A15" s="14" t="s">
        <v>162</v>
      </c>
      <c r="B15" s="34" t="str">
        <f aca="false">KararSonuc</f>
        <v>DURDUR</v>
      </c>
    </row>
    <row r="16" customFormat="false" ht="15" hidden="false" customHeight="false" outlineLevel="0" collapsed="false">
      <c r="A16" s="14" t="s">
        <v>170</v>
      </c>
      <c r="B16" s="34" t="str">
        <f aca="false">KararGerekce</f>
        <v>Yılda 345.960 ₺ teşvik kaçırılıyor; SGK başvuru süreçlerini başlatın.</v>
      </c>
    </row>
    <row r="18" customFormat="false" ht="15" hidden="false" customHeight="false" outlineLevel="0" collapsed="false">
      <c r="A18" s="13" t="s">
        <v>171</v>
      </c>
    </row>
    <row r="19" customFormat="false" ht="28.35" hidden="false" customHeight="false" outlineLevel="0" collapsed="false">
      <c r="A19" s="35" t="str">
        <f aca="false">"Toplam işveren yükü "&amp;TEXT(IsverenYukOrani,"0.0%")&amp;"; kaçırılan teşvik "&amp;TEXT(KacirilanTesvik,"#,##0")&amp;" ₺/yıl."</f>
        <v>Toplam işveren yükü 40%; kaçırılan teşvik 345.960 ₺/yıl.</v>
      </c>
    </row>
    <row r="20" customFormat="false" ht="28.35" hidden="false" customHeight="false" outlineLevel="0" collapsed="false">
      <c r="A20" s="35" t="str">
        <f aca="false">"Teşvik kullanım oranı "&amp;TEXT(TesvikKullanimOrani,"0.0%")&amp;"; çalışan başı maliyet "&amp;TEXT(CalisanBasiMaliyet,"#,##0")&amp;" ₺/ay."</f>
        <v>Teşvik kullanım oranı 10%; çalışan başı maliyet 47.949 ₺/ay.</v>
      </c>
    </row>
    <row r="21" customFormat="false" ht="15" hidden="false" customHeight="false" outlineLevel="0" collapsed="false">
      <c r="A21" s="35" t="str">
        <f aca="false">"İşveren yükü oranı "&amp;TEXT(IsverenYukOrani,"0.0%")&amp;"; işsizlik payı dahil edildi."</f>
        <v>İşveren yükü oranı 40%; işsizlik payı dahil edildi.</v>
      </c>
    </row>
    <row r="23" customFormat="false" ht="15" hidden="false" customHeight="false" outlineLevel="0" collapsed="false">
      <c r="A23" s="17" t="s">
        <v>172</v>
      </c>
    </row>
    <row r="24" customFormat="false" ht="15" hidden="false" customHeight="false" outlineLevel="0" collapsed="false">
      <c r="A24" s="14" t="s">
        <v>173</v>
      </c>
      <c r="B24" s="26" t="n">
        <f aca="false">modulI1TahminOrta</f>
        <v>671292</v>
      </c>
    </row>
    <row r="25" customFormat="false" ht="15" hidden="false" customHeight="false" outlineLevel="0" collapsed="false">
      <c r="A25" s="14" t="s">
        <v>174</v>
      </c>
      <c r="B25" s="26" t="n">
        <f aca="false">modulI1TahminAlt</f>
        <v>671292</v>
      </c>
    </row>
    <row r="26" customFormat="false" ht="15" hidden="false" customHeight="false" outlineLevel="0" collapsed="false">
      <c r="A26" s="14" t="s">
        <v>175</v>
      </c>
      <c r="B26" s="26" t="n">
        <f aca="false">modulI1TahminUst</f>
        <v>671292</v>
      </c>
    </row>
    <row r="28" customFormat="false" ht="15" hidden="false" customHeight="false" outlineLevel="0" collapsed="false">
      <c r="A28" s="36" t="s">
        <v>176</v>
      </c>
    </row>
    <row r="37" customFormat="false" ht="15" hidden="false" customHeight="false" outlineLevel="0" collapsed="false">
      <c r="A37" s="36" t="s">
        <v>177</v>
      </c>
    </row>
    <row r="53" customFormat="false" ht="15" hidden="false" customHeight="false" outlineLevel="0" collapsed="false">
      <c r="A53" s="36" t="s">
        <v>178</v>
      </c>
    </row>
    <row r="69" customFormat="false" ht="15" hidden="false" customHeight="false" outlineLevel="0" collapsed="false">
      <c r="A69" s="36" t="s">
        <v>179</v>
      </c>
    </row>
    <row r="85" customFormat="false" ht="15" hidden="false" customHeight="false" outlineLevel="0" collapsed="false">
      <c r="A85" s="36" t="s">
        <v>180</v>
      </c>
    </row>
    <row r="101" customFormat="false" ht="15" hidden="false" customHeight="false" outlineLevel="0" collapsed="false">
      <c r="A101" s="36" t="s">
        <v>181</v>
      </c>
    </row>
    <row r="157" customFormat="false" ht="19.5" hidden="false" customHeight="true" outlineLevel="0" collapsed="false">
      <c r="A157" s="11" t="s">
        <v>182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</row>
  </sheetData>
  <sheetProtection sheet="true" password="cc3d" objects="true" scenarios="true" deleteColumns="false" deleteRows="false"/>
  <mergeCells count="2">
    <mergeCell ref="A1:AD1"/>
    <mergeCell ref="A157:AN157"/>
  </mergeCells>
  <conditionalFormatting sqref="B15">
    <cfRule type="cellIs" priority="2" operator="equal" aboveAverage="0" equalAverage="0" bottom="0" percent="0" rank="0" text="" dxfId="8">
      <formula>"UYGUN"</formula>
    </cfRule>
    <cfRule type="cellIs" priority="3" operator="equal" aboveAverage="0" equalAverage="0" bottom="0" percent="0" rank="0" text="" dxfId="9">
      <formula>"İNCELE"</formula>
    </cfRule>
    <cfRule type="cellIs" priority="4" operator="equal" aboveAverage="0" equalAverage="0" bottom="0" percent="0" rank="0" text="" dxfId="10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&amp;LKAÇIRILAN SGK TEŞVİKLERİ GERÇEK İŞÇİLİK MALİYETİ ANALİZİ&amp;CExcelArşiv&amp;RSayfa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2" t="s">
        <v>183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184</v>
      </c>
    </row>
    <row r="5" customFormat="false" ht="15" hidden="false" customHeight="false" outlineLevel="0" collapsed="false">
      <c r="A5" s="25" t="s">
        <v>185</v>
      </c>
    </row>
    <row r="6" customFormat="false" ht="30" hidden="false" customHeight="true" outlineLevel="0" collapsed="false">
      <c r="A6" s="18" t="s">
        <v>186</v>
      </c>
      <c r="B6" s="18" t="s">
        <v>187</v>
      </c>
      <c r="C6" s="18" t="s">
        <v>188</v>
      </c>
      <c r="D6" s="18" t="s">
        <v>189</v>
      </c>
      <c r="E6" s="18" t="s">
        <v>190</v>
      </c>
      <c r="F6" s="18" t="s">
        <v>191</v>
      </c>
    </row>
    <row r="7" customFormat="false" ht="15" hidden="false" customHeight="false" outlineLevel="0" collapsed="false">
      <c r="A7" s="14" t="s">
        <v>192</v>
      </c>
      <c r="B7" s="26" t="n">
        <f aca="false">IFERROR(ROUND(ToplamBrutUcret*(1-SenaryoKotumserKat),0),0)</f>
        <v>432900</v>
      </c>
      <c r="C7" s="26" t="n">
        <f aca="false">IFERROR(ROUND($B7*(IsverenPayiOrani+IssizlikOrani+KidemKarsilikOrani),0),0)</f>
        <v>133463</v>
      </c>
      <c r="D7" s="26" t="n">
        <f aca="false">IFERROR(ROUND(($B7+$C7)*AySayisi,0),0)</f>
        <v>6796356</v>
      </c>
      <c r="E7" s="26" t="n">
        <f aca="false">IFERROR(ROUND(KacirilanTesvik*(1+SenaryoKotumserKat),0),0)</f>
        <v>380556</v>
      </c>
      <c r="F7" s="26" t="n">
        <f aca="false">IFERROR($D7/AySayisi/CalisanSayisi,0)</f>
        <v>40454.5</v>
      </c>
    </row>
    <row r="8" customFormat="false" ht="15" hidden="false" customHeight="false" outlineLevel="0" collapsed="false">
      <c r="A8" s="14" t="s">
        <v>193</v>
      </c>
      <c r="B8" s="26" t="n">
        <f aca="false">ToplamBrutUcret</f>
        <v>481000</v>
      </c>
      <c r="C8" s="26" t="n">
        <f aca="false">IFERROR(ROUND($B8*(IsverenPayiOrani+IssizlikOrani+KidemKarsilikOrani),0),0)</f>
        <v>148292</v>
      </c>
      <c r="D8" s="26" t="n">
        <f aca="false">IFERROR(ROUND(($B8+$C8)*AySayisi,0),0)</f>
        <v>7551504</v>
      </c>
      <c r="E8" s="26" t="n">
        <f aca="false">KacirilanTesvik</f>
        <v>345960</v>
      </c>
      <c r="F8" s="26" t="n">
        <f aca="false">IFERROR($D8/AySayisi/CalisanSayisi,0)</f>
        <v>44949.4285714286</v>
      </c>
    </row>
    <row r="9" customFormat="false" ht="15" hidden="false" customHeight="false" outlineLevel="0" collapsed="false">
      <c r="A9" s="14" t="s">
        <v>194</v>
      </c>
      <c r="B9" s="26" t="n">
        <f aca="false">IFERROR(ROUND(ToplamBrutUcret*(1+SenaryoIyimserKat),0),0)</f>
        <v>529100</v>
      </c>
      <c r="C9" s="26" t="n">
        <f aca="false">IFERROR(ROUND($B9*(IsverenPayiOrani+IssizlikOrani+KidemKarsilikOrani),0),0)</f>
        <v>163122</v>
      </c>
      <c r="D9" s="26" t="n">
        <f aca="false">IFERROR(ROUND(($B9+$C9)*AySayisi,0),0)</f>
        <v>8306664</v>
      </c>
      <c r="E9" s="26" t="n">
        <f aca="false">IFERROR(ROUND(KacirilanTesvik*(1-SenaryoIyimserKat),0),0)</f>
        <v>311364</v>
      </c>
      <c r="F9" s="26" t="n">
        <f aca="false">IFERROR($D9/AySayisi/CalisanSayisi,0)</f>
        <v>49444.4285714286</v>
      </c>
    </row>
    <row r="11" customFormat="false" ht="15" hidden="false" customHeight="false" outlineLevel="0" collapsed="false">
      <c r="A11" s="25" t="s">
        <v>195</v>
      </c>
    </row>
    <row r="12" customFormat="false" ht="30" hidden="false" customHeight="true" outlineLevel="0" collapsed="false">
      <c r="A12" s="18" t="s">
        <v>196</v>
      </c>
      <c r="B12" s="18" t="s">
        <v>197</v>
      </c>
      <c r="C12" s="18" t="s">
        <v>189</v>
      </c>
      <c r="D12" s="18" t="s">
        <v>198</v>
      </c>
      <c r="E12" s="18" t="s">
        <v>199</v>
      </c>
    </row>
    <row r="13" customFormat="false" ht="15" hidden="false" customHeight="false" outlineLevel="0" collapsed="false">
      <c r="A13" s="14" t="s">
        <v>200</v>
      </c>
      <c r="B13" s="28" t="n">
        <f aca="false">IFERROR((C13-YillikGercekMaliyet)/YillikGercekMaliyet,0)</f>
        <v>0.00734441941807738</v>
      </c>
      <c r="C13" s="26" t="n">
        <f aca="false">IFERROR(YillikGercekMaliyet+(ToplamBrutUcret*IsverenPayiOrani*DuyarliDegisim*AySayisi),0)</f>
        <v>8114667</v>
      </c>
      <c r="D13" s="26" t="n">
        <f aca="false">IFERROR(C13-YillikGercekMaliyet,0)</f>
        <v>59163</v>
      </c>
      <c r="E13" s="28" t="n">
        <f aca="false">IFERROR(D13/YillikGercekMaliyet,0)</f>
        <v>0.00734441941807738</v>
      </c>
    </row>
    <row r="14" customFormat="false" ht="15" hidden="false" customHeight="false" outlineLevel="0" collapsed="false">
      <c r="A14" s="14" t="s">
        <v>201</v>
      </c>
      <c r="B14" s="28" t="n">
        <f aca="false">IFERROR((C14-YillikGercekMaliyet)/YillikGercekMaliyet,0)</f>
        <v>0.0468717264618081</v>
      </c>
      <c r="C14" s="26" t="n">
        <f aca="false">IFERROR(YillikGercekMaliyet+(ToplamBrutUcret*DuyarliDegisim*(1+IsverenPayiOrani+IssizlikOrani+KidemKarsilikOrani)*AySayisi),0)</f>
        <v>8433079.38</v>
      </c>
      <c r="D14" s="26" t="n">
        <f aca="false">IFERROR(C14-YillikGercekMaliyet,0)</f>
        <v>377575.380000001</v>
      </c>
      <c r="E14" s="28" t="n">
        <f aca="false">IFERROR(D14/YillikGercekMaliyet,0)</f>
        <v>0.0468717264618081</v>
      </c>
    </row>
    <row r="15" customFormat="false" ht="15" hidden="false" customHeight="false" outlineLevel="0" collapsed="false">
      <c r="A15" s="14" t="s">
        <v>202</v>
      </c>
      <c r="B15" s="28" t="n">
        <f aca="false">IFERROR((C15-YillikGercekMaliyet)/YillikGercekMaliyet,0)</f>
        <v>-0.00501272173659153</v>
      </c>
      <c r="C15" s="26" t="n">
        <f aca="false">IFERROR(YillikGercekMaliyet-ToplamYillikTesvik*DuyarliDegisim,0)</f>
        <v>8015124</v>
      </c>
      <c r="D15" s="26" t="n">
        <f aca="false">IFERROR(C15-YillikGercekMaliyet,0)</f>
        <v>-40380</v>
      </c>
      <c r="E15" s="28" t="n">
        <f aca="false">IFERROR(D15/YillikGercekMaliyet,0)</f>
        <v>-0.00501272173659153</v>
      </c>
    </row>
    <row r="17" customFormat="false" ht="15" hidden="false" customHeight="false" outlineLevel="0" collapsed="false">
      <c r="A17" s="25" t="s">
        <v>203</v>
      </c>
    </row>
    <row r="18" customFormat="false" ht="28.35" hidden="false" customHeight="false" outlineLevel="0" collapsed="false">
      <c r="A18" s="37" t="str">
        <f aca="false">"Kırılım: İşveren yükü oranı "&amp;TEXT(IsverenYukOrani,"0.0%")&amp;" ile eşik "&amp;TEXT(YukOranKararEsik,"0.0%")&amp;" altında/üstünde durum izlenir."</f>
        <v>Kırılım: İşveren yükü oranı 40% ile eşik 30% altında/üstünde durum izlenir.</v>
      </c>
    </row>
    <row r="21" customFormat="false" ht="19.5" hidden="false" customHeight="true" outlineLevel="0" collapsed="false">
      <c r="A21" s="11" t="s">
        <v>204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E7:E9">
    <cfRule type="cellIs" priority="2" operator="greaterThan" aboveAverage="0" equalAverage="0" bottom="0" percent="0" rank="0" text="" dxfId="10">
      <formula>KacirilanTesvikEsik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2" t="s">
        <v>205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customFormat="false" ht="17.35" hidden="false" customHeight="false" outlineLevel="0" collapsed="false">
      <c r="A2" s="38" t="s">
        <v>206</v>
      </c>
      <c r="B2" s="38"/>
      <c r="C2" s="38"/>
    </row>
    <row r="3" customFormat="false" ht="15" hidden="false" customHeight="false" outlineLevel="0" collapsed="false">
      <c r="A3" s="39" t="str">
        <f aca="false">"Firma: "&amp;FirmaUnvani&amp;" | Tarih: "&amp;TEXT(raporTarihi,"GG.AA.YYYY")&amp;" | Rev 1.0"</f>
        <v>Firma: İnşaat Grubu A.Ş. | Tarih: MS.AA.2026 | Rev 1.0</v>
      </c>
      <c r="B3" s="39"/>
      <c r="C3" s="39"/>
    </row>
    <row r="5" customFormat="false" ht="15" hidden="false" customHeight="false" outlineLevel="0" collapsed="false">
      <c r="A5" s="40" t="s">
        <v>166</v>
      </c>
    </row>
    <row r="6" customFormat="false" ht="15" hidden="false" customHeight="false" outlineLevel="0" collapsed="false">
      <c r="A6" s="41" t="str">
        <f aca="false">"Aylık gerçek işçilik maliyeti "&amp;TEXT(AylikGercekMaliyet,"#,##0")&amp;" ₺; yıllık "&amp;TEXT(YillikGercekMaliyet,"#,##0")&amp;" ₺."</f>
        <v>Aylık gerçek işçilik maliyeti 671.292 ₺; yıllık 8.055.504 ₺.</v>
      </c>
    </row>
    <row r="7" customFormat="false" ht="28.35" hidden="false" customHeight="false" outlineLevel="0" collapsed="false">
      <c r="A7" s="41" t="str">
        <f aca="false">"Kaçırılan SGK teşviki "&amp;TEXT(KacirilanTesvik,"#,##0")&amp;" ₺/yıl; teşvik kullanım oranı "&amp;TEXT(TesvikKullanimOrani,"0.0%")&amp;"."</f>
        <v>Kaçırılan SGK teşviki 345.960 ₺/yıl; teşvik kullanım oranı 10%.</v>
      </c>
    </row>
    <row r="8" customFormat="false" ht="28.35" hidden="false" customHeight="false" outlineLevel="0" collapsed="false">
      <c r="A8" s="42" t="str">
        <f aca="false">"Karar: "&amp;KararSonuc&amp;" — "&amp;KararGerekce</f>
        <v>Karar: DURDUR — Yılda 345.960 ₺ teşvik kaçırılıyor; SGK başvuru süreçlerini başlatın.</v>
      </c>
    </row>
    <row r="10" customFormat="false" ht="15" hidden="false" customHeight="false" outlineLevel="0" collapsed="false">
      <c r="A10" s="25" t="s">
        <v>207</v>
      </c>
    </row>
    <row r="11" customFormat="false" ht="15" hidden="false" customHeight="false" outlineLevel="0" collapsed="false">
      <c r="A11" s="43" t="s">
        <v>87</v>
      </c>
      <c r="B11" s="26" t="n">
        <f aca="false">ToplamBrutUcret</f>
        <v>481000</v>
      </c>
    </row>
    <row r="12" customFormat="false" ht="15" hidden="false" customHeight="false" outlineLevel="0" collapsed="false">
      <c r="A12" s="43" t="s">
        <v>208</v>
      </c>
      <c r="B12" s="26" t="n">
        <f aca="false">ToplamSgkIsverenPayi+ToplamIssizlikPayi+ToplamKidemKarsilik</f>
        <v>148292</v>
      </c>
    </row>
    <row r="13" customFormat="false" ht="15" hidden="false" customHeight="false" outlineLevel="0" collapsed="false">
      <c r="A13" s="43" t="s">
        <v>67</v>
      </c>
      <c r="B13" s="26" t="n">
        <f aca="false">AylikGercekMaliyet</f>
        <v>671292</v>
      </c>
    </row>
    <row r="14" customFormat="false" ht="15" hidden="false" customHeight="false" outlineLevel="0" collapsed="false">
      <c r="A14" s="43" t="s">
        <v>68</v>
      </c>
      <c r="B14" s="26" t="n">
        <f aca="false">YillikGercekMaliyet</f>
        <v>8055504</v>
      </c>
    </row>
    <row r="15" customFormat="false" ht="15" hidden="false" customHeight="false" outlineLevel="0" collapsed="false">
      <c r="A15" s="43" t="s">
        <v>109</v>
      </c>
      <c r="B15" s="26" t="n">
        <f aca="false">ToplamYillikTesvik</f>
        <v>807600</v>
      </c>
    </row>
    <row r="16" customFormat="false" ht="15" hidden="false" customHeight="false" outlineLevel="0" collapsed="false">
      <c r="A16" s="43" t="s">
        <v>160</v>
      </c>
      <c r="B16" s="26" t="n">
        <f aca="false">KacirilanTesvik</f>
        <v>345960</v>
      </c>
    </row>
    <row r="17" customFormat="false" ht="15" hidden="false" customHeight="false" outlineLevel="0" collapsed="false">
      <c r="A17" s="43" t="s">
        <v>161</v>
      </c>
      <c r="B17" s="26" t="n">
        <f aca="false">CalisanBasiMaliyet</f>
        <v>47949.4285714286</v>
      </c>
    </row>
    <row r="20" customFormat="false" ht="15" hidden="false" customHeight="false" outlineLevel="0" collapsed="false">
      <c r="A20" s="25" t="s">
        <v>209</v>
      </c>
    </row>
    <row r="21" customFormat="false" ht="28.35" hidden="false" customHeight="false" outlineLevel="0" collapsed="false">
      <c r="A21" s="41" t="s">
        <v>210</v>
      </c>
    </row>
    <row r="22" customFormat="false" ht="28.35" hidden="false" customHeight="false" outlineLevel="0" collapsed="false">
      <c r="A22" s="41" t="s">
        <v>211</v>
      </c>
    </row>
    <row r="24" customFormat="false" ht="15" hidden="false" customHeight="false" outlineLevel="0" collapsed="false">
      <c r="A24" s="25" t="s">
        <v>212</v>
      </c>
    </row>
    <row r="25" customFormat="false" ht="28.35" hidden="false" customHeight="false" outlineLevel="0" collapsed="false">
      <c r="A25" s="35" t="str">
        <f aca="false">Aksiyon1</f>
        <v>SGK e-Sigorta üzerinden teşvik başvuru ve bildirimlerini kontrol edin</v>
      </c>
    </row>
    <row r="26" customFormat="false" ht="15" hidden="false" customHeight="false" outlineLevel="0" collapsed="false">
      <c r="A26" s="35" t="str">
        <f aca="false">Aksiyon2</f>
        <v>Mali müşavirinizle SGK teşvik mutabakatı yapın</v>
      </c>
    </row>
    <row r="27" customFormat="false" ht="15" hidden="false" customHeight="false" outlineLevel="0" collapsed="false">
      <c r="A27" s="35" t="str">
        <f aca="false">Aksiyon3</f>
        <v>İşveren yükü yüksek; teşvik kapsamını genişletin</v>
      </c>
    </row>
    <row r="30" customFormat="false" ht="15" hidden="false" customHeight="false" outlineLevel="0" collapsed="false">
      <c r="A30" s="44" t="s">
        <v>213</v>
      </c>
    </row>
    <row r="31" customFormat="false" ht="28.35" hidden="false" customHeight="false" outlineLevel="0" collapsed="false">
      <c r="A31" s="41" t="s">
        <v>214</v>
      </c>
    </row>
    <row r="32" customFormat="false" ht="28.35" hidden="false" customHeight="false" outlineLevel="0" collapsed="false">
      <c r="A32" s="41" t="s">
        <v>215</v>
      </c>
    </row>
    <row r="36" customFormat="false" ht="15" hidden="false" customHeight="false" outlineLevel="0" collapsed="false">
      <c r="A36" s="45" t="s">
        <v>216</v>
      </c>
    </row>
  </sheetData>
  <sheetProtection sheet="true" password="cc3d" objects="true" scenarios="true" deleteColumns="false" deleteRows="false"/>
  <mergeCells count="3">
    <mergeCell ref="A1:AD1"/>
    <mergeCell ref="A2:C2"/>
    <mergeCell ref="A3:C3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&amp;LKAÇIRILAN SGK TEŞVİKLERİ GERÇEK İŞÇİLİK MALİYETİ ANALİZİ&amp;CExcelArşiv&amp;RSayfa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2" t="s">
        <v>217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218</v>
      </c>
    </row>
    <row r="4" customFormat="false" ht="15" hidden="false" customHeight="false" outlineLevel="0" collapsed="false">
      <c r="A4" s="7" t="s">
        <v>219</v>
      </c>
      <c r="B4" s="7"/>
      <c r="C4" s="7"/>
      <c r="D4" s="7"/>
      <c r="E4" s="7"/>
    </row>
    <row r="6" customFormat="false" ht="30" hidden="false" customHeight="true" outlineLevel="0" collapsed="false">
      <c r="A6" s="18" t="s">
        <v>32</v>
      </c>
      <c r="B6" s="18" t="s">
        <v>33</v>
      </c>
      <c r="C6" s="18" t="s">
        <v>34</v>
      </c>
      <c r="D6" s="18" t="s">
        <v>73</v>
      </c>
      <c r="E6" s="18" t="s">
        <v>76</v>
      </c>
    </row>
    <row r="7" customFormat="false" ht="15" hidden="false" customHeight="false" outlineLevel="0" collapsed="false">
      <c r="A7" s="46" t="s">
        <v>41</v>
      </c>
      <c r="B7" s="47" t="n">
        <v>35000</v>
      </c>
      <c r="C7" s="48" t="n">
        <v>30</v>
      </c>
      <c r="D7" s="46" t="s">
        <v>77</v>
      </c>
      <c r="E7" s="46" t="s">
        <v>44</v>
      </c>
    </row>
    <row r="8" customFormat="false" ht="15" hidden="false" customHeight="false" outlineLevel="0" collapsed="false">
      <c r="A8" s="46" t="s">
        <v>45</v>
      </c>
      <c r="B8" s="47" t="n">
        <v>42000</v>
      </c>
      <c r="C8" s="48" t="n">
        <v>30</v>
      </c>
      <c r="D8" s="46" t="s">
        <v>78</v>
      </c>
      <c r="E8" s="46" t="s">
        <v>44</v>
      </c>
    </row>
    <row r="9" customFormat="false" ht="15" hidden="false" customHeight="false" outlineLevel="0" collapsed="false">
      <c r="A9" s="46" t="s">
        <v>47</v>
      </c>
      <c r="B9" s="47" t="n">
        <v>28000</v>
      </c>
      <c r="C9" s="48" t="n">
        <v>30</v>
      </c>
      <c r="D9" s="46" t="s">
        <v>79</v>
      </c>
      <c r="E9" s="46" t="s">
        <v>43</v>
      </c>
    </row>
    <row r="10" customFormat="false" ht="15" hidden="false" customHeight="false" outlineLevel="0" collapsed="false">
      <c r="A10" s="46" t="s">
        <v>48</v>
      </c>
      <c r="B10" s="47" t="n">
        <v>38000</v>
      </c>
      <c r="C10" s="48" t="n">
        <v>30</v>
      </c>
      <c r="D10" s="46" t="s">
        <v>78</v>
      </c>
      <c r="E10" s="46" t="s">
        <v>43</v>
      </c>
    </row>
    <row r="11" customFormat="false" ht="15" hidden="false" customHeight="false" outlineLevel="0" collapsed="false">
      <c r="A11" s="46" t="s">
        <v>49</v>
      </c>
      <c r="B11" s="47" t="n">
        <v>31000</v>
      </c>
      <c r="C11" s="48" t="n">
        <v>30</v>
      </c>
      <c r="D11" s="46" t="s">
        <v>81</v>
      </c>
      <c r="E11" s="46" t="s">
        <v>44</v>
      </c>
    </row>
    <row r="14" customFormat="false" ht="15" hidden="false" customHeight="false" outlineLevel="0" collapsed="false">
      <c r="A14" s="45" t="s">
        <v>220</v>
      </c>
    </row>
  </sheetData>
  <sheetProtection sheet="true" password="cc3d" objects="true" scenarios="true" deleteColumns="false" deleteRows="false"/>
  <mergeCells count="2">
    <mergeCell ref="A1:AD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2" t="s">
        <v>221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222</v>
      </c>
    </row>
    <row r="5" customFormat="false" ht="15" hidden="false" customHeight="false" outlineLevel="0" collapsed="false">
      <c r="A5" s="49" t="s">
        <v>223</v>
      </c>
      <c r="B5" s="46" t="s">
        <v>224</v>
      </c>
      <c r="C5" s="50" t="s">
        <v>225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226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227</v>
      </c>
    </row>
    <row r="5" customFormat="false" ht="15" hidden="false" customHeight="false" outlineLevel="0" collapsed="false">
      <c r="A5" s="14" t="s">
        <v>228</v>
      </c>
      <c r="C5" s="14" t="s">
        <v>73</v>
      </c>
      <c r="E5" s="14" t="s">
        <v>229</v>
      </c>
    </row>
    <row r="6" customFormat="false" ht="15" hidden="false" customHeight="false" outlineLevel="0" collapsed="false">
      <c r="A6" s="46" t="s">
        <v>44</v>
      </c>
      <c r="C6" s="46" t="s">
        <v>77</v>
      </c>
      <c r="E6" s="46" t="s">
        <v>229</v>
      </c>
    </row>
    <row r="7" customFormat="false" ht="15" hidden="false" customHeight="false" outlineLevel="0" collapsed="false">
      <c r="A7" s="46" t="s">
        <v>43</v>
      </c>
      <c r="C7" s="46" t="s">
        <v>78</v>
      </c>
    </row>
    <row r="8" customFormat="false" ht="15" hidden="false" customHeight="false" outlineLevel="0" collapsed="false">
      <c r="A8" s="7" t="s">
        <v>230</v>
      </c>
      <c r="B8" s="7"/>
      <c r="C8" s="7"/>
      <c r="D8" s="7"/>
      <c r="E8" s="7"/>
    </row>
    <row r="9" customFormat="false" ht="15" hidden="false" customHeight="false" outlineLevel="0" collapsed="false">
      <c r="C9" s="46" t="s">
        <v>81</v>
      </c>
    </row>
    <row r="10" customFormat="false" ht="15" hidden="false" customHeight="false" outlineLevel="0" collapsed="false">
      <c r="C10" s="46" t="s">
        <v>80</v>
      </c>
    </row>
  </sheetData>
  <sheetProtection sheet="true" password="cc3d" objects="true" scenarios="true" deleteColumns="false" deleteRows="false"/>
  <mergeCells count="2">
    <mergeCell ref="A1:AD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48"/>
    <col collapsed="false" customWidth="true" hidden="false" outlineLevel="0" max="6" min="6" style="0" width="26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51" t="s">
        <v>232</v>
      </c>
      <c r="B3" s="51"/>
      <c r="C3" s="51"/>
      <c r="D3" s="51"/>
      <c r="E3" s="51"/>
      <c r="F3" s="51"/>
      <c r="G3" s="51"/>
      <c r="H3" s="51"/>
    </row>
    <row r="5" customFormat="false" ht="30" hidden="false" customHeight="true" outlineLevel="0" collapsed="false">
      <c r="A5" s="18" t="s">
        <v>233</v>
      </c>
      <c r="B5" s="18" t="s">
        <v>234</v>
      </c>
      <c r="C5" s="18" t="s">
        <v>235</v>
      </c>
      <c r="D5" s="18" t="s">
        <v>236</v>
      </c>
      <c r="E5" s="18" t="s">
        <v>237</v>
      </c>
      <c r="F5" s="18" t="s">
        <v>238</v>
      </c>
      <c r="G5" s="18" t="s">
        <v>239</v>
      </c>
      <c r="H5" s="18" t="s">
        <v>240</v>
      </c>
    </row>
    <row r="6" customFormat="false" ht="15" hidden="false" customHeight="false" outlineLevel="0" collapsed="false">
      <c r="A6" s="43" t="s">
        <v>241</v>
      </c>
      <c r="B6" s="43" t="s">
        <v>242</v>
      </c>
      <c r="C6" s="52" t="n">
        <f aca="true">TODAY()</f>
        <v>46244</v>
      </c>
      <c r="D6" s="53" t="s">
        <v>243</v>
      </c>
      <c r="E6" s="37" t="s">
        <v>244</v>
      </c>
      <c r="F6" s="54" t="s">
        <v>245</v>
      </c>
      <c r="G6" s="53" t="s">
        <v>246</v>
      </c>
      <c r="H6" s="53" t="s">
        <v>224</v>
      </c>
    </row>
    <row r="7" customFormat="false" ht="15" hidden="false" customHeight="false" outlineLevel="0" collapsed="false">
      <c r="A7" s="43" t="s">
        <v>247</v>
      </c>
      <c r="B7" s="43" t="s">
        <v>248</v>
      </c>
      <c r="C7" s="55" t="n">
        <v>0.205</v>
      </c>
      <c r="D7" s="53" t="s">
        <v>249</v>
      </c>
      <c r="E7" s="37" t="s">
        <v>250</v>
      </c>
      <c r="F7" s="54" t="s">
        <v>251</v>
      </c>
      <c r="G7" s="53" t="s">
        <v>246</v>
      </c>
      <c r="H7" s="53" t="s">
        <v>224</v>
      </c>
    </row>
    <row r="8" customFormat="false" ht="15" hidden="false" customHeight="false" outlineLevel="0" collapsed="false">
      <c r="A8" s="43" t="s">
        <v>247</v>
      </c>
      <c r="B8" s="43" t="s">
        <v>252</v>
      </c>
      <c r="C8" s="55" t="n">
        <v>0.02</v>
      </c>
      <c r="D8" s="53" t="s">
        <v>249</v>
      </c>
      <c r="E8" s="37" t="s">
        <v>253</v>
      </c>
      <c r="F8" s="54" t="s">
        <v>254</v>
      </c>
      <c r="G8" s="53" t="s">
        <v>246</v>
      </c>
      <c r="H8" s="53" t="s">
        <v>224</v>
      </c>
    </row>
    <row r="9" customFormat="false" ht="15" hidden="false" customHeight="false" outlineLevel="0" collapsed="false">
      <c r="A9" s="43" t="s">
        <v>247</v>
      </c>
      <c r="B9" s="43" t="s">
        <v>255</v>
      </c>
      <c r="C9" s="55" t="n">
        <v>0.0833</v>
      </c>
      <c r="D9" s="53" t="s">
        <v>249</v>
      </c>
      <c r="E9" s="37" t="s">
        <v>256</v>
      </c>
      <c r="F9" s="54" t="s">
        <v>257</v>
      </c>
      <c r="G9" s="53" t="s">
        <v>246</v>
      </c>
      <c r="H9" s="53" t="s">
        <v>224</v>
      </c>
    </row>
    <row r="10" customFormat="false" ht="15" hidden="false" customHeight="false" outlineLevel="0" collapsed="false">
      <c r="A10" s="43" t="s">
        <v>247</v>
      </c>
      <c r="B10" s="43" t="s">
        <v>258</v>
      </c>
      <c r="C10" s="16" t="n">
        <v>3000</v>
      </c>
      <c r="D10" s="53" t="s">
        <v>259</v>
      </c>
      <c r="E10" s="37" t="s">
        <v>260</v>
      </c>
      <c r="F10" s="54" t="s">
        <v>257</v>
      </c>
      <c r="G10" s="53" t="s">
        <v>246</v>
      </c>
      <c r="H10" s="53" t="s">
        <v>224</v>
      </c>
    </row>
    <row r="11" customFormat="false" ht="15" hidden="false" customHeight="false" outlineLevel="0" collapsed="false">
      <c r="A11" s="43" t="s">
        <v>247</v>
      </c>
      <c r="B11" s="43" t="s">
        <v>261</v>
      </c>
      <c r="C11" s="16" t="n">
        <v>12</v>
      </c>
      <c r="D11" s="53" t="s">
        <v>262</v>
      </c>
      <c r="E11" s="37" t="s">
        <v>263</v>
      </c>
      <c r="F11" s="54" t="s">
        <v>245</v>
      </c>
      <c r="G11" s="53" t="s">
        <v>246</v>
      </c>
      <c r="H11" s="53" t="s">
        <v>224</v>
      </c>
    </row>
    <row r="12" customFormat="false" ht="15" hidden="false" customHeight="false" outlineLevel="0" collapsed="false">
      <c r="A12" s="43" t="s">
        <v>247</v>
      </c>
      <c r="B12" s="43" t="s">
        <v>264</v>
      </c>
      <c r="C12" s="16" t="n">
        <v>180</v>
      </c>
      <c r="D12" s="53" t="s">
        <v>265</v>
      </c>
      <c r="E12" s="37" t="s">
        <v>266</v>
      </c>
      <c r="F12" s="54" t="s">
        <v>257</v>
      </c>
      <c r="G12" s="53" t="s">
        <v>246</v>
      </c>
      <c r="H12" s="53" t="s">
        <v>224</v>
      </c>
    </row>
    <row r="13" customFormat="false" ht="15" hidden="false" customHeight="false" outlineLevel="0" collapsed="false">
      <c r="A13" s="43" t="s">
        <v>267</v>
      </c>
      <c r="B13" s="43" t="s">
        <v>268</v>
      </c>
      <c r="C13" s="55" t="n">
        <v>0.05</v>
      </c>
      <c r="D13" s="53" t="s">
        <v>249</v>
      </c>
      <c r="E13" s="37" t="s">
        <v>269</v>
      </c>
      <c r="F13" s="54" t="s">
        <v>251</v>
      </c>
      <c r="G13" s="53" t="s">
        <v>246</v>
      </c>
      <c r="H13" s="53" t="s">
        <v>224</v>
      </c>
    </row>
    <row r="14" customFormat="false" ht="15" hidden="false" customHeight="false" outlineLevel="0" collapsed="false">
      <c r="A14" s="43" t="s">
        <v>267</v>
      </c>
      <c r="B14" s="43" t="s">
        <v>270</v>
      </c>
      <c r="C14" s="55" t="n">
        <v>0.145</v>
      </c>
      <c r="D14" s="53" t="s">
        <v>249</v>
      </c>
      <c r="E14" s="37" t="s">
        <v>271</v>
      </c>
      <c r="F14" s="54" t="s">
        <v>272</v>
      </c>
      <c r="G14" s="53" t="s">
        <v>246</v>
      </c>
      <c r="H14" s="53" t="s">
        <v>224</v>
      </c>
    </row>
    <row r="15" customFormat="false" ht="15" hidden="false" customHeight="false" outlineLevel="0" collapsed="false">
      <c r="A15" s="43" t="s">
        <v>267</v>
      </c>
      <c r="B15" s="43" t="s">
        <v>273</v>
      </c>
      <c r="C15" s="55" t="n">
        <v>0.06</v>
      </c>
      <c r="D15" s="53" t="s">
        <v>249</v>
      </c>
      <c r="E15" s="37" t="s">
        <v>274</v>
      </c>
      <c r="F15" s="54" t="s">
        <v>272</v>
      </c>
      <c r="G15" s="53" t="s">
        <v>246</v>
      </c>
      <c r="H15" s="53" t="s">
        <v>224</v>
      </c>
    </row>
    <row r="16" customFormat="false" ht="15" hidden="false" customHeight="false" outlineLevel="0" collapsed="false">
      <c r="A16" s="43" t="s">
        <v>267</v>
      </c>
      <c r="B16" s="43" t="s">
        <v>275</v>
      </c>
      <c r="C16" s="55" t="n">
        <v>0.2</v>
      </c>
      <c r="D16" s="53" t="s">
        <v>249</v>
      </c>
      <c r="E16" s="37" t="s">
        <v>276</v>
      </c>
      <c r="F16" s="54" t="s">
        <v>277</v>
      </c>
      <c r="G16" s="53" t="s">
        <v>246</v>
      </c>
      <c r="H16" s="53" t="s">
        <v>224</v>
      </c>
    </row>
    <row r="17" customFormat="false" ht="15" hidden="false" customHeight="false" outlineLevel="0" collapsed="false">
      <c r="A17" s="43" t="s">
        <v>267</v>
      </c>
      <c r="B17" s="43" t="s">
        <v>278</v>
      </c>
      <c r="C17" s="55" t="n">
        <v>0.225</v>
      </c>
      <c r="D17" s="53" t="s">
        <v>249</v>
      </c>
      <c r="E17" s="37" t="s">
        <v>279</v>
      </c>
      <c r="F17" s="54" t="s">
        <v>280</v>
      </c>
      <c r="G17" s="53" t="s">
        <v>246</v>
      </c>
      <c r="H17" s="53" t="s">
        <v>224</v>
      </c>
    </row>
    <row r="18" customFormat="false" ht="15" hidden="false" customHeight="false" outlineLevel="0" collapsed="false">
      <c r="A18" s="43" t="s">
        <v>281</v>
      </c>
      <c r="B18" s="43" t="s">
        <v>282</v>
      </c>
      <c r="C18" s="16" t="n">
        <v>50000</v>
      </c>
      <c r="D18" s="53" t="s">
        <v>283</v>
      </c>
      <c r="E18" s="37" t="s">
        <v>284</v>
      </c>
      <c r="F18" s="54" t="s">
        <v>257</v>
      </c>
      <c r="G18" s="53" t="s">
        <v>246</v>
      </c>
      <c r="H18" s="53" t="s">
        <v>224</v>
      </c>
    </row>
    <row r="19" customFormat="false" ht="15" hidden="false" customHeight="false" outlineLevel="0" collapsed="false">
      <c r="A19" s="43" t="s">
        <v>281</v>
      </c>
      <c r="B19" s="43" t="s">
        <v>285</v>
      </c>
      <c r="C19" s="16" t="n">
        <v>40000</v>
      </c>
      <c r="D19" s="53" t="s">
        <v>259</v>
      </c>
      <c r="E19" s="37" t="s">
        <v>286</v>
      </c>
      <c r="F19" s="54" t="s">
        <v>257</v>
      </c>
      <c r="G19" s="53" t="s">
        <v>246</v>
      </c>
      <c r="H19" s="53" t="s">
        <v>224</v>
      </c>
    </row>
    <row r="20" customFormat="false" ht="15" hidden="false" customHeight="false" outlineLevel="0" collapsed="false">
      <c r="A20" s="43" t="s">
        <v>281</v>
      </c>
      <c r="B20" s="43" t="s">
        <v>287</v>
      </c>
      <c r="C20" s="55" t="n">
        <v>0.15</v>
      </c>
      <c r="D20" s="53" t="s">
        <v>249</v>
      </c>
      <c r="E20" s="37" t="s">
        <v>288</v>
      </c>
      <c r="F20" s="54" t="s">
        <v>257</v>
      </c>
      <c r="G20" s="53" t="s">
        <v>246</v>
      </c>
      <c r="H20" s="53" t="s">
        <v>224</v>
      </c>
    </row>
    <row r="21" customFormat="false" ht="15" hidden="false" customHeight="false" outlineLevel="0" collapsed="false">
      <c r="A21" s="43" t="s">
        <v>281</v>
      </c>
      <c r="B21" s="43" t="s">
        <v>289</v>
      </c>
      <c r="C21" s="55" t="n">
        <v>0.1</v>
      </c>
      <c r="D21" s="53" t="s">
        <v>249</v>
      </c>
      <c r="E21" s="37" t="s">
        <v>290</v>
      </c>
      <c r="F21" s="54" t="s">
        <v>257</v>
      </c>
      <c r="G21" s="53" t="s">
        <v>246</v>
      </c>
      <c r="H21" s="53" t="s">
        <v>224</v>
      </c>
    </row>
    <row r="22" customFormat="false" ht="15" hidden="false" customHeight="false" outlineLevel="0" collapsed="false">
      <c r="A22" s="43" t="s">
        <v>281</v>
      </c>
      <c r="B22" s="43" t="s">
        <v>291</v>
      </c>
      <c r="C22" s="55" t="n">
        <v>0.5</v>
      </c>
      <c r="D22" s="53" t="s">
        <v>249</v>
      </c>
      <c r="E22" s="37" t="s">
        <v>292</v>
      </c>
      <c r="F22" s="54" t="s">
        <v>257</v>
      </c>
      <c r="G22" s="53" t="s">
        <v>246</v>
      </c>
      <c r="H22" s="53" t="s">
        <v>224</v>
      </c>
    </row>
    <row r="23" customFormat="false" ht="15" hidden="false" customHeight="false" outlineLevel="0" collapsed="false">
      <c r="A23" s="43" t="s">
        <v>281</v>
      </c>
      <c r="B23" s="43" t="s">
        <v>293</v>
      </c>
      <c r="C23" s="55" t="n">
        <v>0.02</v>
      </c>
      <c r="D23" s="53" t="s">
        <v>249</v>
      </c>
      <c r="E23" s="37" t="s">
        <v>294</v>
      </c>
      <c r="F23" s="54" t="s">
        <v>257</v>
      </c>
      <c r="G23" s="53" t="s">
        <v>246</v>
      </c>
      <c r="H23" s="53" t="s">
        <v>224</v>
      </c>
    </row>
    <row r="24" customFormat="false" ht="15" hidden="false" customHeight="false" outlineLevel="0" collapsed="false">
      <c r="A24" s="43" t="s">
        <v>281</v>
      </c>
      <c r="B24" s="43" t="s">
        <v>295</v>
      </c>
      <c r="C24" s="55" t="n">
        <v>0.3</v>
      </c>
      <c r="D24" s="53" t="s">
        <v>249</v>
      </c>
      <c r="E24" s="37" t="s">
        <v>296</v>
      </c>
      <c r="F24" s="54" t="s">
        <v>257</v>
      </c>
      <c r="G24" s="53" t="s">
        <v>246</v>
      </c>
      <c r="H24" s="53" t="s">
        <v>224</v>
      </c>
    </row>
    <row r="25" customFormat="false" ht="15" hidden="false" customHeight="false" outlineLevel="0" collapsed="false">
      <c r="A25" s="43" t="s">
        <v>281</v>
      </c>
      <c r="B25" s="43" t="s">
        <v>297</v>
      </c>
      <c r="C25" s="16" t="n">
        <v>90</v>
      </c>
      <c r="D25" s="53" t="s">
        <v>298</v>
      </c>
      <c r="E25" s="37" t="s">
        <v>299</v>
      </c>
      <c r="F25" s="54" t="s">
        <v>257</v>
      </c>
      <c r="G25" s="53" t="s">
        <v>246</v>
      </c>
      <c r="H25" s="53" t="s">
        <v>224</v>
      </c>
    </row>
    <row r="26" customFormat="false" ht="15" hidden="false" customHeight="false" outlineLevel="0" collapsed="false">
      <c r="A26" s="43" t="s">
        <v>281</v>
      </c>
      <c r="B26" s="43" t="s">
        <v>300</v>
      </c>
      <c r="C26" s="16" t="n">
        <v>70</v>
      </c>
      <c r="D26" s="53" t="s">
        <v>298</v>
      </c>
      <c r="E26" s="37" t="s">
        <v>301</v>
      </c>
      <c r="F26" s="54" t="s">
        <v>257</v>
      </c>
      <c r="G26" s="53" t="s">
        <v>246</v>
      </c>
      <c r="H26" s="53" t="s">
        <v>224</v>
      </c>
    </row>
    <row r="27" customFormat="false" ht="15" hidden="false" customHeight="false" outlineLevel="0" collapsed="false">
      <c r="A27" s="43" t="s">
        <v>281</v>
      </c>
      <c r="B27" s="43" t="s">
        <v>302</v>
      </c>
      <c r="C27" s="16" t="n">
        <v>10</v>
      </c>
      <c r="D27" s="53" t="s">
        <v>298</v>
      </c>
      <c r="E27" s="37" t="s">
        <v>303</v>
      </c>
      <c r="F27" s="54" t="s">
        <v>257</v>
      </c>
      <c r="G27" s="53" t="s">
        <v>246</v>
      </c>
      <c r="H27" s="53" t="s">
        <v>224</v>
      </c>
    </row>
    <row r="28" customFormat="false" ht="15" hidden="false" customHeight="false" outlineLevel="0" collapsed="false">
      <c r="A28" s="43" t="s">
        <v>186</v>
      </c>
      <c r="B28" s="43" t="s">
        <v>304</v>
      </c>
      <c r="C28" s="55" t="n">
        <v>0.1</v>
      </c>
      <c r="D28" s="53" t="s">
        <v>249</v>
      </c>
      <c r="E28" s="37" t="s">
        <v>305</v>
      </c>
      <c r="F28" s="54" t="s">
        <v>257</v>
      </c>
      <c r="G28" s="53" t="s">
        <v>246</v>
      </c>
      <c r="H28" s="53" t="s">
        <v>224</v>
      </c>
    </row>
    <row r="29" customFormat="false" ht="15" hidden="false" customHeight="false" outlineLevel="0" collapsed="false">
      <c r="A29" s="43" t="s">
        <v>186</v>
      </c>
      <c r="B29" s="43" t="s">
        <v>306</v>
      </c>
      <c r="C29" s="55" t="n">
        <v>0.1</v>
      </c>
      <c r="D29" s="53" t="s">
        <v>249</v>
      </c>
      <c r="E29" s="37" t="s">
        <v>307</v>
      </c>
      <c r="F29" s="54" t="s">
        <v>257</v>
      </c>
      <c r="G29" s="53" t="s">
        <v>246</v>
      </c>
      <c r="H29" s="53" t="s">
        <v>224</v>
      </c>
    </row>
    <row r="30" customFormat="false" ht="15" hidden="false" customHeight="false" outlineLevel="0" collapsed="false">
      <c r="A30" s="43" t="s">
        <v>308</v>
      </c>
      <c r="B30" s="43" t="s">
        <v>309</v>
      </c>
      <c r="C30" s="55" t="n">
        <v>0.05</v>
      </c>
      <c r="D30" s="53" t="s">
        <v>249</v>
      </c>
      <c r="E30" s="37" t="s">
        <v>310</v>
      </c>
      <c r="F30" s="54" t="s">
        <v>257</v>
      </c>
      <c r="G30" s="53" t="s">
        <v>246</v>
      </c>
      <c r="H30" s="53" t="s">
        <v>224</v>
      </c>
    </row>
    <row r="31" customFormat="false" ht="15" hidden="false" customHeight="false" outlineLevel="0" collapsed="false">
      <c r="A31" s="43" t="s">
        <v>311</v>
      </c>
      <c r="B31" s="43" t="s">
        <v>312</v>
      </c>
      <c r="C31" s="55" t="n">
        <v>0.1</v>
      </c>
      <c r="D31" s="53" t="s">
        <v>313</v>
      </c>
      <c r="E31" s="37" t="s">
        <v>314</v>
      </c>
      <c r="F31" s="54" t="s">
        <v>257</v>
      </c>
      <c r="G31" s="53" t="s">
        <v>246</v>
      </c>
      <c r="H31" s="53" t="s">
        <v>224</v>
      </c>
    </row>
    <row r="32" customFormat="false" ht="15" hidden="false" customHeight="false" outlineLevel="0" collapsed="false">
      <c r="A32" s="43" t="s">
        <v>311</v>
      </c>
      <c r="B32" s="43" t="s">
        <v>315</v>
      </c>
      <c r="C32" s="55" t="n">
        <v>0.5</v>
      </c>
      <c r="D32" s="53" t="s">
        <v>313</v>
      </c>
      <c r="E32" s="37" t="s">
        <v>316</v>
      </c>
      <c r="F32" s="54" t="s">
        <v>257</v>
      </c>
      <c r="G32" s="53" t="s">
        <v>246</v>
      </c>
      <c r="H32" s="53" t="s">
        <v>224</v>
      </c>
    </row>
    <row r="33" customFormat="false" ht="15" hidden="false" customHeight="false" outlineLevel="0" collapsed="false">
      <c r="A33" s="43" t="s">
        <v>311</v>
      </c>
      <c r="B33" s="43" t="s">
        <v>317</v>
      </c>
      <c r="C33" s="55" t="n">
        <v>0.9</v>
      </c>
      <c r="D33" s="53" t="s">
        <v>313</v>
      </c>
      <c r="E33" s="37" t="s">
        <v>318</v>
      </c>
      <c r="F33" s="54" t="s">
        <v>257</v>
      </c>
      <c r="G33" s="53" t="s">
        <v>246</v>
      </c>
      <c r="H33" s="53" t="s">
        <v>224</v>
      </c>
    </row>
    <row r="34" customFormat="false" ht="15" hidden="false" customHeight="false" outlineLevel="0" collapsed="false">
      <c r="A34" s="43" t="s">
        <v>319</v>
      </c>
      <c r="B34" s="43" t="s">
        <v>320</v>
      </c>
      <c r="C34" s="56" t="n">
        <v>1.65</v>
      </c>
      <c r="D34" s="53" t="s">
        <v>313</v>
      </c>
      <c r="E34" s="37" t="s">
        <v>321</v>
      </c>
      <c r="F34" s="54" t="s">
        <v>257</v>
      </c>
      <c r="G34" s="53" t="s">
        <v>246</v>
      </c>
      <c r="H34" s="53" t="s">
        <v>224</v>
      </c>
    </row>
    <row r="35" customFormat="false" ht="15" hidden="false" customHeight="false" outlineLevel="0" collapsed="false">
      <c r="A35" s="43" t="s">
        <v>322</v>
      </c>
      <c r="B35" s="43" t="s">
        <v>323</v>
      </c>
      <c r="C35" s="56" t="n">
        <v>2</v>
      </c>
      <c r="D35" s="53" t="s">
        <v>324</v>
      </c>
      <c r="E35" s="37" t="s">
        <v>325</v>
      </c>
      <c r="F35" s="54" t="s">
        <v>257</v>
      </c>
      <c r="G35" s="53" t="s">
        <v>246</v>
      </c>
      <c r="H35" s="53" t="s">
        <v>224</v>
      </c>
    </row>
    <row r="36" customFormat="false" ht="15" hidden="false" customHeight="false" outlineLevel="0" collapsed="false">
      <c r="A36" s="43" t="s">
        <v>326</v>
      </c>
      <c r="B36" s="43" t="s">
        <v>327</v>
      </c>
      <c r="C36" s="16" t="n">
        <v>12</v>
      </c>
      <c r="D36" s="53" t="s">
        <v>328</v>
      </c>
      <c r="E36" s="37" t="s">
        <v>329</v>
      </c>
      <c r="F36" s="54" t="s">
        <v>257</v>
      </c>
      <c r="G36" s="53" t="s">
        <v>246</v>
      </c>
      <c r="H36" s="53" t="s">
        <v>224</v>
      </c>
    </row>
    <row r="37" customFormat="false" ht="15" hidden="false" customHeight="false" outlineLevel="0" collapsed="false">
      <c r="A37" s="7" t="s">
        <v>330</v>
      </c>
      <c r="B37" s="7"/>
      <c r="C37" s="7"/>
      <c r="D37" s="7"/>
      <c r="E37" s="7"/>
      <c r="F37" s="7"/>
      <c r="G37" s="7"/>
      <c r="H37" s="7"/>
    </row>
    <row r="39" customFormat="false" ht="15" hidden="false" customHeight="false" outlineLevel="0" collapsed="false">
      <c r="A39" s="7" t="s">
        <v>331</v>
      </c>
      <c r="B39" s="7"/>
      <c r="C39" s="7"/>
      <c r="D39" s="7"/>
      <c r="E39" s="7"/>
      <c r="F39" s="7"/>
      <c r="G39" s="7"/>
      <c r="H39" s="7"/>
    </row>
  </sheetData>
  <sheetProtection sheet="true" password="cc3d" objects="true" scenarios="true" deleteColumns="false" deleteRows="false"/>
  <mergeCells count="4">
    <mergeCell ref="A1:AD1"/>
    <mergeCell ref="A3:H3"/>
    <mergeCell ref="A37:H37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12" t="s">
        <v>332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6.15" hidden="false" customHeight="false" outlineLevel="0" collapsed="false">
      <c r="A3" s="8" t="s">
        <v>333</v>
      </c>
    </row>
    <row r="5" customFormat="false" ht="30" hidden="false" customHeight="true" outlineLevel="0" collapsed="false">
      <c r="A5" s="6" t="s">
        <v>334</v>
      </c>
      <c r="B5" s="41" t="s">
        <v>335</v>
      </c>
    </row>
    <row r="6" customFormat="false" ht="30" hidden="false" customHeight="true" outlineLevel="0" collapsed="false">
      <c r="A6" s="6" t="s">
        <v>336</v>
      </c>
      <c r="B6" s="41" t="s">
        <v>337</v>
      </c>
    </row>
    <row r="7" customFormat="false" ht="30" hidden="false" customHeight="true" outlineLevel="0" collapsed="false">
      <c r="A7" s="6" t="s">
        <v>338</v>
      </c>
      <c r="B7" s="41" t="s">
        <v>339</v>
      </c>
    </row>
    <row r="8" customFormat="false" ht="30" hidden="false" customHeight="true" outlineLevel="0" collapsed="false">
      <c r="A8" s="6" t="s">
        <v>340</v>
      </c>
      <c r="B8" s="41" t="s">
        <v>341</v>
      </c>
    </row>
    <row r="9" customFormat="false" ht="30" hidden="false" customHeight="true" outlineLevel="0" collapsed="false">
      <c r="A9" s="6" t="s">
        <v>342</v>
      </c>
      <c r="B9" s="41" t="s">
        <v>343</v>
      </c>
    </row>
    <row r="10" customFormat="false" ht="30" hidden="false" customHeight="true" outlineLevel="0" collapsed="false">
      <c r="A10" s="6" t="s">
        <v>344</v>
      </c>
      <c r="B10" s="41" t="s">
        <v>345</v>
      </c>
    </row>
    <row r="12" customFormat="false" ht="15" hidden="false" customHeight="false" outlineLevel="0" collapsed="false">
      <c r="A12" s="25" t="s">
        <v>346</v>
      </c>
    </row>
    <row r="13" customFormat="false" ht="15" hidden="false" customHeight="true" outlineLevel="0" collapsed="false">
      <c r="A13" s="9" t="s">
        <v>347</v>
      </c>
      <c r="B13" s="9"/>
    </row>
    <row r="14" customFormat="false" ht="15" hidden="false" customHeight="true" outlineLevel="0" collapsed="false">
      <c r="A14" s="9" t="s">
        <v>348</v>
      </c>
      <c r="B14" s="9"/>
    </row>
    <row r="15" customFormat="false" ht="15" hidden="false" customHeight="true" outlineLevel="0" collapsed="false">
      <c r="A15" s="9" t="s">
        <v>349</v>
      </c>
      <c r="B15" s="9"/>
    </row>
    <row r="16" customFormat="false" ht="15" hidden="false" customHeight="true" outlineLevel="0" collapsed="false">
      <c r="A16" s="9" t="s">
        <v>350</v>
      </c>
      <c r="B16" s="9"/>
    </row>
    <row r="17" customFormat="false" ht="15" hidden="false" customHeight="true" outlineLevel="0" collapsed="false">
      <c r="A17" s="9" t="s">
        <v>351</v>
      </c>
      <c r="B17" s="9"/>
    </row>
    <row r="19" customFormat="false" ht="15" hidden="false" customHeight="false" outlineLevel="0" collapsed="false">
      <c r="A19" s="25" t="s">
        <v>352</v>
      </c>
    </row>
    <row r="20" customFormat="false" ht="15" hidden="false" customHeight="true" outlineLevel="0" collapsed="false">
      <c r="A20" s="57" t="s">
        <v>353</v>
      </c>
      <c r="B20" s="57"/>
    </row>
    <row r="21" customFormat="false" ht="15" hidden="false" customHeight="true" outlineLevel="0" collapsed="false">
      <c r="A21" s="57" t="s">
        <v>354</v>
      </c>
      <c r="B21" s="57"/>
    </row>
    <row r="22" customFormat="false" ht="15" hidden="false" customHeight="true" outlineLevel="0" collapsed="false">
      <c r="A22" s="57" t="s">
        <v>355</v>
      </c>
      <c r="B22" s="57"/>
    </row>
    <row r="23" customFormat="false" ht="15" hidden="false" customHeight="true" outlineLevel="0" collapsed="false">
      <c r="A23" s="57" t="s">
        <v>356</v>
      </c>
      <c r="B23" s="57"/>
    </row>
    <row r="24" customFormat="false" ht="15" hidden="false" customHeight="true" outlineLevel="0" collapsed="false">
      <c r="A24" s="57" t="s">
        <v>357</v>
      </c>
      <c r="B24" s="57"/>
    </row>
    <row r="26" customFormat="false" ht="15" hidden="false" customHeight="false" outlineLevel="0" collapsed="false">
      <c r="A26" s="25" t="s">
        <v>358</v>
      </c>
    </row>
    <row r="27" customFormat="false" ht="15" hidden="false" customHeight="true" outlineLevel="0" collapsed="false">
      <c r="A27" s="9" t="s">
        <v>359</v>
      </c>
      <c r="B27" s="9"/>
    </row>
    <row r="28" customFormat="false" ht="15" hidden="false" customHeight="true" outlineLevel="0" collapsed="false">
      <c r="A28" s="9" t="s">
        <v>360</v>
      </c>
      <c r="B28" s="9"/>
    </row>
    <row r="29" customFormat="false" ht="15" hidden="false" customHeight="true" outlineLevel="0" collapsed="false">
      <c r="A29" s="9" t="s">
        <v>361</v>
      </c>
      <c r="B29" s="9"/>
    </row>
    <row r="30" customFormat="false" ht="15" hidden="false" customHeight="true" outlineLevel="0" collapsed="false">
      <c r="A30" s="9" t="s">
        <v>362</v>
      </c>
      <c r="B30" s="9"/>
    </row>
    <row r="32" customFormat="false" ht="15" hidden="false" customHeight="false" outlineLevel="0" collapsed="false">
      <c r="A32" s="25" t="s">
        <v>363</v>
      </c>
    </row>
    <row r="33" customFormat="false" ht="15" hidden="false" customHeight="false" outlineLevel="0" collapsed="false">
      <c r="A33" s="58" t="s">
        <v>364</v>
      </c>
      <c r="B33" s="59" t="s">
        <v>365</v>
      </c>
    </row>
    <row r="34" customFormat="false" ht="15" hidden="false" customHeight="false" outlineLevel="0" collapsed="false">
      <c r="A34" s="58" t="s">
        <v>366</v>
      </c>
      <c r="B34" s="59" t="s">
        <v>367</v>
      </c>
    </row>
    <row r="35" customFormat="false" ht="15" hidden="false" customHeight="false" outlineLevel="0" collapsed="false">
      <c r="A35" s="58" t="s">
        <v>368</v>
      </c>
      <c r="B35" s="59" t="s">
        <v>369</v>
      </c>
    </row>
    <row r="36" customFormat="false" ht="15" hidden="false" customHeight="false" outlineLevel="0" collapsed="false">
      <c r="A36" s="58" t="s">
        <v>370</v>
      </c>
      <c r="B36" s="59" t="s">
        <v>371</v>
      </c>
    </row>
    <row r="37" customFormat="false" ht="15" hidden="false" customHeight="false" outlineLevel="0" collapsed="false">
      <c r="A37" s="58" t="s">
        <v>372</v>
      </c>
      <c r="B37" s="59" t="s">
        <v>373</v>
      </c>
    </row>
    <row r="38" customFormat="false" ht="15" hidden="false" customHeight="false" outlineLevel="0" collapsed="false">
      <c r="A38" s="58" t="s">
        <v>374</v>
      </c>
      <c r="B38" s="59" t="s">
        <v>375</v>
      </c>
    </row>
    <row r="39" customFormat="false" ht="15" hidden="false" customHeight="false" outlineLevel="0" collapsed="false">
      <c r="A39" s="58" t="s">
        <v>376</v>
      </c>
      <c r="B39" s="59" t="s">
        <v>377</v>
      </c>
    </row>
    <row r="40" customFormat="false" ht="15" hidden="false" customHeight="false" outlineLevel="0" collapsed="false">
      <c r="A40" s="58" t="s">
        <v>378</v>
      </c>
      <c r="B40" s="59" t="s">
        <v>379</v>
      </c>
    </row>
    <row r="41" customFormat="false" ht="15" hidden="false" customHeight="false" outlineLevel="0" collapsed="false">
      <c r="A41" s="58" t="s">
        <v>380</v>
      </c>
      <c r="B41" s="59" t="s">
        <v>381</v>
      </c>
    </row>
    <row r="42" customFormat="false" ht="15" hidden="false" customHeight="false" outlineLevel="0" collapsed="false">
      <c r="A42" s="58" t="s">
        <v>382</v>
      </c>
      <c r="B42" s="59" t="s">
        <v>383</v>
      </c>
    </row>
    <row r="43" customFormat="false" ht="15" hidden="false" customHeight="false" outlineLevel="0" collapsed="false">
      <c r="A43" s="58" t="s">
        <v>384</v>
      </c>
      <c r="B43" s="59" t="s">
        <v>385</v>
      </c>
    </row>
    <row r="44" customFormat="false" ht="15" hidden="false" customHeight="false" outlineLevel="0" collapsed="false">
      <c r="A44" s="58" t="s">
        <v>386</v>
      </c>
      <c r="B44" s="59" t="s">
        <v>387</v>
      </c>
    </row>
    <row r="45" customFormat="false" ht="15" hidden="false" customHeight="false" outlineLevel="0" collapsed="false">
      <c r="A45" s="58" t="s">
        <v>388</v>
      </c>
      <c r="B45" s="59" t="s">
        <v>389</v>
      </c>
    </row>
    <row r="46" customFormat="false" ht="15" hidden="false" customHeight="false" outlineLevel="0" collapsed="false">
      <c r="A46" s="58" t="s">
        <v>390</v>
      </c>
      <c r="B46" s="59" t="s">
        <v>391</v>
      </c>
    </row>
    <row r="47" customFormat="false" ht="15" hidden="false" customHeight="false" outlineLevel="0" collapsed="false">
      <c r="A47" s="58" t="s">
        <v>392</v>
      </c>
      <c r="B47" s="59" t="s">
        <v>393</v>
      </c>
    </row>
    <row r="48" customFormat="false" ht="15" hidden="false" customHeight="false" outlineLevel="0" collapsed="false">
      <c r="A48" s="58" t="s">
        <v>394</v>
      </c>
      <c r="B48" s="59" t="s">
        <v>395</v>
      </c>
    </row>
    <row r="50" customFormat="false" ht="15" hidden="false" customHeight="false" outlineLevel="0" collapsed="false">
      <c r="A50" s="25" t="s">
        <v>396</v>
      </c>
    </row>
    <row r="51" customFormat="false" ht="15" hidden="false" customHeight="true" outlineLevel="0" collapsed="false">
      <c r="A51" s="9" t="s">
        <v>397</v>
      </c>
      <c r="B51" s="9"/>
    </row>
    <row r="52" customFormat="false" ht="28.35" hidden="false" customHeight="true" outlineLevel="0" collapsed="false">
      <c r="A52" s="9" t="s">
        <v>398</v>
      </c>
      <c r="B52" s="9"/>
    </row>
    <row r="53" customFormat="false" ht="15" hidden="false" customHeight="true" outlineLevel="0" collapsed="false">
      <c r="A53" s="9" t="s">
        <v>399</v>
      </c>
      <c r="B53" s="9"/>
    </row>
    <row r="54" customFormat="false" ht="15" hidden="false" customHeight="true" outlineLevel="0" collapsed="false">
      <c r="A54" s="9" t="s">
        <v>400</v>
      </c>
      <c r="B54" s="9"/>
    </row>
    <row r="56" customFormat="false" ht="15" hidden="false" customHeight="false" outlineLevel="0" collapsed="false">
      <c r="A56" s="25" t="s">
        <v>401</v>
      </c>
    </row>
    <row r="57" customFormat="false" ht="15" hidden="false" customHeight="true" outlineLevel="0" collapsed="false">
      <c r="A57" s="9" t="s">
        <v>402</v>
      </c>
      <c r="B57" s="9"/>
    </row>
    <row r="58" customFormat="false" ht="15" hidden="false" customHeight="true" outlineLevel="0" collapsed="false">
      <c r="A58" s="9" t="s">
        <v>403</v>
      </c>
      <c r="B58" s="9"/>
    </row>
    <row r="60" customFormat="false" ht="15" hidden="false" customHeight="false" outlineLevel="0" collapsed="false">
      <c r="A60" s="25" t="s">
        <v>404</v>
      </c>
    </row>
    <row r="61" customFormat="false" ht="15" hidden="false" customHeight="true" outlineLevel="0" collapsed="false">
      <c r="A61" s="9" t="s">
        <v>405</v>
      </c>
      <c r="B61" s="9"/>
    </row>
    <row r="62" customFormat="false" ht="15" hidden="false" customHeight="true" outlineLevel="0" collapsed="false">
      <c r="A62" s="9" t="s">
        <v>406</v>
      </c>
      <c r="B62" s="9"/>
    </row>
    <row r="63" customFormat="false" ht="15" hidden="false" customHeight="true" outlineLevel="0" collapsed="false">
      <c r="A63" s="9" t="s">
        <v>407</v>
      </c>
      <c r="B63" s="9"/>
    </row>
    <row r="64" customFormat="false" ht="15" hidden="false" customHeight="true" outlineLevel="0" collapsed="false">
      <c r="A64" s="9" t="s">
        <v>408</v>
      </c>
      <c r="B64" s="9"/>
    </row>
    <row r="66" customFormat="false" ht="15" hidden="false" customHeight="false" outlineLevel="0" collapsed="false">
      <c r="A66" s="25" t="s">
        <v>409</v>
      </c>
    </row>
    <row r="67" customFormat="false" ht="15" hidden="false" customHeight="true" outlineLevel="0" collapsed="false">
      <c r="A67" s="9" t="s">
        <v>410</v>
      </c>
      <c r="B67" s="9"/>
    </row>
    <row r="68" customFormat="false" ht="15" hidden="false" customHeight="true" outlineLevel="0" collapsed="false">
      <c r="A68" s="9" t="s">
        <v>411</v>
      </c>
      <c r="B68" s="9"/>
    </row>
    <row r="69" customFormat="false" ht="15" hidden="false" customHeight="true" outlineLevel="0" collapsed="false">
      <c r="A69" s="9" t="s">
        <v>412</v>
      </c>
      <c r="B69" s="9"/>
    </row>
    <row r="71" customFormat="false" ht="19.5" hidden="false" customHeight="true" outlineLevel="0" collapsed="false">
      <c r="A71" s="11" t="s">
        <v>413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</sheetData>
  <sheetProtection sheet="true" password="cc3d" objects="true" scenarios="true" deleteColumns="false" deleteRows="false"/>
  <mergeCells count="29">
    <mergeCell ref="A1:AD1"/>
    <mergeCell ref="A13:B13"/>
    <mergeCell ref="A14:B14"/>
    <mergeCell ref="A15:B15"/>
    <mergeCell ref="A16:B16"/>
    <mergeCell ref="A17:B17"/>
    <mergeCell ref="A20:B20"/>
    <mergeCell ref="A21:B21"/>
    <mergeCell ref="A22:B22"/>
    <mergeCell ref="A23:B23"/>
    <mergeCell ref="A24:B24"/>
    <mergeCell ref="A27:B27"/>
    <mergeCell ref="A28:B28"/>
    <mergeCell ref="A29:B29"/>
    <mergeCell ref="A30:B30"/>
    <mergeCell ref="A51:B51"/>
    <mergeCell ref="A52:B52"/>
    <mergeCell ref="A53:B53"/>
    <mergeCell ref="A54:B54"/>
    <mergeCell ref="A57:B57"/>
    <mergeCell ref="A58:B58"/>
    <mergeCell ref="A61:B61"/>
    <mergeCell ref="A62:B62"/>
    <mergeCell ref="A63:B63"/>
    <mergeCell ref="A64:B64"/>
    <mergeCell ref="A67:B67"/>
    <mergeCell ref="A68:B68"/>
    <mergeCell ref="A69:B69"/>
    <mergeCell ref="A71:AN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2026-08-09T21:01:29Z</dcterms:created>
  <dc:creator>openpyxl</dc:creator>
  <dc:description/>
  <dc:language>tr-TR</dc:language>
  <cp:lastModifiedBy/>
  <dcterms:modified xsi:type="dcterms:W3CDTF">2026-08-09T21:01:29Z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