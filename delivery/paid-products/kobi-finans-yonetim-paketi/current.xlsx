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HIZLI_BASLANGIC" sheetId="2" state="visible" r:id="rId2"/>
    <sheet name="AYLIK_VERI" sheetId="3" state="visible" r:id="rId3"/>
    <sheet name="HESAP" sheetId="4" state="visible" r:id="rId4"/>
    <sheet name="KONTROLLER" sheetId="5" state="visible" r:id="rId5"/>
    <sheet name="KARAR" sheetId="6" state="visible" r:id="rId6"/>
    <sheet name="PANO" sheetId="7" state="visible" r:id="rId7"/>
    <sheet name="SENARYO_DUYARLILIK" sheetId="8" state="visible" r:id="rId8"/>
    <sheet name="RAPOR" sheetId="9" state="visible" r:id="rId9"/>
    <sheet name="ORNEK_VERI" sheetId="10" state="visible" r:id="rId10"/>
    <sheet name="DEGISIKLIK_KAYDI" sheetId="11" state="visible" r:id="rId11"/>
    <sheet name="LISTELER" sheetId="12" state="visible" r:id="rId12"/>
    <sheet name="AYARLAR" sheetId="13" state="visible" r:id="rId13"/>
    <sheet name="KILAVUZ" sheetId="14" state="visible" r:id="rId14"/>
  </sheets>
  <definedNames>
    <definedName name="KobiToplamKasa">HESAP!$B$6</definedName>
    <definedName name="KobiToplamBanka">HESAP!$B$7</definedName>
    <definedName name="KobiToplamCari">HESAP!$B$8</definedName>
    <definedName name="KobiToplamPos">HESAP!$B$9</definedName>
    <definedName name="KobiNakitGiris">HESAP!$B$10</definedName>
    <definedName name="KobiStokAlis">HESAP!$B$11</definedName>
    <definedName name="KobiOperasyon">HESAP!$B$12</definedName>
    <definedName name="KobiMaas">HESAP!$B$13</definedName>
    <definedName name="KobiKredi">HESAP!$B$14</definedName>
    <definedName name="KobiNakitCikis">HESAP!$B$15</definedName>
    <definedName name="KobiNetDegisim">HESAP!$B$16</definedName>
    <definedName name="KobiKapanis">HESAP!$B$17</definedName>
    <definedName name="KobiTahminiKar">HESAP!$B$18</definedName>
    <definedName name="KobiRiskSkoru">HESAP!$B$19</definedName>
    <definedName name="KobiNegatifKapanis">HESAP!$B$21</definedName>
    <definedName name="FirmaUnvan">AYARLAR!$C$7</definedName>
    <definedName name="RaporTarihi">AYARLAR!$C$8</definedName>
    <definedName name="RaporHazirlayan">AYARLAR!$C$9</definedName>
    <definedName name="DosyaSurumu">AYARLAR!$C$10</definedName>
    <definedName name="KobiBaslangicNakit">AYARLAR!$C$11</definedName>
    <definedName name="KobiAsgariNakit">AYARLAR!$C$12</definedName>
    <definedName name="KobiHedefNakit">AYARLAR!$C$13</definedName>
    <definedName name="KobiRiskEsik">AYARLAR!$C$14</definedName>
    <definedName name="KobiRiskSkorMax">AYARLAR!$C$15</definedName>
    <definedName name="KobiRiskSkorYuksek">AYARLAR!$C$16</definedName>
    <definedName name="KobiRiskSkorOrta">AYARLAR!$C$17</definedName>
    <definedName name="KobiRiskSkorDusuk">AYARLAR!$C$18</definedName>
    <definedName name="KobiIyiSenaryo">AYARLAR!$C$19</definedName>
    <definedName name="KobiBazSenaryo">AYARLAR!$C$20</definedName>
    <definedName name="KobiKotuSenaryo">AYARLAR!$C$21</definedName>
    <definedName name="KobiTornadoTahsilat">AYARLAR!$C$22</definedName>
    <definedName name="KobiTornadoGider">AYARLAR!$C$23</definedName>
    <definedName name="KobiTahminCarpan">AYARLAR!$C$24</definedName>
    <definedName name="KobiKaliteIyi">AYARLAR!$C$25</definedName>
    <definedName name="KobiKaliteOrta">AYARLAR!$C$26</definedName>
    <definedName name="KobiToplamGiris">AYARLAR!$C$27</definedName>
    <definedName name="KobiDoluGiris">AYARLAR!$C$28</definedName>
    <definedName name="KobiAksiyon1_ACIKLAMA">AYARLAR!$C$29</definedName>
    <definedName name="KobiAksiyon2_ACIKLAMA">AYARLAR!$C$30</definedName>
    <definedName name="KobiAksiyon3_ACIKLAMA">AYARLAR!$C$31</definedName>
    <definedName name="KobiPanelSatir1">AYARLAR!$C$32</definedName>
    <definedName name="KobiPanelSatir2">AYARLAR!$C$33</definedName>
    <definedName name="KobiPanelSatir3">AYARLAR!$C$34</definedName>
    <definedName name="KobiPanelSatir4">AYARLAR!$C$35</definedName>
    <definedName name="KobiPanelSatir5">AYARLAR!$C$36</definedName>
    <definedName name="KobiPanelSatir6">AYARLAR!$C$37</definedName>
    <definedName name="KobiPanelSatir7">AYARLAR!$C$38</definedName>
    <definedName name="KobiPanelSatir8">AYARLAR!$C$39</definedName>
    <definedName name="KobiPanelSatir9">AYARLAR!$C$40</definedName>
    <definedName name="KobiPanelSatir10">AYARLAR!$C$41</definedName>
    <definedName name="KobiPanelSatir11">AYARLAR!$C$42</definedName>
    <definedName name="KobiPanelSatir12">AYARLAR!$C$43</definedName>
    <definedName name="_xlnm.Print_Area" localSheetId="6">'PANO'!$A$1:$M$36</definedName>
    <definedName name="_xlnm.Print_Area" localSheetId="8">'RAPOR'!$A$1:$L$28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₺ #,##0;[Red](₺ #,##0);-"/>
    <numFmt numFmtId="165" formatCode="0.0%;[Red](0.0%);-"/>
    <numFmt numFmtId="166" formatCode="dd.mm.yyyy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color rgb="00006100"/>
      <sz val="10"/>
    </font>
    <font>
      <name val="Segoe UI"/>
      <b val="1"/>
      <color rgb="00333333"/>
      <sz val="10"/>
    </font>
    <font>
      <name val="Segoe UI"/>
      <b val="1"/>
      <color rgb="00006100"/>
      <sz val="10"/>
    </font>
    <font>
      <name val="Segoe UI"/>
      <b val="1"/>
      <color rgb="000F2742"/>
      <sz val="14"/>
    </font>
    <font>
      <name val="Segoe UI"/>
      <b val="1"/>
      <color rgb="00006100"/>
      <sz val="14"/>
    </font>
    <font>
      <name val="Segoe UI"/>
      <b val="1"/>
      <color rgb="000F2742"/>
      <sz val="11"/>
    </font>
    <font>
      <name val="Segoe UI"/>
      <b val="1"/>
      <color rgb="00006100"/>
      <sz val="12"/>
    </font>
    <font>
      <name val="Segoe UI"/>
      <b val="1"/>
      <color rgb="00595959"/>
      <sz val="10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4" fontId="0" fillId="0" borderId="0" pivotButton="0" quotePrefix="0" xfId="0"/>
    <xf numFmtId="3" fontId="0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0" fontId="23" fillId="4" borderId="0" applyAlignment="1" applyProtection="1" pivotButton="0" quotePrefix="0" xfId="0">
      <alignment horizontal="left" vertical="center"/>
      <protection locked="0" hidden="0"/>
    </xf>
    <xf numFmtId="166" fontId="23" fillId="4" borderId="0" applyAlignment="1" applyProtection="1" pivotButton="0" quotePrefix="0" xfId="0">
      <alignment horizontal="left" vertical="center"/>
      <protection locked="0" hidden="0"/>
    </xf>
    <xf numFmtId="164" fontId="23" fillId="4" borderId="0" applyAlignment="1" applyProtection="1" pivotButton="0" quotePrefix="0" xfId="0">
      <alignment horizontal="left" vertical="center"/>
      <protection locked="0" hidden="0"/>
    </xf>
    <xf numFmtId="3" fontId="23" fillId="4" borderId="0" applyAlignment="1" applyProtection="1" pivotButton="0" quotePrefix="0" xfId="0">
      <alignment horizontal="left" vertical="center"/>
      <protection locked="0" hidden="0"/>
    </xf>
    <xf numFmtId="165" fontId="23" fillId="4" borderId="0" applyAlignment="1" applyProtection="1" pivotButton="0" quotePrefix="0" xfId="0">
      <alignment horizontal="left" vertical="center"/>
      <protection locked="0" hidden="0"/>
    </xf>
    <xf numFmtId="0" fontId="23" fillId="4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6">
    <dxf>
      <font>
        <name val="Segoe UI"/>
        <color rgb="00B3261E"/>
      </font>
    </dxf>
    <dxf>
      <font>
        <name val="Segoe UI"/>
        <color rgb="00B3261E"/>
      </font>
      <fill>
        <patternFill patternType="solid">
          <fgColor rgb="00FDE9E9"/>
          <bgColor rgb="00FDE9E9"/>
        </patternFill>
      </fill>
    </dxf>
    <dxf>
      <font>
        <name val="Segoe UI"/>
        <color rgb="001F7A4D"/>
      </font>
    </dxf>
    <dxf>
      <font>
        <name val="Segoe UI"/>
        <color rgb="00B7791F"/>
      </font>
    </dxf>
    <dxf>
      <font>
        <name val="Segoe UI"/>
        <color rgb="001F7A4D"/>
      </font>
      <fill>
        <patternFill patternType="solid">
          <fgColor rgb="00E2EFDA"/>
          <bgColor rgb="00E2EFDA"/>
        </patternFill>
      </fill>
    </dxf>
    <dxf>
      <font>
        <name val="Segoe UI"/>
        <color rgb="00B7791F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Nakit Giriş ve Çıkış Trendi</a:t>
            </a:r>
          </a:p>
        </rich>
      </tx>
    </title>
    <plotArea>
      <lineChart>
        <grouping val="standard"/>
        <ser>
          <idx val="0"/>
          <order val="0"/>
          <tx>
            <strRef>
              <f>'PANO'!B9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'PANO'!$A$10:$A$21</f>
            </numRef>
          </cat>
          <val>
            <numRef>
              <f>'PANO'!$B$10:$B$21</f>
            </numRef>
          </val>
        </ser>
        <ser>
          <idx val="1"/>
          <order val="1"/>
          <tx>
            <strRef>
              <f>'PANO'!C9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'PANO'!$A$10:$A$21</f>
            </numRef>
          </cat>
          <val>
            <numRef>
              <f>'PANO'!$C$10:$C$21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Net Nakit Değişimi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'PANO'!D9</f>
            </strRef>
          </tx>
          <spPr>
            <a:ln>
              <a:prstDash val="solid"/>
            </a:ln>
          </spPr>
          <cat>
            <numRef>
              <f>'PANO'!$A$10:$A$21</f>
            </numRef>
          </cat>
          <val>
            <numRef>
              <f>'PANO'!$D$10:$D$21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Kapanış Nakit Trendi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'PANO'!$A$10:$A$21</f>
            </numRef>
          </cat>
          <val>
            <numRef>
              <f>'PANO'!$E$10:$E$21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Skoru Trendi</a:t>
            </a:r>
          </a:p>
        </rich>
      </tx>
    </title>
    <plotArea>
      <lineChart>
        <grouping val="standard"/>
        <ser>
          <idx val="0"/>
          <order val="0"/>
          <tx>
            <strRef>
              <f>'PANO'!F9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'PANO'!$A$10:$A$21</f>
            </numRef>
          </cat>
          <val>
            <numRef>
              <f>'PANO'!$F$10:$F$21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Tahsilat Kanalı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'PANO'!B24</f>
            </strRef>
          </tx>
          <spPr>
            <a:ln>
              <a:prstDash val="solid"/>
            </a:ln>
          </spPr>
          <cat>
            <numRef>
              <f>'PANO'!$A$25:$A$28</f>
            </numRef>
          </cat>
          <val>
            <numRef>
              <f>'PANO'!$B$25:$B$28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Projeksiyon: Ortalama, Alt ve Üst Sınır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'PANO'!B30</f>
            </strRef>
          </tx>
          <spPr>
            <a:ln>
              <a:prstDash val="solid"/>
            </a:ln>
          </spPr>
          <cat>
            <numRef>
              <f>'PANO'!$A$31:$A$34</f>
            </numRef>
          </cat>
          <val>
            <numRef>
              <f>'PANO'!$B$31:$B$34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Aylık verileri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Kasa Tahsilat | Neden önemli: Konsolide nakdi gösterir | Doğru kullanım: Formüldür, değiştirilmez</t>
      </text>
    </comment>
    <comment ref="B7" authorId="0" shapeId="0">
      <text>
        <t>Tanım: Toplam Banka Tahsilat | Neden önemli: Konsolide nakdi gösterir | Doğru kullanım: Formüldür, değiştirilmez</t>
      </text>
    </comment>
    <comment ref="B8" authorId="0" shapeId="0">
      <text>
        <t>Tanım: Toplam Cari Tahsilat | Neden önemli: Konsolide nakdi gösterir | Doğru kullanım: Formüldür, değiştirilmez</t>
      </text>
    </comment>
    <comment ref="B9" authorId="0" shapeId="0">
      <text>
        <t>Tanım: Toplam POS Tahsilat | Neden önemli: Konsolide nakdi gösterir | Doğru kullanım: Formüldür, değiştirilmez</t>
      </text>
    </comment>
    <comment ref="B10" authorId="0" shapeId="0">
      <text>
        <t>Tanım: Toplam Nakit Giriş | Neden önemli: Konsolide nakdi gösterir | Doğru kullanım: Formüldür, değiştirilmez</t>
      </text>
    </comment>
    <comment ref="B11" authorId="0" shapeId="0">
      <text>
        <t>Tanım: Toplam Stok Alışı | Neden önemli: Konsolide nakdi gösterir | Doğru kullanım: Formüldür, değiştirilmez</t>
      </text>
    </comment>
    <comment ref="B12" authorId="0" shapeId="0">
      <text>
        <t>Tanım: Toplam Operasyon Gideri | Neden önemli: Konsolide nakdi gösterir | Doğru kullanım: Formüldür, değiştirilmez</t>
      </text>
    </comment>
    <comment ref="B13" authorId="0" shapeId="0">
      <text>
        <t>Tanım: Toplam Maaş | Neden önemli: Konsolide nakdi gösterir | Doğru kullanım: Formüldür, değiştirilmez</t>
      </text>
    </comment>
    <comment ref="B14" authorId="0" shapeId="0">
      <text>
        <t>Tanım: Toplam Kredi Taksidi | Neden önemli: Konsolide nakdi gösterir | Doğru kullanım: Formüldür, değiştirilmez</t>
      </text>
    </comment>
    <comment ref="B15" authorId="0" shapeId="0">
      <text>
        <t>Tanım: Toplam Nakit Çıkış | Neden önemli: Konsolide nakdi gösterir | Doğru kullanım: Formüldür, değiştirilmez</t>
      </text>
    </comment>
    <comment ref="B16" authorId="0" shapeId="0">
      <text>
        <t>Tanım: Toplam Net Nakit Değişimi | Neden önemli: Konsolide nakdi gösterir | Doğru kullanım: Formüldür, değiştirilmez</t>
      </text>
    </comment>
    <comment ref="B17" authorId="0" shapeId="0">
      <text>
        <t>Tanım: Dönem Sonu Kapanış Nakit | Neden önemli: Konsolide nakdi gösterir | Doğru kullanım: Formüldür, değiştirilmez</t>
      </text>
    </comment>
    <comment ref="B18" authorId="0" shapeId="0">
      <text>
        <t>Tanım: Toplam Tahmini Kâr | Neden önemli: Konsolide nakdi gösterir | Doğru kullanım: Formüldür, değiştirilmez</t>
      </text>
    </comment>
    <comment ref="B19" authorId="0" shapeId="0">
      <text>
        <t>Tanım: Ortalama Risk Skoru | Neden önemli: Konsolide nakdi gösterir | Doğru kullanım: Formüldür, değiştirilmez</t>
      </text>
    </comment>
    <comment ref="B20" authorId="0" shapeId="0">
      <text>
        <t>Tanım: En Düşük Kapanışlı Ay | Neden önemli: Konsolide nakdi gösterir | Doğru kullanım: Formüldür, değiştirilmez</t>
      </text>
    </comment>
    <comment ref="B21" authorId="0" shapeId="0">
      <text>
        <t>Tanım: Negatif Kapanış Ay Sayısı | Neden önemli: Konsolide nakdi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dönem satırı var mı? | Neden önemli: Giriş kalitesini ölçer | Doğru kullanım: Formüldür, değiştirilmez | Yanlışsa: Kırmızı = düzeltin</t>
      </text>
    </comment>
    <comment ref="B7" authorId="0" shapeId="0">
      <text>
        <t>Tanım: Boş kasa tahsilat var mı? | Neden önemli: Giriş kalitesini ölçer | Doğru kullanım: Formüldür, değiştirilmez | Yanlışsa: Kırmızı = düzeltin</t>
      </text>
    </comment>
    <comment ref="B8" authorId="0" shapeId="0">
      <text>
        <t>Tanım: Negatif tahsilat var mı? | Neden önemli: Giriş kalitesini ölçer | Doğru kullanım: Formüldür, değiştirilmez | Yanlışsa: Kırmızı = düzeltin</t>
      </text>
    </comment>
    <comment ref="B9" authorId="0" shapeId="0">
      <text>
        <t>Tanım: Negatif gider var mı? | Neden önemli: Giriş kalitesini ölçer | Doğru kullanım: Formüldür, değiştirilmez | Yanlışsa: Kırmızı = düzeltin</t>
      </text>
    </comment>
    <comment ref="B10" authorId="0" shapeId="0">
      <text>
        <t>Tanım: Negatif kapanış ayı var mı? | Neden önemli: Giriş kalitesini ölçer | Doğru kullanım: Formüldür, değiştirilmez | Yanlışsa: Kırmızı = düzeltin</t>
      </text>
    </comment>
    <comment ref="B11" authorId="0" shapeId="0">
      <text>
        <t>Tanım: Risk skoru eşiği aşılıyor mu? | Neden önemli: Giriş kalitesini ölçer | Doğru kullanım: Formüldür, değiştirilmez | Yanlışsa: Kırmızı = düzeltin</t>
      </text>
    </comment>
    <comment ref="B12" authorId="0" shapeId="0">
      <text>
        <t>Tanım: Net nakit değişimi negatif mi? | Neden önemli: Giriş kalitesini ölçer | Doğru kullanım: Formüldür, değiştirilmez | Yanlışsa: Kırmızı = düzeltin</t>
      </text>
    </comment>
    <comment ref="B13" authorId="0" shapeId="0">
      <text>
        <t>Tanım: Kâr tahmini negatif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Dönem önerisi | Neden önemli: Açılır listeyi besler | Doğru kullanım: Yeni dönem için satır ekleyin</t>
      </text>
    </comment>
    <comment ref="A8" authorId="0" shapeId="0">
      <text>
        <t>Tanım: Dönem önerisi | Neden önemli: Açılır listeyi besler | Doğru kullanım: Yeni dönem için satır ekleyin</t>
      </text>
    </comment>
    <comment ref="A9" authorId="0" shapeId="0">
      <text>
        <t>Tanım: Dönem önerisi | Neden önemli: Açılır listeyi besler | Doğru kullanım: Yeni dönem için satır ekleyin</t>
      </text>
    </comment>
    <comment ref="A10" authorId="0" shapeId="0">
      <text>
        <t>Tanım: Dönem önerisi | Neden önemli: Açılır listeyi besler | Doğru kullanım: Yeni dönem için satır ekleyin</t>
      </text>
    </comment>
    <comment ref="A11" authorId="0" shapeId="0">
      <text>
        <t>Tanım: Dönem önerisi | Neden önemli: Açılır listeyi besler | Doğru kullanım: Yeni dönem için satır ekleyin</t>
      </text>
    </comment>
    <comment ref="A12" authorId="0" shapeId="0">
      <text>
        <t>Tanım: Dönem önerisi | Neden önemli: Açılır listeyi besler | Doğru kullanım: Yeni dönem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C7" authorId="0" shapeId="0">
      <text>
        <t>Tanım: Firma Ünvanı | Neden önemli: Tüm hesaplamaları etkiler | Doğru kullanım: Güncel değeri girin | Örnek: Örnek Firma A.Ş. | Yanlışsa: Hesaplar yanlış çıkar</t>
      </text>
    </comment>
    <comment ref="C8" authorId="0" shapeId="0">
      <text>
        <t>Tanım: Rapor Tarihi | Neden önemli: Tüm hesaplamaları etkiler | Doğru kullanım: Güncel değeri girin | Örnek: 2026-08-08 | Yanlışsa: Hesaplar yanlış çıkar</t>
      </text>
    </comment>
    <comment ref="C9" authorId="0" shapeId="0">
      <text>
        <t>Tanım: Raporu Hazırlayan | Neden önemli: Tüm hesaplamaları etkiler | Doğru kullanım: Güncel değeri girin | Örnek: Finans Direktörü | Yanlışsa: Hesaplar yanlış çıkar</t>
      </text>
    </comment>
    <comment ref="C10" authorId="0" shapeId="0">
      <text>
        <t>Tanım: Dosya Sürümü | Neden önemli: Tüm hesaplamaları etkiler | Doğru kullanım: Güncel değeri girin | Örnek: 1.0.0 | Yanlışsa: Hesaplar yanlış çıkar</t>
      </text>
    </comment>
    <comment ref="C11" authorId="0" shapeId="0">
      <text>
        <t>Tanım: Dönem Başı Nakit (₺) | Neden önemli: Tüm hesaplamaları etkiler | Doğru kullanım: Güncel değeri girin | Örnek: 250000 | Yanlışsa: Hesaplar yanlış çıkar</t>
      </text>
    </comment>
    <comment ref="C12" authorId="0" shapeId="0">
      <text>
        <t>Tanım: Asgari Nakit Eşiği (₺) | Neden önemli: Tüm hesaplamaları etkiler | Doğru kullanım: Güncel değeri girin | Örnek: 100000 | Yanlışsa: Hesaplar yanlış çıkar</t>
      </text>
    </comment>
    <comment ref="C13" authorId="0" shapeId="0">
      <text>
        <t>Tanım: Hedef Nakit Eşiği (₺) | Neden önemli: Tüm hesaplamaları etkiler | Doğru kullanım: Güncel değeri girin | Örnek: 300000 | Yanlışsa: Hesaplar yanlış çıkar</t>
      </text>
    </comment>
    <comment ref="C14" authorId="0" shapeId="0">
      <text>
        <t>Tanım: Risk Skoru Eşiği | Neden önemli: Tüm hesaplamaları etkiler | Doğru kullanım: Güncel değeri girin | Örnek: 50 | Yanlışsa: Hesaplar yanlış çıkar</t>
      </text>
    </comment>
    <comment ref="C15" authorId="0" shapeId="0">
      <text>
        <t>Tanım: Maksimum Risk Skoru | Neden önemli: Tüm hesaplamaları etkiler | Doğru kullanım: Güncel değeri girin | Örnek: 100 | Yanlışsa: Hesaplar yanlış çıkar</t>
      </text>
    </comment>
    <comment ref="C16" authorId="0" shapeId="0">
      <text>
        <t>Tanım: Yüksek Risk Skoru | Neden önemli: Tüm hesaplamaları etkiler | Doğru kullanım: Güncel değeri girin | Örnek: 80 | Yanlışsa: Hesaplar yanlış çıkar</t>
      </text>
    </comment>
    <comment ref="C17" authorId="0" shapeId="0">
      <text>
        <t>Tanım: Orta Risk Skoru | Neden önemli: Tüm hesaplamaları etkiler | Doğru kullanım: Güncel değeri girin | Örnek: 50 | Yanlışsa: Hesaplar yanlış çıkar</t>
      </text>
    </comment>
    <comment ref="C18" authorId="0" shapeId="0">
      <text>
        <t>Tanım: Düşük Risk Skoru | Neden önemli: Tüm hesaplamaları etkiler | Doğru kullanım: Güncel değeri girin | Örnek: 20 | Yanlışsa: Hesaplar yanlış çıkar</t>
      </text>
    </comment>
    <comment ref="C19" authorId="0" shapeId="0">
      <text>
        <t>Tanım: İyimser Senaryo Çarpanı | Neden önemli: Tüm hesaplamaları etkiler | Doğru kullanım: Güncel değeri girin | Örnek: 1.05 | Yanlışsa: Hesaplar yanlış çıkar</t>
      </text>
    </comment>
    <comment ref="C20" authorId="0" shapeId="0">
      <text>
        <t>Tanım: Baz Senaryo Çarpanı | Neden önemli: Tüm hesaplamaları etkiler | Doğru kullanım: Güncel değeri girin | Örnek: 1.00 | Yanlışsa: Hesaplar yanlış çıkar</t>
      </text>
    </comment>
    <comment ref="C21" authorId="0" shapeId="0">
      <text>
        <t>Tanım: Kötümser Senaryo Çarpanı | Neden önemli: Tüm hesaplamaları etkiler | Doğru kullanım: Güncel değeri girin | Örnek: 0.95 | Yanlışsa: Hesaplar yanlış çıkar</t>
      </text>
    </comment>
    <comment ref="C22" authorId="0" shapeId="0">
      <text>
        <t>Tanım: Tornado Tahsilat Etkisi | Neden önemli: Tüm hesaplamaları etkiler | Doğru kullanım: Güncel değeri girin | Örnek: 0.01 | Yanlışsa: Hesaplar yanlış çıkar</t>
      </text>
    </comment>
    <comment ref="C23" authorId="0" shapeId="0">
      <text>
        <t>Tanım: Tornado Gider Etkisi | Neden önemli: Tüm hesaplamaları etkiler | Doğru kullanım: Güncel değeri girin | Örnek: 0.01 | Yanlışsa: Hesaplar yanlış çıkar</t>
      </text>
    </comment>
    <comment ref="C24" authorId="0" shapeId="0">
      <text>
        <t>Tanım: Tahmin Çarpanı | Neden önemli: Tüm hesaplamaları etkiler | Doğru kullanım: Güncel değeri girin | Örnek: 1.645 | Yanlışsa: Hesaplar yanlış çıkar</t>
      </text>
    </comment>
    <comment ref="C25" authorId="0" shapeId="0">
      <text>
        <t>Tanım: Kalite Skoru İyi Eşiği | Neden önemli: Tüm hesaplamaları etkiler | Doğru kullanım: Güncel değeri girin | Örnek: 90 | Yanlışsa: Hesaplar yanlış çıkar</t>
      </text>
    </comment>
    <comment ref="C26" authorId="0" shapeId="0">
      <text>
        <t>Tanım: Kalite Skoru Orta Eşiği | Neden önemli: Tüm hesaplamaları etkiler | Doğru kullanım: Güncel değeri girin | Örnek: 70 | Yanlışsa: Hesaplar yanlış çıkar</t>
      </text>
    </comment>
    <comment ref="C27" authorId="0" shapeId="0">
      <text>
        <t>Tanım: Toplam Giriş Hücresi Sayısı | Neden önemli: Tüm hesaplamaları etkiler | Doğru kullanım: Güncel değeri girin | Örnek: 9000 | Yanlışsa: Hesaplar yanlış çıkar</t>
      </text>
    </comment>
    <comment ref="C28" authorId="0" shapeId="0">
      <text>
        <t>Tanım: Dolu Giriş Hücresi Sayısı | Neden önemli: Tüm hesaplamaları etkiler | Doğru kullanım: Güncel değeri girin | Örnek: 9000 | Yanlışsa: Hesaplar yanlış çıkar</t>
      </text>
    </comment>
    <comment ref="C29" authorId="0" shapeId="0">
      <text>
        <t>Tanım: Aksiyon 1 Açıklaması | Neden önemli: Tüm hesaplamaları etkiler | Doğru kullanım: Güncel değeri girin | Örnek: Negatif kapanış ayı varsa ödeme planını yeniden yapılandırın ve tahsilatı hızlandırın. | Yanlışsa: Hesaplar yanlış çıkar</t>
      </text>
    </comment>
    <comment ref="C30" authorId="0" shapeId="0">
      <text>
        <t>Tanım: Aksiyon 2 Açıklaması | Neden önemli: Tüm hesaplamaları etkiler | Doğru kullanım: Güncel değeri girin | Örnek: Risk skoru yüksekse stok ve operasyon giderlerini kısıp kredi taksitlerini gözden geçirin. | Yanlışsa: Hesaplar yanlış çıkar</t>
      </text>
    </comment>
    <comment ref="C31" authorId="0" shapeId="0">
      <text>
        <t>Tanım: Aksiyon 3 Açıklaması | Neden önemli: Tüm hesaplamaları etkiler | Doğru kullanım: Güncel değeri girin | Örnek: Net nakit değişimi negatifse tahsilat kanallarını ve gider kontrolünü birlikte inceleyin. | Yanlışsa: Hesaplar yanlış çıkar</t>
      </text>
    </comment>
    <comment ref="C32" authorId="0" shapeId="0">
      <text>
        <t>Tanım: Panel satır numarası 1 | Neden önemli: PANO'daki aylık grafiği besler | Doğru kullanım: Tablodaki satır sırasını girin</t>
      </text>
    </comment>
    <comment ref="C33" authorId="0" shapeId="0">
      <text>
        <t>Tanım: Panel satır numarası 2 | Neden önemli: PANO'daki aylık grafiği besler | Doğru kullanım: Tablodaki satır sırasını girin</t>
      </text>
    </comment>
    <comment ref="C34" authorId="0" shapeId="0">
      <text>
        <t>Tanım: Panel satır numarası 3 | Neden önemli: PANO'daki aylık grafiği besler | Doğru kullanım: Tablodaki satır sırasını girin</t>
      </text>
    </comment>
    <comment ref="C35" authorId="0" shapeId="0">
      <text>
        <t>Tanım: Panel satır numarası 4 | Neden önemli: PANO'daki aylık grafiği besler | Doğru kullanım: Tablodaki satır sırasını girin</t>
      </text>
    </comment>
    <comment ref="C36" authorId="0" shapeId="0">
      <text>
        <t>Tanım: Panel satır numarası 5 | Neden önemli: PANO'daki aylık grafiği besler | Doğru kullanım: Tablodaki satır sırasını girin</t>
      </text>
    </comment>
    <comment ref="C37" authorId="0" shapeId="0">
      <text>
        <t>Tanım: Panel satır numarası 6 | Neden önemli: PANO'daki aylık grafiği besler | Doğru kullanım: Tablodaki satır sırasını girin</t>
      </text>
    </comment>
    <comment ref="C38" authorId="0" shapeId="0">
      <text>
        <t>Tanım: Panel satır numarası 7 | Neden önemli: PANO'daki aylık grafiği besler | Doğru kullanım: Tablodaki satır sırasını girin</t>
      </text>
    </comment>
    <comment ref="C39" authorId="0" shapeId="0">
      <text>
        <t>Tanım: Panel satır numarası 8 | Neden önemli: PANO'daki aylık grafiği besler | Doğru kullanım: Tablodaki satır sırasını girin</t>
      </text>
    </comment>
    <comment ref="C40" authorId="0" shapeId="0">
      <text>
        <t>Tanım: Panel satır numarası 9 | Neden önemli: PANO'daki aylık grafiği besler | Doğru kullanım: Tablodaki satır sırasını girin</t>
      </text>
    </comment>
    <comment ref="C41" authorId="0" shapeId="0">
      <text>
        <t>Tanım: Panel satır numarası 10 | Neden önemli: PANO'daki aylık grafiği besler | Doğru kullanım: Tablodaki satır sırasını girin</t>
      </text>
    </comment>
    <comment ref="C42" authorId="0" shapeId="0">
      <text>
        <t>Tanım: Panel satır numarası 11 | Neden önemli: PANO'daki aylık grafiği besler | Doğru kullanım: Tablodaki satır sırasını girin</t>
      </text>
    </comment>
    <comment ref="C43" authorId="0" shapeId="0">
      <text>
        <t>Tanım: Panel satır numarası 12 | Neden önemli: PANO'daki aylık grafiği besler | Doğru kullanım: Tablodaki satır sırasını girin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22</col>
      <colOff>0</colOff>
      <row>5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18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22</col>
      <colOff>0</colOff>
      <row>18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23</row>
      <rowOff>0</rowOff>
    </from>
    <ext cx="468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23</row>
      <rowOff>0</rowOff>
    </from>
    <ext cx="468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obi" displayName="tblKobi" ref="A5:N1004" headerRowCount="1">
  <tableColumns count="14">
    <tableColumn id="1" name="Dönem"/>
    <tableColumn id="2" name="Kasa Tahsilat (₺)"/>
    <tableColumn id="3" name="Banka Tahsilat (₺)"/>
    <tableColumn id="4" name="Cari Tahsilat (₺)"/>
    <tableColumn id="5" name="POS Tahsilat (₺)"/>
    <tableColumn id="6" name="Stok Alışı (₺)"/>
    <tableColumn id="7" name="Operasyon Gideri (₺)"/>
    <tableColumn id="8" name="Maaş (₺)"/>
    <tableColumn id="9" name="Kredi Taksidi (₺)"/>
    <tableColumn id="10" name="Net Nakit Değişimi (₺)">
      <calculatedColumnFormula>=tblKobi[[#This Row],[Kasa Tahsilat (₺)]]+tblKobi[[#This Row],[Banka Tahsilat (₺)]]+tblKobi[[#This Row],[Cari Tahsilat (₺)]]+tblKobi[[#This Row],[POS Tahsilat (₺)]]-tblKobi[[#This Row],[Stok Alışı (₺)]]-tblKobi[[#This Row],[Operasyon Gideri (₺)]]-tblKobi[[#This Row],[Maaş (₺)]]-tblKobi[[#This Row],[Kredi Taksidi (₺)]]</calculatedColumnFormula>
    </tableColumn>
    <tableColumn id="11" name="Kapanış Nakit (₺)">
      <calculatedColumnFormula>=IF(ROW()=6,KobiBaslangicNakit,INDEX(tblKobi[Kapanış Nakit (₺)],ROW()-6))+tblKobi[[#This Row],[Net Nakit Değişimi (₺)]]</calculatedColumnFormula>
    </tableColumn>
    <tableColumn id="12" name="Tahmini Kâr (₺)">
      <calculatedColumnFormula>=tblKobi[[#This Row],[Kasa Tahsilat (₺)]]+tblKobi[[#This Row],[Banka Tahsilat (₺)]]+tblKobi[[#This Row],[Cari Tahsilat (₺)]]+tblKobi[[#This Row],[POS Tahsilat (₺)]]-tblKobi[[#This Row],[Stok Alışı (₺)]]-tblKobi[[#This Row],[Operasyon Gideri (₺)]]-tblKobi[[#This Row],[Maaş (₺)]]-tblKobi[[#This Row],[Kredi Taksidi (₺)]]</calculatedColumnFormula>
    </tableColumn>
    <tableColumn id="13" name="Risk Skoru">
      <calculatedColumnFormula>=IF(tblKobi[[#This Row],[Kapanış Nakit (₺)]]=0,KobiRiskSkorMax,IF(tblKobi[[#This Row],[Kapanış Nakit (₺)]]&lt;KobiAsgariNakit,KobiRiskSkorYuksek,IF(tblKobi[[#This Row],[Kapanış Nakit (₺)]]&lt;KobiHedefNakit,KobiRiskSkorOrta,KobiRiskSkorDusuk)))</calculatedColumnFormula>
    </tableColumn>
    <tableColumn id="14" name="No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Ornek" displayName="tblOrnek" ref="A5:K1004" headerRowCount="1">
  <tableColumns count="11">
    <tableColumn id="1" name="Dönem"/>
    <tableColumn id="2" name="Kasa Tahsilat (₺)"/>
    <tableColumn id="3" name="Banka Tahsilat (₺)"/>
    <tableColumn id="4" name="Cari Tahsilat (₺)"/>
    <tableColumn id="5" name="POS Tahsilat (₺)"/>
    <tableColumn id="6" name="Stok Alışı (₺)"/>
    <tableColumn id="7" name="Operasyon Gideri (₺)"/>
    <tableColumn id="8" name="Maaş (₺)"/>
    <tableColumn id="9" name="Kredi Taksidi (₺)"/>
    <tableColumn id="10" name="Net Nakit Değişimi (₺)">
      <calculatedColumnFormula>=tblOrnek[[#This Row],[Kasa Tahsilat (₺)]]+tblOrnek[[#This Row],[Banka Tahsilat (₺)]]+tblOrnek[[#This Row],[Cari Tahsilat (₺)]]+tblOrnek[[#This Row],[POS Tahsilat (₺)]]-tblOrnek[[#This Row],[Stok Alışı (₺)]]-tblOrnek[[#This Row],[Operasyon Gideri (₺)]]-tblOrnek[[#This Row],[Maaş (₺)]]-tblOrnek[[#This Row],[Kredi Taksidi (₺)]]</calculatedColumnFormula>
    </tableColumn>
    <tableColumn id="11" name="N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26" customHeight="1">
      <c r="A1" s="1" t="inlineStr">
        <is>
          <t>KAPAK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3" ht="30" customHeight="1">
      <c r="A3" s="3" t="inlineStr">
        <is>
          <t>KOBİ Finans Yönetim Paketi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4" t="inlineStr">
        <is>
          <t>Kasa, cari, banka ve stok sistemlerini tek yapıda birleştirin; aylık yönetim özeti ve karşılık planıyla dönem sonunu net görün.</t>
        </is>
      </c>
    </row>
    <row r="6">
      <c r="A6" s="5" t="inlineStr">
        <is>
          <t>Bu ürün ne sağlar?</t>
        </is>
      </c>
    </row>
    <row r="7">
      <c r="A7" s="6" t="inlineStr">
        <is>
          <t>• Kasa, banka, cari ve POS tahsilatlarının konsolide takibi</t>
        </is>
      </c>
    </row>
    <row r="8">
      <c r="A8" s="6" t="inlineStr">
        <is>
          <t>• Stok alışı ve operasyon giderleriyle konsolide nakit modeli</t>
        </is>
      </c>
    </row>
    <row r="9">
      <c r="A9" s="6" t="inlineStr">
        <is>
          <t>• Aylık nakit değişimi ve kapanış nakit tahmini</t>
        </is>
      </c>
    </row>
    <row r="10">
      <c r="A10" s="6" t="inlineStr">
        <is>
          <t>• Risk skoru, karşılık planı ve yönetim özeti</t>
        </is>
      </c>
    </row>
    <row r="11">
      <c r="A11" s="6" t="inlineStr">
        <is>
          <t>• Yönetici raporu ve karar kapısı (UYGUN/İNCELE/DURDUR)</t>
        </is>
      </c>
    </row>
    <row r="14">
      <c r="A14" s="5" t="inlineStr">
        <is>
          <t>Kimler için?</t>
        </is>
      </c>
    </row>
    <row r="15">
      <c r="A15" s="7" t="inlineStr">
        <is>
          <t>• Finans süreçlerini tek pakette toplamak isteyen KOBİ'ler</t>
        </is>
      </c>
    </row>
    <row r="16">
      <c r="A16" s="7" t="inlineStr">
        <is>
          <t>• Aylık yönetim toplantısı için özet arayanlar</t>
        </is>
      </c>
    </row>
    <row r="17">
      <c r="A17" s="7" t="inlineStr">
        <is>
          <t>• Bireysel sistemleri paket fiyatına almak isteyenler</t>
        </is>
      </c>
    </row>
    <row r="18">
      <c r="A18" s="5" t="inlineStr">
        <is>
          <t>Nasıl başlanır?</t>
        </is>
      </c>
    </row>
    <row r="19">
      <c r="A19" s="6" t="inlineStr">
        <is>
          <t>1. HIZLI_BASLANGIC sayfasını okuyun. 2. AYLIK_VERI sayfasına konsolide aylık verileri girin. 3. PANO ve RAPOR sayfalarından sonucu izleyin.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 ht="26" customHeight="1">
      <c r="A1" s="1" t="inlineStr">
        <is>
          <t>HIZLI BASLANGIC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Nasıl kullanılır?</t>
        </is>
      </c>
    </row>
    <row r="5">
      <c r="A5" s="10" t="inlineStr">
        <is>
          <t>Adım 1 — Aylık verileri girin</t>
        </is>
      </c>
      <c r="B5" s="6" t="inlineStr">
        <is>
          <t>AYLIK_VERI sayfasındaki sarı hücrelere dönem, kasa/banka/cari tahsilat, stok alışı ve operasyon giderlerini girin. Her satır bir aydır.</t>
        </is>
      </c>
    </row>
    <row r="6">
      <c r="A6" s="10" t="inlineStr">
        <is>
          <t>Adım 2 — Sonuçları izleyin</t>
        </is>
      </c>
      <c r="B6" s="6" t="inlineStr">
        <is>
          <t>HESAP sayfası konsolide nakit giriş/çıkış, net değişim ve kapanış nakit modelini kurar.</t>
        </is>
      </c>
    </row>
    <row r="7">
      <c r="A7" s="10" t="inlineStr">
        <is>
          <t>Adım 3 — Karar ve rapor</t>
        </is>
      </c>
      <c r="B7" s="6" t="inlineStr">
        <is>
          <t>KARAR sayfası UYGUN/İNCELE/DURDUR üretir; RAPOR yöneticiye sunulabilir.</t>
        </is>
      </c>
    </row>
    <row r="8">
      <c r="A8" s="10" t="inlineStr">
        <is>
          <t>Adım 4 — Eşikleri ayarlayın</t>
        </is>
      </c>
      <c r="B8" s="6" t="inlineStr">
        <is>
          <t>Risk ve karşılık eşikleri AYARLAR sayfasından değiştirilir.</t>
        </is>
      </c>
    </row>
    <row r="11">
      <c r="A11" s="11" t="inlineStr">
        <is>
          <t>Sık yapılan hatalar</t>
        </is>
      </c>
    </row>
    <row r="12">
      <c r="A12" s="12" t="inlineStr">
        <is>
          <t>• Aynı dönemi birden çok satırda toplamak</t>
        </is>
      </c>
    </row>
    <row r="13">
      <c r="A13" s="12" t="inlineStr">
        <is>
          <t>• Kasa ve banka tahsilatını iki kez saymak</t>
        </is>
      </c>
    </row>
    <row r="14">
      <c r="A14" s="12" t="inlineStr">
        <is>
          <t>• Vergi/SGK karşılığını ödenmiş gibi nakit çıkışına yazmak</t>
        </is>
      </c>
    </row>
    <row r="15">
      <c r="A15" s="13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AN10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3" customWidth="1" min="8" max="8"/>
    <col width="14" customWidth="1" min="9" max="9"/>
    <col width="18" customWidth="1" min="10" max="10"/>
    <col width="18" customWidth="1" min="11" max="11"/>
    <col width="18" customWidth="1" min="12" max="12"/>
    <col width="13" customWidth="1" min="13" max="13"/>
    <col width="22" customWidth="1" min="14" max="14"/>
  </cols>
  <sheetData>
    <row r="1" ht="26" customHeight="1">
      <c r="A1" s="1" t="inlineStr">
        <is>
          <t>AYLIK VERI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Konsolide Aylık Veri Girişi</t>
        </is>
      </c>
    </row>
    <row r="4">
      <c r="A4" s="4" t="inlineStr">
        <is>
          <t>Sarı hücrelere manuel veri girin. Her satır bir aydır; konsolide nakit ve kâr göstergeleri otomatik hesaplanır.</t>
        </is>
      </c>
    </row>
    <row r="5" ht="30" customHeight="1">
      <c r="A5" s="14" t="inlineStr">
        <is>
          <t>Dönem</t>
        </is>
      </c>
      <c r="B5" s="14" t="inlineStr">
        <is>
          <t>Kasa Tahsilat (₺)</t>
        </is>
      </c>
      <c r="C5" s="14" t="inlineStr">
        <is>
          <t>Banka Tahsilat (₺)</t>
        </is>
      </c>
      <c r="D5" s="14" t="inlineStr">
        <is>
          <t>Cari Tahsilat (₺)</t>
        </is>
      </c>
      <c r="E5" s="14" t="inlineStr">
        <is>
          <t>POS Tahsilat (₺)</t>
        </is>
      </c>
      <c r="F5" s="14" t="inlineStr">
        <is>
          <t>Stok Alışı (₺)</t>
        </is>
      </c>
      <c r="G5" s="14" t="inlineStr">
        <is>
          <t>Operasyon Gideri (₺)</t>
        </is>
      </c>
      <c r="H5" s="14" t="inlineStr">
        <is>
          <t>Maaş (₺)</t>
        </is>
      </c>
      <c r="I5" s="14" t="inlineStr">
        <is>
          <t>Kredi Taksidi (₺)</t>
        </is>
      </c>
      <c r="J5" s="14" t="inlineStr">
        <is>
          <t>Net Nakit Değişimi (₺)</t>
        </is>
      </c>
      <c r="K5" s="14" t="inlineStr">
        <is>
          <t>Kapanış Nakit (₺)</t>
        </is>
      </c>
      <c r="L5" s="14" t="inlineStr">
        <is>
          <t>Tahmini Kâr (₺)</t>
        </is>
      </c>
      <c r="M5" s="14" t="inlineStr">
        <is>
          <t>Risk Skoru</t>
        </is>
      </c>
      <c r="N5" s="14" t="inlineStr">
        <is>
          <t>Not</t>
        </is>
      </c>
    </row>
    <row r="6">
      <c r="A6" s="15" t="inlineStr">
        <is>
          <t>Ocak 2026</t>
        </is>
      </c>
      <c r="B6" s="16" t="n">
        <v>320000</v>
      </c>
      <c r="C6" s="16" t="n">
        <v>410000</v>
      </c>
      <c r="D6" s="16" t="n">
        <v>180000</v>
      </c>
      <c r="E6" s="16" t="n">
        <v>95000</v>
      </c>
      <c r="F6" s="16" t="n">
        <v>260000</v>
      </c>
      <c r="G6" s="16" t="n">
        <v>140000</v>
      </c>
      <c r="H6" s="16" t="n">
        <v>160000</v>
      </c>
      <c r="I6" s="16" t="n">
        <v>45000</v>
      </c>
      <c r="J6" s="17" t="inlineStr">
        <is>
          <t>Örnek: yıl başı</t>
        </is>
      </c>
      <c r="K6" s="17" t="n"/>
      <c r="L6" s="17" t="n"/>
      <c r="M6" s="18" t="n"/>
      <c r="N6" s="15" t="n"/>
    </row>
    <row r="7">
      <c r="A7" s="15" t="inlineStr">
        <is>
          <t>Şubat 2026</t>
        </is>
      </c>
      <c r="B7" s="16" t="n">
        <v>305000</v>
      </c>
      <c r="C7" s="16" t="n">
        <v>395000</v>
      </c>
      <c r="D7" s="16" t="n">
        <v>165000</v>
      </c>
      <c r="E7" s="16" t="n">
        <v>88000</v>
      </c>
      <c r="F7" s="16" t="n">
        <v>240000</v>
      </c>
      <c r="G7" s="16" t="n">
        <v>135000</v>
      </c>
      <c r="H7" s="16" t="n">
        <v>160000</v>
      </c>
      <c r="I7" s="16" t="n">
        <v>45000</v>
      </c>
      <c r="J7" s="17" t="inlineStr">
        <is>
          <t>Örnek: normal ay</t>
        </is>
      </c>
      <c r="K7" s="17" t="n"/>
      <c r="L7" s="17" t="n"/>
      <c r="M7" s="18" t="n"/>
      <c r="N7" s="15" t="n"/>
    </row>
    <row r="8">
      <c r="A8" s="15" t="inlineStr">
        <is>
          <t>Mart 2026</t>
        </is>
      </c>
      <c r="B8" s="16" t="n">
        <v>335000</v>
      </c>
      <c r="C8" s="16" t="n">
        <v>430000</v>
      </c>
      <c r="D8" s="16" t="n">
        <v>175000</v>
      </c>
      <c r="E8" s="16" t="n">
        <v>102000</v>
      </c>
      <c r="F8" s="16" t="n">
        <v>255000</v>
      </c>
      <c r="G8" s="16" t="n">
        <v>145000</v>
      </c>
      <c r="H8" s="16" t="n">
        <v>160000</v>
      </c>
      <c r="I8" s="16" t="n">
        <v>45000</v>
      </c>
      <c r="J8" s="17" t="inlineStr">
        <is>
          <t>Örnek: toparlanma</t>
        </is>
      </c>
      <c r="K8" s="17" t="n"/>
      <c r="L8" s="17" t="n"/>
      <c r="M8" s="18" t="n"/>
      <c r="N8" s="15" t="n"/>
    </row>
    <row r="9">
      <c r="A9" s="15" t="inlineStr">
        <is>
          <t>Nisan 2026</t>
        </is>
      </c>
      <c r="B9" s="16" t="n">
        <v>310000</v>
      </c>
      <c r="C9" s="16" t="n">
        <v>405000</v>
      </c>
      <c r="D9" s="16" t="n">
        <v>170000</v>
      </c>
      <c r="E9" s="16" t="n">
        <v>91000</v>
      </c>
      <c r="F9" s="16" t="n">
        <v>250000</v>
      </c>
      <c r="G9" s="16" t="n">
        <v>138000</v>
      </c>
      <c r="H9" s="16" t="n">
        <v>165000</v>
      </c>
      <c r="I9" s="16" t="n">
        <v>45000</v>
      </c>
      <c r="J9" s="17" t="inlineStr">
        <is>
          <t>Örnek: normal ay</t>
        </is>
      </c>
      <c r="K9" s="17" t="n"/>
      <c r="L9" s="17" t="n"/>
      <c r="M9" s="18" t="n"/>
      <c r="N9" s="15" t="n"/>
    </row>
    <row r="10">
      <c r="A10" s="15" t="inlineStr">
        <is>
          <t>Mayıs 2026</t>
        </is>
      </c>
      <c r="B10" s="16" t="n">
        <v>360000</v>
      </c>
      <c r="C10" s="16" t="n">
        <v>460000</v>
      </c>
      <c r="D10" s="16" t="n">
        <v>190000</v>
      </c>
      <c r="E10" s="16" t="n">
        <v>110000</v>
      </c>
      <c r="F10" s="16" t="n">
        <v>270000</v>
      </c>
      <c r="G10" s="16" t="n">
        <v>150000</v>
      </c>
      <c r="H10" s="16" t="n">
        <v>165000</v>
      </c>
      <c r="I10" s="16" t="n">
        <v>45000</v>
      </c>
      <c r="J10" s="17" t="inlineStr">
        <is>
          <t>Örnek: satış artışı</t>
        </is>
      </c>
      <c r="K10" s="17" t="n"/>
      <c r="L10" s="17" t="n"/>
      <c r="M10" s="18" t="n"/>
      <c r="N10" s="15" t="n"/>
    </row>
    <row r="11">
      <c r="A11" s="15" t="inlineStr">
        <is>
          <t>Haziran 2026</t>
        </is>
      </c>
      <c r="B11" s="16" t="n">
        <v>345000</v>
      </c>
      <c r="C11" s="16" t="n">
        <v>440000</v>
      </c>
      <c r="D11" s="16" t="n">
        <v>185000</v>
      </c>
      <c r="E11" s="16" t="n">
        <v>105000</v>
      </c>
      <c r="F11" s="16" t="n">
        <v>265000</v>
      </c>
      <c r="G11" s="16" t="n">
        <v>147000</v>
      </c>
      <c r="H11" s="16" t="n">
        <v>165000</v>
      </c>
      <c r="I11" s="16" t="n">
        <v>45000</v>
      </c>
      <c r="J11" s="17" t="inlineStr">
        <is>
          <t>Örnek: normal ay</t>
        </is>
      </c>
      <c r="K11" s="17" t="n"/>
      <c r="L11" s="17" t="n"/>
      <c r="M11" s="18" t="n"/>
      <c r="N11" s="15" t="n"/>
    </row>
    <row r="12">
      <c r="A12" s="15" t="inlineStr">
        <is>
          <t>Temmuz 2026</t>
        </is>
      </c>
      <c r="B12" s="16" t="n">
        <v>380000</v>
      </c>
      <c r="C12" s="16" t="n">
        <v>480000</v>
      </c>
      <c r="D12" s="16" t="n">
        <v>195000</v>
      </c>
      <c r="E12" s="16" t="n">
        <v>115000</v>
      </c>
      <c r="F12" s="16" t="n">
        <v>280000</v>
      </c>
      <c r="G12" s="16" t="n">
        <v>155000</v>
      </c>
      <c r="H12" s="16" t="n">
        <v>170000</v>
      </c>
      <c r="I12" s="16" t="n">
        <v>45000</v>
      </c>
      <c r="J12" s="17" t="inlineStr">
        <is>
          <t>Örnek: yüksek sezon</t>
        </is>
      </c>
      <c r="K12" s="17" t="n"/>
      <c r="L12" s="17" t="n"/>
      <c r="M12" s="18" t="n"/>
      <c r="N12" s="15" t="n"/>
    </row>
    <row r="13">
      <c r="A13" s="15" t="inlineStr">
        <is>
          <t>Ağustos 2026</t>
        </is>
      </c>
      <c r="B13" s="16" t="n">
        <v>355000</v>
      </c>
      <c r="C13" s="16" t="n">
        <v>450000</v>
      </c>
      <c r="D13" s="16" t="n">
        <v>180000</v>
      </c>
      <c r="E13" s="16" t="n">
        <v>108000</v>
      </c>
      <c r="F13" s="16" t="n">
        <v>260000</v>
      </c>
      <c r="G13" s="16" t="n">
        <v>148000</v>
      </c>
      <c r="H13" s="16" t="n">
        <v>170000</v>
      </c>
      <c r="I13" s="16" t="n">
        <v>45000</v>
      </c>
      <c r="J13" s="17" t="inlineStr">
        <is>
          <t>Örnek: normal ay</t>
        </is>
      </c>
      <c r="K13" s="17" t="n"/>
      <c r="L13" s="17" t="n"/>
      <c r="M13" s="18" t="n"/>
      <c r="N13" s="15" t="n"/>
    </row>
    <row r="14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7" t="n"/>
      <c r="L14" s="17" t="n"/>
      <c r="M14" s="18" t="n"/>
      <c r="N14" s="15" t="n"/>
    </row>
    <row r="15">
      <c r="A15" s="15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7" t="n"/>
      <c r="L15" s="17" t="n"/>
      <c r="M15" s="18" t="n"/>
      <c r="N15" s="15" t="n"/>
    </row>
    <row r="16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7" t="n"/>
      <c r="L16" s="17" t="n"/>
      <c r="M16" s="18" t="n"/>
      <c r="N16" s="15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7" t="n"/>
      <c r="L17" s="17" t="n"/>
      <c r="M17" s="18" t="n"/>
      <c r="N17" s="15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7" t="n"/>
      <c r="L18" s="17" t="n"/>
      <c r="M18" s="18" t="n"/>
      <c r="N18" s="15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7" t="n"/>
      <c r="L19" s="17" t="n"/>
      <c r="M19" s="18" t="n"/>
      <c r="N19" s="15" t="n"/>
    </row>
    <row r="20">
      <c r="A20" s="15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7" t="n"/>
      <c r="L20" s="17" t="n"/>
      <c r="M20" s="18" t="n"/>
      <c r="N20" s="15" t="n"/>
    </row>
    <row r="21">
      <c r="A21" s="15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7" t="n"/>
      <c r="L21" s="17" t="n"/>
      <c r="M21" s="18" t="n"/>
      <c r="N21" s="15" t="n"/>
    </row>
    <row r="22">
      <c r="A22" s="15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7" t="n"/>
      <c r="L22" s="17" t="n"/>
      <c r="M22" s="18" t="n"/>
      <c r="N22" s="15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7" t="n"/>
      <c r="L23" s="17" t="n"/>
      <c r="M23" s="18" t="n"/>
      <c r="N23" s="15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7" t="n"/>
      <c r="L24" s="17" t="n"/>
      <c r="M24" s="18" t="n"/>
      <c r="N24" s="15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7" t="n"/>
      <c r="L25" s="17" t="n"/>
      <c r="M25" s="18" t="n"/>
      <c r="N25" s="15" t="n"/>
    </row>
    <row r="26">
      <c r="A26" s="15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7" t="n"/>
      <c r="L26" s="17" t="n"/>
      <c r="M26" s="18" t="n"/>
      <c r="N26" s="15" t="n"/>
    </row>
    <row r="27">
      <c r="A27" s="15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7" t="n"/>
      <c r="L27" s="17" t="n"/>
      <c r="M27" s="18" t="n"/>
      <c r="N27" s="15" t="n"/>
    </row>
    <row r="28">
      <c r="A28" s="15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7" t="n"/>
      <c r="L28" s="17" t="n"/>
      <c r="M28" s="18" t="n"/>
      <c r="N28" s="15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7" t="n"/>
      <c r="L29" s="17" t="n"/>
      <c r="M29" s="18" t="n"/>
      <c r="N29" s="15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7" t="n"/>
      <c r="L30" s="17" t="n"/>
      <c r="M30" s="18" t="n"/>
      <c r="N30" s="15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7" t="n"/>
      <c r="L31" s="17" t="n"/>
      <c r="M31" s="18" t="n"/>
      <c r="N31" s="15" t="n"/>
    </row>
    <row r="32">
      <c r="A32" s="15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7" t="n"/>
      <c r="L32" s="17" t="n"/>
      <c r="M32" s="18" t="n"/>
      <c r="N32" s="15" t="n"/>
    </row>
    <row r="33">
      <c r="A33" s="15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7" t="n"/>
      <c r="L33" s="17" t="n"/>
      <c r="M33" s="18" t="n"/>
      <c r="N33" s="15" t="n"/>
    </row>
    <row r="34">
      <c r="A34" s="15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7" t="n"/>
      <c r="L34" s="17" t="n"/>
      <c r="M34" s="18" t="n"/>
      <c r="N34" s="15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7" t="n"/>
      <c r="L35" s="17" t="n"/>
      <c r="M35" s="18" t="n"/>
      <c r="N35" s="15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7" t="n"/>
      <c r="L36" s="17" t="n"/>
      <c r="M36" s="18" t="n"/>
      <c r="N36" s="15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7" t="n"/>
      <c r="L37" s="17" t="n"/>
      <c r="M37" s="18" t="n"/>
      <c r="N37" s="15" t="n"/>
    </row>
    <row r="38">
      <c r="A38" s="15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7" t="n"/>
      <c r="L38" s="17" t="n"/>
      <c r="M38" s="18" t="n"/>
      <c r="N38" s="15" t="n"/>
    </row>
    <row r="39">
      <c r="A39" s="15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7" t="n"/>
      <c r="L39" s="17" t="n"/>
      <c r="M39" s="18" t="n"/>
      <c r="N39" s="15" t="n"/>
    </row>
    <row r="40">
      <c r="A40" s="15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7" t="n"/>
      <c r="L40" s="17" t="n"/>
      <c r="M40" s="18" t="n"/>
      <c r="N40" s="15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7" t="n"/>
      <c r="L41" s="17" t="n"/>
      <c r="M41" s="18" t="n"/>
      <c r="N41" s="15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7" t="n"/>
      <c r="L42" s="17" t="n"/>
      <c r="M42" s="18" t="n"/>
      <c r="N42" s="15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7" t="n"/>
      <c r="L43" s="17" t="n"/>
      <c r="M43" s="18" t="n"/>
      <c r="N43" s="15" t="n"/>
    </row>
    <row r="44">
      <c r="A44" s="15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7" t="n"/>
      <c r="L44" s="17" t="n"/>
      <c r="M44" s="18" t="n"/>
      <c r="N44" s="15" t="n"/>
    </row>
    <row r="45">
      <c r="A45" s="15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7" t="n"/>
      <c r="L45" s="17" t="n"/>
      <c r="M45" s="18" t="n"/>
      <c r="N45" s="15" t="n"/>
    </row>
    <row r="46">
      <c r="A46" s="15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7" t="n"/>
      <c r="L46" s="17" t="n"/>
      <c r="M46" s="18" t="n"/>
      <c r="N46" s="15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7" t="n"/>
      <c r="L47" s="17" t="n"/>
      <c r="M47" s="18" t="n"/>
      <c r="N47" s="15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7" t="n"/>
      <c r="L48" s="17" t="n"/>
      <c r="M48" s="18" t="n"/>
      <c r="N48" s="15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7" t="n"/>
      <c r="L49" s="17" t="n"/>
      <c r="M49" s="18" t="n"/>
      <c r="N49" s="15" t="n"/>
    </row>
    <row r="50">
      <c r="A50" s="15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7" t="n"/>
      <c r="L50" s="17" t="n"/>
      <c r="M50" s="18" t="n"/>
      <c r="N50" s="15" t="n"/>
    </row>
    <row r="51">
      <c r="A51" s="15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7" t="n"/>
      <c r="L51" s="17" t="n"/>
      <c r="M51" s="18" t="n"/>
      <c r="N51" s="15" t="n"/>
    </row>
    <row r="52">
      <c r="A52" s="15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7" t="n"/>
      <c r="L52" s="17" t="n"/>
      <c r="M52" s="18" t="n"/>
      <c r="N52" s="15" t="n"/>
    </row>
    <row r="53">
      <c r="A53" s="15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7" t="n"/>
      <c r="L53" s="17" t="n"/>
      <c r="M53" s="18" t="n"/>
      <c r="N53" s="15" t="n"/>
    </row>
    <row r="54">
      <c r="A54" s="15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7" t="n"/>
      <c r="L54" s="17" t="n"/>
      <c r="M54" s="18" t="n"/>
      <c r="N54" s="15" t="n"/>
    </row>
    <row r="55">
      <c r="A55" s="15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7" t="n"/>
      <c r="L55" s="17" t="n"/>
      <c r="M55" s="18" t="n"/>
      <c r="N55" s="15" t="n"/>
    </row>
    <row r="56">
      <c r="A56" s="15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  <c r="K56" s="17" t="n"/>
      <c r="L56" s="17" t="n"/>
      <c r="M56" s="18" t="n"/>
      <c r="N56" s="15" t="n"/>
    </row>
    <row r="57">
      <c r="A57" s="15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7" t="n"/>
      <c r="K57" s="17" t="n"/>
      <c r="L57" s="17" t="n"/>
      <c r="M57" s="18" t="n"/>
      <c r="N57" s="15" t="n"/>
    </row>
    <row r="58">
      <c r="A58" s="15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7" t="n"/>
      <c r="K58" s="17" t="n"/>
      <c r="L58" s="17" t="n"/>
      <c r="M58" s="18" t="n"/>
      <c r="N58" s="15" t="n"/>
    </row>
    <row r="59">
      <c r="A59" s="15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7" t="n"/>
      <c r="K59" s="17" t="n"/>
      <c r="L59" s="17" t="n"/>
      <c r="M59" s="18" t="n"/>
      <c r="N59" s="15" t="n"/>
    </row>
    <row r="60">
      <c r="A60" s="15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7" t="n"/>
      <c r="K60" s="17" t="n"/>
      <c r="L60" s="17" t="n"/>
      <c r="M60" s="18" t="n"/>
      <c r="N60" s="15" t="n"/>
    </row>
    <row r="61">
      <c r="A61" s="15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7" t="n"/>
      <c r="K61" s="17" t="n"/>
      <c r="L61" s="17" t="n"/>
      <c r="M61" s="18" t="n"/>
      <c r="N61" s="15" t="n"/>
    </row>
    <row r="62">
      <c r="A62" s="15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7" t="n"/>
      <c r="K62" s="17" t="n"/>
      <c r="L62" s="17" t="n"/>
      <c r="M62" s="18" t="n"/>
      <c r="N62" s="15" t="n"/>
    </row>
    <row r="63">
      <c r="A63" s="15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7" t="n"/>
      <c r="K63" s="17" t="n"/>
      <c r="L63" s="17" t="n"/>
      <c r="M63" s="18" t="n"/>
      <c r="N63" s="15" t="n"/>
    </row>
    <row r="64">
      <c r="A64" s="15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7" t="n"/>
      <c r="K64" s="17" t="n"/>
      <c r="L64" s="17" t="n"/>
      <c r="M64" s="18" t="n"/>
      <c r="N64" s="15" t="n"/>
    </row>
    <row r="65">
      <c r="A65" s="15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7" t="n"/>
      <c r="K65" s="17" t="n"/>
      <c r="L65" s="17" t="n"/>
      <c r="M65" s="18" t="n"/>
      <c r="N65" s="15" t="n"/>
    </row>
    <row r="66">
      <c r="A66" s="15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7" t="n"/>
      <c r="K66" s="17" t="n"/>
      <c r="L66" s="17" t="n"/>
      <c r="M66" s="18" t="n"/>
      <c r="N66" s="15" t="n"/>
    </row>
    <row r="67">
      <c r="A67" s="15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7" t="n"/>
      <c r="K67" s="17" t="n"/>
      <c r="L67" s="17" t="n"/>
      <c r="M67" s="18" t="n"/>
      <c r="N67" s="15" t="n"/>
    </row>
    <row r="68">
      <c r="A68" s="15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7" t="n"/>
      <c r="K68" s="17" t="n"/>
      <c r="L68" s="17" t="n"/>
      <c r="M68" s="18" t="n"/>
      <c r="N68" s="15" t="n"/>
    </row>
    <row r="69">
      <c r="A69" s="15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7" t="n"/>
      <c r="K69" s="17" t="n"/>
      <c r="L69" s="17" t="n"/>
      <c r="M69" s="18" t="n"/>
      <c r="N69" s="15" t="n"/>
    </row>
    <row r="70">
      <c r="A70" s="15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7" t="n"/>
      <c r="K70" s="17" t="n"/>
      <c r="L70" s="17" t="n"/>
      <c r="M70" s="18" t="n"/>
      <c r="N70" s="15" t="n"/>
    </row>
    <row r="71">
      <c r="A71" s="15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7" t="n"/>
      <c r="K71" s="17" t="n"/>
      <c r="L71" s="17" t="n"/>
      <c r="M71" s="18" t="n"/>
      <c r="N71" s="15" t="n"/>
    </row>
    <row r="72">
      <c r="A72" s="15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7" t="n"/>
      <c r="K72" s="17" t="n"/>
      <c r="L72" s="17" t="n"/>
      <c r="M72" s="18" t="n"/>
      <c r="N72" s="15" t="n"/>
    </row>
    <row r="73">
      <c r="A73" s="15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7" t="n"/>
      <c r="K73" s="17" t="n"/>
      <c r="L73" s="17" t="n"/>
      <c r="M73" s="18" t="n"/>
      <c r="N73" s="15" t="n"/>
    </row>
    <row r="74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7" t="n"/>
      <c r="K74" s="17" t="n"/>
      <c r="L74" s="17" t="n"/>
      <c r="M74" s="18" t="n"/>
      <c r="N74" s="15" t="n"/>
    </row>
    <row r="75">
      <c r="A75" s="15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7" t="n"/>
      <c r="K75" s="17" t="n"/>
      <c r="L75" s="17" t="n"/>
      <c r="M75" s="18" t="n"/>
      <c r="N75" s="15" t="n"/>
    </row>
    <row r="76">
      <c r="A76" s="15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7" t="n"/>
      <c r="K76" s="17" t="n"/>
      <c r="L76" s="17" t="n"/>
      <c r="M76" s="18" t="n"/>
      <c r="N76" s="15" t="n"/>
    </row>
    <row r="77">
      <c r="A77" s="15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7" t="n"/>
      <c r="K77" s="17" t="n"/>
      <c r="L77" s="17" t="n"/>
      <c r="M77" s="18" t="n"/>
      <c r="N77" s="15" t="n"/>
    </row>
    <row r="78">
      <c r="A78" s="15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7" t="n"/>
      <c r="K78" s="17" t="n"/>
      <c r="L78" s="17" t="n"/>
      <c r="M78" s="18" t="n"/>
      <c r="N78" s="15" t="n"/>
    </row>
    <row r="79">
      <c r="A79" s="15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7" t="n"/>
      <c r="K79" s="17" t="n"/>
      <c r="L79" s="17" t="n"/>
      <c r="M79" s="18" t="n"/>
      <c r="N79" s="15" t="n"/>
    </row>
    <row r="80">
      <c r="A80" s="15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7" t="n"/>
      <c r="K80" s="17" t="n"/>
      <c r="L80" s="17" t="n"/>
      <c r="M80" s="18" t="n"/>
      <c r="N80" s="15" t="n"/>
    </row>
    <row r="81">
      <c r="A81" s="15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  <c r="K81" s="17" t="n"/>
      <c r="L81" s="17" t="n"/>
      <c r="M81" s="18" t="n"/>
      <c r="N81" s="15" t="n"/>
    </row>
    <row r="82">
      <c r="A82" s="15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7" t="n"/>
      <c r="K82" s="17" t="n"/>
      <c r="L82" s="17" t="n"/>
      <c r="M82" s="18" t="n"/>
      <c r="N82" s="15" t="n"/>
    </row>
    <row r="83">
      <c r="A83" s="15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7" t="n"/>
      <c r="K83" s="17" t="n"/>
      <c r="L83" s="17" t="n"/>
      <c r="M83" s="18" t="n"/>
      <c r="N83" s="15" t="n"/>
    </row>
    <row r="84">
      <c r="A84" s="15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7" t="n"/>
      <c r="K84" s="17" t="n"/>
      <c r="L84" s="17" t="n"/>
      <c r="M84" s="18" t="n"/>
      <c r="N84" s="15" t="n"/>
    </row>
    <row r="85">
      <c r="A85" s="15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7" t="n"/>
      <c r="K85" s="17" t="n"/>
      <c r="L85" s="17" t="n"/>
      <c r="M85" s="18" t="n"/>
      <c r="N85" s="15" t="n"/>
    </row>
    <row r="86">
      <c r="A86" s="15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7" t="n"/>
      <c r="K86" s="17" t="n"/>
      <c r="L86" s="17" t="n"/>
      <c r="M86" s="18" t="n"/>
      <c r="N86" s="15" t="n"/>
    </row>
    <row r="87">
      <c r="A87" s="15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7" t="n"/>
      <c r="K87" s="17" t="n"/>
      <c r="L87" s="17" t="n"/>
      <c r="M87" s="18" t="n"/>
      <c r="N87" s="15" t="n"/>
    </row>
    <row r="88">
      <c r="A88" s="15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7" t="n"/>
      <c r="K88" s="17" t="n"/>
      <c r="L88" s="17" t="n"/>
      <c r="M88" s="18" t="n"/>
      <c r="N88" s="15" t="n"/>
    </row>
    <row r="89">
      <c r="A89" s="15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7" t="n"/>
      <c r="K89" s="17" t="n"/>
      <c r="L89" s="17" t="n"/>
      <c r="M89" s="18" t="n"/>
      <c r="N89" s="15" t="n"/>
    </row>
    <row r="90">
      <c r="A90" s="15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7" t="n"/>
      <c r="K90" s="17" t="n"/>
      <c r="L90" s="17" t="n"/>
      <c r="M90" s="18" t="n"/>
      <c r="N90" s="15" t="n"/>
    </row>
    <row r="91">
      <c r="A91" s="15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  <c r="K91" s="17" t="n"/>
      <c r="L91" s="17" t="n"/>
      <c r="M91" s="18" t="n"/>
      <c r="N91" s="15" t="n"/>
    </row>
    <row r="92">
      <c r="A92" s="15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7" t="n"/>
      <c r="K92" s="17" t="n"/>
      <c r="L92" s="17" t="n"/>
      <c r="M92" s="18" t="n"/>
      <c r="N92" s="15" t="n"/>
    </row>
    <row r="93">
      <c r="A93" s="15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7" t="n"/>
      <c r="K93" s="17" t="n"/>
      <c r="L93" s="17" t="n"/>
      <c r="M93" s="18" t="n"/>
      <c r="N93" s="15" t="n"/>
    </row>
    <row r="94">
      <c r="A94" s="15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7" t="n"/>
      <c r="K94" s="17" t="n"/>
      <c r="L94" s="17" t="n"/>
      <c r="M94" s="18" t="n"/>
      <c r="N94" s="15" t="n"/>
    </row>
    <row r="95">
      <c r="A95" s="15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7" t="n"/>
      <c r="K95" s="17" t="n"/>
      <c r="L95" s="17" t="n"/>
      <c r="M95" s="18" t="n"/>
      <c r="N95" s="15" t="n"/>
    </row>
    <row r="96">
      <c r="A96" s="15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  <c r="K96" s="17" t="n"/>
      <c r="L96" s="17" t="n"/>
      <c r="M96" s="18" t="n"/>
      <c r="N96" s="15" t="n"/>
    </row>
    <row r="97">
      <c r="A97" s="15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7" t="n"/>
      <c r="K97" s="17" t="n"/>
      <c r="L97" s="17" t="n"/>
      <c r="M97" s="18" t="n"/>
      <c r="N97" s="15" t="n"/>
    </row>
    <row r="98">
      <c r="A98" s="15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7" t="n"/>
      <c r="K98" s="17" t="n"/>
      <c r="L98" s="17" t="n"/>
      <c r="M98" s="18" t="n"/>
      <c r="N98" s="15" t="n"/>
    </row>
    <row r="99">
      <c r="A99" s="15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7" t="n"/>
      <c r="K99" s="17" t="n"/>
      <c r="L99" s="17" t="n"/>
      <c r="M99" s="18" t="n"/>
      <c r="N99" s="15" t="n"/>
    </row>
    <row r="100">
      <c r="A100" s="15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7" t="n"/>
      <c r="K100" s="17" t="n"/>
      <c r="L100" s="17" t="n"/>
      <c r="M100" s="18" t="n"/>
      <c r="N100" s="15" t="n"/>
    </row>
    <row r="101">
      <c r="A101" s="15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7" t="n"/>
      <c r="K101" s="17" t="n"/>
      <c r="L101" s="17" t="n"/>
      <c r="M101" s="18" t="n"/>
      <c r="N101" s="15" t="n"/>
    </row>
    <row r="102">
      <c r="A102" s="15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7" t="n"/>
      <c r="K102" s="17" t="n"/>
      <c r="L102" s="17" t="n"/>
      <c r="M102" s="18" t="n"/>
      <c r="N102" s="15" t="n"/>
    </row>
    <row r="103">
      <c r="A103" s="15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7" t="n"/>
      <c r="K103" s="17" t="n"/>
      <c r="L103" s="17" t="n"/>
      <c r="M103" s="18" t="n"/>
      <c r="N103" s="15" t="n"/>
    </row>
    <row r="104">
      <c r="A104" s="15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7" t="n"/>
      <c r="K104" s="17" t="n"/>
      <c r="L104" s="17" t="n"/>
      <c r="M104" s="18" t="n"/>
      <c r="N104" s="15" t="n"/>
    </row>
    <row r="105">
      <c r="A105" s="15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7" t="n"/>
      <c r="K105" s="17" t="n"/>
      <c r="L105" s="17" t="n"/>
      <c r="M105" s="18" t="n"/>
      <c r="N105" s="15" t="n"/>
    </row>
    <row r="106">
      <c r="A106" s="15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  <c r="K106" s="17" t="n"/>
      <c r="L106" s="17" t="n"/>
      <c r="M106" s="18" t="n"/>
      <c r="N106" s="15" t="n"/>
    </row>
    <row r="107">
      <c r="A107" s="15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7" t="n"/>
      <c r="K107" s="17" t="n"/>
      <c r="L107" s="17" t="n"/>
      <c r="M107" s="18" t="n"/>
      <c r="N107" s="15" t="n"/>
    </row>
    <row r="108">
      <c r="A108" s="15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7" t="n"/>
      <c r="K108" s="17" t="n"/>
      <c r="L108" s="17" t="n"/>
      <c r="M108" s="18" t="n"/>
      <c r="N108" s="15" t="n"/>
    </row>
    <row r="109">
      <c r="A109" s="15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7" t="n"/>
      <c r="K109" s="17" t="n"/>
      <c r="L109" s="17" t="n"/>
      <c r="M109" s="18" t="n"/>
      <c r="N109" s="15" t="n"/>
    </row>
    <row r="110">
      <c r="A110" s="15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7" t="n"/>
      <c r="K110" s="17" t="n"/>
      <c r="L110" s="17" t="n"/>
      <c r="M110" s="18" t="n"/>
      <c r="N110" s="15" t="n"/>
    </row>
    <row r="111">
      <c r="A111" s="15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7" t="n"/>
      <c r="K111" s="17" t="n"/>
      <c r="L111" s="17" t="n"/>
      <c r="M111" s="18" t="n"/>
      <c r="N111" s="15" t="n"/>
    </row>
    <row r="112">
      <c r="A112" s="15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7" t="n"/>
      <c r="K112" s="17" t="n"/>
      <c r="L112" s="17" t="n"/>
      <c r="M112" s="18" t="n"/>
      <c r="N112" s="15" t="n"/>
    </row>
    <row r="113">
      <c r="A113" s="15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7" t="n"/>
      <c r="K113" s="17" t="n"/>
      <c r="L113" s="17" t="n"/>
      <c r="M113" s="18" t="n"/>
      <c r="N113" s="15" t="n"/>
    </row>
    <row r="114">
      <c r="A114" s="15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7" t="n"/>
      <c r="K114" s="17" t="n"/>
      <c r="L114" s="17" t="n"/>
      <c r="M114" s="18" t="n"/>
      <c r="N114" s="15" t="n"/>
    </row>
    <row r="115">
      <c r="A115" s="15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7" t="n"/>
      <c r="K115" s="17" t="n"/>
      <c r="L115" s="17" t="n"/>
      <c r="M115" s="18" t="n"/>
      <c r="N115" s="15" t="n"/>
    </row>
    <row r="116">
      <c r="A116" s="15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7" t="n"/>
      <c r="K116" s="17" t="n"/>
      <c r="L116" s="17" t="n"/>
      <c r="M116" s="18" t="n"/>
      <c r="N116" s="15" t="n"/>
    </row>
    <row r="117">
      <c r="A117" s="15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7" t="n"/>
      <c r="K117" s="17" t="n"/>
      <c r="L117" s="17" t="n"/>
      <c r="M117" s="18" t="n"/>
      <c r="N117" s="15" t="n"/>
    </row>
    <row r="118">
      <c r="A118" s="15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7" t="n"/>
      <c r="K118" s="17" t="n"/>
      <c r="L118" s="17" t="n"/>
      <c r="M118" s="18" t="n"/>
      <c r="N118" s="15" t="n"/>
    </row>
    <row r="119">
      <c r="A119" s="15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7" t="n"/>
      <c r="K119" s="17" t="n"/>
      <c r="L119" s="17" t="n"/>
      <c r="M119" s="18" t="n"/>
      <c r="N119" s="15" t="n"/>
    </row>
    <row r="120">
      <c r="A120" s="15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7" t="n"/>
      <c r="K120" s="17" t="n"/>
      <c r="L120" s="17" t="n"/>
      <c r="M120" s="18" t="n"/>
      <c r="N120" s="15" t="n"/>
    </row>
    <row r="121">
      <c r="A121" s="15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7" t="n"/>
      <c r="K121" s="17" t="n"/>
      <c r="L121" s="17" t="n"/>
      <c r="M121" s="18" t="n"/>
      <c r="N121" s="15" t="n"/>
    </row>
    <row r="122">
      <c r="A122" s="15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7" t="n"/>
      <c r="K122" s="17" t="n"/>
      <c r="L122" s="17" t="n"/>
      <c r="M122" s="18" t="n"/>
      <c r="N122" s="15" t="n"/>
    </row>
    <row r="123">
      <c r="A123" s="15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7" t="n"/>
      <c r="K123" s="17" t="n"/>
      <c r="L123" s="17" t="n"/>
      <c r="M123" s="18" t="n"/>
      <c r="N123" s="15" t="n"/>
    </row>
    <row r="124">
      <c r="A124" s="15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7" t="n"/>
      <c r="K124" s="17" t="n"/>
      <c r="L124" s="17" t="n"/>
      <c r="M124" s="18" t="n"/>
      <c r="N124" s="15" t="n"/>
    </row>
    <row r="125">
      <c r="A125" s="15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7" t="n"/>
      <c r="K125" s="17" t="n"/>
      <c r="L125" s="17" t="n"/>
      <c r="M125" s="18" t="n"/>
      <c r="N125" s="15" t="n"/>
    </row>
    <row r="126">
      <c r="A126" s="15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7" t="n"/>
      <c r="K126" s="17" t="n"/>
      <c r="L126" s="17" t="n"/>
      <c r="M126" s="18" t="n"/>
      <c r="N126" s="15" t="n"/>
    </row>
    <row r="127">
      <c r="A127" s="15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7" t="n"/>
      <c r="K127" s="17" t="n"/>
      <c r="L127" s="17" t="n"/>
      <c r="M127" s="18" t="n"/>
      <c r="N127" s="15" t="n"/>
    </row>
    <row r="128">
      <c r="A128" s="15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7" t="n"/>
      <c r="K128" s="17" t="n"/>
      <c r="L128" s="17" t="n"/>
      <c r="M128" s="18" t="n"/>
      <c r="N128" s="15" t="n"/>
    </row>
    <row r="129">
      <c r="A129" s="15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7" t="n"/>
      <c r="K129" s="17" t="n"/>
      <c r="L129" s="17" t="n"/>
      <c r="M129" s="18" t="n"/>
      <c r="N129" s="15" t="n"/>
    </row>
    <row r="130">
      <c r="A130" s="15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7" t="n"/>
      <c r="K130" s="17" t="n"/>
      <c r="L130" s="17" t="n"/>
      <c r="M130" s="18" t="n"/>
      <c r="N130" s="15" t="n"/>
    </row>
    <row r="131">
      <c r="A131" s="15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7" t="n"/>
      <c r="K131" s="17" t="n"/>
      <c r="L131" s="17" t="n"/>
      <c r="M131" s="18" t="n"/>
      <c r="N131" s="15" t="n"/>
    </row>
    <row r="132">
      <c r="A132" s="15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7" t="n"/>
      <c r="K132" s="17" t="n"/>
      <c r="L132" s="17" t="n"/>
      <c r="M132" s="18" t="n"/>
      <c r="N132" s="15" t="n"/>
    </row>
    <row r="133">
      <c r="A133" s="15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7" t="n"/>
      <c r="K133" s="17" t="n"/>
      <c r="L133" s="17" t="n"/>
      <c r="M133" s="18" t="n"/>
      <c r="N133" s="15" t="n"/>
    </row>
    <row r="134">
      <c r="A134" s="15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7" t="n"/>
      <c r="K134" s="17" t="n"/>
      <c r="L134" s="17" t="n"/>
      <c r="M134" s="18" t="n"/>
      <c r="N134" s="15" t="n"/>
    </row>
    <row r="135">
      <c r="A135" s="15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7" t="n"/>
      <c r="K135" s="17" t="n"/>
      <c r="L135" s="17" t="n"/>
      <c r="M135" s="18" t="n"/>
      <c r="N135" s="15" t="n"/>
    </row>
    <row r="136">
      <c r="A136" s="15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7" t="n"/>
      <c r="K136" s="17" t="n"/>
      <c r="L136" s="17" t="n"/>
      <c r="M136" s="18" t="n"/>
      <c r="N136" s="15" t="n"/>
    </row>
    <row r="137">
      <c r="A137" s="15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7" t="n"/>
      <c r="K137" s="17" t="n"/>
      <c r="L137" s="17" t="n"/>
      <c r="M137" s="18" t="n"/>
      <c r="N137" s="15" t="n"/>
    </row>
    <row r="138">
      <c r="A138" s="15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7" t="n"/>
      <c r="K138" s="17" t="n"/>
      <c r="L138" s="17" t="n"/>
      <c r="M138" s="18" t="n"/>
      <c r="N138" s="15" t="n"/>
    </row>
    <row r="139">
      <c r="A139" s="15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7" t="n"/>
      <c r="K139" s="17" t="n"/>
      <c r="L139" s="17" t="n"/>
      <c r="M139" s="18" t="n"/>
      <c r="N139" s="15" t="n"/>
    </row>
    <row r="140">
      <c r="A140" s="15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7" t="n"/>
      <c r="K140" s="17" t="n"/>
      <c r="L140" s="17" t="n"/>
      <c r="M140" s="18" t="n"/>
      <c r="N140" s="15" t="n"/>
    </row>
    <row r="141">
      <c r="A141" s="15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7" t="n"/>
      <c r="K141" s="17" t="n"/>
      <c r="L141" s="17" t="n"/>
      <c r="M141" s="18" t="n"/>
      <c r="N141" s="15" t="n"/>
    </row>
    <row r="142">
      <c r="A142" s="15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7" t="n"/>
      <c r="K142" s="17" t="n"/>
      <c r="L142" s="17" t="n"/>
      <c r="M142" s="18" t="n"/>
      <c r="N142" s="15" t="n"/>
    </row>
    <row r="143">
      <c r="A143" s="15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7" t="n"/>
      <c r="K143" s="17" t="n"/>
      <c r="L143" s="17" t="n"/>
      <c r="M143" s="18" t="n"/>
      <c r="N143" s="15" t="n"/>
    </row>
    <row r="144">
      <c r="A144" s="15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7" t="n"/>
      <c r="K144" s="17" t="n"/>
      <c r="L144" s="17" t="n"/>
      <c r="M144" s="18" t="n"/>
      <c r="N144" s="15" t="n"/>
    </row>
    <row r="145">
      <c r="A145" s="15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7" t="n"/>
      <c r="K145" s="17" t="n"/>
      <c r="L145" s="17" t="n"/>
      <c r="M145" s="18" t="n"/>
      <c r="N145" s="15" t="n"/>
    </row>
    <row r="146">
      <c r="A146" s="15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7" t="n"/>
      <c r="K146" s="17" t="n"/>
      <c r="L146" s="17" t="n"/>
      <c r="M146" s="18" t="n"/>
      <c r="N146" s="15" t="n"/>
    </row>
    <row r="147">
      <c r="A147" s="15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7" t="n"/>
      <c r="K147" s="17" t="n"/>
      <c r="L147" s="17" t="n"/>
      <c r="M147" s="18" t="n"/>
      <c r="N147" s="15" t="n"/>
    </row>
    <row r="148">
      <c r="A148" s="15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7" t="n"/>
      <c r="K148" s="17" t="n"/>
      <c r="L148" s="17" t="n"/>
      <c r="M148" s="18" t="n"/>
      <c r="N148" s="15" t="n"/>
    </row>
    <row r="149">
      <c r="A149" s="15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7" t="n"/>
      <c r="K149" s="17" t="n"/>
      <c r="L149" s="17" t="n"/>
      <c r="M149" s="18" t="n"/>
      <c r="N149" s="15" t="n"/>
    </row>
    <row r="150">
      <c r="A150" s="15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7" t="n"/>
      <c r="K150" s="17" t="n"/>
      <c r="L150" s="17" t="n"/>
      <c r="M150" s="18" t="n"/>
      <c r="N150" s="15" t="n"/>
    </row>
    <row r="151">
      <c r="A151" s="15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7" t="n"/>
      <c r="K151" s="17" t="n"/>
      <c r="L151" s="17" t="n"/>
      <c r="M151" s="18" t="n"/>
      <c r="N151" s="15" t="n"/>
    </row>
    <row r="152">
      <c r="A152" s="15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7" t="n"/>
      <c r="K152" s="17" t="n"/>
      <c r="L152" s="17" t="n"/>
      <c r="M152" s="18" t="n"/>
      <c r="N152" s="15" t="n"/>
    </row>
    <row r="153">
      <c r="A153" s="15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7" t="n"/>
      <c r="K153" s="17" t="n"/>
      <c r="L153" s="17" t="n"/>
      <c r="M153" s="18" t="n"/>
      <c r="N153" s="15" t="n"/>
    </row>
    <row r="154">
      <c r="A154" s="15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7" t="n"/>
      <c r="K154" s="17" t="n"/>
      <c r="L154" s="17" t="n"/>
      <c r="M154" s="18" t="n"/>
      <c r="N154" s="15" t="n"/>
    </row>
    <row r="155">
      <c r="A155" s="15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7" t="n"/>
      <c r="K155" s="17" t="n"/>
      <c r="L155" s="17" t="n"/>
      <c r="M155" s="18" t="n"/>
      <c r="N155" s="15" t="n"/>
    </row>
    <row r="156">
      <c r="A156" s="15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7" t="n"/>
      <c r="K156" s="17" t="n"/>
      <c r="L156" s="17" t="n"/>
      <c r="M156" s="18" t="n"/>
      <c r="N156" s="15" t="n"/>
    </row>
    <row r="157">
      <c r="A157" s="15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7" t="n"/>
      <c r="K157" s="17" t="n"/>
      <c r="L157" s="17" t="n"/>
      <c r="M157" s="18" t="n"/>
      <c r="N157" s="15" t="n"/>
    </row>
    <row r="158">
      <c r="A158" s="15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7" t="n"/>
      <c r="K158" s="17" t="n"/>
      <c r="L158" s="17" t="n"/>
      <c r="M158" s="18" t="n"/>
      <c r="N158" s="15" t="n"/>
    </row>
    <row r="159">
      <c r="A159" s="15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7" t="n"/>
      <c r="K159" s="17" t="n"/>
      <c r="L159" s="17" t="n"/>
      <c r="M159" s="18" t="n"/>
      <c r="N159" s="15" t="n"/>
    </row>
    <row r="160">
      <c r="A160" s="15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7" t="n"/>
      <c r="K160" s="17" t="n"/>
      <c r="L160" s="17" t="n"/>
      <c r="M160" s="18" t="n"/>
      <c r="N160" s="15" t="n"/>
    </row>
    <row r="161">
      <c r="A161" s="15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  <c r="K161" s="17" t="n"/>
      <c r="L161" s="17" t="n"/>
      <c r="M161" s="18" t="n"/>
      <c r="N161" s="15" t="n"/>
    </row>
    <row r="162">
      <c r="A162" s="15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7" t="n"/>
      <c r="K162" s="17" t="n"/>
      <c r="L162" s="17" t="n"/>
      <c r="M162" s="18" t="n"/>
      <c r="N162" s="15" t="n"/>
    </row>
    <row r="163">
      <c r="A163" s="15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7" t="n"/>
      <c r="K163" s="17" t="n"/>
      <c r="L163" s="17" t="n"/>
      <c r="M163" s="18" t="n"/>
      <c r="N163" s="15" t="n"/>
    </row>
    <row r="164">
      <c r="A164" s="15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7" t="n"/>
      <c r="K164" s="17" t="n"/>
      <c r="L164" s="17" t="n"/>
      <c r="M164" s="18" t="n"/>
      <c r="N164" s="15" t="n"/>
    </row>
    <row r="165">
      <c r="A165" s="15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7" t="n"/>
      <c r="K165" s="17" t="n"/>
      <c r="L165" s="17" t="n"/>
      <c r="M165" s="18" t="n"/>
      <c r="N165" s="15" t="n"/>
    </row>
    <row r="166">
      <c r="A166" s="15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7" t="n"/>
      <c r="K166" s="17" t="n"/>
      <c r="L166" s="17" t="n"/>
      <c r="M166" s="18" t="n"/>
      <c r="N166" s="15" t="n"/>
    </row>
    <row r="167">
      <c r="A167" s="15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7" t="n"/>
      <c r="K167" s="17" t="n"/>
      <c r="L167" s="17" t="n"/>
      <c r="M167" s="18" t="n"/>
      <c r="N167" s="15" t="n"/>
    </row>
    <row r="168">
      <c r="A168" s="15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7" t="n"/>
      <c r="K168" s="17" t="n"/>
      <c r="L168" s="17" t="n"/>
      <c r="M168" s="18" t="n"/>
      <c r="N168" s="15" t="n"/>
    </row>
    <row r="169">
      <c r="A169" s="15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7" t="n"/>
      <c r="K169" s="17" t="n"/>
      <c r="L169" s="17" t="n"/>
      <c r="M169" s="18" t="n"/>
      <c r="N169" s="15" t="n"/>
    </row>
    <row r="170">
      <c r="A170" s="15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7" t="n"/>
      <c r="K170" s="17" t="n"/>
      <c r="L170" s="17" t="n"/>
      <c r="M170" s="18" t="n"/>
      <c r="N170" s="15" t="n"/>
    </row>
    <row r="171">
      <c r="A171" s="15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7" t="n"/>
      <c r="K171" s="17" t="n"/>
      <c r="L171" s="17" t="n"/>
      <c r="M171" s="18" t="n"/>
      <c r="N171" s="15" t="n"/>
    </row>
    <row r="172">
      <c r="A172" s="15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7" t="n"/>
      <c r="K172" s="17" t="n"/>
      <c r="L172" s="17" t="n"/>
      <c r="M172" s="18" t="n"/>
      <c r="N172" s="15" t="n"/>
    </row>
    <row r="173">
      <c r="A173" s="15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7" t="n"/>
      <c r="K173" s="17" t="n"/>
      <c r="L173" s="17" t="n"/>
      <c r="M173" s="18" t="n"/>
      <c r="N173" s="15" t="n"/>
    </row>
    <row r="174">
      <c r="A174" s="15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7" t="n"/>
      <c r="K174" s="17" t="n"/>
      <c r="L174" s="17" t="n"/>
      <c r="M174" s="18" t="n"/>
      <c r="N174" s="15" t="n"/>
    </row>
    <row r="175">
      <c r="A175" s="15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7" t="n"/>
      <c r="K175" s="17" t="n"/>
      <c r="L175" s="17" t="n"/>
      <c r="M175" s="18" t="n"/>
      <c r="N175" s="15" t="n"/>
    </row>
    <row r="176">
      <c r="A176" s="15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  <c r="K176" s="17" t="n"/>
      <c r="L176" s="17" t="n"/>
      <c r="M176" s="18" t="n"/>
      <c r="N176" s="15" t="n"/>
    </row>
    <row r="177">
      <c r="A177" s="15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7" t="n"/>
      <c r="K177" s="17" t="n"/>
      <c r="L177" s="17" t="n"/>
      <c r="M177" s="18" t="n"/>
      <c r="N177" s="15" t="n"/>
    </row>
    <row r="178">
      <c r="A178" s="15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7" t="n"/>
      <c r="K178" s="17" t="n"/>
      <c r="L178" s="17" t="n"/>
      <c r="M178" s="18" t="n"/>
      <c r="N178" s="15" t="n"/>
    </row>
    <row r="179">
      <c r="A179" s="15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7" t="n"/>
      <c r="K179" s="17" t="n"/>
      <c r="L179" s="17" t="n"/>
      <c r="M179" s="18" t="n"/>
      <c r="N179" s="15" t="n"/>
    </row>
    <row r="180">
      <c r="A180" s="15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7" t="n"/>
      <c r="K180" s="17" t="n"/>
      <c r="L180" s="17" t="n"/>
      <c r="M180" s="18" t="n"/>
      <c r="N180" s="15" t="n"/>
    </row>
    <row r="181">
      <c r="A181" s="15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7" t="n"/>
      <c r="K181" s="17" t="n"/>
      <c r="L181" s="17" t="n"/>
      <c r="M181" s="18" t="n"/>
      <c r="N181" s="15" t="n"/>
    </row>
    <row r="182">
      <c r="A182" s="15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7" t="n"/>
      <c r="K182" s="17" t="n"/>
      <c r="L182" s="17" t="n"/>
      <c r="M182" s="18" t="n"/>
      <c r="N182" s="15" t="n"/>
    </row>
    <row r="183">
      <c r="A183" s="15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7" t="n"/>
      <c r="K183" s="17" t="n"/>
      <c r="L183" s="17" t="n"/>
      <c r="M183" s="18" t="n"/>
      <c r="N183" s="15" t="n"/>
    </row>
    <row r="184">
      <c r="A184" s="15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7" t="n"/>
      <c r="K184" s="17" t="n"/>
      <c r="L184" s="17" t="n"/>
      <c r="M184" s="18" t="n"/>
      <c r="N184" s="15" t="n"/>
    </row>
    <row r="185">
      <c r="A185" s="15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7" t="n"/>
      <c r="K185" s="17" t="n"/>
      <c r="L185" s="17" t="n"/>
      <c r="M185" s="18" t="n"/>
      <c r="N185" s="15" t="n"/>
    </row>
    <row r="186">
      <c r="A186" s="15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7" t="n"/>
      <c r="K186" s="17" t="n"/>
      <c r="L186" s="17" t="n"/>
      <c r="M186" s="18" t="n"/>
      <c r="N186" s="15" t="n"/>
    </row>
    <row r="187">
      <c r="A187" s="15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7" t="n"/>
      <c r="K187" s="17" t="n"/>
      <c r="L187" s="17" t="n"/>
      <c r="M187" s="18" t="n"/>
      <c r="N187" s="15" t="n"/>
    </row>
    <row r="188">
      <c r="A188" s="15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7" t="n"/>
      <c r="K188" s="17" t="n"/>
      <c r="L188" s="17" t="n"/>
      <c r="M188" s="18" t="n"/>
      <c r="N188" s="15" t="n"/>
    </row>
    <row r="189">
      <c r="A189" s="15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7" t="n"/>
      <c r="K189" s="17" t="n"/>
      <c r="L189" s="17" t="n"/>
      <c r="M189" s="18" t="n"/>
      <c r="N189" s="15" t="n"/>
    </row>
    <row r="190">
      <c r="A190" s="15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7" t="n"/>
      <c r="K190" s="17" t="n"/>
      <c r="L190" s="17" t="n"/>
      <c r="M190" s="18" t="n"/>
      <c r="N190" s="15" t="n"/>
    </row>
    <row r="191">
      <c r="A191" s="15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7" t="n"/>
      <c r="K191" s="17" t="n"/>
      <c r="L191" s="17" t="n"/>
      <c r="M191" s="18" t="n"/>
      <c r="N191" s="15" t="n"/>
    </row>
    <row r="192">
      <c r="A192" s="15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7" t="n"/>
      <c r="K192" s="17" t="n"/>
      <c r="L192" s="17" t="n"/>
      <c r="M192" s="18" t="n"/>
      <c r="N192" s="15" t="n"/>
    </row>
    <row r="193">
      <c r="A193" s="15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7" t="n"/>
      <c r="K193" s="17" t="n"/>
      <c r="L193" s="17" t="n"/>
      <c r="M193" s="18" t="n"/>
      <c r="N193" s="15" t="n"/>
    </row>
    <row r="194">
      <c r="A194" s="15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7" t="n"/>
      <c r="K194" s="17" t="n"/>
      <c r="L194" s="17" t="n"/>
      <c r="M194" s="18" t="n"/>
      <c r="N194" s="15" t="n"/>
    </row>
    <row r="195">
      <c r="A195" s="15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7" t="n"/>
      <c r="K195" s="17" t="n"/>
      <c r="L195" s="17" t="n"/>
      <c r="M195" s="18" t="n"/>
      <c r="N195" s="15" t="n"/>
    </row>
    <row r="196">
      <c r="A196" s="15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7" t="n"/>
      <c r="K196" s="17" t="n"/>
      <c r="L196" s="17" t="n"/>
      <c r="M196" s="18" t="n"/>
      <c r="N196" s="15" t="n"/>
    </row>
    <row r="197">
      <c r="A197" s="15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7" t="n"/>
      <c r="K197" s="17" t="n"/>
      <c r="L197" s="17" t="n"/>
      <c r="M197" s="18" t="n"/>
      <c r="N197" s="15" t="n"/>
    </row>
    <row r="198">
      <c r="A198" s="15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7" t="n"/>
      <c r="K198" s="17" t="n"/>
      <c r="L198" s="17" t="n"/>
      <c r="M198" s="18" t="n"/>
      <c r="N198" s="15" t="n"/>
    </row>
    <row r="199">
      <c r="A199" s="15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7" t="n"/>
      <c r="K199" s="17" t="n"/>
      <c r="L199" s="17" t="n"/>
      <c r="M199" s="18" t="n"/>
      <c r="N199" s="15" t="n"/>
    </row>
    <row r="200">
      <c r="A200" s="15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7" t="n"/>
      <c r="K200" s="17" t="n"/>
      <c r="L200" s="17" t="n"/>
      <c r="M200" s="18" t="n"/>
      <c r="N200" s="15" t="n"/>
    </row>
    <row r="201">
      <c r="A201" s="15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7" t="n"/>
      <c r="K201" s="17" t="n"/>
      <c r="L201" s="17" t="n"/>
      <c r="M201" s="18" t="n"/>
      <c r="N201" s="15" t="n"/>
    </row>
    <row r="202">
      <c r="A202" s="15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7" t="n"/>
      <c r="K202" s="17" t="n"/>
      <c r="L202" s="17" t="n"/>
      <c r="M202" s="18" t="n"/>
      <c r="N202" s="15" t="n"/>
    </row>
    <row r="203">
      <c r="A203" s="15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7" t="n"/>
      <c r="K203" s="17" t="n"/>
      <c r="L203" s="17" t="n"/>
      <c r="M203" s="18" t="n"/>
      <c r="N203" s="15" t="n"/>
    </row>
    <row r="204">
      <c r="A204" s="15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7" t="n"/>
      <c r="K204" s="17" t="n"/>
      <c r="L204" s="17" t="n"/>
      <c r="M204" s="18" t="n"/>
      <c r="N204" s="15" t="n"/>
    </row>
    <row r="205">
      <c r="A205" s="15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7" t="n"/>
      <c r="K205" s="17" t="n"/>
      <c r="L205" s="17" t="n"/>
      <c r="M205" s="18" t="n"/>
      <c r="N205" s="15" t="n"/>
    </row>
    <row r="206">
      <c r="A206" s="15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7" t="n"/>
      <c r="K206" s="17" t="n"/>
      <c r="L206" s="17" t="n"/>
      <c r="M206" s="18" t="n"/>
      <c r="N206" s="15" t="n"/>
    </row>
    <row r="207">
      <c r="A207" s="15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7" t="n"/>
      <c r="K207" s="17" t="n"/>
      <c r="L207" s="17" t="n"/>
      <c r="M207" s="18" t="n"/>
      <c r="N207" s="15" t="n"/>
    </row>
    <row r="208">
      <c r="A208" s="15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7" t="n"/>
      <c r="K208" s="17" t="n"/>
      <c r="L208" s="17" t="n"/>
      <c r="M208" s="18" t="n"/>
      <c r="N208" s="15" t="n"/>
    </row>
    <row r="209">
      <c r="A209" s="15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7" t="n"/>
      <c r="K209" s="17" t="n"/>
      <c r="L209" s="17" t="n"/>
      <c r="M209" s="18" t="n"/>
      <c r="N209" s="15" t="n"/>
    </row>
    <row r="210">
      <c r="A210" s="15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7" t="n"/>
      <c r="K210" s="17" t="n"/>
      <c r="L210" s="17" t="n"/>
      <c r="M210" s="18" t="n"/>
      <c r="N210" s="15" t="n"/>
    </row>
    <row r="211">
      <c r="A211" s="15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7" t="n"/>
      <c r="K211" s="17" t="n"/>
      <c r="L211" s="17" t="n"/>
      <c r="M211" s="18" t="n"/>
      <c r="N211" s="15" t="n"/>
    </row>
    <row r="212">
      <c r="A212" s="15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7" t="n"/>
      <c r="K212" s="17" t="n"/>
      <c r="L212" s="17" t="n"/>
      <c r="M212" s="18" t="n"/>
      <c r="N212" s="15" t="n"/>
    </row>
    <row r="213">
      <c r="A213" s="15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7" t="n"/>
      <c r="K213" s="17" t="n"/>
      <c r="L213" s="17" t="n"/>
      <c r="M213" s="18" t="n"/>
      <c r="N213" s="15" t="n"/>
    </row>
    <row r="214">
      <c r="A214" s="15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7" t="n"/>
      <c r="K214" s="17" t="n"/>
      <c r="L214" s="17" t="n"/>
      <c r="M214" s="18" t="n"/>
      <c r="N214" s="15" t="n"/>
    </row>
    <row r="215">
      <c r="A215" s="15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7" t="n"/>
      <c r="K215" s="17" t="n"/>
      <c r="L215" s="17" t="n"/>
      <c r="M215" s="18" t="n"/>
      <c r="N215" s="15" t="n"/>
    </row>
    <row r="216">
      <c r="A216" s="15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7" t="n"/>
      <c r="K216" s="17" t="n"/>
      <c r="L216" s="17" t="n"/>
      <c r="M216" s="18" t="n"/>
      <c r="N216" s="15" t="n"/>
    </row>
    <row r="217">
      <c r="A217" s="15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7" t="n"/>
      <c r="K217" s="17" t="n"/>
      <c r="L217" s="17" t="n"/>
      <c r="M217" s="18" t="n"/>
      <c r="N217" s="15" t="n"/>
    </row>
    <row r="218">
      <c r="A218" s="15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7" t="n"/>
      <c r="K218" s="17" t="n"/>
      <c r="L218" s="17" t="n"/>
      <c r="M218" s="18" t="n"/>
      <c r="N218" s="15" t="n"/>
    </row>
    <row r="219">
      <c r="A219" s="15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7" t="n"/>
      <c r="K219" s="17" t="n"/>
      <c r="L219" s="17" t="n"/>
      <c r="M219" s="18" t="n"/>
      <c r="N219" s="15" t="n"/>
    </row>
    <row r="220">
      <c r="A220" s="15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7" t="n"/>
      <c r="K220" s="17" t="n"/>
      <c r="L220" s="17" t="n"/>
      <c r="M220" s="18" t="n"/>
      <c r="N220" s="15" t="n"/>
    </row>
    <row r="221">
      <c r="A221" s="15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7" t="n"/>
      <c r="K221" s="17" t="n"/>
      <c r="L221" s="17" t="n"/>
      <c r="M221" s="18" t="n"/>
      <c r="N221" s="15" t="n"/>
    </row>
    <row r="222">
      <c r="A222" s="15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7" t="n"/>
      <c r="K222" s="17" t="n"/>
      <c r="L222" s="17" t="n"/>
      <c r="M222" s="18" t="n"/>
      <c r="N222" s="15" t="n"/>
    </row>
    <row r="223">
      <c r="A223" s="15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7" t="n"/>
      <c r="K223" s="17" t="n"/>
      <c r="L223" s="17" t="n"/>
      <c r="M223" s="18" t="n"/>
      <c r="N223" s="15" t="n"/>
    </row>
    <row r="224">
      <c r="A224" s="15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7" t="n"/>
      <c r="K224" s="17" t="n"/>
      <c r="L224" s="17" t="n"/>
      <c r="M224" s="18" t="n"/>
      <c r="N224" s="15" t="n"/>
    </row>
    <row r="225">
      <c r="A225" s="15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7" t="n"/>
      <c r="K225" s="17" t="n"/>
      <c r="L225" s="17" t="n"/>
      <c r="M225" s="18" t="n"/>
      <c r="N225" s="15" t="n"/>
    </row>
    <row r="226">
      <c r="A226" s="15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7" t="n"/>
      <c r="K226" s="17" t="n"/>
      <c r="L226" s="17" t="n"/>
      <c r="M226" s="18" t="n"/>
      <c r="N226" s="15" t="n"/>
    </row>
    <row r="227">
      <c r="A227" s="15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7" t="n"/>
      <c r="K227" s="17" t="n"/>
      <c r="L227" s="17" t="n"/>
      <c r="M227" s="18" t="n"/>
      <c r="N227" s="15" t="n"/>
    </row>
    <row r="228">
      <c r="A228" s="15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7" t="n"/>
      <c r="K228" s="17" t="n"/>
      <c r="L228" s="17" t="n"/>
      <c r="M228" s="18" t="n"/>
      <c r="N228" s="15" t="n"/>
    </row>
    <row r="229">
      <c r="A229" s="15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7" t="n"/>
      <c r="K229" s="17" t="n"/>
      <c r="L229" s="17" t="n"/>
      <c r="M229" s="18" t="n"/>
      <c r="N229" s="15" t="n"/>
    </row>
    <row r="230">
      <c r="A230" s="15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7" t="n"/>
      <c r="K230" s="17" t="n"/>
      <c r="L230" s="17" t="n"/>
      <c r="M230" s="18" t="n"/>
      <c r="N230" s="15" t="n"/>
    </row>
    <row r="231">
      <c r="A231" s="15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7" t="n"/>
      <c r="K231" s="17" t="n"/>
      <c r="L231" s="17" t="n"/>
      <c r="M231" s="18" t="n"/>
      <c r="N231" s="15" t="n"/>
    </row>
    <row r="232">
      <c r="A232" s="15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7" t="n"/>
      <c r="K232" s="17" t="n"/>
      <c r="L232" s="17" t="n"/>
      <c r="M232" s="18" t="n"/>
      <c r="N232" s="15" t="n"/>
    </row>
    <row r="233">
      <c r="A233" s="15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7" t="n"/>
      <c r="K233" s="17" t="n"/>
      <c r="L233" s="17" t="n"/>
      <c r="M233" s="18" t="n"/>
      <c r="N233" s="15" t="n"/>
    </row>
    <row r="234">
      <c r="A234" s="15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7" t="n"/>
      <c r="K234" s="17" t="n"/>
      <c r="L234" s="17" t="n"/>
      <c r="M234" s="18" t="n"/>
      <c r="N234" s="15" t="n"/>
    </row>
    <row r="235">
      <c r="A235" s="15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7" t="n"/>
      <c r="K235" s="17" t="n"/>
      <c r="L235" s="17" t="n"/>
      <c r="M235" s="18" t="n"/>
      <c r="N235" s="15" t="n"/>
    </row>
    <row r="236">
      <c r="A236" s="15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7" t="n"/>
      <c r="K236" s="17" t="n"/>
      <c r="L236" s="17" t="n"/>
      <c r="M236" s="18" t="n"/>
      <c r="N236" s="15" t="n"/>
    </row>
    <row r="237">
      <c r="A237" s="15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7" t="n"/>
      <c r="K237" s="17" t="n"/>
      <c r="L237" s="17" t="n"/>
      <c r="M237" s="18" t="n"/>
      <c r="N237" s="15" t="n"/>
    </row>
    <row r="238">
      <c r="A238" s="15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7" t="n"/>
      <c r="K238" s="17" t="n"/>
      <c r="L238" s="17" t="n"/>
      <c r="M238" s="18" t="n"/>
      <c r="N238" s="15" t="n"/>
    </row>
    <row r="239">
      <c r="A239" s="15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7" t="n"/>
      <c r="K239" s="17" t="n"/>
      <c r="L239" s="17" t="n"/>
      <c r="M239" s="18" t="n"/>
      <c r="N239" s="15" t="n"/>
    </row>
    <row r="240">
      <c r="A240" s="15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7" t="n"/>
      <c r="K240" s="17" t="n"/>
      <c r="L240" s="17" t="n"/>
      <c r="M240" s="18" t="n"/>
      <c r="N240" s="15" t="n"/>
    </row>
    <row r="241">
      <c r="A241" s="15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7" t="n"/>
      <c r="K241" s="17" t="n"/>
      <c r="L241" s="17" t="n"/>
      <c r="M241" s="18" t="n"/>
      <c r="N241" s="15" t="n"/>
    </row>
    <row r="242">
      <c r="A242" s="15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7" t="n"/>
      <c r="K242" s="17" t="n"/>
      <c r="L242" s="17" t="n"/>
      <c r="M242" s="18" t="n"/>
      <c r="N242" s="15" t="n"/>
    </row>
    <row r="243">
      <c r="A243" s="15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7" t="n"/>
      <c r="K243" s="17" t="n"/>
      <c r="L243" s="17" t="n"/>
      <c r="M243" s="18" t="n"/>
      <c r="N243" s="15" t="n"/>
    </row>
    <row r="244">
      <c r="A244" s="15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7" t="n"/>
      <c r="K244" s="17" t="n"/>
      <c r="L244" s="17" t="n"/>
      <c r="M244" s="18" t="n"/>
      <c r="N244" s="15" t="n"/>
    </row>
    <row r="245">
      <c r="A245" s="15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7" t="n"/>
      <c r="K245" s="17" t="n"/>
      <c r="L245" s="17" t="n"/>
      <c r="M245" s="18" t="n"/>
      <c r="N245" s="15" t="n"/>
    </row>
    <row r="246">
      <c r="A246" s="15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7" t="n"/>
      <c r="K246" s="17" t="n"/>
      <c r="L246" s="17" t="n"/>
      <c r="M246" s="18" t="n"/>
      <c r="N246" s="15" t="n"/>
    </row>
    <row r="247">
      <c r="A247" s="15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7" t="n"/>
      <c r="K247" s="17" t="n"/>
      <c r="L247" s="17" t="n"/>
      <c r="M247" s="18" t="n"/>
      <c r="N247" s="15" t="n"/>
    </row>
    <row r="248">
      <c r="A248" s="15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7" t="n"/>
      <c r="K248" s="17" t="n"/>
      <c r="L248" s="17" t="n"/>
      <c r="M248" s="18" t="n"/>
      <c r="N248" s="15" t="n"/>
    </row>
    <row r="249">
      <c r="A249" s="15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7" t="n"/>
      <c r="K249" s="17" t="n"/>
      <c r="L249" s="17" t="n"/>
      <c r="M249" s="18" t="n"/>
      <c r="N249" s="15" t="n"/>
    </row>
    <row r="250">
      <c r="A250" s="15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7" t="n"/>
      <c r="K250" s="17" t="n"/>
      <c r="L250" s="17" t="n"/>
      <c r="M250" s="18" t="n"/>
      <c r="N250" s="15" t="n"/>
    </row>
    <row r="251">
      <c r="A251" s="15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7" t="n"/>
      <c r="K251" s="17" t="n"/>
      <c r="L251" s="17" t="n"/>
      <c r="M251" s="18" t="n"/>
      <c r="N251" s="15" t="n"/>
    </row>
    <row r="252">
      <c r="A252" s="15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7" t="n"/>
      <c r="K252" s="17" t="n"/>
      <c r="L252" s="17" t="n"/>
      <c r="M252" s="18" t="n"/>
      <c r="N252" s="15" t="n"/>
    </row>
    <row r="253">
      <c r="A253" s="15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7" t="n"/>
      <c r="K253" s="17" t="n"/>
      <c r="L253" s="17" t="n"/>
      <c r="M253" s="18" t="n"/>
      <c r="N253" s="15" t="n"/>
    </row>
    <row r="254">
      <c r="A254" s="15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7" t="n"/>
      <c r="K254" s="17" t="n"/>
      <c r="L254" s="17" t="n"/>
      <c r="M254" s="18" t="n"/>
      <c r="N254" s="15" t="n"/>
    </row>
    <row r="255">
      <c r="A255" s="15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7" t="n"/>
      <c r="K255" s="17" t="n"/>
      <c r="L255" s="17" t="n"/>
      <c r="M255" s="18" t="n"/>
      <c r="N255" s="15" t="n"/>
    </row>
    <row r="256">
      <c r="A256" s="15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7" t="n"/>
      <c r="K256" s="17" t="n"/>
      <c r="L256" s="17" t="n"/>
      <c r="M256" s="18" t="n"/>
      <c r="N256" s="15" t="n"/>
    </row>
    <row r="257">
      <c r="A257" s="15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7" t="n"/>
      <c r="K257" s="17" t="n"/>
      <c r="L257" s="17" t="n"/>
      <c r="M257" s="18" t="n"/>
      <c r="N257" s="15" t="n"/>
    </row>
    <row r="258">
      <c r="A258" s="15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7" t="n"/>
      <c r="K258" s="17" t="n"/>
      <c r="L258" s="17" t="n"/>
      <c r="M258" s="18" t="n"/>
      <c r="N258" s="15" t="n"/>
    </row>
    <row r="259">
      <c r="A259" s="15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7" t="n"/>
      <c r="K259" s="17" t="n"/>
      <c r="L259" s="17" t="n"/>
      <c r="M259" s="18" t="n"/>
      <c r="N259" s="15" t="n"/>
    </row>
    <row r="260">
      <c r="A260" s="15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7" t="n"/>
      <c r="K260" s="17" t="n"/>
      <c r="L260" s="17" t="n"/>
      <c r="M260" s="18" t="n"/>
      <c r="N260" s="15" t="n"/>
    </row>
    <row r="261">
      <c r="A261" s="15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7" t="n"/>
      <c r="K261" s="17" t="n"/>
      <c r="L261" s="17" t="n"/>
      <c r="M261" s="18" t="n"/>
      <c r="N261" s="15" t="n"/>
    </row>
    <row r="262">
      <c r="A262" s="15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7" t="n"/>
      <c r="K262" s="17" t="n"/>
      <c r="L262" s="17" t="n"/>
      <c r="M262" s="18" t="n"/>
      <c r="N262" s="15" t="n"/>
    </row>
    <row r="263">
      <c r="A263" s="15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7" t="n"/>
      <c r="K263" s="17" t="n"/>
      <c r="L263" s="17" t="n"/>
      <c r="M263" s="18" t="n"/>
      <c r="N263" s="15" t="n"/>
    </row>
    <row r="264">
      <c r="A264" s="15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7" t="n"/>
      <c r="K264" s="17" t="n"/>
      <c r="L264" s="17" t="n"/>
      <c r="M264" s="18" t="n"/>
      <c r="N264" s="15" t="n"/>
    </row>
    <row r="265">
      <c r="A265" s="15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7" t="n"/>
      <c r="K265" s="17" t="n"/>
      <c r="L265" s="17" t="n"/>
      <c r="M265" s="18" t="n"/>
      <c r="N265" s="15" t="n"/>
    </row>
    <row r="266">
      <c r="A266" s="15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7" t="n"/>
      <c r="K266" s="17" t="n"/>
      <c r="L266" s="17" t="n"/>
      <c r="M266" s="18" t="n"/>
      <c r="N266" s="15" t="n"/>
    </row>
    <row r="267">
      <c r="A267" s="15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7" t="n"/>
      <c r="K267" s="17" t="n"/>
      <c r="L267" s="17" t="n"/>
      <c r="M267" s="18" t="n"/>
      <c r="N267" s="15" t="n"/>
    </row>
    <row r="268">
      <c r="A268" s="15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7" t="n"/>
      <c r="K268" s="17" t="n"/>
      <c r="L268" s="17" t="n"/>
      <c r="M268" s="18" t="n"/>
      <c r="N268" s="15" t="n"/>
    </row>
    <row r="269">
      <c r="A269" s="15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7" t="n"/>
      <c r="K269" s="17" t="n"/>
      <c r="L269" s="17" t="n"/>
      <c r="M269" s="18" t="n"/>
      <c r="N269" s="15" t="n"/>
    </row>
    <row r="270">
      <c r="A270" s="15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7" t="n"/>
      <c r="K270" s="17" t="n"/>
      <c r="L270" s="17" t="n"/>
      <c r="M270" s="18" t="n"/>
      <c r="N270" s="15" t="n"/>
    </row>
    <row r="271">
      <c r="A271" s="15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7" t="n"/>
      <c r="K271" s="17" t="n"/>
      <c r="L271" s="17" t="n"/>
      <c r="M271" s="18" t="n"/>
      <c r="N271" s="15" t="n"/>
    </row>
    <row r="272">
      <c r="A272" s="15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7" t="n"/>
      <c r="K272" s="17" t="n"/>
      <c r="L272" s="17" t="n"/>
      <c r="M272" s="18" t="n"/>
      <c r="N272" s="15" t="n"/>
    </row>
    <row r="273">
      <c r="A273" s="15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7" t="n"/>
      <c r="K273" s="17" t="n"/>
      <c r="L273" s="17" t="n"/>
      <c r="M273" s="18" t="n"/>
      <c r="N273" s="15" t="n"/>
    </row>
    <row r="274">
      <c r="A274" s="15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7" t="n"/>
      <c r="K274" s="17" t="n"/>
      <c r="L274" s="17" t="n"/>
      <c r="M274" s="18" t="n"/>
      <c r="N274" s="15" t="n"/>
    </row>
    <row r="275">
      <c r="A275" s="15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7" t="n"/>
      <c r="K275" s="17" t="n"/>
      <c r="L275" s="17" t="n"/>
      <c r="M275" s="18" t="n"/>
      <c r="N275" s="15" t="n"/>
    </row>
    <row r="276">
      <c r="A276" s="15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7" t="n"/>
      <c r="K276" s="17" t="n"/>
      <c r="L276" s="17" t="n"/>
      <c r="M276" s="18" t="n"/>
      <c r="N276" s="15" t="n"/>
    </row>
    <row r="277">
      <c r="A277" s="15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7" t="n"/>
      <c r="K277" s="17" t="n"/>
      <c r="L277" s="17" t="n"/>
      <c r="M277" s="18" t="n"/>
      <c r="N277" s="15" t="n"/>
    </row>
    <row r="278">
      <c r="A278" s="15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7" t="n"/>
      <c r="K278" s="17" t="n"/>
      <c r="L278" s="17" t="n"/>
      <c r="M278" s="18" t="n"/>
      <c r="N278" s="15" t="n"/>
    </row>
    <row r="279">
      <c r="A279" s="15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7" t="n"/>
      <c r="K279" s="17" t="n"/>
      <c r="L279" s="17" t="n"/>
      <c r="M279" s="18" t="n"/>
      <c r="N279" s="15" t="n"/>
    </row>
    <row r="280">
      <c r="A280" s="15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7" t="n"/>
      <c r="K280" s="17" t="n"/>
      <c r="L280" s="17" t="n"/>
      <c r="M280" s="18" t="n"/>
      <c r="N280" s="15" t="n"/>
    </row>
    <row r="281">
      <c r="A281" s="15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7" t="n"/>
      <c r="K281" s="17" t="n"/>
      <c r="L281" s="17" t="n"/>
      <c r="M281" s="18" t="n"/>
      <c r="N281" s="15" t="n"/>
    </row>
    <row r="282">
      <c r="A282" s="15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7" t="n"/>
      <c r="K282" s="17" t="n"/>
      <c r="L282" s="17" t="n"/>
      <c r="M282" s="18" t="n"/>
      <c r="N282" s="15" t="n"/>
    </row>
    <row r="283">
      <c r="A283" s="15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7" t="n"/>
      <c r="K283" s="17" t="n"/>
      <c r="L283" s="17" t="n"/>
      <c r="M283" s="18" t="n"/>
      <c r="N283" s="15" t="n"/>
    </row>
    <row r="284">
      <c r="A284" s="15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7" t="n"/>
      <c r="K284" s="17" t="n"/>
      <c r="L284" s="17" t="n"/>
      <c r="M284" s="18" t="n"/>
      <c r="N284" s="15" t="n"/>
    </row>
    <row r="285">
      <c r="A285" s="15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7" t="n"/>
      <c r="K285" s="17" t="n"/>
      <c r="L285" s="17" t="n"/>
      <c r="M285" s="18" t="n"/>
      <c r="N285" s="15" t="n"/>
    </row>
    <row r="286">
      <c r="A286" s="15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7" t="n"/>
      <c r="K286" s="17" t="n"/>
      <c r="L286" s="17" t="n"/>
      <c r="M286" s="18" t="n"/>
      <c r="N286" s="15" t="n"/>
    </row>
    <row r="287">
      <c r="A287" s="15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7" t="n"/>
      <c r="K287" s="17" t="n"/>
      <c r="L287" s="17" t="n"/>
      <c r="M287" s="18" t="n"/>
      <c r="N287" s="15" t="n"/>
    </row>
    <row r="288">
      <c r="A288" s="15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7" t="n"/>
      <c r="K288" s="17" t="n"/>
      <c r="L288" s="17" t="n"/>
      <c r="M288" s="18" t="n"/>
      <c r="N288" s="15" t="n"/>
    </row>
    <row r="289">
      <c r="A289" s="15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7" t="n"/>
      <c r="K289" s="17" t="n"/>
      <c r="L289" s="17" t="n"/>
      <c r="M289" s="18" t="n"/>
      <c r="N289" s="15" t="n"/>
    </row>
    <row r="290">
      <c r="A290" s="15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7" t="n"/>
      <c r="K290" s="17" t="n"/>
      <c r="L290" s="17" t="n"/>
      <c r="M290" s="18" t="n"/>
      <c r="N290" s="15" t="n"/>
    </row>
    <row r="291">
      <c r="A291" s="15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7" t="n"/>
      <c r="K291" s="17" t="n"/>
      <c r="L291" s="17" t="n"/>
      <c r="M291" s="18" t="n"/>
      <c r="N291" s="15" t="n"/>
    </row>
    <row r="292">
      <c r="A292" s="15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7" t="n"/>
      <c r="K292" s="17" t="n"/>
      <c r="L292" s="17" t="n"/>
      <c r="M292" s="18" t="n"/>
      <c r="N292" s="15" t="n"/>
    </row>
    <row r="293">
      <c r="A293" s="15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7" t="n"/>
      <c r="K293" s="17" t="n"/>
      <c r="L293" s="17" t="n"/>
      <c r="M293" s="18" t="n"/>
      <c r="N293" s="15" t="n"/>
    </row>
    <row r="294">
      <c r="A294" s="15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7" t="n"/>
      <c r="K294" s="17" t="n"/>
      <c r="L294" s="17" t="n"/>
      <c r="M294" s="18" t="n"/>
      <c r="N294" s="15" t="n"/>
    </row>
    <row r="295">
      <c r="A295" s="15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7" t="n"/>
      <c r="K295" s="17" t="n"/>
      <c r="L295" s="17" t="n"/>
      <c r="M295" s="18" t="n"/>
      <c r="N295" s="15" t="n"/>
    </row>
    <row r="296">
      <c r="A296" s="15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7" t="n"/>
      <c r="K296" s="17" t="n"/>
      <c r="L296" s="17" t="n"/>
      <c r="M296" s="18" t="n"/>
      <c r="N296" s="15" t="n"/>
    </row>
    <row r="297">
      <c r="A297" s="15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7" t="n"/>
      <c r="K297" s="17" t="n"/>
      <c r="L297" s="17" t="n"/>
      <c r="M297" s="18" t="n"/>
      <c r="N297" s="15" t="n"/>
    </row>
    <row r="298">
      <c r="A298" s="15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7" t="n"/>
      <c r="K298" s="17" t="n"/>
      <c r="L298" s="17" t="n"/>
      <c r="M298" s="18" t="n"/>
      <c r="N298" s="15" t="n"/>
    </row>
    <row r="299">
      <c r="A299" s="15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7" t="n"/>
      <c r="K299" s="17" t="n"/>
      <c r="L299" s="17" t="n"/>
      <c r="M299" s="18" t="n"/>
      <c r="N299" s="15" t="n"/>
    </row>
    <row r="300">
      <c r="A300" s="15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7" t="n"/>
      <c r="K300" s="17" t="n"/>
      <c r="L300" s="17" t="n"/>
      <c r="M300" s="18" t="n"/>
      <c r="N300" s="15" t="n"/>
    </row>
    <row r="301">
      <c r="A301" s="15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7" t="n"/>
      <c r="K301" s="17" t="n"/>
      <c r="L301" s="17" t="n"/>
      <c r="M301" s="18" t="n"/>
      <c r="N301" s="15" t="n"/>
    </row>
    <row r="302">
      <c r="A302" s="15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7" t="n"/>
      <c r="K302" s="17" t="n"/>
      <c r="L302" s="17" t="n"/>
      <c r="M302" s="18" t="n"/>
      <c r="N302" s="15" t="n"/>
    </row>
    <row r="303">
      <c r="A303" s="15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7" t="n"/>
      <c r="K303" s="17" t="n"/>
      <c r="L303" s="17" t="n"/>
      <c r="M303" s="18" t="n"/>
      <c r="N303" s="15" t="n"/>
    </row>
    <row r="304">
      <c r="A304" s="15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7" t="n"/>
      <c r="K304" s="17" t="n"/>
      <c r="L304" s="17" t="n"/>
      <c r="M304" s="18" t="n"/>
      <c r="N304" s="15" t="n"/>
    </row>
    <row r="305">
      <c r="A305" s="15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7" t="n"/>
      <c r="K305" s="17" t="n"/>
      <c r="L305" s="17" t="n"/>
      <c r="M305" s="18" t="n"/>
      <c r="N305" s="15" t="n"/>
    </row>
    <row r="306">
      <c r="A306" s="15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7" t="n"/>
      <c r="K306" s="17" t="n"/>
      <c r="L306" s="17" t="n"/>
      <c r="M306" s="18" t="n"/>
      <c r="N306" s="15" t="n"/>
    </row>
    <row r="307">
      <c r="A307" s="15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7" t="n"/>
      <c r="K307" s="17" t="n"/>
      <c r="L307" s="17" t="n"/>
      <c r="M307" s="18" t="n"/>
      <c r="N307" s="15" t="n"/>
    </row>
    <row r="308">
      <c r="A308" s="15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7" t="n"/>
      <c r="K308" s="17" t="n"/>
      <c r="L308" s="17" t="n"/>
      <c r="M308" s="18" t="n"/>
      <c r="N308" s="15" t="n"/>
    </row>
    <row r="309">
      <c r="A309" s="15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7" t="n"/>
      <c r="K309" s="17" t="n"/>
      <c r="L309" s="17" t="n"/>
      <c r="M309" s="18" t="n"/>
      <c r="N309" s="15" t="n"/>
    </row>
    <row r="310">
      <c r="A310" s="15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7" t="n"/>
      <c r="K310" s="17" t="n"/>
      <c r="L310" s="17" t="n"/>
      <c r="M310" s="18" t="n"/>
      <c r="N310" s="15" t="n"/>
    </row>
    <row r="311">
      <c r="A311" s="15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7" t="n"/>
      <c r="K311" s="17" t="n"/>
      <c r="L311" s="17" t="n"/>
      <c r="M311" s="18" t="n"/>
      <c r="N311" s="15" t="n"/>
    </row>
    <row r="312">
      <c r="A312" s="15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7" t="n"/>
      <c r="K312" s="17" t="n"/>
      <c r="L312" s="17" t="n"/>
      <c r="M312" s="18" t="n"/>
      <c r="N312" s="15" t="n"/>
    </row>
    <row r="313">
      <c r="A313" s="15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7" t="n"/>
      <c r="K313" s="17" t="n"/>
      <c r="L313" s="17" t="n"/>
      <c r="M313" s="18" t="n"/>
      <c r="N313" s="15" t="n"/>
    </row>
    <row r="314">
      <c r="A314" s="15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7" t="n"/>
      <c r="K314" s="17" t="n"/>
      <c r="L314" s="17" t="n"/>
      <c r="M314" s="18" t="n"/>
      <c r="N314" s="15" t="n"/>
    </row>
    <row r="315">
      <c r="A315" s="15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7" t="n"/>
      <c r="K315" s="17" t="n"/>
      <c r="L315" s="17" t="n"/>
      <c r="M315" s="18" t="n"/>
      <c r="N315" s="15" t="n"/>
    </row>
    <row r="316">
      <c r="A316" s="15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7" t="n"/>
      <c r="K316" s="17" t="n"/>
      <c r="L316" s="17" t="n"/>
      <c r="M316" s="18" t="n"/>
      <c r="N316" s="15" t="n"/>
    </row>
    <row r="317">
      <c r="A317" s="15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7" t="n"/>
      <c r="K317" s="17" t="n"/>
      <c r="L317" s="17" t="n"/>
      <c r="M317" s="18" t="n"/>
      <c r="N317" s="15" t="n"/>
    </row>
    <row r="318">
      <c r="A318" s="15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7" t="n"/>
      <c r="K318" s="17" t="n"/>
      <c r="L318" s="17" t="n"/>
      <c r="M318" s="18" t="n"/>
      <c r="N318" s="15" t="n"/>
    </row>
    <row r="319">
      <c r="A319" s="15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7" t="n"/>
      <c r="K319" s="17" t="n"/>
      <c r="L319" s="17" t="n"/>
      <c r="M319" s="18" t="n"/>
      <c r="N319" s="15" t="n"/>
    </row>
    <row r="320">
      <c r="A320" s="15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7" t="n"/>
      <c r="K320" s="17" t="n"/>
      <c r="L320" s="17" t="n"/>
      <c r="M320" s="18" t="n"/>
      <c r="N320" s="15" t="n"/>
    </row>
    <row r="321">
      <c r="A321" s="15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7" t="n"/>
      <c r="K321" s="17" t="n"/>
      <c r="L321" s="17" t="n"/>
      <c r="M321" s="18" t="n"/>
      <c r="N321" s="15" t="n"/>
    </row>
    <row r="322">
      <c r="A322" s="15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7" t="n"/>
      <c r="K322" s="17" t="n"/>
      <c r="L322" s="17" t="n"/>
      <c r="M322" s="18" t="n"/>
      <c r="N322" s="15" t="n"/>
    </row>
    <row r="323">
      <c r="A323" s="15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7" t="n"/>
      <c r="K323" s="17" t="n"/>
      <c r="L323" s="17" t="n"/>
      <c r="M323" s="18" t="n"/>
      <c r="N323" s="15" t="n"/>
    </row>
    <row r="324">
      <c r="A324" s="15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7" t="n"/>
      <c r="K324" s="17" t="n"/>
      <c r="L324" s="17" t="n"/>
      <c r="M324" s="18" t="n"/>
      <c r="N324" s="15" t="n"/>
    </row>
    <row r="325">
      <c r="A325" s="15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7" t="n"/>
      <c r="K325" s="17" t="n"/>
      <c r="L325" s="17" t="n"/>
      <c r="M325" s="18" t="n"/>
      <c r="N325" s="15" t="n"/>
    </row>
    <row r="326">
      <c r="A326" s="15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7" t="n"/>
      <c r="K326" s="17" t="n"/>
      <c r="L326" s="17" t="n"/>
      <c r="M326" s="18" t="n"/>
      <c r="N326" s="15" t="n"/>
    </row>
    <row r="327">
      <c r="A327" s="15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7" t="n"/>
      <c r="K327" s="17" t="n"/>
      <c r="L327" s="17" t="n"/>
      <c r="M327" s="18" t="n"/>
      <c r="N327" s="15" t="n"/>
    </row>
    <row r="328">
      <c r="A328" s="15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7" t="n"/>
      <c r="K328" s="17" t="n"/>
      <c r="L328" s="17" t="n"/>
      <c r="M328" s="18" t="n"/>
      <c r="N328" s="15" t="n"/>
    </row>
    <row r="329">
      <c r="A329" s="15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7" t="n"/>
      <c r="K329" s="17" t="n"/>
      <c r="L329" s="17" t="n"/>
      <c r="M329" s="18" t="n"/>
      <c r="N329" s="15" t="n"/>
    </row>
    <row r="330">
      <c r="A330" s="15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7" t="n"/>
      <c r="K330" s="17" t="n"/>
      <c r="L330" s="17" t="n"/>
      <c r="M330" s="18" t="n"/>
      <c r="N330" s="15" t="n"/>
    </row>
    <row r="331">
      <c r="A331" s="15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7" t="n"/>
      <c r="K331" s="17" t="n"/>
      <c r="L331" s="17" t="n"/>
      <c r="M331" s="18" t="n"/>
      <c r="N331" s="15" t="n"/>
    </row>
    <row r="332">
      <c r="A332" s="15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7" t="n"/>
      <c r="K332" s="17" t="n"/>
      <c r="L332" s="17" t="n"/>
      <c r="M332" s="18" t="n"/>
      <c r="N332" s="15" t="n"/>
    </row>
    <row r="333">
      <c r="A333" s="15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7" t="n"/>
      <c r="K333" s="17" t="n"/>
      <c r="L333" s="17" t="n"/>
      <c r="M333" s="18" t="n"/>
      <c r="N333" s="15" t="n"/>
    </row>
    <row r="334">
      <c r="A334" s="15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7" t="n"/>
      <c r="K334" s="17" t="n"/>
      <c r="L334" s="17" t="n"/>
      <c r="M334" s="18" t="n"/>
      <c r="N334" s="15" t="n"/>
    </row>
    <row r="335">
      <c r="A335" s="15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7" t="n"/>
      <c r="K335" s="17" t="n"/>
      <c r="L335" s="17" t="n"/>
      <c r="M335" s="18" t="n"/>
      <c r="N335" s="15" t="n"/>
    </row>
    <row r="336">
      <c r="A336" s="15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7" t="n"/>
      <c r="K336" s="17" t="n"/>
      <c r="L336" s="17" t="n"/>
      <c r="M336" s="18" t="n"/>
      <c r="N336" s="15" t="n"/>
    </row>
    <row r="337">
      <c r="A337" s="15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7" t="n"/>
      <c r="K337" s="17" t="n"/>
      <c r="L337" s="17" t="n"/>
      <c r="M337" s="18" t="n"/>
      <c r="N337" s="15" t="n"/>
    </row>
    <row r="338">
      <c r="A338" s="15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7" t="n"/>
      <c r="K338" s="17" t="n"/>
      <c r="L338" s="17" t="n"/>
      <c r="M338" s="18" t="n"/>
      <c r="N338" s="15" t="n"/>
    </row>
    <row r="339">
      <c r="A339" s="15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7" t="n"/>
      <c r="K339" s="17" t="n"/>
      <c r="L339" s="17" t="n"/>
      <c r="M339" s="18" t="n"/>
      <c r="N339" s="15" t="n"/>
    </row>
    <row r="340">
      <c r="A340" s="15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7" t="n"/>
      <c r="K340" s="17" t="n"/>
      <c r="L340" s="17" t="n"/>
      <c r="M340" s="18" t="n"/>
      <c r="N340" s="15" t="n"/>
    </row>
    <row r="341">
      <c r="A341" s="15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7" t="n"/>
      <c r="K341" s="17" t="n"/>
      <c r="L341" s="17" t="n"/>
      <c r="M341" s="18" t="n"/>
      <c r="N341" s="15" t="n"/>
    </row>
    <row r="342">
      <c r="A342" s="15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7" t="n"/>
      <c r="K342" s="17" t="n"/>
      <c r="L342" s="17" t="n"/>
      <c r="M342" s="18" t="n"/>
      <c r="N342" s="15" t="n"/>
    </row>
    <row r="343">
      <c r="A343" s="15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7" t="n"/>
      <c r="K343" s="17" t="n"/>
      <c r="L343" s="17" t="n"/>
      <c r="M343" s="18" t="n"/>
      <c r="N343" s="15" t="n"/>
    </row>
    <row r="344">
      <c r="A344" s="15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7" t="n"/>
      <c r="K344" s="17" t="n"/>
      <c r="L344" s="17" t="n"/>
      <c r="M344" s="18" t="n"/>
      <c r="N344" s="15" t="n"/>
    </row>
    <row r="345">
      <c r="A345" s="15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7" t="n"/>
      <c r="K345" s="17" t="n"/>
      <c r="L345" s="17" t="n"/>
      <c r="M345" s="18" t="n"/>
      <c r="N345" s="15" t="n"/>
    </row>
    <row r="346">
      <c r="A346" s="15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7" t="n"/>
      <c r="K346" s="17" t="n"/>
      <c r="L346" s="17" t="n"/>
      <c r="M346" s="18" t="n"/>
      <c r="N346" s="15" t="n"/>
    </row>
    <row r="347">
      <c r="A347" s="15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7" t="n"/>
      <c r="K347" s="17" t="n"/>
      <c r="L347" s="17" t="n"/>
      <c r="M347" s="18" t="n"/>
      <c r="N347" s="15" t="n"/>
    </row>
    <row r="348">
      <c r="A348" s="15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7" t="n"/>
      <c r="K348" s="17" t="n"/>
      <c r="L348" s="17" t="n"/>
      <c r="M348" s="18" t="n"/>
      <c r="N348" s="15" t="n"/>
    </row>
    <row r="349">
      <c r="A349" s="15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7" t="n"/>
      <c r="K349" s="17" t="n"/>
      <c r="L349" s="17" t="n"/>
      <c r="M349" s="18" t="n"/>
      <c r="N349" s="15" t="n"/>
    </row>
    <row r="350">
      <c r="A350" s="15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7" t="n"/>
      <c r="K350" s="17" t="n"/>
      <c r="L350" s="17" t="n"/>
      <c r="M350" s="18" t="n"/>
      <c r="N350" s="15" t="n"/>
    </row>
    <row r="351">
      <c r="A351" s="15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7" t="n"/>
      <c r="K351" s="17" t="n"/>
      <c r="L351" s="17" t="n"/>
      <c r="M351" s="18" t="n"/>
      <c r="N351" s="15" t="n"/>
    </row>
    <row r="352">
      <c r="A352" s="15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7" t="n"/>
      <c r="K352" s="17" t="n"/>
      <c r="L352" s="17" t="n"/>
      <c r="M352" s="18" t="n"/>
      <c r="N352" s="15" t="n"/>
    </row>
    <row r="353">
      <c r="A353" s="15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7" t="n"/>
      <c r="K353" s="17" t="n"/>
      <c r="L353" s="17" t="n"/>
      <c r="M353" s="18" t="n"/>
      <c r="N353" s="15" t="n"/>
    </row>
    <row r="354">
      <c r="A354" s="15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7" t="n"/>
      <c r="K354" s="17" t="n"/>
      <c r="L354" s="17" t="n"/>
      <c r="M354" s="18" t="n"/>
      <c r="N354" s="15" t="n"/>
    </row>
    <row r="355">
      <c r="A355" s="15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7" t="n"/>
      <c r="K355" s="17" t="n"/>
      <c r="L355" s="17" t="n"/>
      <c r="M355" s="18" t="n"/>
      <c r="N355" s="15" t="n"/>
    </row>
    <row r="356">
      <c r="A356" s="15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7" t="n"/>
      <c r="K356" s="17" t="n"/>
      <c r="L356" s="17" t="n"/>
      <c r="M356" s="18" t="n"/>
      <c r="N356" s="15" t="n"/>
    </row>
    <row r="357">
      <c r="A357" s="15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7" t="n"/>
      <c r="K357" s="17" t="n"/>
      <c r="L357" s="17" t="n"/>
      <c r="M357" s="18" t="n"/>
      <c r="N357" s="15" t="n"/>
    </row>
    <row r="358">
      <c r="A358" s="15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7" t="n"/>
      <c r="K358" s="17" t="n"/>
      <c r="L358" s="17" t="n"/>
      <c r="M358" s="18" t="n"/>
      <c r="N358" s="15" t="n"/>
    </row>
    <row r="359">
      <c r="A359" s="15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7" t="n"/>
      <c r="K359" s="17" t="n"/>
      <c r="L359" s="17" t="n"/>
      <c r="M359" s="18" t="n"/>
      <c r="N359" s="15" t="n"/>
    </row>
    <row r="360">
      <c r="A360" s="15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7" t="n"/>
      <c r="K360" s="17" t="n"/>
      <c r="L360" s="17" t="n"/>
      <c r="M360" s="18" t="n"/>
      <c r="N360" s="15" t="n"/>
    </row>
    <row r="361">
      <c r="A361" s="15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7" t="n"/>
      <c r="K361" s="17" t="n"/>
      <c r="L361" s="17" t="n"/>
      <c r="M361" s="18" t="n"/>
      <c r="N361" s="15" t="n"/>
    </row>
    <row r="362">
      <c r="A362" s="15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7" t="n"/>
      <c r="K362" s="17" t="n"/>
      <c r="L362" s="17" t="n"/>
      <c r="M362" s="18" t="n"/>
      <c r="N362" s="15" t="n"/>
    </row>
    <row r="363">
      <c r="A363" s="15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7" t="n"/>
      <c r="K363" s="17" t="n"/>
      <c r="L363" s="17" t="n"/>
      <c r="M363" s="18" t="n"/>
      <c r="N363" s="15" t="n"/>
    </row>
    <row r="364">
      <c r="A364" s="15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7" t="n"/>
      <c r="K364" s="17" t="n"/>
      <c r="L364" s="17" t="n"/>
      <c r="M364" s="18" t="n"/>
      <c r="N364" s="15" t="n"/>
    </row>
    <row r="365">
      <c r="A365" s="15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7" t="n"/>
      <c r="K365" s="17" t="n"/>
      <c r="L365" s="17" t="n"/>
      <c r="M365" s="18" t="n"/>
      <c r="N365" s="15" t="n"/>
    </row>
    <row r="366">
      <c r="A366" s="15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7" t="n"/>
      <c r="K366" s="17" t="n"/>
      <c r="L366" s="17" t="n"/>
      <c r="M366" s="18" t="n"/>
      <c r="N366" s="15" t="n"/>
    </row>
    <row r="367">
      <c r="A367" s="15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7" t="n"/>
      <c r="K367" s="17" t="n"/>
      <c r="L367" s="17" t="n"/>
      <c r="M367" s="18" t="n"/>
      <c r="N367" s="15" t="n"/>
    </row>
    <row r="368">
      <c r="A368" s="15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7" t="n"/>
      <c r="K368" s="17" t="n"/>
      <c r="L368" s="17" t="n"/>
      <c r="M368" s="18" t="n"/>
      <c r="N368" s="15" t="n"/>
    </row>
    <row r="369">
      <c r="A369" s="15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7" t="n"/>
      <c r="K369" s="17" t="n"/>
      <c r="L369" s="17" t="n"/>
      <c r="M369" s="18" t="n"/>
      <c r="N369" s="15" t="n"/>
    </row>
    <row r="370">
      <c r="A370" s="15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7" t="n"/>
      <c r="K370" s="17" t="n"/>
      <c r="L370" s="17" t="n"/>
      <c r="M370" s="18" t="n"/>
      <c r="N370" s="15" t="n"/>
    </row>
    <row r="371">
      <c r="A371" s="15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7" t="n"/>
      <c r="K371" s="17" t="n"/>
      <c r="L371" s="17" t="n"/>
      <c r="M371" s="18" t="n"/>
      <c r="N371" s="15" t="n"/>
    </row>
    <row r="372">
      <c r="A372" s="15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7" t="n"/>
      <c r="K372" s="17" t="n"/>
      <c r="L372" s="17" t="n"/>
      <c r="M372" s="18" t="n"/>
      <c r="N372" s="15" t="n"/>
    </row>
    <row r="373">
      <c r="A373" s="15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7" t="n"/>
      <c r="K373" s="17" t="n"/>
      <c r="L373" s="17" t="n"/>
      <c r="M373" s="18" t="n"/>
      <c r="N373" s="15" t="n"/>
    </row>
    <row r="374">
      <c r="A374" s="15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7" t="n"/>
      <c r="K374" s="17" t="n"/>
      <c r="L374" s="17" t="n"/>
      <c r="M374" s="18" t="n"/>
      <c r="N374" s="15" t="n"/>
    </row>
    <row r="375">
      <c r="A375" s="15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7" t="n"/>
      <c r="K375" s="17" t="n"/>
      <c r="L375" s="17" t="n"/>
      <c r="M375" s="18" t="n"/>
      <c r="N375" s="15" t="n"/>
    </row>
    <row r="376">
      <c r="A376" s="15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7" t="n"/>
      <c r="K376" s="17" t="n"/>
      <c r="L376" s="17" t="n"/>
      <c r="M376" s="18" t="n"/>
      <c r="N376" s="15" t="n"/>
    </row>
    <row r="377">
      <c r="A377" s="15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7" t="n"/>
      <c r="K377" s="17" t="n"/>
      <c r="L377" s="17" t="n"/>
      <c r="M377" s="18" t="n"/>
      <c r="N377" s="15" t="n"/>
    </row>
    <row r="378">
      <c r="A378" s="15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7" t="n"/>
      <c r="K378" s="17" t="n"/>
      <c r="L378" s="17" t="n"/>
      <c r="M378" s="18" t="n"/>
      <c r="N378" s="15" t="n"/>
    </row>
    <row r="379">
      <c r="A379" s="15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7" t="n"/>
      <c r="K379" s="17" t="n"/>
      <c r="L379" s="17" t="n"/>
      <c r="M379" s="18" t="n"/>
      <c r="N379" s="15" t="n"/>
    </row>
    <row r="380">
      <c r="A380" s="15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7" t="n"/>
      <c r="K380" s="17" t="n"/>
      <c r="L380" s="17" t="n"/>
      <c r="M380" s="18" t="n"/>
      <c r="N380" s="15" t="n"/>
    </row>
    <row r="381">
      <c r="A381" s="15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7" t="n"/>
      <c r="K381" s="17" t="n"/>
      <c r="L381" s="17" t="n"/>
      <c r="M381" s="18" t="n"/>
      <c r="N381" s="15" t="n"/>
    </row>
    <row r="382">
      <c r="A382" s="15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7" t="n"/>
      <c r="K382" s="17" t="n"/>
      <c r="L382" s="17" t="n"/>
      <c r="M382" s="18" t="n"/>
      <c r="N382" s="15" t="n"/>
    </row>
    <row r="383">
      <c r="A383" s="15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7" t="n"/>
      <c r="K383" s="17" t="n"/>
      <c r="L383" s="17" t="n"/>
      <c r="M383" s="18" t="n"/>
      <c r="N383" s="15" t="n"/>
    </row>
    <row r="384">
      <c r="A384" s="15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7" t="n"/>
      <c r="K384" s="17" t="n"/>
      <c r="L384" s="17" t="n"/>
      <c r="M384" s="18" t="n"/>
      <c r="N384" s="15" t="n"/>
    </row>
    <row r="385">
      <c r="A385" s="15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7" t="n"/>
      <c r="K385" s="17" t="n"/>
      <c r="L385" s="17" t="n"/>
      <c r="M385" s="18" t="n"/>
      <c r="N385" s="15" t="n"/>
    </row>
    <row r="386">
      <c r="A386" s="15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7" t="n"/>
      <c r="K386" s="17" t="n"/>
      <c r="L386" s="17" t="n"/>
      <c r="M386" s="18" t="n"/>
      <c r="N386" s="15" t="n"/>
    </row>
    <row r="387">
      <c r="A387" s="15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7" t="n"/>
      <c r="K387" s="17" t="n"/>
      <c r="L387" s="17" t="n"/>
      <c r="M387" s="18" t="n"/>
      <c r="N387" s="15" t="n"/>
    </row>
    <row r="388">
      <c r="A388" s="15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7" t="n"/>
      <c r="K388" s="17" t="n"/>
      <c r="L388" s="17" t="n"/>
      <c r="M388" s="18" t="n"/>
      <c r="N388" s="15" t="n"/>
    </row>
    <row r="389">
      <c r="A389" s="15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7" t="n"/>
      <c r="K389" s="17" t="n"/>
      <c r="L389" s="17" t="n"/>
      <c r="M389" s="18" t="n"/>
      <c r="N389" s="15" t="n"/>
    </row>
    <row r="390">
      <c r="A390" s="15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7" t="n"/>
      <c r="K390" s="17" t="n"/>
      <c r="L390" s="17" t="n"/>
      <c r="M390" s="18" t="n"/>
      <c r="N390" s="15" t="n"/>
    </row>
    <row r="391">
      <c r="A391" s="15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7" t="n"/>
      <c r="K391" s="17" t="n"/>
      <c r="L391" s="17" t="n"/>
      <c r="M391" s="18" t="n"/>
      <c r="N391" s="15" t="n"/>
    </row>
    <row r="392">
      <c r="A392" s="15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7" t="n"/>
      <c r="K392" s="17" t="n"/>
      <c r="L392" s="17" t="n"/>
      <c r="M392" s="18" t="n"/>
      <c r="N392" s="15" t="n"/>
    </row>
    <row r="393">
      <c r="A393" s="15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7" t="n"/>
      <c r="K393" s="17" t="n"/>
      <c r="L393" s="17" t="n"/>
      <c r="M393" s="18" t="n"/>
      <c r="N393" s="15" t="n"/>
    </row>
    <row r="394">
      <c r="A394" s="15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7" t="n"/>
      <c r="K394" s="17" t="n"/>
      <c r="L394" s="17" t="n"/>
      <c r="M394" s="18" t="n"/>
      <c r="N394" s="15" t="n"/>
    </row>
    <row r="395">
      <c r="A395" s="15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7" t="n"/>
      <c r="K395" s="17" t="n"/>
      <c r="L395" s="17" t="n"/>
      <c r="M395" s="18" t="n"/>
      <c r="N395" s="15" t="n"/>
    </row>
    <row r="396">
      <c r="A396" s="15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7" t="n"/>
      <c r="K396" s="17" t="n"/>
      <c r="L396" s="17" t="n"/>
      <c r="M396" s="18" t="n"/>
      <c r="N396" s="15" t="n"/>
    </row>
    <row r="397">
      <c r="A397" s="15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7" t="n"/>
      <c r="K397" s="17" t="n"/>
      <c r="L397" s="17" t="n"/>
      <c r="M397" s="18" t="n"/>
      <c r="N397" s="15" t="n"/>
    </row>
    <row r="398">
      <c r="A398" s="15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7" t="n"/>
      <c r="K398" s="17" t="n"/>
      <c r="L398" s="17" t="n"/>
      <c r="M398" s="18" t="n"/>
      <c r="N398" s="15" t="n"/>
    </row>
    <row r="399">
      <c r="A399" s="15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7" t="n"/>
      <c r="K399" s="17" t="n"/>
      <c r="L399" s="17" t="n"/>
      <c r="M399" s="18" t="n"/>
      <c r="N399" s="15" t="n"/>
    </row>
    <row r="400">
      <c r="A400" s="15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7" t="n"/>
      <c r="K400" s="17" t="n"/>
      <c r="L400" s="17" t="n"/>
      <c r="M400" s="18" t="n"/>
      <c r="N400" s="15" t="n"/>
    </row>
    <row r="401">
      <c r="A401" s="15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7" t="n"/>
      <c r="K401" s="17" t="n"/>
      <c r="L401" s="17" t="n"/>
      <c r="M401" s="18" t="n"/>
      <c r="N401" s="15" t="n"/>
    </row>
    <row r="402">
      <c r="A402" s="15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7" t="n"/>
      <c r="K402" s="17" t="n"/>
      <c r="L402" s="17" t="n"/>
      <c r="M402" s="18" t="n"/>
      <c r="N402" s="15" t="n"/>
    </row>
    <row r="403">
      <c r="A403" s="15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7" t="n"/>
      <c r="K403" s="17" t="n"/>
      <c r="L403" s="17" t="n"/>
      <c r="M403" s="18" t="n"/>
      <c r="N403" s="15" t="n"/>
    </row>
    <row r="404">
      <c r="A404" s="15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7" t="n"/>
      <c r="K404" s="17" t="n"/>
      <c r="L404" s="17" t="n"/>
      <c r="M404" s="18" t="n"/>
      <c r="N404" s="15" t="n"/>
    </row>
    <row r="405">
      <c r="A405" s="15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7" t="n"/>
      <c r="K405" s="17" t="n"/>
      <c r="L405" s="17" t="n"/>
      <c r="M405" s="18" t="n"/>
      <c r="N405" s="15" t="n"/>
    </row>
    <row r="406">
      <c r="A406" s="15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7" t="n"/>
      <c r="K406" s="17" t="n"/>
      <c r="L406" s="17" t="n"/>
      <c r="M406" s="18" t="n"/>
      <c r="N406" s="15" t="n"/>
    </row>
    <row r="407">
      <c r="A407" s="15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7" t="n"/>
      <c r="K407" s="17" t="n"/>
      <c r="L407" s="17" t="n"/>
      <c r="M407" s="18" t="n"/>
      <c r="N407" s="15" t="n"/>
    </row>
    <row r="408">
      <c r="A408" s="15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7" t="n"/>
      <c r="K408" s="17" t="n"/>
      <c r="L408" s="17" t="n"/>
      <c r="M408" s="18" t="n"/>
      <c r="N408" s="15" t="n"/>
    </row>
    <row r="409">
      <c r="A409" s="15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7" t="n"/>
      <c r="K409" s="17" t="n"/>
      <c r="L409" s="17" t="n"/>
      <c r="M409" s="18" t="n"/>
      <c r="N409" s="15" t="n"/>
    </row>
    <row r="410">
      <c r="A410" s="15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7" t="n"/>
      <c r="K410" s="17" t="n"/>
      <c r="L410" s="17" t="n"/>
      <c r="M410" s="18" t="n"/>
      <c r="N410" s="15" t="n"/>
    </row>
    <row r="411">
      <c r="A411" s="15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7" t="n"/>
      <c r="K411" s="17" t="n"/>
      <c r="L411" s="17" t="n"/>
      <c r="M411" s="18" t="n"/>
      <c r="N411" s="15" t="n"/>
    </row>
    <row r="412">
      <c r="A412" s="15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7" t="n"/>
      <c r="K412" s="17" t="n"/>
      <c r="L412" s="17" t="n"/>
      <c r="M412" s="18" t="n"/>
      <c r="N412" s="15" t="n"/>
    </row>
    <row r="413">
      <c r="A413" s="15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7" t="n"/>
      <c r="K413" s="17" t="n"/>
      <c r="L413" s="17" t="n"/>
      <c r="M413" s="18" t="n"/>
      <c r="N413" s="15" t="n"/>
    </row>
    <row r="414">
      <c r="A414" s="15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7" t="n"/>
      <c r="K414" s="17" t="n"/>
      <c r="L414" s="17" t="n"/>
      <c r="M414" s="18" t="n"/>
      <c r="N414" s="15" t="n"/>
    </row>
    <row r="415">
      <c r="A415" s="15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7" t="n"/>
      <c r="K415" s="17" t="n"/>
      <c r="L415" s="17" t="n"/>
      <c r="M415" s="18" t="n"/>
      <c r="N415" s="15" t="n"/>
    </row>
    <row r="416">
      <c r="A416" s="15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7" t="n"/>
      <c r="K416" s="17" t="n"/>
      <c r="L416" s="17" t="n"/>
      <c r="M416" s="18" t="n"/>
      <c r="N416" s="15" t="n"/>
    </row>
    <row r="417">
      <c r="A417" s="15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7" t="n"/>
      <c r="K417" s="17" t="n"/>
      <c r="L417" s="17" t="n"/>
      <c r="M417" s="18" t="n"/>
      <c r="N417" s="15" t="n"/>
    </row>
    <row r="418">
      <c r="A418" s="15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7" t="n"/>
      <c r="K418" s="17" t="n"/>
      <c r="L418" s="17" t="n"/>
      <c r="M418" s="18" t="n"/>
      <c r="N418" s="15" t="n"/>
    </row>
    <row r="419">
      <c r="A419" s="15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7" t="n"/>
      <c r="K419" s="17" t="n"/>
      <c r="L419" s="17" t="n"/>
      <c r="M419" s="18" t="n"/>
      <c r="N419" s="15" t="n"/>
    </row>
    <row r="420">
      <c r="A420" s="15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7" t="n"/>
      <c r="K420" s="17" t="n"/>
      <c r="L420" s="17" t="n"/>
      <c r="M420" s="18" t="n"/>
      <c r="N420" s="15" t="n"/>
    </row>
    <row r="421">
      <c r="A421" s="15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7" t="n"/>
      <c r="K421" s="17" t="n"/>
      <c r="L421" s="17" t="n"/>
      <c r="M421" s="18" t="n"/>
      <c r="N421" s="15" t="n"/>
    </row>
    <row r="422">
      <c r="A422" s="15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7" t="n"/>
      <c r="K422" s="17" t="n"/>
      <c r="L422" s="17" t="n"/>
      <c r="M422" s="18" t="n"/>
      <c r="N422" s="15" t="n"/>
    </row>
    <row r="423">
      <c r="A423" s="15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7" t="n"/>
      <c r="K423" s="17" t="n"/>
      <c r="L423" s="17" t="n"/>
      <c r="M423" s="18" t="n"/>
      <c r="N423" s="15" t="n"/>
    </row>
    <row r="424">
      <c r="A424" s="15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7" t="n"/>
      <c r="K424" s="17" t="n"/>
      <c r="L424" s="17" t="n"/>
      <c r="M424" s="18" t="n"/>
      <c r="N424" s="15" t="n"/>
    </row>
    <row r="425">
      <c r="A425" s="15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7" t="n"/>
      <c r="K425" s="17" t="n"/>
      <c r="L425" s="17" t="n"/>
      <c r="M425" s="18" t="n"/>
      <c r="N425" s="15" t="n"/>
    </row>
    <row r="426">
      <c r="A426" s="15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7" t="n"/>
      <c r="K426" s="17" t="n"/>
      <c r="L426" s="17" t="n"/>
      <c r="M426" s="18" t="n"/>
      <c r="N426" s="15" t="n"/>
    </row>
    <row r="427">
      <c r="A427" s="15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7" t="n"/>
      <c r="K427" s="17" t="n"/>
      <c r="L427" s="17" t="n"/>
      <c r="M427" s="18" t="n"/>
      <c r="N427" s="15" t="n"/>
    </row>
    <row r="428">
      <c r="A428" s="15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7" t="n"/>
      <c r="K428" s="17" t="n"/>
      <c r="L428" s="17" t="n"/>
      <c r="M428" s="18" t="n"/>
      <c r="N428" s="15" t="n"/>
    </row>
    <row r="429">
      <c r="A429" s="15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7" t="n"/>
      <c r="K429" s="17" t="n"/>
      <c r="L429" s="17" t="n"/>
      <c r="M429" s="18" t="n"/>
      <c r="N429" s="15" t="n"/>
    </row>
    <row r="430">
      <c r="A430" s="15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7" t="n"/>
      <c r="K430" s="17" t="n"/>
      <c r="L430" s="17" t="n"/>
      <c r="M430" s="18" t="n"/>
      <c r="N430" s="15" t="n"/>
    </row>
    <row r="431">
      <c r="A431" s="15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7" t="n"/>
      <c r="K431" s="17" t="n"/>
      <c r="L431" s="17" t="n"/>
      <c r="M431" s="18" t="n"/>
      <c r="N431" s="15" t="n"/>
    </row>
    <row r="432">
      <c r="A432" s="15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7" t="n"/>
      <c r="K432" s="17" t="n"/>
      <c r="L432" s="17" t="n"/>
      <c r="M432" s="18" t="n"/>
      <c r="N432" s="15" t="n"/>
    </row>
    <row r="433">
      <c r="A433" s="15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7" t="n"/>
      <c r="K433" s="17" t="n"/>
      <c r="L433" s="17" t="n"/>
      <c r="M433" s="18" t="n"/>
      <c r="N433" s="15" t="n"/>
    </row>
    <row r="434">
      <c r="A434" s="15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7" t="n"/>
      <c r="K434" s="17" t="n"/>
      <c r="L434" s="17" t="n"/>
      <c r="M434" s="18" t="n"/>
      <c r="N434" s="15" t="n"/>
    </row>
    <row r="435">
      <c r="A435" s="15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7" t="n"/>
      <c r="K435" s="17" t="n"/>
      <c r="L435" s="17" t="n"/>
      <c r="M435" s="18" t="n"/>
      <c r="N435" s="15" t="n"/>
    </row>
    <row r="436">
      <c r="A436" s="15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7" t="n"/>
      <c r="K436" s="17" t="n"/>
      <c r="L436" s="17" t="n"/>
      <c r="M436" s="18" t="n"/>
      <c r="N436" s="15" t="n"/>
    </row>
    <row r="437">
      <c r="A437" s="15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7" t="n"/>
      <c r="K437" s="17" t="n"/>
      <c r="L437" s="17" t="n"/>
      <c r="M437" s="18" t="n"/>
      <c r="N437" s="15" t="n"/>
    </row>
    <row r="438">
      <c r="A438" s="15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7" t="n"/>
      <c r="K438" s="17" t="n"/>
      <c r="L438" s="17" t="n"/>
      <c r="M438" s="18" t="n"/>
      <c r="N438" s="15" t="n"/>
    </row>
    <row r="439">
      <c r="A439" s="15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7" t="n"/>
      <c r="K439" s="17" t="n"/>
      <c r="L439" s="17" t="n"/>
      <c r="M439" s="18" t="n"/>
      <c r="N439" s="15" t="n"/>
    </row>
    <row r="440">
      <c r="A440" s="15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7" t="n"/>
      <c r="K440" s="17" t="n"/>
      <c r="L440" s="17" t="n"/>
      <c r="M440" s="18" t="n"/>
      <c r="N440" s="15" t="n"/>
    </row>
    <row r="441">
      <c r="A441" s="15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7" t="n"/>
      <c r="K441" s="17" t="n"/>
      <c r="L441" s="17" t="n"/>
      <c r="M441" s="18" t="n"/>
      <c r="N441" s="15" t="n"/>
    </row>
    <row r="442">
      <c r="A442" s="15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7" t="n"/>
      <c r="K442" s="17" t="n"/>
      <c r="L442" s="17" t="n"/>
      <c r="M442" s="18" t="n"/>
      <c r="N442" s="15" t="n"/>
    </row>
    <row r="443">
      <c r="A443" s="15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7" t="n"/>
      <c r="K443" s="17" t="n"/>
      <c r="L443" s="17" t="n"/>
      <c r="M443" s="18" t="n"/>
      <c r="N443" s="15" t="n"/>
    </row>
    <row r="444">
      <c r="A444" s="15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7" t="n"/>
      <c r="K444" s="17" t="n"/>
      <c r="L444" s="17" t="n"/>
      <c r="M444" s="18" t="n"/>
      <c r="N444" s="15" t="n"/>
    </row>
    <row r="445">
      <c r="A445" s="15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7" t="n"/>
      <c r="K445" s="17" t="n"/>
      <c r="L445" s="17" t="n"/>
      <c r="M445" s="18" t="n"/>
      <c r="N445" s="15" t="n"/>
    </row>
    <row r="446">
      <c r="A446" s="15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7" t="n"/>
      <c r="K446" s="17" t="n"/>
      <c r="L446" s="17" t="n"/>
      <c r="M446" s="18" t="n"/>
      <c r="N446" s="15" t="n"/>
    </row>
    <row r="447">
      <c r="A447" s="15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7" t="n"/>
      <c r="K447" s="17" t="n"/>
      <c r="L447" s="17" t="n"/>
      <c r="M447" s="18" t="n"/>
      <c r="N447" s="15" t="n"/>
    </row>
    <row r="448">
      <c r="A448" s="15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7" t="n"/>
      <c r="K448" s="17" t="n"/>
      <c r="L448" s="17" t="n"/>
      <c r="M448" s="18" t="n"/>
      <c r="N448" s="15" t="n"/>
    </row>
    <row r="449">
      <c r="A449" s="15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7" t="n"/>
      <c r="K449" s="17" t="n"/>
      <c r="L449" s="17" t="n"/>
      <c r="M449" s="18" t="n"/>
      <c r="N449" s="15" t="n"/>
    </row>
    <row r="450">
      <c r="A450" s="15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7" t="n"/>
      <c r="K450" s="17" t="n"/>
      <c r="L450" s="17" t="n"/>
      <c r="M450" s="18" t="n"/>
      <c r="N450" s="15" t="n"/>
    </row>
    <row r="451">
      <c r="A451" s="15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7" t="n"/>
      <c r="K451" s="17" t="n"/>
      <c r="L451" s="17" t="n"/>
      <c r="M451" s="18" t="n"/>
      <c r="N451" s="15" t="n"/>
    </row>
    <row r="452">
      <c r="A452" s="15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7" t="n"/>
      <c r="K452" s="17" t="n"/>
      <c r="L452" s="17" t="n"/>
      <c r="M452" s="18" t="n"/>
      <c r="N452" s="15" t="n"/>
    </row>
    <row r="453">
      <c r="A453" s="15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7" t="n"/>
      <c r="K453" s="17" t="n"/>
      <c r="L453" s="17" t="n"/>
      <c r="M453" s="18" t="n"/>
      <c r="N453" s="15" t="n"/>
    </row>
    <row r="454">
      <c r="A454" s="15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7" t="n"/>
      <c r="K454" s="17" t="n"/>
      <c r="L454" s="17" t="n"/>
      <c r="M454" s="18" t="n"/>
      <c r="N454" s="15" t="n"/>
    </row>
    <row r="455">
      <c r="A455" s="15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7" t="n"/>
      <c r="K455" s="17" t="n"/>
      <c r="L455" s="17" t="n"/>
      <c r="M455" s="18" t="n"/>
      <c r="N455" s="15" t="n"/>
    </row>
    <row r="456">
      <c r="A456" s="15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7" t="n"/>
      <c r="K456" s="17" t="n"/>
      <c r="L456" s="17" t="n"/>
      <c r="M456" s="18" t="n"/>
      <c r="N456" s="15" t="n"/>
    </row>
    <row r="457">
      <c r="A457" s="15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7" t="n"/>
      <c r="K457" s="17" t="n"/>
      <c r="L457" s="17" t="n"/>
      <c r="M457" s="18" t="n"/>
      <c r="N457" s="15" t="n"/>
    </row>
    <row r="458">
      <c r="A458" s="15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7" t="n"/>
      <c r="K458" s="17" t="n"/>
      <c r="L458" s="17" t="n"/>
      <c r="M458" s="18" t="n"/>
      <c r="N458" s="15" t="n"/>
    </row>
    <row r="459">
      <c r="A459" s="15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7" t="n"/>
      <c r="K459" s="17" t="n"/>
      <c r="L459" s="17" t="n"/>
      <c r="M459" s="18" t="n"/>
      <c r="N459" s="15" t="n"/>
    </row>
    <row r="460">
      <c r="A460" s="15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7" t="n"/>
      <c r="K460" s="17" t="n"/>
      <c r="L460" s="17" t="n"/>
      <c r="M460" s="18" t="n"/>
      <c r="N460" s="15" t="n"/>
    </row>
    <row r="461">
      <c r="A461" s="15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7" t="n"/>
      <c r="K461" s="17" t="n"/>
      <c r="L461" s="17" t="n"/>
      <c r="M461" s="18" t="n"/>
      <c r="N461" s="15" t="n"/>
    </row>
    <row r="462">
      <c r="A462" s="15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7" t="n"/>
      <c r="K462" s="17" t="n"/>
      <c r="L462" s="17" t="n"/>
      <c r="M462" s="18" t="n"/>
      <c r="N462" s="15" t="n"/>
    </row>
    <row r="463">
      <c r="A463" s="15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7" t="n"/>
      <c r="K463" s="17" t="n"/>
      <c r="L463" s="17" t="n"/>
      <c r="M463" s="18" t="n"/>
      <c r="N463" s="15" t="n"/>
    </row>
    <row r="464">
      <c r="A464" s="15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7" t="n"/>
      <c r="K464" s="17" t="n"/>
      <c r="L464" s="17" t="n"/>
      <c r="M464" s="18" t="n"/>
      <c r="N464" s="15" t="n"/>
    </row>
    <row r="465">
      <c r="A465" s="15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7" t="n"/>
      <c r="K465" s="17" t="n"/>
      <c r="L465" s="17" t="n"/>
      <c r="M465" s="18" t="n"/>
      <c r="N465" s="15" t="n"/>
    </row>
    <row r="466">
      <c r="A466" s="15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7" t="n"/>
      <c r="K466" s="17" t="n"/>
      <c r="L466" s="17" t="n"/>
      <c r="M466" s="18" t="n"/>
      <c r="N466" s="15" t="n"/>
    </row>
    <row r="467">
      <c r="A467" s="15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7" t="n"/>
      <c r="K467" s="17" t="n"/>
      <c r="L467" s="17" t="n"/>
      <c r="M467" s="18" t="n"/>
      <c r="N467" s="15" t="n"/>
    </row>
    <row r="468">
      <c r="A468" s="15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7" t="n"/>
      <c r="K468" s="17" t="n"/>
      <c r="L468" s="17" t="n"/>
      <c r="M468" s="18" t="n"/>
      <c r="N468" s="15" t="n"/>
    </row>
    <row r="469">
      <c r="A469" s="15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7" t="n"/>
      <c r="K469" s="17" t="n"/>
      <c r="L469" s="17" t="n"/>
      <c r="M469" s="18" t="n"/>
      <c r="N469" s="15" t="n"/>
    </row>
    <row r="470">
      <c r="A470" s="15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7" t="n"/>
      <c r="K470" s="17" t="n"/>
      <c r="L470" s="17" t="n"/>
      <c r="M470" s="18" t="n"/>
      <c r="N470" s="15" t="n"/>
    </row>
    <row r="471">
      <c r="A471" s="15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7" t="n"/>
      <c r="K471" s="17" t="n"/>
      <c r="L471" s="17" t="n"/>
      <c r="M471" s="18" t="n"/>
      <c r="N471" s="15" t="n"/>
    </row>
    <row r="472">
      <c r="A472" s="15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7" t="n"/>
      <c r="K472" s="17" t="n"/>
      <c r="L472" s="17" t="n"/>
      <c r="M472" s="18" t="n"/>
      <c r="N472" s="15" t="n"/>
    </row>
    <row r="473">
      <c r="A473" s="15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7" t="n"/>
      <c r="K473" s="17" t="n"/>
      <c r="L473" s="17" t="n"/>
      <c r="M473" s="18" t="n"/>
      <c r="N473" s="15" t="n"/>
    </row>
    <row r="474">
      <c r="A474" s="15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7" t="n"/>
      <c r="K474" s="17" t="n"/>
      <c r="L474" s="17" t="n"/>
      <c r="M474" s="18" t="n"/>
      <c r="N474" s="15" t="n"/>
    </row>
    <row r="475">
      <c r="A475" s="15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7" t="n"/>
      <c r="K475" s="17" t="n"/>
      <c r="L475" s="17" t="n"/>
      <c r="M475" s="18" t="n"/>
      <c r="N475" s="15" t="n"/>
    </row>
    <row r="476">
      <c r="A476" s="15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7" t="n"/>
      <c r="K476" s="17" t="n"/>
      <c r="L476" s="17" t="n"/>
      <c r="M476" s="18" t="n"/>
      <c r="N476" s="15" t="n"/>
    </row>
    <row r="477">
      <c r="A477" s="15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7" t="n"/>
      <c r="K477" s="17" t="n"/>
      <c r="L477" s="17" t="n"/>
      <c r="M477" s="18" t="n"/>
      <c r="N477" s="15" t="n"/>
    </row>
    <row r="478">
      <c r="A478" s="15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7" t="n"/>
      <c r="K478" s="17" t="n"/>
      <c r="L478" s="17" t="n"/>
      <c r="M478" s="18" t="n"/>
      <c r="N478" s="15" t="n"/>
    </row>
    <row r="479">
      <c r="A479" s="15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7" t="n"/>
      <c r="K479" s="17" t="n"/>
      <c r="L479" s="17" t="n"/>
      <c r="M479" s="18" t="n"/>
      <c r="N479" s="15" t="n"/>
    </row>
    <row r="480">
      <c r="A480" s="15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7" t="n"/>
      <c r="K480" s="17" t="n"/>
      <c r="L480" s="17" t="n"/>
      <c r="M480" s="18" t="n"/>
      <c r="N480" s="15" t="n"/>
    </row>
    <row r="481">
      <c r="A481" s="15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7" t="n"/>
      <c r="K481" s="17" t="n"/>
      <c r="L481" s="17" t="n"/>
      <c r="M481" s="18" t="n"/>
      <c r="N481" s="15" t="n"/>
    </row>
    <row r="482">
      <c r="A482" s="15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7" t="n"/>
      <c r="K482" s="17" t="n"/>
      <c r="L482" s="17" t="n"/>
      <c r="M482" s="18" t="n"/>
      <c r="N482" s="15" t="n"/>
    </row>
    <row r="483">
      <c r="A483" s="15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7" t="n"/>
      <c r="K483" s="17" t="n"/>
      <c r="L483" s="17" t="n"/>
      <c r="M483" s="18" t="n"/>
      <c r="N483" s="15" t="n"/>
    </row>
    <row r="484">
      <c r="A484" s="15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7" t="n"/>
      <c r="K484" s="17" t="n"/>
      <c r="L484" s="17" t="n"/>
      <c r="M484" s="18" t="n"/>
      <c r="N484" s="15" t="n"/>
    </row>
    <row r="485">
      <c r="A485" s="15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7" t="n"/>
      <c r="K485" s="17" t="n"/>
      <c r="L485" s="17" t="n"/>
      <c r="M485" s="18" t="n"/>
      <c r="N485" s="15" t="n"/>
    </row>
    <row r="486">
      <c r="A486" s="15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7" t="n"/>
      <c r="K486" s="17" t="n"/>
      <c r="L486" s="17" t="n"/>
      <c r="M486" s="18" t="n"/>
      <c r="N486" s="15" t="n"/>
    </row>
    <row r="487">
      <c r="A487" s="15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7" t="n"/>
      <c r="K487" s="17" t="n"/>
      <c r="L487" s="17" t="n"/>
      <c r="M487" s="18" t="n"/>
      <c r="N487" s="15" t="n"/>
    </row>
    <row r="488">
      <c r="A488" s="15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7" t="n"/>
      <c r="K488" s="17" t="n"/>
      <c r="L488" s="17" t="n"/>
      <c r="M488" s="18" t="n"/>
      <c r="N488" s="15" t="n"/>
    </row>
    <row r="489">
      <c r="A489" s="15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7" t="n"/>
      <c r="K489" s="17" t="n"/>
      <c r="L489" s="17" t="n"/>
      <c r="M489" s="18" t="n"/>
      <c r="N489" s="15" t="n"/>
    </row>
    <row r="490">
      <c r="A490" s="15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7" t="n"/>
      <c r="K490" s="17" t="n"/>
      <c r="L490" s="17" t="n"/>
      <c r="M490" s="18" t="n"/>
      <c r="N490" s="15" t="n"/>
    </row>
    <row r="491">
      <c r="A491" s="15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7" t="n"/>
      <c r="K491" s="17" t="n"/>
      <c r="L491" s="17" t="n"/>
      <c r="M491" s="18" t="n"/>
      <c r="N491" s="15" t="n"/>
    </row>
    <row r="492">
      <c r="A492" s="15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7" t="n"/>
      <c r="K492" s="17" t="n"/>
      <c r="L492" s="17" t="n"/>
      <c r="M492" s="18" t="n"/>
      <c r="N492" s="15" t="n"/>
    </row>
    <row r="493">
      <c r="A493" s="15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7" t="n"/>
      <c r="K493" s="17" t="n"/>
      <c r="L493" s="17" t="n"/>
      <c r="M493" s="18" t="n"/>
      <c r="N493" s="15" t="n"/>
    </row>
    <row r="494">
      <c r="A494" s="15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7" t="n"/>
      <c r="K494" s="17" t="n"/>
      <c r="L494" s="17" t="n"/>
      <c r="M494" s="18" t="n"/>
      <c r="N494" s="15" t="n"/>
    </row>
    <row r="495">
      <c r="A495" s="15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7" t="n"/>
      <c r="K495" s="17" t="n"/>
      <c r="L495" s="17" t="n"/>
      <c r="M495" s="18" t="n"/>
      <c r="N495" s="15" t="n"/>
    </row>
    <row r="496">
      <c r="A496" s="15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7" t="n"/>
      <c r="K496" s="17" t="n"/>
      <c r="L496" s="17" t="n"/>
      <c r="M496" s="18" t="n"/>
      <c r="N496" s="15" t="n"/>
    </row>
    <row r="497">
      <c r="A497" s="15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7" t="n"/>
      <c r="K497" s="17" t="n"/>
      <c r="L497" s="17" t="n"/>
      <c r="M497" s="18" t="n"/>
      <c r="N497" s="15" t="n"/>
    </row>
    <row r="498">
      <c r="A498" s="15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7" t="n"/>
      <c r="K498" s="17" t="n"/>
      <c r="L498" s="17" t="n"/>
      <c r="M498" s="18" t="n"/>
      <c r="N498" s="15" t="n"/>
    </row>
    <row r="499">
      <c r="A499" s="15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7" t="n"/>
      <c r="K499" s="17" t="n"/>
      <c r="L499" s="17" t="n"/>
      <c r="M499" s="18" t="n"/>
      <c r="N499" s="15" t="n"/>
    </row>
    <row r="500">
      <c r="A500" s="15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7" t="n"/>
      <c r="K500" s="17" t="n"/>
      <c r="L500" s="17" t="n"/>
      <c r="M500" s="18" t="n"/>
      <c r="N500" s="15" t="n"/>
    </row>
    <row r="501">
      <c r="A501" s="15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7" t="n"/>
      <c r="K501" s="17" t="n"/>
      <c r="L501" s="17" t="n"/>
      <c r="M501" s="18" t="n"/>
      <c r="N501" s="15" t="n"/>
    </row>
    <row r="502">
      <c r="A502" s="15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7" t="n"/>
      <c r="K502" s="17" t="n"/>
      <c r="L502" s="17" t="n"/>
      <c r="M502" s="18" t="n"/>
      <c r="N502" s="15" t="n"/>
    </row>
    <row r="503">
      <c r="A503" s="15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7" t="n"/>
      <c r="K503" s="17" t="n"/>
      <c r="L503" s="17" t="n"/>
      <c r="M503" s="18" t="n"/>
      <c r="N503" s="15" t="n"/>
    </row>
    <row r="504">
      <c r="A504" s="15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7" t="n"/>
      <c r="K504" s="17" t="n"/>
      <c r="L504" s="17" t="n"/>
      <c r="M504" s="18" t="n"/>
      <c r="N504" s="15" t="n"/>
    </row>
    <row r="505">
      <c r="A505" s="15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7" t="n"/>
      <c r="K505" s="17" t="n"/>
      <c r="L505" s="17" t="n"/>
      <c r="M505" s="18" t="n"/>
      <c r="N505" s="15" t="n"/>
    </row>
    <row r="506">
      <c r="A506" s="15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7" t="n"/>
      <c r="K506" s="17" t="n"/>
      <c r="L506" s="17" t="n"/>
      <c r="M506" s="18" t="n"/>
      <c r="N506" s="15" t="n"/>
    </row>
    <row r="507">
      <c r="A507" s="15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7" t="n"/>
      <c r="K507" s="17" t="n"/>
      <c r="L507" s="17" t="n"/>
      <c r="M507" s="18" t="n"/>
      <c r="N507" s="15" t="n"/>
    </row>
    <row r="508">
      <c r="A508" s="15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7" t="n"/>
      <c r="K508" s="17" t="n"/>
      <c r="L508" s="17" t="n"/>
      <c r="M508" s="18" t="n"/>
      <c r="N508" s="15" t="n"/>
    </row>
    <row r="509">
      <c r="A509" s="15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7" t="n"/>
      <c r="K509" s="17" t="n"/>
      <c r="L509" s="17" t="n"/>
      <c r="M509" s="18" t="n"/>
      <c r="N509" s="15" t="n"/>
    </row>
    <row r="510">
      <c r="A510" s="15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7" t="n"/>
      <c r="K510" s="17" t="n"/>
      <c r="L510" s="17" t="n"/>
      <c r="M510" s="18" t="n"/>
      <c r="N510" s="15" t="n"/>
    </row>
    <row r="511">
      <c r="A511" s="15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7" t="n"/>
      <c r="K511" s="17" t="n"/>
      <c r="L511" s="17" t="n"/>
      <c r="M511" s="18" t="n"/>
      <c r="N511" s="15" t="n"/>
    </row>
    <row r="512">
      <c r="A512" s="15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7" t="n"/>
      <c r="K512" s="17" t="n"/>
      <c r="L512" s="17" t="n"/>
      <c r="M512" s="18" t="n"/>
      <c r="N512" s="15" t="n"/>
    </row>
    <row r="513">
      <c r="A513" s="15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7" t="n"/>
      <c r="K513" s="17" t="n"/>
      <c r="L513" s="17" t="n"/>
      <c r="M513" s="18" t="n"/>
      <c r="N513" s="15" t="n"/>
    </row>
    <row r="514">
      <c r="A514" s="15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7" t="n"/>
      <c r="K514" s="17" t="n"/>
      <c r="L514" s="17" t="n"/>
      <c r="M514" s="18" t="n"/>
      <c r="N514" s="15" t="n"/>
    </row>
    <row r="515">
      <c r="A515" s="15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7" t="n"/>
      <c r="K515" s="17" t="n"/>
      <c r="L515" s="17" t="n"/>
      <c r="M515" s="18" t="n"/>
      <c r="N515" s="15" t="n"/>
    </row>
    <row r="516">
      <c r="A516" s="15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7" t="n"/>
      <c r="K516" s="17" t="n"/>
      <c r="L516" s="17" t="n"/>
      <c r="M516" s="18" t="n"/>
      <c r="N516" s="15" t="n"/>
    </row>
    <row r="517">
      <c r="A517" s="15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7" t="n"/>
      <c r="K517" s="17" t="n"/>
      <c r="L517" s="17" t="n"/>
      <c r="M517" s="18" t="n"/>
      <c r="N517" s="15" t="n"/>
    </row>
    <row r="518">
      <c r="A518" s="15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7" t="n"/>
      <c r="K518" s="17" t="n"/>
      <c r="L518" s="17" t="n"/>
      <c r="M518" s="18" t="n"/>
      <c r="N518" s="15" t="n"/>
    </row>
    <row r="519">
      <c r="A519" s="15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7" t="n"/>
      <c r="K519" s="17" t="n"/>
      <c r="L519" s="17" t="n"/>
      <c r="M519" s="18" t="n"/>
      <c r="N519" s="15" t="n"/>
    </row>
    <row r="520">
      <c r="A520" s="15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7" t="n"/>
      <c r="K520" s="17" t="n"/>
      <c r="L520" s="17" t="n"/>
      <c r="M520" s="18" t="n"/>
      <c r="N520" s="15" t="n"/>
    </row>
    <row r="521">
      <c r="A521" s="15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7" t="n"/>
      <c r="K521" s="17" t="n"/>
      <c r="L521" s="17" t="n"/>
      <c r="M521" s="18" t="n"/>
      <c r="N521" s="15" t="n"/>
    </row>
    <row r="522">
      <c r="A522" s="15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7" t="n"/>
      <c r="K522" s="17" t="n"/>
      <c r="L522" s="17" t="n"/>
      <c r="M522" s="18" t="n"/>
      <c r="N522" s="15" t="n"/>
    </row>
    <row r="523">
      <c r="A523" s="15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7" t="n"/>
      <c r="K523" s="17" t="n"/>
      <c r="L523" s="17" t="n"/>
      <c r="M523" s="18" t="n"/>
      <c r="N523" s="15" t="n"/>
    </row>
    <row r="524">
      <c r="A524" s="15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7" t="n"/>
      <c r="K524" s="17" t="n"/>
      <c r="L524" s="17" t="n"/>
      <c r="M524" s="18" t="n"/>
      <c r="N524" s="15" t="n"/>
    </row>
    <row r="525">
      <c r="A525" s="15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7" t="n"/>
      <c r="K525" s="17" t="n"/>
      <c r="L525" s="17" t="n"/>
      <c r="M525" s="18" t="n"/>
      <c r="N525" s="15" t="n"/>
    </row>
    <row r="526">
      <c r="A526" s="15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7" t="n"/>
      <c r="K526" s="17" t="n"/>
      <c r="L526" s="17" t="n"/>
      <c r="M526" s="18" t="n"/>
      <c r="N526" s="15" t="n"/>
    </row>
    <row r="527">
      <c r="A527" s="15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7" t="n"/>
      <c r="K527" s="17" t="n"/>
      <c r="L527" s="17" t="n"/>
      <c r="M527" s="18" t="n"/>
      <c r="N527" s="15" t="n"/>
    </row>
    <row r="528">
      <c r="A528" s="15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7" t="n"/>
      <c r="K528" s="17" t="n"/>
      <c r="L528" s="17" t="n"/>
      <c r="M528" s="18" t="n"/>
      <c r="N528" s="15" t="n"/>
    </row>
    <row r="529">
      <c r="A529" s="15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7" t="n"/>
      <c r="K529" s="17" t="n"/>
      <c r="L529" s="17" t="n"/>
      <c r="M529" s="18" t="n"/>
      <c r="N529" s="15" t="n"/>
    </row>
    <row r="530">
      <c r="A530" s="15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7" t="n"/>
      <c r="K530" s="17" t="n"/>
      <c r="L530" s="17" t="n"/>
      <c r="M530" s="18" t="n"/>
      <c r="N530" s="15" t="n"/>
    </row>
    <row r="531">
      <c r="A531" s="15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7" t="n"/>
      <c r="K531" s="17" t="n"/>
      <c r="L531" s="17" t="n"/>
      <c r="M531" s="18" t="n"/>
      <c r="N531" s="15" t="n"/>
    </row>
    <row r="532">
      <c r="A532" s="15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7" t="n"/>
      <c r="K532" s="17" t="n"/>
      <c r="L532" s="17" t="n"/>
      <c r="M532" s="18" t="n"/>
      <c r="N532" s="15" t="n"/>
    </row>
    <row r="533">
      <c r="A533" s="15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7" t="n"/>
      <c r="K533" s="17" t="n"/>
      <c r="L533" s="17" t="n"/>
      <c r="M533" s="18" t="n"/>
      <c r="N533" s="15" t="n"/>
    </row>
    <row r="534">
      <c r="A534" s="15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7" t="n"/>
      <c r="K534" s="17" t="n"/>
      <c r="L534" s="17" t="n"/>
      <c r="M534" s="18" t="n"/>
      <c r="N534" s="15" t="n"/>
    </row>
    <row r="535">
      <c r="A535" s="15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7" t="n"/>
      <c r="K535" s="17" t="n"/>
      <c r="L535" s="17" t="n"/>
      <c r="M535" s="18" t="n"/>
      <c r="N535" s="15" t="n"/>
    </row>
    <row r="536">
      <c r="A536" s="15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7" t="n"/>
      <c r="K536" s="17" t="n"/>
      <c r="L536" s="17" t="n"/>
      <c r="M536" s="18" t="n"/>
      <c r="N536" s="15" t="n"/>
    </row>
    <row r="537">
      <c r="A537" s="15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7" t="n"/>
      <c r="K537" s="17" t="n"/>
      <c r="L537" s="17" t="n"/>
      <c r="M537" s="18" t="n"/>
      <c r="N537" s="15" t="n"/>
    </row>
    <row r="538">
      <c r="A538" s="15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7" t="n"/>
      <c r="K538" s="17" t="n"/>
      <c r="L538" s="17" t="n"/>
      <c r="M538" s="18" t="n"/>
      <c r="N538" s="15" t="n"/>
    </row>
    <row r="539">
      <c r="A539" s="15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7" t="n"/>
      <c r="K539" s="17" t="n"/>
      <c r="L539" s="17" t="n"/>
      <c r="M539" s="18" t="n"/>
      <c r="N539" s="15" t="n"/>
    </row>
    <row r="540">
      <c r="A540" s="15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7" t="n"/>
      <c r="K540" s="17" t="n"/>
      <c r="L540" s="17" t="n"/>
      <c r="M540" s="18" t="n"/>
      <c r="N540" s="15" t="n"/>
    </row>
    <row r="541">
      <c r="A541" s="15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7" t="n"/>
      <c r="K541" s="17" t="n"/>
      <c r="L541" s="17" t="n"/>
      <c r="M541" s="18" t="n"/>
      <c r="N541" s="15" t="n"/>
    </row>
    <row r="542">
      <c r="A542" s="15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7" t="n"/>
      <c r="K542" s="17" t="n"/>
      <c r="L542" s="17" t="n"/>
      <c r="M542" s="18" t="n"/>
      <c r="N542" s="15" t="n"/>
    </row>
    <row r="543">
      <c r="A543" s="15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7" t="n"/>
      <c r="K543" s="17" t="n"/>
      <c r="L543" s="17" t="n"/>
      <c r="M543" s="18" t="n"/>
      <c r="N543" s="15" t="n"/>
    </row>
    <row r="544">
      <c r="A544" s="15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7" t="n"/>
      <c r="K544" s="17" t="n"/>
      <c r="L544" s="17" t="n"/>
      <c r="M544" s="18" t="n"/>
      <c r="N544" s="15" t="n"/>
    </row>
    <row r="545">
      <c r="A545" s="15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7" t="n"/>
      <c r="K545" s="17" t="n"/>
      <c r="L545" s="17" t="n"/>
      <c r="M545" s="18" t="n"/>
      <c r="N545" s="15" t="n"/>
    </row>
    <row r="546">
      <c r="A546" s="15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7" t="n"/>
      <c r="K546" s="17" t="n"/>
      <c r="L546" s="17" t="n"/>
      <c r="M546" s="18" t="n"/>
      <c r="N546" s="15" t="n"/>
    </row>
    <row r="547">
      <c r="A547" s="15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7" t="n"/>
      <c r="K547" s="17" t="n"/>
      <c r="L547" s="17" t="n"/>
      <c r="M547" s="18" t="n"/>
      <c r="N547" s="15" t="n"/>
    </row>
    <row r="548">
      <c r="A548" s="15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7" t="n"/>
      <c r="K548" s="17" t="n"/>
      <c r="L548" s="17" t="n"/>
      <c r="M548" s="18" t="n"/>
      <c r="N548" s="15" t="n"/>
    </row>
    <row r="549">
      <c r="A549" s="15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7" t="n"/>
      <c r="K549" s="17" t="n"/>
      <c r="L549" s="17" t="n"/>
      <c r="M549" s="18" t="n"/>
      <c r="N549" s="15" t="n"/>
    </row>
    <row r="550">
      <c r="A550" s="15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7" t="n"/>
      <c r="K550" s="17" t="n"/>
      <c r="L550" s="17" t="n"/>
      <c r="M550" s="18" t="n"/>
      <c r="N550" s="15" t="n"/>
    </row>
    <row r="551">
      <c r="A551" s="15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7" t="n"/>
      <c r="K551" s="17" t="n"/>
      <c r="L551" s="17" t="n"/>
      <c r="M551" s="18" t="n"/>
      <c r="N551" s="15" t="n"/>
    </row>
    <row r="552">
      <c r="A552" s="15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7" t="n"/>
      <c r="K552" s="17" t="n"/>
      <c r="L552" s="17" t="n"/>
      <c r="M552" s="18" t="n"/>
      <c r="N552" s="15" t="n"/>
    </row>
    <row r="553">
      <c r="A553" s="15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7" t="n"/>
      <c r="K553" s="17" t="n"/>
      <c r="L553" s="17" t="n"/>
      <c r="M553" s="18" t="n"/>
      <c r="N553" s="15" t="n"/>
    </row>
    <row r="554">
      <c r="A554" s="15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7" t="n"/>
      <c r="K554" s="17" t="n"/>
      <c r="L554" s="17" t="n"/>
      <c r="M554" s="18" t="n"/>
      <c r="N554" s="15" t="n"/>
    </row>
    <row r="555">
      <c r="A555" s="15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7" t="n"/>
      <c r="K555" s="17" t="n"/>
      <c r="L555" s="17" t="n"/>
      <c r="M555" s="18" t="n"/>
      <c r="N555" s="15" t="n"/>
    </row>
    <row r="556">
      <c r="A556" s="15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7" t="n"/>
      <c r="K556" s="17" t="n"/>
      <c r="L556" s="17" t="n"/>
      <c r="M556" s="18" t="n"/>
      <c r="N556" s="15" t="n"/>
    </row>
    <row r="557">
      <c r="A557" s="15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7" t="n"/>
      <c r="K557" s="17" t="n"/>
      <c r="L557" s="17" t="n"/>
      <c r="M557" s="18" t="n"/>
      <c r="N557" s="15" t="n"/>
    </row>
    <row r="558">
      <c r="A558" s="15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7" t="n"/>
      <c r="K558" s="17" t="n"/>
      <c r="L558" s="17" t="n"/>
      <c r="M558" s="18" t="n"/>
      <c r="N558" s="15" t="n"/>
    </row>
    <row r="559">
      <c r="A559" s="15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7" t="n"/>
      <c r="K559" s="17" t="n"/>
      <c r="L559" s="17" t="n"/>
      <c r="M559" s="18" t="n"/>
      <c r="N559" s="15" t="n"/>
    </row>
    <row r="560">
      <c r="A560" s="15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7" t="n"/>
      <c r="K560" s="17" t="n"/>
      <c r="L560" s="17" t="n"/>
      <c r="M560" s="18" t="n"/>
      <c r="N560" s="15" t="n"/>
    </row>
    <row r="561">
      <c r="A561" s="15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7" t="n"/>
      <c r="K561" s="17" t="n"/>
      <c r="L561" s="17" t="n"/>
      <c r="M561" s="18" t="n"/>
      <c r="N561" s="15" t="n"/>
    </row>
    <row r="562">
      <c r="A562" s="15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7" t="n"/>
      <c r="K562" s="17" t="n"/>
      <c r="L562" s="17" t="n"/>
      <c r="M562" s="18" t="n"/>
      <c r="N562" s="15" t="n"/>
    </row>
    <row r="563">
      <c r="A563" s="15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7" t="n"/>
      <c r="K563" s="17" t="n"/>
      <c r="L563" s="17" t="n"/>
      <c r="M563" s="18" t="n"/>
      <c r="N563" s="15" t="n"/>
    </row>
    <row r="564">
      <c r="A564" s="15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7" t="n"/>
      <c r="K564" s="17" t="n"/>
      <c r="L564" s="17" t="n"/>
      <c r="M564" s="18" t="n"/>
      <c r="N564" s="15" t="n"/>
    </row>
    <row r="565">
      <c r="A565" s="15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7" t="n"/>
      <c r="K565" s="17" t="n"/>
      <c r="L565" s="17" t="n"/>
      <c r="M565" s="18" t="n"/>
      <c r="N565" s="15" t="n"/>
    </row>
    <row r="566">
      <c r="A566" s="15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7" t="n"/>
      <c r="K566" s="17" t="n"/>
      <c r="L566" s="17" t="n"/>
      <c r="M566" s="18" t="n"/>
      <c r="N566" s="15" t="n"/>
    </row>
    <row r="567">
      <c r="A567" s="15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7" t="n"/>
      <c r="K567" s="17" t="n"/>
      <c r="L567" s="17" t="n"/>
      <c r="M567" s="18" t="n"/>
      <c r="N567" s="15" t="n"/>
    </row>
    <row r="568">
      <c r="A568" s="15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7" t="n"/>
      <c r="K568" s="17" t="n"/>
      <c r="L568" s="17" t="n"/>
      <c r="M568" s="18" t="n"/>
      <c r="N568" s="15" t="n"/>
    </row>
    <row r="569">
      <c r="A569" s="15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7" t="n"/>
      <c r="K569" s="17" t="n"/>
      <c r="L569" s="17" t="n"/>
      <c r="M569" s="18" t="n"/>
      <c r="N569" s="15" t="n"/>
    </row>
    <row r="570">
      <c r="A570" s="15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7" t="n"/>
      <c r="K570" s="17" t="n"/>
      <c r="L570" s="17" t="n"/>
      <c r="M570" s="18" t="n"/>
      <c r="N570" s="15" t="n"/>
    </row>
    <row r="571">
      <c r="A571" s="15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7" t="n"/>
      <c r="K571" s="17" t="n"/>
      <c r="L571" s="17" t="n"/>
      <c r="M571" s="18" t="n"/>
      <c r="N571" s="15" t="n"/>
    </row>
    <row r="572">
      <c r="A572" s="15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7" t="n"/>
      <c r="K572" s="17" t="n"/>
      <c r="L572" s="17" t="n"/>
      <c r="M572" s="18" t="n"/>
      <c r="N572" s="15" t="n"/>
    </row>
    <row r="573">
      <c r="A573" s="15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7" t="n"/>
      <c r="K573" s="17" t="n"/>
      <c r="L573" s="17" t="n"/>
      <c r="M573" s="18" t="n"/>
      <c r="N573" s="15" t="n"/>
    </row>
    <row r="574">
      <c r="A574" s="15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7" t="n"/>
      <c r="K574" s="17" t="n"/>
      <c r="L574" s="17" t="n"/>
      <c r="M574" s="18" t="n"/>
      <c r="N574" s="15" t="n"/>
    </row>
    <row r="575">
      <c r="A575" s="15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7" t="n"/>
      <c r="K575" s="17" t="n"/>
      <c r="L575" s="17" t="n"/>
      <c r="M575" s="18" t="n"/>
      <c r="N575" s="15" t="n"/>
    </row>
    <row r="576">
      <c r="A576" s="15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7" t="n"/>
      <c r="K576" s="17" t="n"/>
      <c r="L576" s="17" t="n"/>
      <c r="M576" s="18" t="n"/>
      <c r="N576" s="15" t="n"/>
    </row>
    <row r="577">
      <c r="A577" s="15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7" t="n"/>
      <c r="K577" s="17" t="n"/>
      <c r="L577" s="17" t="n"/>
      <c r="M577" s="18" t="n"/>
      <c r="N577" s="15" t="n"/>
    </row>
    <row r="578">
      <c r="A578" s="15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7" t="n"/>
      <c r="K578" s="17" t="n"/>
      <c r="L578" s="17" t="n"/>
      <c r="M578" s="18" t="n"/>
      <c r="N578" s="15" t="n"/>
    </row>
    <row r="579">
      <c r="A579" s="15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7" t="n"/>
      <c r="K579" s="17" t="n"/>
      <c r="L579" s="17" t="n"/>
      <c r="M579" s="18" t="n"/>
      <c r="N579" s="15" t="n"/>
    </row>
    <row r="580">
      <c r="A580" s="15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7" t="n"/>
      <c r="K580" s="17" t="n"/>
      <c r="L580" s="17" t="n"/>
      <c r="M580" s="18" t="n"/>
      <c r="N580" s="15" t="n"/>
    </row>
    <row r="581">
      <c r="A581" s="15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7" t="n"/>
      <c r="K581" s="17" t="n"/>
      <c r="L581" s="17" t="n"/>
      <c r="M581" s="18" t="n"/>
      <c r="N581" s="15" t="n"/>
    </row>
    <row r="582">
      <c r="A582" s="15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7" t="n"/>
      <c r="K582" s="17" t="n"/>
      <c r="L582" s="17" t="n"/>
      <c r="M582" s="18" t="n"/>
      <c r="N582" s="15" t="n"/>
    </row>
    <row r="583">
      <c r="A583" s="15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7" t="n"/>
      <c r="K583" s="17" t="n"/>
      <c r="L583" s="17" t="n"/>
      <c r="M583" s="18" t="n"/>
      <c r="N583" s="15" t="n"/>
    </row>
    <row r="584">
      <c r="A584" s="15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7" t="n"/>
      <c r="K584" s="17" t="n"/>
      <c r="L584" s="17" t="n"/>
      <c r="M584" s="18" t="n"/>
      <c r="N584" s="15" t="n"/>
    </row>
    <row r="585">
      <c r="A585" s="15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7" t="n"/>
      <c r="K585" s="17" t="n"/>
      <c r="L585" s="17" t="n"/>
      <c r="M585" s="18" t="n"/>
      <c r="N585" s="15" t="n"/>
    </row>
    <row r="586">
      <c r="A586" s="15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7" t="n"/>
      <c r="K586" s="17" t="n"/>
      <c r="L586" s="17" t="n"/>
      <c r="M586" s="18" t="n"/>
      <c r="N586" s="15" t="n"/>
    </row>
    <row r="587">
      <c r="A587" s="15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7" t="n"/>
      <c r="K587" s="17" t="n"/>
      <c r="L587" s="17" t="n"/>
      <c r="M587" s="18" t="n"/>
      <c r="N587" s="15" t="n"/>
    </row>
    <row r="588">
      <c r="A588" s="15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7" t="n"/>
      <c r="K588" s="17" t="n"/>
      <c r="L588" s="17" t="n"/>
      <c r="M588" s="18" t="n"/>
      <c r="N588" s="15" t="n"/>
    </row>
    <row r="589">
      <c r="A589" s="15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7" t="n"/>
      <c r="K589" s="17" t="n"/>
      <c r="L589" s="17" t="n"/>
      <c r="M589" s="18" t="n"/>
      <c r="N589" s="15" t="n"/>
    </row>
    <row r="590">
      <c r="A590" s="15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7" t="n"/>
      <c r="K590" s="17" t="n"/>
      <c r="L590" s="17" t="n"/>
      <c r="M590" s="18" t="n"/>
      <c r="N590" s="15" t="n"/>
    </row>
    <row r="591">
      <c r="A591" s="15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7" t="n"/>
      <c r="K591" s="17" t="n"/>
      <c r="L591" s="17" t="n"/>
      <c r="M591" s="18" t="n"/>
      <c r="N591" s="15" t="n"/>
    </row>
    <row r="592">
      <c r="A592" s="15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7" t="n"/>
      <c r="K592" s="17" t="n"/>
      <c r="L592" s="17" t="n"/>
      <c r="M592" s="18" t="n"/>
      <c r="N592" s="15" t="n"/>
    </row>
    <row r="593">
      <c r="A593" s="15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7" t="n"/>
      <c r="K593" s="17" t="n"/>
      <c r="L593" s="17" t="n"/>
      <c r="M593" s="18" t="n"/>
      <c r="N593" s="15" t="n"/>
    </row>
    <row r="594">
      <c r="A594" s="15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7" t="n"/>
      <c r="K594" s="17" t="n"/>
      <c r="L594" s="17" t="n"/>
      <c r="M594" s="18" t="n"/>
      <c r="N594" s="15" t="n"/>
    </row>
    <row r="595">
      <c r="A595" s="15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7" t="n"/>
      <c r="K595" s="17" t="n"/>
      <c r="L595" s="17" t="n"/>
      <c r="M595" s="18" t="n"/>
      <c r="N595" s="15" t="n"/>
    </row>
    <row r="596">
      <c r="A596" s="15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7" t="n"/>
      <c r="K596" s="17" t="n"/>
      <c r="L596" s="17" t="n"/>
      <c r="M596" s="18" t="n"/>
      <c r="N596" s="15" t="n"/>
    </row>
    <row r="597">
      <c r="A597" s="15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7" t="n"/>
      <c r="K597" s="17" t="n"/>
      <c r="L597" s="17" t="n"/>
      <c r="M597" s="18" t="n"/>
      <c r="N597" s="15" t="n"/>
    </row>
    <row r="598">
      <c r="A598" s="15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7" t="n"/>
      <c r="K598" s="17" t="n"/>
      <c r="L598" s="17" t="n"/>
      <c r="M598" s="18" t="n"/>
      <c r="N598" s="15" t="n"/>
    </row>
    <row r="599">
      <c r="A599" s="15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7" t="n"/>
      <c r="K599" s="17" t="n"/>
      <c r="L599" s="17" t="n"/>
      <c r="M599" s="18" t="n"/>
      <c r="N599" s="15" t="n"/>
    </row>
    <row r="600">
      <c r="A600" s="15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7" t="n"/>
      <c r="K600" s="17" t="n"/>
      <c r="L600" s="17" t="n"/>
      <c r="M600" s="18" t="n"/>
      <c r="N600" s="15" t="n"/>
    </row>
    <row r="601">
      <c r="A601" s="15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7" t="n"/>
      <c r="K601" s="17" t="n"/>
      <c r="L601" s="17" t="n"/>
      <c r="M601" s="18" t="n"/>
      <c r="N601" s="15" t="n"/>
    </row>
    <row r="602">
      <c r="A602" s="15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7" t="n"/>
      <c r="K602" s="17" t="n"/>
      <c r="L602" s="17" t="n"/>
      <c r="M602" s="18" t="n"/>
      <c r="N602" s="15" t="n"/>
    </row>
    <row r="603">
      <c r="A603" s="15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7" t="n"/>
      <c r="K603" s="17" t="n"/>
      <c r="L603" s="17" t="n"/>
      <c r="M603" s="18" t="n"/>
      <c r="N603" s="15" t="n"/>
    </row>
    <row r="604">
      <c r="A604" s="15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7" t="n"/>
      <c r="K604" s="17" t="n"/>
      <c r="L604" s="17" t="n"/>
      <c r="M604" s="18" t="n"/>
      <c r="N604" s="15" t="n"/>
    </row>
    <row r="605">
      <c r="A605" s="15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7" t="n"/>
      <c r="K605" s="17" t="n"/>
      <c r="L605" s="17" t="n"/>
      <c r="M605" s="18" t="n"/>
      <c r="N605" s="15" t="n"/>
    </row>
    <row r="606">
      <c r="A606" s="15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7" t="n"/>
      <c r="K606" s="17" t="n"/>
      <c r="L606" s="17" t="n"/>
      <c r="M606" s="18" t="n"/>
      <c r="N606" s="15" t="n"/>
    </row>
    <row r="607">
      <c r="A607" s="15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7" t="n"/>
      <c r="K607" s="17" t="n"/>
      <c r="L607" s="17" t="n"/>
      <c r="M607" s="18" t="n"/>
      <c r="N607" s="15" t="n"/>
    </row>
    <row r="608">
      <c r="A608" s="15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7" t="n"/>
      <c r="K608" s="17" t="n"/>
      <c r="L608" s="17" t="n"/>
      <c r="M608" s="18" t="n"/>
      <c r="N608" s="15" t="n"/>
    </row>
    <row r="609">
      <c r="A609" s="15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7" t="n"/>
      <c r="K609" s="17" t="n"/>
      <c r="L609" s="17" t="n"/>
      <c r="M609" s="18" t="n"/>
      <c r="N609" s="15" t="n"/>
    </row>
    <row r="610">
      <c r="A610" s="15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7" t="n"/>
      <c r="K610" s="17" t="n"/>
      <c r="L610" s="17" t="n"/>
      <c r="M610" s="18" t="n"/>
      <c r="N610" s="15" t="n"/>
    </row>
    <row r="611">
      <c r="A611" s="15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7" t="n"/>
      <c r="K611" s="17" t="n"/>
      <c r="L611" s="17" t="n"/>
      <c r="M611" s="18" t="n"/>
      <c r="N611" s="15" t="n"/>
    </row>
    <row r="612">
      <c r="A612" s="15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7" t="n"/>
      <c r="K612" s="17" t="n"/>
      <c r="L612" s="17" t="n"/>
      <c r="M612" s="18" t="n"/>
      <c r="N612" s="15" t="n"/>
    </row>
    <row r="613">
      <c r="A613" s="15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7" t="n"/>
      <c r="K613" s="17" t="n"/>
      <c r="L613" s="17" t="n"/>
      <c r="M613" s="18" t="n"/>
      <c r="N613" s="15" t="n"/>
    </row>
    <row r="614">
      <c r="A614" s="15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7" t="n"/>
      <c r="K614" s="17" t="n"/>
      <c r="L614" s="17" t="n"/>
      <c r="M614" s="18" t="n"/>
      <c r="N614" s="15" t="n"/>
    </row>
    <row r="615">
      <c r="A615" s="15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7" t="n"/>
      <c r="K615" s="17" t="n"/>
      <c r="L615" s="17" t="n"/>
      <c r="M615" s="18" t="n"/>
      <c r="N615" s="15" t="n"/>
    </row>
    <row r="616">
      <c r="A616" s="15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7" t="n"/>
      <c r="K616" s="17" t="n"/>
      <c r="L616" s="17" t="n"/>
      <c r="M616" s="18" t="n"/>
      <c r="N616" s="15" t="n"/>
    </row>
    <row r="617">
      <c r="A617" s="15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7" t="n"/>
      <c r="K617" s="17" t="n"/>
      <c r="L617" s="17" t="n"/>
      <c r="M617" s="18" t="n"/>
      <c r="N617" s="15" t="n"/>
    </row>
    <row r="618">
      <c r="A618" s="15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7" t="n"/>
      <c r="K618" s="17" t="n"/>
      <c r="L618" s="17" t="n"/>
      <c r="M618" s="18" t="n"/>
      <c r="N618" s="15" t="n"/>
    </row>
    <row r="619">
      <c r="A619" s="15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7" t="n"/>
      <c r="K619" s="17" t="n"/>
      <c r="L619" s="17" t="n"/>
      <c r="M619" s="18" t="n"/>
      <c r="N619" s="15" t="n"/>
    </row>
    <row r="620">
      <c r="A620" s="15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7" t="n"/>
      <c r="K620" s="17" t="n"/>
      <c r="L620" s="17" t="n"/>
      <c r="M620" s="18" t="n"/>
      <c r="N620" s="15" t="n"/>
    </row>
    <row r="621">
      <c r="A621" s="15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7" t="n"/>
      <c r="K621" s="17" t="n"/>
      <c r="L621" s="17" t="n"/>
      <c r="M621" s="18" t="n"/>
      <c r="N621" s="15" t="n"/>
    </row>
    <row r="622">
      <c r="A622" s="15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7" t="n"/>
      <c r="K622" s="17" t="n"/>
      <c r="L622" s="17" t="n"/>
      <c r="M622" s="18" t="n"/>
      <c r="N622" s="15" t="n"/>
    </row>
    <row r="623">
      <c r="A623" s="15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7" t="n"/>
      <c r="K623" s="17" t="n"/>
      <c r="L623" s="17" t="n"/>
      <c r="M623" s="18" t="n"/>
      <c r="N623" s="15" t="n"/>
    </row>
    <row r="624">
      <c r="A624" s="15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7" t="n"/>
      <c r="K624" s="17" t="n"/>
      <c r="L624" s="17" t="n"/>
      <c r="M624" s="18" t="n"/>
      <c r="N624" s="15" t="n"/>
    </row>
    <row r="625">
      <c r="A625" s="15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7" t="n"/>
      <c r="K625" s="17" t="n"/>
      <c r="L625" s="17" t="n"/>
      <c r="M625" s="18" t="n"/>
      <c r="N625" s="15" t="n"/>
    </row>
    <row r="626">
      <c r="A626" s="15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7" t="n"/>
      <c r="K626" s="17" t="n"/>
      <c r="L626" s="17" t="n"/>
      <c r="M626" s="18" t="n"/>
      <c r="N626" s="15" t="n"/>
    </row>
    <row r="627">
      <c r="A627" s="15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7" t="n"/>
      <c r="K627" s="17" t="n"/>
      <c r="L627" s="17" t="n"/>
      <c r="M627" s="18" t="n"/>
      <c r="N627" s="15" t="n"/>
    </row>
    <row r="628">
      <c r="A628" s="15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7" t="n"/>
      <c r="K628" s="17" t="n"/>
      <c r="L628" s="17" t="n"/>
      <c r="M628" s="18" t="n"/>
      <c r="N628" s="15" t="n"/>
    </row>
    <row r="629">
      <c r="A629" s="15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7" t="n"/>
      <c r="K629" s="17" t="n"/>
      <c r="L629" s="17" t="n"/>
      <c r="M629" s="18" t="n"/>
      <c r="N629" s="15" t="n"/>
    </row>
    <row r="630">
      <c r="A630" s="15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7" t="n"/>
      <c r="K630" s="17" t="n"/>
      <c r="L630" s="17" t="n"/>
      <c r="M630" s="18" t="n"/>
      <c r="N630" s="15" t="n"/>
    </row>
    <row r="631">
      <c r="A631" s="15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7" t="n"/>
      <c r="K631" s="17" t="n"/>
      <c r="L631" s="17" t="n"/>
      <c r="M631" s="18" t="n"/>
      <c r="N631" s="15" t="n"/>
    </row>
    <row r="632">
      <c r="A632" s="15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7" t="n"/>
      <c r="K632" s="17" t="n"/>
      <c r="L632" s="17" t="n"/>
      <c r="M632" s="18" t="n"/>
      <c r="N632" s="15" t="n"/>
    </row>
    <row r="633">
      <c r="A633" s="15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7" t="n"/>
      <c r="K633" s="17" t="n"/>
      <c r="L633" s="17" t="n"/>
      <c r="M633" s="18" t="n"/>
      <c r="N633" s="15" t="n"/>
    </row>
    <row r="634">
      <c r="A634" s="15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7" t="n"/>
      <c r="K634" s="17" t="n"/>
      <c r="L634" s="17" t="n"/>
      <c r="M634" s="18" t="n"/>
      <c r="N634" s="15" t="n"/>
    </row>
    <row r="635">
      <c r="A635" s="15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7" t="n"/>
      <c r="K635" s="17" t="n"/>
      <c r="L635" s="17" t="n"/>
      <c r="M635" s="18" t="n"/>
      <c r="N635" s="15" t="n"/>
    </row>
    <row r="636">
      <c r="A636" s="15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7" t="n"/>
      <c r="K636" s="17" t="n"/>
      <c r="L636" s="17" t="n"/>
      <c r="M636" s="18" t="n"/>
      <c r="N636" s="15" t="n"/>
    </row>
    <row r="637">
      <c r="A637" s="15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7" t="n"/>
      <c r="K637" s="17" t="n"/>
      <c r="L637" s="17" t="n"/>
      <c r="M637" s="18" t="n"/>
      <c r="N637" s="15" t="n"/>
    </row>
    <row r="638">
      <c r="A638" s="15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7" t="n"/>
      <c r="K638" s="17" t="n"/>
      <c r="L638" s="17" t="n"/>
      <c r="M638" s="18" t="n"/>
      <c r="N638" s="15" t="n"/>
    </row>
    <row r="639">
      <c r="A639" s="15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7" t="n"/>
      <c r="K639" s="17" t="n"/>
      <c r="L639" s="17" t="n"/>
      <c r="M639" s="18" t="n"/>
      <c r="N639" s="15" t="n"/>
    </row>
    <row r="640">
      <c r="A640" s="15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7" t="n"/>
      <c r="K640" s="17" t="n"/>
      <c r="L640" s="17" t="n"/>
      <c r="M640" s="18" t="n"/>
      <c r="N640" s="15" t="n"/>
    </row>
    <row r="641">
      <c r="A641" s="15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7" t="n"/>
      <c r="K641" s="17" t="n"/>
      <c r="L641" s="17" t="n"/>
      <c r="M641" s="18" t="n"/>
      <c r="N641" s="15" t="n"/>
    </row>
    <row r="642">
      <c r="A642" s="15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7" t="n"/>
      <c r="K642" s="17" t="n"/>
      <c r="L642" s="17" t="n"/>
      <c r="M642" s="18" t="n"/>
      <c r="N642" s="15" t="n"/>
    </row>
    <row r="643">
      <c r="A643" s="15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7" t="n"/>
      <c r="K643" s="17" t="n"/>
      <c r="L643" s="17" t="n"/>
      <c r="M643" s="18" t="n"/>
      <c r="N643" s="15" t="n"/>
    </row>
    <row r="644">
      <c r="A644" s="15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7" t="n"/>
      <c r="K644" s="17" t="n"/>
      <c r="L644" s="17" t="n"/>
      <c r="M644" s="18" t="n"/>
      <c r="N644" s="15" t="n"/>
    </row>
    <row r="645">
      <c r="A645" s="15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7" t="n"/>
      <c r="K645" s="17" t="n"/>
      <c r="L645" s="17" t="n"/>
      <c r="M645" s="18" t="n"/>
      <c r="N645" s="15" t="n"/>
    </row>
    <row r="646">
      <c r="A646" s="15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7" t="n"/>
      <c r="K646" s="17" t="n"/>
      <c r="L646" s="17" t="n"/>
      <c r="M646" s="18" t="n"/>
      <c r="N646" s="15" t="n"/>
    </row>
    <row r="647">
      <c r="A647" s="15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7" t="n"/>
      <c r="K647" s="17" t="n"/>
      <c r="L647" s="17" t="n"/>
      <c r="M647" s="18" t="n"/>
      <c r="N647" s="15" t="n"/>
    </row>
    <row r="648">
      <c r="A648" s="15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7" t="n"/>
      <c r="K648" s="17" t="n"/>
      <c r="L648" s="17" t="n"/>
      <c r="M648" s="18" t="n"/>
      <c r="N648" s="15" t="n"/>
    </row>
    <row r="649">
      <c r="A649" s="15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7" t="n"/>
      <c r="K649" s="17" t="n"/>
      <c r="L649" s="17" t="n"/>
      <c r="M649" s="18" t="n"/>
      <c r="N649" s="15" t="n"/>
    </row>
    <row r="650">
      <c r="A650" s="15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7" t="n"/>
      <c r="K650" s="17" t="n"/>
      <c r="L650" s="17" t="n"/>
      <c r="M650" s="18" t="n"/>
      <c r="N650" s="15" t="n"/>
    </row>
    <row r="651">
      <c r="A651" s="15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7" t="n"/>
      <c r="K651" s="17" t="n"/>
      <c r="L651" s="17" t="n"/>
      <c r="M651" s="18" t="n"/>
      <c r="N651" s="15" t="n"/>
    </row>
    <row r="652">
      <c r="A652" s="15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7" t="n"/>
      <c r="K652" s="17" t="n"/>
      <c r="L652" s="17" t="n"/>
      <c r="M652" s="18" t="n"/>
      <c r="N652" s="15" t="n"/>
    </row>
    <row r="653">
      <c r="A653" s="15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7" t="n"/>
      <c r="K653" s="17" t="n"/>
      <c r="L653" s="17" t="n"/>
      <c r="M653" s="18" t="n"/>
      <c r="N653" s="15" t="n"/>
    </row>
    <row r="654">
      <c r="A654" s="15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7" t="n"/>
      <c r="K654" s="17" t="n"/>
      <c r="L654" s="17" t="n"/>
      <c r="M654" s="18" t="n"/>
      <c r="N654" s="15" t="n"/>
    </row>
    <row r="655">
      <c r="A655" s="15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7" t="n"/>
      <c r="K655" s="17" t="n"/>
      <c r="L655" s="17" t="n"/>
      <c r="M655" s="18" t="n"/>
      <c r="N655" s="15" t="n"/>
    </row>
    <row r="656">
      <c r="A656" s="15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7" t="n"/>
      <c r="K656" s="17" t="n"/>
      <c r="L656" s="17" t="n"/>
      <c r="M656" s="18" t="n"/>
      <c r="N656" s="15" t="n"/>
    </row>
    <row r="657">
      <c r="A657" s="15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7" t="n"/>
      <c r="K657" s="17" t="n"/>
      <c r="L657" s="17" t="n"/>
      <c r="M657" s="18" t="n"/>
      <c r="N657" s="15" t="n"/>
    </row>
    <row r="658">
      <c r="A658" s="15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7" t="n"/>
      <c r="K658" s="17" t="n"/>
      <c r="L658" s="17" t="n"/>
      <c r="M658" s="18" t="n"/>
      <c r="N658" s="15" t="n"/>
    </row>
    <row r="659">
      <c r="A659" s="15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7" t="n"/>
      <c r="K659" s="17" t="n"/>
      <c r="L659" s="17" t="n"/>
      <c r="M659" s="18" t="n"/>
      <c r="N659" s="15" t="n"/>
    </row>
    <row r="660">
      <c r="A660" s="15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7" t="n"/>
      <c r="K660" s="17" t="n"/>
      <c r="L660" s="17" t="n"/>
      <c r="M660" s="18" t="n"/>
      <c r="N660" s="15" t="n"/>
    </row>
    <row r="661">
      <c r="A661" s="15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7" t="n"/>
      <c r="K661" s="17" t="n"/>
      <c r="L661" s="17" t="n"/>
      <c r="M661" s="18" t="n"/>
      <c r="N661" s="15" t="n"/>
    </row>
    <row r="662">
      <c r="A662" s="15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7" t="n"/>
      <c r="K662" s="17" t="n"/>
      <c r="L662" s="17" t="n"/>
      <c r="M662" s="18" t="n"/>
      <c r="N662" s="15" t="n"/>
    </row>
    <row r="663">
      <c r="A663" s="15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7" t="n"/>
      <c r="K663" s="17" t="n"/>
      <c r="L663" s="17" t="n"/>
      <c r="M663" s="18" t="n"/>
      <c r="N663" s="15" t="n"/>
    </row>
    <row r="664">
      <c r="A664" s="15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7" t="n"/>
      <c r="K664" s="17" t="n"/>
      <c r="L664" s="17" t="n"/>
      <c r="M664" s="18" t="n"/>
      <c r="N664" s="15" t="n"/>
    </row>
    <row r="665">
      <c r="A665" s="15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7" t="n"/>
      <c r="K665" s="17" t="n"/>
      <c r="L665" s="17" t="n"/>
      <c r="M665" s="18" t="n"/>
      <c r="N665" s="15" t="n"/>
    </row>
    <row r="666">
      <c r="A666" s="15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7" t="n"/>
      <c r="K666" s="17" t="n"/>
      <c r="L666" s="17" t="n"/>
      <c r="M666" s="18" t="n"/>
      <c r="N666" s="15" t="n"/>
    </row>
    <row r="667">
      <c r="A667" s="15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7" t="n"/>
      <c r="K667" s="17" t="n"/>
      <c r="L667" s="17" t="n"/>
      <c r="M667" s="18" t="n"/>
      <c r="N667" s="15" t="n"/>
    </row>
    <row r="668">
      <c r="A668" s="15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7" t="n"/>
      <c r="K668" s="17" t="n"/>
      <c r="L668" s="17" t="n"/>
      <c r="M668" s="18" t="n"/>
      <c r="N668" s="15" t="n"/>
    </row>
    <row r="669">
      <c r="A669" s="15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7" t="n"/>
      <c r="K669" s="17" t="n"/>
      <c r="L669" s="17" t="n"/>
      <c r="M669" s="18" t="n"/>
      <c r="N669" s="15" t="n"/>
    </row>
    <row r="670">
      <c r="A670" s="15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7" t="n"/>
      <c r="K670" s="17" t="n"/>
      <c r="L670" s="17" t="n"/>
      <c r="M670" s="18" t="n"/>
      <c r="N670" s="15" t="n"/>
    </row>
    <row r="671">
      <c r="A671" s="15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7" t="n"/>
      <c r="K671" s="17" t="n"/>
      <c r="L671" s="17" t="n"/>
      <c r="M671" s="18" t="n"/>
      <c r="N671" s="15" t="n"/>
    </row>
    <row r="672">
      <c r="A672" s="15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7" t="n"/>
      <c r="K672" s="17" t="n"/>
      <c r="L672" s="17" t="n"/>
      <c r="M672" s="18" t="n"/>
      <c r="N672" s="15" t="n"/>
    </row>
    <row r="673">
      <c r="A673" s="15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7" t="n"/>
      <c r="K673" s="17" t="n"/>
      <c r="L673" s="17" t="n"/>
      <c r="M673" s="18" t="n"/>
      <c r="N673" s="15" t="n"/>
    </row>
    <row r="674">
      <c r="A674" s="15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7" t="n"/>
      <c r="K674" s="17" t="n"/>
      <c r="L674" s="17" t="n"/>
      <c r="M674" s="18" t="n"/>
      <c r="N674" s="15" t="n"/>
    </row>
    <row r="675">
      <c r="A675" s="15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7" t="n"/>
      <c r="K675" s="17" t="n"/>
      <c r="L675" s="17" t="n"/>
      <c r="M675" s="18" t="n"/>
      <c r="N675" s="15" t="n"/>
    </row>
    <row r="676">
      <c r="A676" s="15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7" t="n"/>
      <c r="K676" s="17" t="n"/>
      <c r="L676" s="17" t="n"/>
      <c r="M676" s="18" t="n"/>
      <c r="N676" s="15" t="n"/>
    </row>
    <row r="677">
      <c r="A677" s="15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7" t="n"/>
      <c r="K677" s="17" t="n"/>
      <c r="L677" s="17" t="n"/>
      <c r="M677" s="18" t="n"/>
      <c r="N677" s="15" t="n"/>
    </row>
    <row r="678">
      <c r="A678" s="15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7" t="n"/>
      <c r="K678" s="17" t="n"/>
      <c r="L678" s="17" t="n"/>
      <c r="M678" s="18" t="n"/>
      <c r="N678" s="15" t="n"/>
    </row>
    <row r="679">
      <c r="A679" s="15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7" t="n"/>
      <c r="K679" s="17" t="n"/>
      <c r="L679" s="17" t="n"/>
      <c r="M679" s="18" t="n"/>
      <c r="N679" s="15" t="n"/>
    </row>
    <row r="680">
      <c r="A680" s="15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7" t="n"/>
      <c r="K680" s="17" t="n"/>
      <c r="L680" s="17" t="n"/>
      <c r="M680" s="18" t="n"/>
      <c r="N680" s="15" t="n"/>
    </row>
    <row r="681">
      <c r="A681" s="15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7" t="n"/>
      <c r="K681" s="17" t="n"/>
      <c r="L681" s="17" t="n"/>
      <c r="M681" s="18" t="n"/>
      <c r="N681" s="15" t="n"/>
    </row>
    <row r="682">
      <c r="A682" s="15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7" t="n"/>
      <c r="K682" s="17" t="n"/>
      <c r="L682" s="17" t="n"/>
      <c r="M682" s="18" t="n"/>
      <c r="N682" s="15" t="n"/>
    </row>
    <row r="683">
      <c r="A683" s="15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7" t="n"/>
      <c r="K683" s="17" t="n"/>
      <c r="L683" s="17" t="n"/>
      <c r="M683" s="18" t="n"/>
      <c r="N683" s="15" t="n"/>
    </row>
    <row r="684">
      <c r="A684" s="15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7" t="n"/>
      <c r="K684" s="17" t="n"/>
      <c r="L684" s="17" t="n"/>
      <c r="M684" s="18" t="n"/>
      <c r="N684" s="15" t="n"/>
    </row>
    <row r="685">
      <c r="A685" s="15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7" t="n"/>
      <c r="K685" s="17" t="n"/>
      <c r="L685" s="17" t="n"/>
      <c r="M685" s="18" t="n"/>
      <c r="N685" s="15" t="n"/>
    </row>
    <row r="686">
      <c r="A686" s="15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7" t="n"/>
      <c r="K686" s="17" t="n"/>
      <c r="L686" s="17" t="n"/>
      <c r="M686" s="18" t="n"/>
      <c r="N686" s="15" t="n"/>
    </row>
    <row r="687">
      <c r="A687" s="15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7" t="n"/>
      <c r="K687" s="17" t="n"/>
      <c r="L687" s="17" t="n"/>
      <c r="M687" s="18" t="n"/>
      <c r="N687" s="15" t="n"/>
    </row>
    <row r="688">
      <c r="A688" s="15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7" t="n"/>
      <c r="K688" s="17" t="n"/>
      <c r="L688" s="17" t="n"/>
      <c r="M688" s="18" t="n"/>
      <c r="N688" s="15" t="n"/>
    </row>
    <row r="689">
      <c r="A689" s="15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7" t="n"/>
      <c r="K689" s="17" t="n"/>
      <c r="L689" s="17" t="n"/>
      <c r="M689" s="18" t="n"/>
      <c r="N689" s="15" t="n"/>
    </row>
    <row r="690">
      <c r="A690" s="15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7" t="n"/>
      <c r="K690" s="17" t="n"/>
      <c r="L690" s="17" t="n"/>
      <c r="M690" s="18" t="n"/>
      <c r="N690" s="15" t="n"/>
    </row>
    <row r="691">
      <c r="A691" s="15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7" t="n"/>
      <c r="K691" s="17" t="n"/>
      <c r="L691" s="17" t="n"/>
      <c r="M691" s="18" t="n"/>
      <c r="N691" s="15" t="n"/>
    </row>
    <row r="692">
      <c r="A692" s="15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7" t="n"/>
      <c r="K692" s="17" t="n"/>
      <c r="L692" s="17" t="n"/>
      <c r="M692" s="18" t="n"/>
      <c r="N692" s="15" t="n"/>
    </row>
    <row r="693">
      <c r="A693" s="15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7" t="n"/>
      <c r="K693" s="17" t="n"/>
      <c r="L693" s="17" t="n"/>
      <c r="M693" s="18" t="n"/>
      <c r="N693" s="15" t="n"/>
    </row>
    <row r="694">
      <c r="A694" s="15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7" t="n"/>
      <c r="K694" s="17" t="n"/>
      <c r="L694" s="17" t="n"/>
      <c r="M694" s="18" t="n"/>
      <c r="N694" s="15" t="n"/>
    </row>
    <row r="695">
      <c r="A695" s="15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7" t="n"/>
      <c r="K695" s="17" t="n"/>
      <c r="L695" s="17" t="n"/>
      <c r="M695" s="18" t="n"/>
      <c r="N695" s="15" t="n"/>
    </row>
    <row r="696">
      <c r="A696" s="15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7" t="n"/>
      <c r="K696" s="17" t="n"/>
      <c r="L696" s="17" t="n"/>
      <c r="M696" s="18" t="n"/>
      <c r="N696" s="15" t="n"/>
    </row>
    <row r="697">
      <c r="A697" s="15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7" t="n"/>
      <c r="K697" s="17" t="n"/>
      <c r="L697" s="17" t="n"/>
      <c r="M697" s="18" t="n"/>
      <c r="N697" s="15" t="n"/>
    </row>
    <row r="698">
      <c r="A698" s="15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7" t="n"/>
      <c r="K698" s="17" t="n"/>
      <c r="L698" s="17" t="n"/>
      <c r="M698" s="18" t="n"/>
      <c r="N698" s="15" t="n"/>
    </row>
    <row r="699">
      <c r="A699" s="15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7" t="n"/>
      <c r="K699" s="17" t="n"/>
      <c r="L699" s="17" t="n"/>
      <c r="M699" s="18" t="n"/>
      <c r="N699" s="15" t="n"/>
    </row>
    <row r="700">
      <c r="A700" s="15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7" t="n"/>
      <c r="K700" s="17" t="n"/>
      <c r="L700" s="17" t="n"/>
      <c r="M700" s="18" t="n"/>
      <c r="N700" s="15" t="n"/>
    </row>
    <row r="701">
      <c r="A701" s="15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7" t="n"/>
      <c r="K701" s="17" t="n"/>
      <c r="L701" s="17" t="n"/>
      <c r="M701" s="18" t="n"/>
      <c r="N701" s="15" t="n"/>
    </row>
    <row r="702">
      <c r="A702" s="15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7" t="n"/>
      <c r="K702" s="17" t="n"/>
      <c r="L702" s="17" t="n"/>
      <c r="M702" s="18" t="n"/>
      <c r="N702" s="15" t="n"/>
    </row>
    <row r="703">
      <c r="A703" s="15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7" t="n"/>
      <c r="K703" s="17" t="n"/>
      <c r="L703" s="17" t="n"/>
      <c r="M703" s="18" t="n"/>
      <c r="N703" s="15" t="n"/>
    </row>
    <row r="704">
      <c r="A704" s="15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7" t="n"/>
      <c r="K704" s="17" t="n"/>
      <c r="L704" s="17" t="n"/>
      <c r="M704" s="18" t="n"/>
      <c r="N704" s="15" t="n"/>
    </row>
    <row r="705">
      <c r="A705" s="15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7" t="n"/>
      <c r="K705" s="17" t="n"/>
      <c r="L705" s="17" t="n"/>
      <c r="M705" s="18" t="n"/>
      <c r="N705" s="15" t="n"/>
    </row>
    <row r="706">
      <c r="A706" s="15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7" t="n"/>
      <c r="K706" s="17" t="n"/>
      <c r="L706" s="17" t="n"/>
      <c r="M706" s="18" t="n"/>
      <c r="N706" s="15" t="n"/>
    </row>
    <row r="707">
      <c r="A707" s="15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7" t="n"/>
      <c r="K707" s="17" t="n"/>
      <c r="L707" s="17" t="n"/>
      <c r="M707" s="18" t="n"/>
      <c r="N707" s="15" t="n"/>
    </row>
    <row r="708">
      <c r="A708" s="15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7" t="n"/>
      <c r="K708" s="17" t="n"/>
      <c r="L708" s="17" t="n"/>
      <c r="M708" s="18" t="n"/>
      <c r="N708" s="15" t="n"/>
    </row>
    <row r="709">
      <c r="A709" s="15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7" t="n"/>
      <c r="K709" s="17" t="n"/>
      <c r="L709" s="17" t="n"/>
      <c r="M709" s="18" t="n"/>
      <c r="N709" s="15" t="n"/>
    </row>
    <row r="710">
      <c r="A710" s="15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7" t="n"/>
      <c r="K710" s="17" t="n"/>
      <c r="L710" s="17" t="n"/>
      <c r="M710" s="18" t="n"/>
      <c r="N710" s="15" t="n"/>
    </row>
    <row r="711">
      <c r="A711" s="15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7" t="n"/>
      <c r="K711" s="17" t="n"/>
      <c r="L711" s="17" t="n"/>
      <c r="M711" s="18" t="n"/>
      <c r="N711" s="15" t="n"/>
    </row>
    <row r="712">
      <c r="A712" s="15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7" t="n"/>
      <c r="K712" s="17" t="n"/>
      <c r="L712" s="17" t="n"/>
      <c r="M712" s="18" t="n"/>
      <c r="N712" s="15" t="n"/>
    </row>
    <row r="713">
      <c r="A713" s="15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7" t="n"/>
      <c r="K713" s="17" t="n"/>
      <c r="L713" s="17" t="n"/>
      <c r="M713" s="18" t="n"/>
      <c r="N713" s="15" t="n"/>
    </row>
    <row r="714">
      <c r="A714" s="15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7" t="n"/>
      <c r="K714" s="17" t="n"/>
      <c r="L714" s="17" t="n"/>
      <c r="M714" s="18" t="n"/>
      <c r="N714" s="15" t="n"/>
    </row>
    <row r="715">
      <c r="A715" s="15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7" t="n"/>
      <c r="K715" s="17" t="n"/>
      <c r="L715" s="17" t="n"/>
      <c r="M715" s="18" t="n"/>
      <c r="N715" s="15" t="n"/>
    </row>
    <row r="716">
      <c r="A716" s="15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7" t="n"/>
      <c r="K716" s="17" t="n"/>
      <c r="L716" s="17" t="n"/>
      <c r="M716" s="18" t="n"/>
      <c r="N716" s="15" t="n"/>
    </row>
    <row r="717">
      <c r="A717" s="15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7" t="n"/>
      <c r="K717" s="17" t="n"/>
      <c r="L717" s="17" t="n"/>
      <c r="M717" s="18" t="n"/>
      <c r="N717" s="15" t="n"/>
    </row>
    <row r="718">
      <c r="A718" s="15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7" t="n"/>
      <c r="K718" s="17" t="n"/>
      <c r="L718" s="17" t="n"/>
      <c r="M718" s="18" t="n"/>
      <c r="N718" s="15" t="n"/>
    </row>
    <row r="719">
      <c r="A719" s="15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7" t="n"/>
      <c r="K719" s="17" t="n"/>
      <c r="L719" s="17" t="n"/>
      <c r="M719" s="18" t="n"/>
      <c r="N719" s="15" t="n"/>
    </row>
    <row r="720">
      <c r="A720" s="15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7" t="n"/>
      <c r="K720" s="17" t="n"/>
      <c r="L720" s="17" t="n"/>
      <c r="M720" s="18" t="n"/>
      <c r="N720" s="15" t="n"/>
    </row>
    <row r="721">
      <c r="A721" s="15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7" t="n"/>
      <c r="K721" s="17" t="n"/>
      <c r="L721" s="17" t="n"/>
      <c r="M721" s="18" t="n"/>
      <c r="N721" s="15" t="n"/>
    </row>
    <row r="722">
      <c r="A722" s="15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7" t="n"/>
      <c r="K722" s="17" t="n"/>
      <c r="L722" s="17" t="n"/>
      <c r="M722" s="18" t="n"/>
      <c r="N722" s="15" t="n"/>
    </row>
    <row r="723">
      <c r="A723" s="15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7" t="n"/>
      <c r="K723" s="17" t="n"/>
      <c r="L723" s="17" t="n"/>
      <c r="M723" s="18" t="n"/>
      <c r="N723" s="15" t="n"/>
    </row>
    <row r="724">
      <c r="A724" s="15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7" t="n"/>
      <c r="K724" s="17" t="n"/>
      <c r="L724" s="17" t="n"/>
      <c r="M724" s="18" t="n"/>
      <c r="N724" s="15" t="n"/>
    </row>
    <row r="725">
      <c r="A725" s="15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7" t="n"/>
      <c r="K725" s="17" t="n"/>
      <c r="L725" s="17" t="n"/>
      <c r="M725" s="18" t="n"/>
      <c r="N725" s="15" t="n"/>
    </row>
    <row r="726">
      <c r="A726" s="15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7" t="n"/>
      <c r="K726" s="17" t="n"/>
      <c r="L726" s="17" t="n"/>
      <c r="M726" s="18" t="n"/>
      <c r="N726" s="15" t="n"/>
    </row>
    <row r="727">
      <c r="A727" s="15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7" t="n"/>
      <c r="K727" s="17" t="n"/>
      <c r="L727" s="17" t="n"/>
      <c r="M727" s="18" t="n"/>
      <c r="N727" s="15" t="n"/>
    </row>
    <row r="728">
      <c r="A728" s="15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7" t="n"/>
      <c r="K728" s="17" t="n"/>
      <c r="L728" s="17" t="n"/>
      <c r="M728" s="18" t="n"/>
      <c r="N728" s="15" t="n"/>
    </row>
    <row r="729">
      <c r="A729" s="15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7" t="n"/>
      <c r="K729" s="17" t="n"/>
      <c r="L729" s="17" t="n"/>
      <c r="M729" s="18" t="n"/>
      <c r="N729" s="15" t="n"/>
    </row>
    <row r="730">
      <c r="A730" s="15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7" t="n"/>
      <c r="K730" s="17" t="n"/>
      <c r="L730" s="17" t="n"/>
      <c r="M730" s="18" t="n"/>
      <c r="N730" s="15" t="n"/>
    </row>
    <row r="731">
      <c r="A731" s="15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7" t="n"/>
      <c r="K731" s="17" t="n"/>
      <c r="L731" s="17" t="n"/>
      <c r="M731" s="18" t="n"/>
      <c r="N731" s="15" t="n"/>
    </row>
    <row r="732">
      <c r="A732" s="15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7" t="n"/>
      <c r="K732" s="17" t="n"/>
      <c r="L732" s="17" t="n"/>
      <c r="M732" s="18" t="n"/>
      <c r="N732" s="15" t="n"/>
    </row>
    <row r="733">
      <c r="A733" s="15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7" t="n"/>
      <c r="K733" s="17" t="n"/>
      <c r="L733" s="17" t="n"/>
      <c r="M733" s="18" t="n"/>
      <c r="N733" s="15" t="n"/>
    </row>
    <row r="734">
      <c r="A734" s="15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7" t="n"/>
      <c r="K734" s="17" t="n"/>
      <c r="L734" s="17" t="n"/>
      <c r="M734" s="18" t="n"/>
      <c r="N734" s="15" t="n"/>
    </row>
    <row r="735">
      <c r="A735" s="15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7" t="n"/>
      <c r="K735" s="17" t="n"/>
      <c r="L735" s="17" t="n"/>
      <c r="M735" s="18" t="n"/>
      <c r="N735" s="15" t="n"/>
    </row>
    <row r="736">
      <c r="A736" s="15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7" t="n"/>
      <c r="K736" s="17" t="n"/>
      <c r="L736" s="17" t="n"/>
      <c r="M736" s="18" t="n"/>
      <c r="N736" s="15" t="n"/>
    </row>
    <row r="737">
      <c r="A737" s="15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7" t="n"/>
      <c r="K737" s="17" t="n"/>
      <c r="L737" s="17" t="n"/>
      <c r="M737" s="18" t="n"/>
      <c r="N737" s="15" t="n"/>
    </row>
    <row r="738">
      <c r="A738" s="15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7" t="n"/>
      <c r="K738" s="17" t="n"/>
      <c r="L738" s="17" t="n"/>
      <c r="M738" s="18" t="n"/>
      <c r="N738" s="15" t="n"/>
    </row>
    <row r="739">
      <c r="A739" s="15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7" t="n"/>
      <c r="K739" s="17" t="n"/>
      <c r="L739" s="17" t="n"/>
      <c r="M739" s="18" t="n"/>
      <c r="N739" s="15" t="n"/>
    </row>
    <row r="740">
      <c r="A740" s="15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7" t="n"/>
      <c r="K740" s="17" t="n"/>
      <c r="L740" s="17" t="n"/>
      <c r="M740" s="18" t="n"/>
      <c r="N740" s="15" t="n"/>
    </row>
    <row r="741">
      <c r="A741" s="15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7" t="n"/>
      <c r="K741" s="17" t="n"/>
      <c r="L741" s="17" t="n"/>
      <c r="M741" s="18" t="n"/>
      <c r="N741" s="15" t="n"/>
    </row>
    <row r="742">
      <c r="A742" s="15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7" t="n"/>
      <c r="K742" s="17" t="n"/>
      <c r="L742" s="17" t="n"/>
      <c r="M742" s="18" t="n"/>
      <c r="N742" s="15" t="n"/>
    </row>
    <row r="743">
      <c r="A743" s="15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7" t="n"/>
      <c r="K743" s="17" t="n"/>
      <c r="L743" s="17" t="n"/>
      <c r="M743" s="18" t="n"/>
      <c r="N743" s="15" t="n"/>
    </row>
    <row r="744">
      <c r="A744" s="15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7" t="n"/>
      <c r="K744" s="17" t="n"/>
      <c r="L744" s="17" t="n"/>
      <c r="M744" s="18" t="n"/>
      <c r="N744" s="15" t="n"/>
    </row>
    <row r="745">
      <c r="A745" s="15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7" t="n"/>
      <c r="K745" s="17" t="n"/>
      <c r="L745" s="17" t="n"/>
      <c r="M745" s="18" t="n"/>
      <c r="N745" s="15" t="n"/>
    </row>
    <row r="746">
      <c r="A746" s="15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7" t="n"/>
      <c r="K746" s="17" t="n"/>
      <c r="L746" s="17" t="n"/>
      <c r="M746" s="18" t="n"/>
      <c r="N746" s="15" t="n"/>
    </row>
    <row r="747">
      <c r="A747" s="15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7" t="n"/>
      <c r="K747" s="17" t="n"/>
      <c r="L747" s="17" t="n"/>
      <c r="M747" s="18" t="n"/>
      <c r="N747" s="15" t="n"/>
    </row>
    <row r="748">
      <c r="A748" s="15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7" t="n"/>
      <c r="K748" s="17" t="n"/>
      <c r="L748" s="17" t="n"/>
      <c r="M748" s="18" t="n"/>
      <c r="N748" s="15" t="n"/>
    </row>
    <row r="749">
      <c r="A749" s="15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7" t="n"/>
      <c r="K749" s="17" t="n"/>
      <c r="L749" s="17" t="n"/>
      <c r="M749" s="18" t="n"/>
      <c r="N749" s="15" t="n"/>
    </row>
    <row r="750">
      <c r="A750" s="15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7" t="n"/>
      <c r="K750" s="17" t="n"/>
      <c r="L750" s="17" t="n"/>
      <c r="M750" s="18" t="n"/>
      <c r="N750" s="15" t="n"/>
    </row>
    <row r="751">
      <c r="A751" s="15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7" t="n"/>
      <c r="K751" s="17" t="n"/>
      <c r="L751" s="17" t="n"/>
      <c r="M751" s="18" t="n"/>
      <c r="N751" s="15" t="n"/>
    </row>
    <row r="752">
      <c r="A752" s="15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7" t="n"/>
      <c r="K752" s="17" t="n"/>
      <c r="L752" s="17" t="n"/>
      <c r="M752" s="18" t="n"/>
      <c r="N752" s="15" t="n"/>
    </row>
    <row r="753">
      <c r="A753" s="15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7" t="n"/>
      <c r="K753" s="17" t="n"/>
      <c r="L753" s="17" t="n"/>
      <c r="M753" s="18" t="n"/>
      <c r="N753" s="15" t="n"/>
    </row>
    <row r="754">
      <c r="A754" s="15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7" t="n"/>
      <c r="K754" s="17" t="n"/>
      <c r="L754" s="17" t="n"/>
      <c r="M754" s="18" t="n"/>
      <c r="N754" s="15" t="n"/>
    </row>
    <row r="755">
      <c r="A755" s="15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7" t="n"/>
      <c r="K755" s="17" t="n"/>
      <c r="L755" s="17" t="n"/>
      <c r="M755" s="18" t="n"/>
      <c r="N755" s="15" t="n"/>
    </row>
    <row r="756">
      <c r="A756" s="15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7" t="n"/>
      <c r="K756" s="17" t="n"/>
      <c r="L756" s="17" t="n"/>
      <c r="M756" s="18" t="n"/>
      <c r="N756" s="15" t="n"/>
    </row>
    <row r="757">
      <c r="A757" s="15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7" t="n"/>
      <c r="K757" s="17" t="n"/>
      <c r="L757" s="17" t="n"/>
      <c r="M757" s="18" t="n"/>
      <c r="N757" s="15" t="n"/>
    </row>
    <row r="758">
      <c r="A758" s="15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7" t="n"/>
      <c r="K758" s="17" t="n"/>
      <c r="L758" s="17" t="n"/>
      <c r="M758" s="18" t="n"/>
      <c r="N758" s="15" t="n"/>
    </row>
    <row r="759">
      <c r="A759" s="15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7" t="n"/>
      <c r="K759" s="17" t="n"/>
      <c r="L759" s="17" t="n"/>
      <c r="M759" s="18" t="n"/>
      <c r="N759" s="15" t="n"/>
    </row>
    <row r="760">
      <c r="A760" s="15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7" t="n"/>
      <c r="K760" s="17" t="n"/>
      <c r="L760" s="17" t="n"/>
      <c r="M760" s="18" t="n"/>
      <c r="N760" s="15" t="n"/>
    </row>
    <row r="761">
      <c r="A761" s="15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7" t="n"/>
      <c r="K761" s="17" t="n"/>
      <c r="L761" s="17" t="n"/>
      <c r="M761" s="18" t="n"/>
      <c r="N761" s="15" t="n"/>
    </row>
    <row r="762">
      <c r="A762" s="15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7" t="n"/>
      <c r="K762" s="17" t="n"/>
      <c r="L762" s="17" t="n"/>
      <c r="M762" s="18" t="n"/>
      <c r="N762" s="15" t="n"/>
    </row>
    <row r="763">
      <c r="A763" s="15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7" t="n"/>
      <c r="K763" s="17" t="n"/>
      <c r="L763" s="17" t="n"/>
      <c r="M763" s="18" t="n"/>
      <c r="N763" s="15" t="n"/>
    </row>
    <row r="764">
      <c r="A764" s="15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7" t="n"/>
      <c r="K764" s="17" t="n"/>
      <c r="L764" s="17" t="n"/>
      <c r="M764" s="18" t="n"/>
      <c r="N764" s="15" t="n"/>
    </row>
    <row r="765">
      <c r="A765" s="15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7" t="n"/>
      <c r="K765" s="17" t="n"/>
      <c r="L765" s="17" t="n"/>
      <c r="M765" s="18" t="n"/>
      <c r="N765" s="15" t="n"/>
    </row>
    <row r="766">
      <c r="A766" s="15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7" t="n"/>
      <c r="K766" s="17" t="n"/>
      <c r="L766" s="17" t="n"/>
      <c r="M766" s="18" t="n"/>
      <c r="N766" s="15" t="n"/>
    </row>
    <row r="767">
      <c r="A767" s="15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7" t="n"/>
      <c r="K767" s="17" t="n"/>
      <c r="L767" s="17" t="n"/>
      <c r="M767" s="18" t="n"/>
      <c r="N767" s="15" t="n"/>
    </row>
    <row r="768">
      <c r="A768" s="15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7" t="n"/>
      <c r="K768" s="17" t="n"/>
      <c r="L768" s="17" t="n"/>
      <c r="M768" s="18" t="n"/>
      <c r="N768" s="15" t="n"/>
    </row>
    <row r="769">
      <c r="A769" s="15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7" t="n"/>
      <c r="K769" s="17" t="n"/>
      <c r="L769" s="17" t="n"/>
      <c r="M769" s="18" t="n"/>
      <c r="N769" s="15" t="n"/>
    </row>
    <row r="770">
      <c r="A770" s="15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7" t="n"/>
      <c r="K770" s="17" t="n"/>
      <c r="L770" s="17" t="n"/>
      <c r="M770" s="18" t="n"/>
      <c r="N770" s="15" t="n"/>
    </row>
    <row r="771">
      <c r="A771" s="15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7" t="n"/>
      <c r="K771" s="17" t="n"/>
      <c r="L771" s="17" t="n"/>
      <c r="M771" s="18" t="n"/>
      <c r="N771" s="15" t="n"/>
    </row>
    <row r="772">
      <c r="A772" s="15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7" t="n"/>
      <c r="K772" s="17" t="n"/>
      <c r="L772" s="17" t="n"/>
      <c r="M772" s="18" t="n"/>
      <c r="N772" s="15" t="n"/>
    </row>
    <row r="773">
      <c r="A773" s="15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7" t="n"/>
      <c r="K773" s="17" t="n"/>
      <c r="L773" s="17" t="n"/>
      <c r="M773" s="18" t="n"/>
      <c r="N773" s="15" t="n"/>
    </row>
    <row r="774">
      <c r="A774" s="15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7" t="n"/>
      <c r="K774" s="17" t="n"/>
      <c r="L774" s="17" t="n"/>
      <c r="M774" s="18" t="n"/>
      <c r="N774" s="15" t="n"/>
    </row>
    <row r="775">
      <c r="A775" s="15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7" t="n"/>
      <c r="K775" s="17" t="n"/>
      <c r="L775" s="17" t="n"/>
      <c r="M775" s="18" t="n"/>
      <c r="N775" s="15" t="n"/>
    </row>
    <row r="776">
      <c r="A776" s="15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7" t="n"/>
      <c r="K776" s="17" t="n"/>
      <c r="L776" s="17" t="n"/>
      <c r="M776" s="18" t="n"/>
      <c r="N776" s="15" t="n"/>
    </row>
    <row r="777">
      <c r="A777" s="15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7" t="n"/>
      <c r="K777" s="17" t="n"/>
      <c r="L777" s="17" t="n"/>
      <c r="M777" s="18" t="n"/>
      <c r="N777" s="15" t="n"/>
    </row>
    <row r="778">
      <c r="A778" s="15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7" t="n"/>
      <c r="K778" s="17" t="n"/>
      <c r="L778" s="17" t="n"/>
      <c r="M778" s="18" t="n"/>
      <c r="N778" s="15" t="n"/>
    </row>
    <row r="779">
      <c r="A779" s="15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7" t="n"/>
      <c r="K779" s="17" t="n"/>
      <c r="L779" s="17" t="n"/>
      <c r="M779" s="18" t="n"/>
      <c r="N779" s="15" t="n"/>
    </row>
    <row r="780">
      <c r="A780" s="15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7" t="n"/>
      <c r="K780" s="17" t="n"/>
      <c r="L780" s="17" t="n"/>
      <c r="M780" s="18" t="n"/>
      <c r="N780" s="15" t="n"/>
    </row>
    <row r="781">
      <c r="A781" s="15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7" t="n"/>
      <c r="K781" s="17" t="n"/>
      <c r="L781" s="17" t="n"/>
      <c r="M781" s="18" t="n"/>
      <c r="N781" s="15" t="n"/>
    </row>
    <row r="782">
      <c r="A782" s="15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7" t="n"/>
      <c r="K782" s="17" t="n"/>
      <c r="L782" s="17" t="n"/>
      <c r="M782" s="18" t="n"/>
      <c r="N782" s="15" t="n"/>
    </row>
    <row r="783">
      <c r="A783" s="15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7" t="n"/>
      <c r="K783" s="17" t="n"/>
      <c r="L783" s="17" t="n"/>
      <c r="M783" s="18" t="n"/>
      <c r="N783" s="15" t="n"/>
    </row>
    <row r="784">
      <c r="A784" s="15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7" t="n"/>
      <c r="K784" s="17" t="n"/>
      <c r="L784" s="17" t="n"/>
      <c r="M784" s="18" t="n"/>
      <c r="N784" s="15" t="n"/>
    </row>
    <row r="785">
      <c r="A785" s="15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7" t="n"/>
      <c r="K785" s="17" t="n"/>
      <c r="L785" s="17" t="n"/>
      <c r="M785" s="18" t="n"/>
      <c r="N785" s="15" t="n"/>
    </row>
    <row r="786">
      <c r="A786" s="15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7" t="n"/>
      <c r="K786" s="17" t="n"/>
      <c r="L786" s="17" t="n"/>
      <c r="M786" s="18" t="n"/>
      <c r="N786" s="15" t="n"/>
    </row>
    <row r="787">
      <c r="A787" s="15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7" t="n"/>
      <c r="K787" s="17" t="n"/>
      <c r="L787" s="17" t="n"/>
      <c r="M787" s="18" t="n"/>
      <c r="N787" s="15" t="n"/>
    </row>
    <row r="788">
      <c r="A788" s="15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7" t="n"/>
      <c r="K788" s="17" t="n"/>
      <c r="L788" s="17" t="n"/>
      <c r="M788" s="18" t="n"/>
      <c r="N788" s="15" t="n"/>
    </row>
    <row r="789">
      <c r="A789" s="15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7" t="n"/>
      <c r="K789" s="17" t="n"/>
      <c r="L789" s="17" t="n"/>
      <c r="M789" s="18" t="n"/>
      <c r="N789" s="15" t="n"/>
    </row>
    <row r="790">
      <c r="A790" s="15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7" t="n"/>
      <c r="K790" s="17" t="n"/>
      <c r="L790" s="17" t="n"/>
      <c r="M790" s="18" t="n"/>
      <c r="N790" s="15" t="n"/>
    </row>
    <row r="791">
      <c r="A791" s="15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7" t="n"/>
      <c r="K791" s="17" t="n"/>
      <c r="L791" s="17" t="n"/>
      <c r="M791" s="18" t="n"/>
      <c r="N791" s="15" t="n"/>
    </row>
    <row r="792">
      <c r="A792" s="15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7" t="n"/>
      <c r="K792" s="17" t="n"/>
      <c r="L792" s="17" t="n"/>
      <c r="M792" s="18" t="n"/>
      <c r="N792" s="15" t="n"/>
    </row>
    <row r="793">
      <c r="A793" s="15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7" t="n"/>
      <c r="K793" s="17" t="n"/>
      <c r="L793" s="17" t="n"/>
      <c r="M793" s="18" t="n"/>
      <c r="N793" s="15" t="n"/>
    </row>
    <row r="794">
      <c r="A794" s="15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7" t="n"/>
      <c r="K794" s="17" t="n"/>
      <c r="L794" s="17" t="n"/>
      <c r="M794" s="18" t="n"/>
      <c r="N794" s="15" t="n"/>
    </row>
    <row r="795">
      <c r="A795" s="15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7" t="n"/>
      <c r="K795" s="17" t="n"/>
      <c r="L795" s="17" t="n"/>
      <c r="M795" s="18" t="n"/>
      <c r="N795" s="15" t="n"/>
    </row>
    <row r="796">
      <c r="A796" s="15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7" t="n"/>
      <c r="K796" s="17" t="n"/>
      <c r="L796" s="17" t="n"/>
      <c r="M796" s="18" t="n"/>
      <c r="N796" s="15" t="n"/>
    </row>
    <row r="797">
      <c r="A797" s="15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7" t="n"/>
      <c r="K797" s="17" t="n"/>
      <c r="L797" s="17" t="n"/>
      <c r="M797" s="18" t="n"/>
      <c r="N797" s="15" t="n"/>
    </row>
    <row r="798">
      <c r="A798" s="15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7" t="n"/>
      <c r="K798" s="17" t="n"/>
      <c r="L798" s="17" t="n"/>
      <c r="M798" s="18" t="n"/>
      <c r="N798" s="15" t="n"/>
    </row>
    <row r="799">
      <c r="A799" s="15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7" t="n"/>
      <c r="K799" s="17" t="n"/>
      <c r="L799" s="17" t="n"/>
      <c r="M799" s="18" t="n"/>
      <c r="N799" s="15" t="n"/>
    </row>
    <row r="800">
      <c r="A800" s="15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7" t="n"/>
      <c r="K800" s="17" t="n"/>
      <c r="L800" s="17" t="n"/>
      <c r="M800" s="18" t="n"/>
      <c r="N800" s="15" t="n"/>
    </row>
    <row r="801">
      <c r="A801" s="15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7" t="n"/>
      <c r="K801" s="17" t="n"/>
      <c r="L801" s="17" t="n"/>
      <c r="M801" s="18" t="n"/>
      <c r="N801" s="15" t="n"/>
    </row>
    <row r="802">
      <c r="A802" s="15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7" t="n"/>
      <c r="K802" s="17" t="n"/>
      <c r="L802" s="17" t="n"/>
      <c r="M802" s="18" t="n"/>
      <c r="N802" s="15" t="n"/>
    </row>
    <row r="803">
      <c r="A803" s="15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7" t="n"/>
      <c r="K803" s="17" t="n"/>
      <c r="L803" s="17" t="n"/>
      <c r="M803" s="18" t="n"/>
      <c r="N803" s="15" t="n"/>
    </row>
    <row r="804">
      <c r="A804" s="15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7" t="n"/>
      <c r="K804" s="17" t="n"/>
      <c r="L804" s="17" t="n"/>
      <c r="M804" s="18" t="n"/>
      <c r="N804" s="15" t="n"/>
    </row>
    <row r="805">
      <c r="A805" s="15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7" t="n"/>
      <c r="K805" s="17" t="n"/>
      <c r="L805" s="17" t="n"/>
      <c r="M805" s="18" t="n"/>
      <c r="N805" s="15" t="n"/>
    </row>
    <row r="806">
      <c r="A806" s="15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7" t="n"/>
      <c r="K806" s="17" t="n"/>
      <c r="L806" s="17" t="n"/>
      <c r="M806" s="18" t="n"/>
      <c r="N806" s="15" t="n"/>
    </row>
    <row r="807">
      <c r="A807" s="15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7" t="n"/>
      <c r="K807" s="17" t="n"/>
      <c r="L807" s="17" t="n"/>
      <c r="M807" s="18" t="n"/>
      <c r="N807" s="15" t="n"/>
    </row>
    <row r="808">
      <c r="A808" s="15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7" t="n"/>
      <c r="K808" s="17" t="n"/>
      <c r="L808" s="17" t="n"/>
      <c r="M808" s="18" t="n"/>
      <c r="N808" s="15" t="n"/>
    </row>
    <row r="809">
      <c r="A809" s="15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7" t="n"/>
      <c r="K809" s="17" t="n"/>
      <c r="L809" s="17" t="n"/>
      <c r="M809" s="18" t="n"/>
      <c r="N809" s="15" t="n"/>
    </row>
    <row r="810">
      <c r="A810" s="15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7" t="n"/>
      <c r="K810" s="17" t="n"/>
      <c r="L810" s="17" t="n"/>
      <c r="M810" s="18" t="n"/>
      <c r="N810" s="15" t="n"/>
    </row>
    <row r="811">
      <c r="A811" s="15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7" t="n"/>
      <c r="K811" s="17" t="n"/>
      <c r="L811" s="17" t="n"/>
      <c r="M811" s="18" t="n"/>
      <c r="N811" s="15" t="n"/>
    </row>
    <row r="812">
      <c r="A812" s="15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7" t="n"/>
      <c r="K812" s="17" t="n"/>
      <c r="L812" s="17" t="n"/>
      <c r="M812" s="18" t="n"/>
      <c r="N812" s="15" t="n"/>
    </row>
    <row r="813">
      <c r="A813" s="15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7" t="n"/>
      <c r="K813" s="17" t="n"/>
      <c r="L813" s="17" t="n"/>
      <c r="M813" s="18" t="n"/>
      <c r="N813" s="15" t="n"/>
    </row>
    <row r="814">
      <c r="A814" s="15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7" t="n"/>
      <c r="K814" s="17" t="n"/>
      <c r="L814" s="17" t="n"/>
      <c r="M814" s="18" t="n"/>
      <c r="N814" s="15" t="n"/>
    </row>
    <row r="815">
      <c r="A815" s="15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7" t="n"/>
      <c r="K815" s="17" t="n"/>
      <c r="L815" s="17" t="n"/>
      <c r="M815" s="18" t="n"/>
      <c r="N815" s="15" t="n"/>
    </row>
    <row r="816">
      <c r="A816" s="15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7" t="n"/>
      <c r="K816" s="17" t="n"/>
      <c r="L816" s="17" t="n"/>
      <c r="M816" s="18" t="n"/>
      <c r="N816" s="15" t="n"/>
    </row>
    <row r="817">
      <c r="A817" s="15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7" t="n"/>
      <c r="K817" s="17" t="n"/>
      <c r="L817" s="17" t="n"/>
      <c r="M817" s="18" t="n"/>
      <c r="N817" s="15" t="n"/>
    </row>
    <row r="818">
      <c r="A818" s="15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7" t="n"/>
      <c r="K818" s="17" t="n"/>
      <c r="L818" s="17" t="n"/>
      <c r="M818" s="18" t="n"/>
      <c r="N818" s="15" t="n"/>
    </row>
    <row r="819">
      <c r="A819" s="15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7" t="n"/>
      <c r="K819" s="17" t="n"/>
      <c r="L819" s="17" t="n"/>
      <c r="M819" s="18" t="n"/>
      <c r="N819" s="15" t="n"/>
    </row>
    <row r="820">
      <c r="A820" s="15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7" t="n"/>
      <c r="K820" s="17" t="n"/>
      <c r="L820" s="17" t="n"/>
      <c r="M820" s="18" t="n"/>
      <c r="N820" s="15" t="n"/>
    </row>
    <row r="821">
      <c r="A821" s="15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7" t="n"/>
      <c r="K821" s="17" t="n"/>
      <c r="L821" s="17" t="n"/>
      <c r="M821" s="18" t="n"/>
      <c r="N821" s="15" t="n"/>
    </row>
    <row r="822">
      <c r="A822" s="15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7" t="n"/>
      <c r="K822" s="17" t="n"/>
      <c r="L822" s="17" t="n"/>
      <c r="M822" s="18" t="n"/>
      <c r="N822" s="15" t="n"/>
    </row>
    <row r="823">
      <c r="A823" s="15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7" t="n"/>
      <c r="K823" s="17" t="n"/>
      <c r="L823" s="17" t="n"/>
      <c r="M823" s="18" t="n"/>
      <c r="N823" s="15" t="n"/>
    </row>
    <row r="824">
      <c r="A824" s="15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7" t="n"/>
      <c r="K824" s="17" t="n"/>
      <c r="L824" s="17" t="n"/>
      <c r="M824" s="18" t="n"/>
      <c r="N824" s="15" t="n"/>
    </row>
    <row r="825">
      <c r="A825" s="15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7" t="n"/>
      <c r="K825" s="17" t="n"/>
      <c r="L825" s="17" t="n"/>
      <c r="M825" s="18" t="n"/>
      <c r="N825" s="15" t="n"/>
    </row>
    <row r="826">
      <c r="A826" s="15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7" t="n"/>
      <c r="K826" s="17" t="n"/>
      <c r="L826" s="17" t="n"/>
      <c r="M826" s="18" t="n"/>
      <c r="N826" s="15" t="n"/>
    </row>
    <row r="827">
      <c r="A827" s="15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7" t="n"/>
      <c r="K827" s="17" t="n"/>
      <c r="L827" s="17" t="n"/>
      <c r="M827" s="18" t="n"/>
      <c r="N827" s="15" t="n"/>
    </row>
    <row r="828">
      <c r="A828" s="15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7" t="n"/>
      <c r="K828" s="17" t="n"/>
      <c r="L828" s="17" t="n"/>
      <c r="M828" s="18" t="n"/>
      <c r="N828" s="15" t="n"/>
    </row>
    <row r="829">
      <c r="A829" s="15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7" t="n"/>
      <c r="K829" s="17" t="n"/>
      <c r="L829" s="17" t="n"/>
      <c r="M829" s="18" t="n"/>
      <c r="N829" s="15" t="n"/>
    </row>
    <row r="830">
      <c r="A830" s="15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7" t="n"/>
      <c r="K830" s="17" t="n"/>
      <c r="L830" s="17" t="n"/>
      <c r="M830" s="18" t="n"/>
      <c r="N830" s="15" t="n"/>
    </row>
    <row r="831">
      <c r="A831" s="15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7" t="n"/>
      <c r="K831" s="17" t="n"/>
      <c r="L831" s="17" t="n"/>
      <c r="M831" s="18" t="n"/>
      <c r="N831" s="15" t="n"/>
    </row>
    <row r="832">
      <c r="A832" s="15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7" t="n"/>
      <c r="K832" s="17" t="n"/>
      <c r="L832" s="17" t="n"/>
      <c r="M832" s="18" t="n"/>
      <c r="N832" s="15" t="n"/>
    </row>
    <row r="833">
      <c r="A833" s="15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7" t="n"/>
      <c r="K833" s="17" t="n"/>
      <c r="L833" s="17" t="n"/>
      <c r="M833" s="18" t="n"/>
      <c r="N833" s="15" t="n"/>
    </row>
    <row r="834">
      <c r="A834" s="15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7" t="n"/>
      <c r="K834" s="17" t="n"/>
      <c r="L834" s="17" t="n"/>
      <c r="M834" s="18" t="n"/>
      <c r="N834" s="15" t="n"/>
    </row>
    <row r="835">
      <c r="A835" s="15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7" t="n"/>
      <c r="K835" s="17" t="n"/>
      <c r="L835" s="17" t="n"/>
      <c r="M835" s="18" t="n"/>
      <c r="N835" s="15" t="n"/>
    </row>
    <row r="836">
      <c r="A836" s="15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7" t="n"/>
      <c r="K836" s="17" t="n"/>
      <c r="L836" s="17" t="n"/>
      <c r="M836" s="18" t="n"/>
      <c r="N836" s="15" t="n"/>
    </row>
    <row r="837">
      <c r="A837" s="15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7" t="n"/>
      <c r="K837" s="17" t="n"/>
      <c r="L837" s="17" t="n"/>
      <c r="M837" s="18" t="n"/>
      <c r="N837" s="15" t="n"/>
    </row>
    <row r="838">
      <c r="A838" s="15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7" t="n"/>
      <c r="K838" s="17" t="n"/>
      <c r="L838" s="17" t="n"/>
      <c r="M838" s="18" t="n"/>
      <c r="N838" s="15" t="n"/>
    </row>
    <row r="839">
      <c r="A839" s="15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7" t="n"/>
      <c r="K839" s="17" t="n"/>
      <c r="L839" s="17" t="n"/>
      <c r="M839" s="18" t="n"/>
      <c r="N839" s="15" t="n"/>
    </row>
    <row r="840">
      <c r="A840" s="15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7" t="n"/>
      <c r="K840" s="17" t="n"/>
      <c r="L840" s="17" t="n"/>
      <c r="M840" s="18" t="n"/>
      <c r="N840" s="15" t="n"/>
    </row>
    <row r="841">
      <c r="A841" s="15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7" t="n"/>
      <c r="K841" s="17" t="n"/>
      <c r="L841" s="17" t="n"/>
      <c r="M841" s="18" t="n"/>
      <c r="N841" s="15" t="n"/>
    </row>
    <row r="842">
      <c r="A842" s="15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7" t="n"/>
      <c r="K842" s="17" t="n"/>
      <c r="L842" s="17" t="n"/>
      <c r="M842" s="18" t="n"/>
      <c r="N842" s="15" t="n"/>
    </row>
    <row r="843">
      <c r="A843" s="15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7" t="n"/>
      <c r="K843" s="17" t="n"/>
      <c r="L843" s="17" t="n"/>
      <c r="M843" s="18" t="n"/>
      <c r="N843" s="15" t="n"/>
    </row>
    <row r="844">
      <c r="A844" s="15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7" t="n"/>
      <c r="K844" s="17" t="n"/>
      <c r="L844" s="17" t="n"/>
      <c r="M844" s="18" t="n"/>
      <c r="N844" s="15" t="n"/>
    </row>
    <row r="845">
      <c r="A845" s="15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7" t="n"/>
      <c r="K845" s="17" t="n"/>
      <c r="L845" s="17" t="n"/>
      <c r="M845" s="18" t="n"/>
      <c r="N845" s="15" t="n"/>
    </row>
    <row r="846">
      <c r="A846" s="15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7" t="n"/>
      <c r="K846" s="17" t="n"/>
      <c r="L846" s="17" t="n"/>
      <c r="M846" s="18" t="n"/>
      <c r="N846" s="15" t="n"/>
    </row>
    <row r="847">
      <c r="A847" s="15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7" t="n"/>
      <c r="K847" s="17" t="n"/>
      <c r="L847" s="17" t="n"/>
      <c r="M847" s="18" t="n"/>
      <c r="N847" s="15" t="n"/>
    </row>
    <row r="848">
      <c r="A848" s="15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7" t="n"/>
      <c r="K848" s="17" t="n"/>
      <c r="L848" s="17" t="n"/>
      <c r="M848" s="18" t="n"/>
      <c r="N848" s="15" t="n"/>
    </row>
    <row r="849">
      <c r="A849" s="15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7" t="n"/>
      <c r="K849" s="17" t="n"/>
      <c r="L849" s="17" t="n"/>
      <c r="M849" s="18" t="n"/>
      <c r="N849" s="15" t="n"/>
    </row>
    <row r="850">
      <c r="A850" s="15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7" t="n"/>
      <c r="K850" s="17" t="n"/>
      <c r="L850" s="17" t="n"/>
      <c r="M850" s="18" t="n"/>
      <c r="N850" s="15" t="n"/>
    </row>
    <row r="851">
      <c r="A851" s="15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7" t="n"/>
      <c r="K851" s="17" t="n"/>
      <c r="L851" s="17" t="n"/>
      <c r="M851" s="18" t="n"/>
      <c r="N851" s="15" t="n"/>
    </row>
    <row r="852">
      <c r="A852" s="15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7" t="n"/>
      <c r="K852" s="17" t="n"/>
      <c r="L852" s="17" t="n"/>
      <c r="M852" s="18" t="n"/>
      <c r="N852" s="15" t="n"/>
    </row>
    <row r="853">
      <c r="A853" s="15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7" t="n"/>
      <c r="K853" s="17" t="n"/>
      <c r="L853" s="17" t="n"/>
      <c r="M853" s="18" t="n"/>
      <c r="N853" s="15" t="n"/>
    </row>
    <row r="854">
      <c r="A854" s="15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7" t="n"/>
      <c r="K854" s="17" t="n"/>
      <c r="L854" s="17" t="n"/>
      <c r="M854" s="18" t="n"/>
      <c r="N854" s="15" t="n"/>
    </row>
    <row r="855">
      <c r="A855" s="15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7" t="n"/>
      <c r="K855" s="17" t="n"/>
      <c r="L855" s="17" t="n"/>
      <c r="M855" s="18" t="n"/>
      <c r="N855" s="15" t="n"/>
    </row>
    <row r="856">
      <c r="A856" s="15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7" t="n"/>
      <c r="K856" s="17" t="n"/>
      <c r="L856" s="17" t="n"/>
      <c r="M856" s="18" t="n"/>
      <c r="N856" s="15" t="n"/>
    </row>
    <row r="857">
      <c r="A857" s="15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7" t="n"/>
      <c r="K857" s="17" t="n"/>
      <c r="L857" s="17" t="n"/>
      <c r="M857" s="18" t="n"/>
      <c r="N857" s="15" t="n"/>
    </row>
    <row r="858">
      <c r="A858" s="15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7" t="n"/>
      <c r="K858" s="17" t="n"/>
      <c r="L858" s="17" t="n"/>
      <c r="M858" s="18" t="n"/>
      <c r="N858" s="15" t="n"/>
    </row>
    <row r="859">
      <c r="A859" s="15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7" t="n"/>
      <c r="K859" s="17" t="n"/>
      <c r="L859" s="17" t="n"/>
      <c r="M859" s="18" t="n"/>
      <c r="N859" s="15" t="n"/>
    </row>
    <row r="860">
      <c r="A860" s="15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7" t="n"/>
      <c r="K860" s="17" t="n"/>
      <c r="L860" s="17" t="n"/>
      <c r="M860" s="18" t="n"/>
      <c r="N860" s="15" t="n"/>
    </row>
    <row r="861">
      <c r="A861" s="15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7" t="n"/>
      <c r="K861" s="17" t="n"/>
      <c r="L861" s="17" t="n"/>
      <c r="M861" s="18" t="n"/>
      <c r="N861" s="15" t="n"/>
    </row>
    <row r="862">
      <c r="A862" s="15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7" t="n"/>
      <c r="K862" s="17" t="n"/>
      <c r="L862" s="17" t="n"/>
      <c r="M862" s="18" t="n"/>
      <c r="N862" s="15" t="n"/>
    </row>
    <row r="863">
      <c r="A863" s="15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7" t="n"/>
      <c r="K863" s="17" t="n"/>
      <c r="L863" s="17" t="n"/>
      <c r="M863" s="18" t="n"/>
      <c r="N863" s="15" t="n"/>
    </row>
    <row r="864">
      <c r="A864" s="15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7" t="n"/>
      <c r="K864" s="17" t="n"/>
      <c r="L864" s="17" t="n"/>
      <c r="M864" s="18" t="n"/>
      <c r="N864" s="15" t="n"/>
    </row>
    <row r="865">
      <c r="A865" s="15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7" t="n"/>
      <c r="K865" s="17" t="n"/>
      <c r="L865" s="17" t="n"/>
      <c r="M865" s="18" t="n"/>
      <c r="N865" s="15" t="n"/>
    </row>
    <row r="866">
      <c r="A866" s="15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7" t="n"/>
      <c r="K866" s="17" t="n"/>
      <c r="L866" s="17" t="n"/>
      <c r="M866" s="18" t="n"/>
      <c r="N866" s="15" t="n"/>
    </row>
    <row r="867">
      <c r="A867" s="15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7" t="n"/>
      <c r="K867" s="17" t="n"/>
      <c r="L867" s="17" t="n"/>
      <c r="M867" s="18" t="n"/>
      <c r="N867" s="15" t="n"/>
    </row>
    <row r="868">
      <c r="A868" s="15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7" t="n"/>
      <c r="K868" s="17" t="n"/>
      <c r="L868" s="17" t="n"/>
      <c r="M868" s="18" t="n"/>
      <c r="N868" s="15" t="n"/>
    </row>
    <row r="869">
      <c r="A869" s="15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7" t="n"/>
      <c r="K869" s="17" t="n"/>
      <c r="L869" s="17" t="n"/>
      <c r="M869" s="18" t="n"/>
      <c r="N869" s="15" t="n"/>
    </row>
    <row r="870">
      <c r="A870" s="15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7" t="n"/>
      <c r="K870" s="17" t="n"/>
      <c r="L870" s="17" t="n"/>
      <c r="M870" s="18" t="n"/>
      <c r="N870" s="15" t="n"/>
    </row>
    <row r="871">
      <c r="A871" s="15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7" t="n"/>
      <c r="K871" s="17" t="n"/>
      <c r="L871" s="17" t="n"/>
      <c r="M871" s="18" t="n"/>
      <c r="N871" s="15" t="n"/>
    </row>
    <row r="872">
      <c r="A872" s="15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7" t="n"/>
      <c r="K872" s="17" t="n"/>
      <c r="L872" s="17" t="n"/>
      <c r="M872" s="18" t="n"/>
      <c r="N872" s="15" t="n"/>
    </row>
    <row r="873">
      <c r="A873" s="15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7" t="n"/>
      <c r="K873" s="17" t="n"/>
      <c r="L873" s="17" t="n"/>
      <c r="M873" s="18" t="n"/>
      <c r="N873" s="15" t="n"/>
    </row>
    <row r="874">
      <c r="A874" s="15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7" t="n"/>
      <c r="K874" s="17" t="n"/>
      <c r="L874" s="17" t="n"/>
      <c r="M874" s="18" t="n"/>
      <c r="N874" s="15" t="n"/>
    </row>
    <row r="875">
      <c r="A875" s="15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7" t="n"/>
      <c r="K875" s="17" t="n"/>
      <c r="L875" s="17" t="n"/>
      <c r="M875" s="18" t="n"/>
      <c r="N875" s="15" t="n"/>
    </row>
    <row r="876">
      <c r="A876" s="15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7" t="n"/>
      <c r="K876" s="17" t="n"/>
      <c r="L876" s="17" t="n"/>
      <c r="M876" s="18" t="n"/>
      <c r="N876" s="15" t="n"/>
    </row>
    <row r="877">
      <c r="A877" s="15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7" t="n"/>
      <c r="K877" s="17" t="n"/>
      <c r="L877" s="17" t="n"/>
      <c r="M877" s="18" t="n"/>
      <c r="N877" s="15" t="n"/>
    </row>
    <row r="878">
      <c r="A878" s="15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7" t="n"/>
      <c r="K878" s="17" t="n"/>
      <c r="L878" s="17" t="n"/>
      <c r="M878" s="18" t="n"/>
      <c r="N878" s="15" t="n"/>
    </row>
    <row r="879">
      <c r="A879" s="15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7" t="n"/>
      <c r="K879" s="17" t="n"/>
      <c r="L879" s="17" t="n"/>
      <c r="M879" s="18" t="n"/>
      <c r="N879" s="15" t="n"/>
    </row>
    <row r="880">
      <c r="A880" s="15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7" t="n"/>
      <c r="K880" s="17" t="n"/>
      <c r="L880" s="17" t="n"/>
      <c r="M880" s="18" t="n"/>
      <c r="N880" s="15" t="n"/>
    </row>
    <row r="881">
      <c r="A881" s="15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7" t="n"/>
      <c r="K881" s="17" t="n"/>
      <c r="L881" s="17" t="n"/>
      <c r="M881" s="18" t="n"/>
      <c r="N881" s="15" t="n"/>
    </row>
    <row r="882">
      <c r="A882" s="15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7" t="n"/>
      <c r="K882" s="17" t="n"/>
      <c r="L882" s="17" t="n"/>
      <c r="M882" s="18" t="n"/>
      <c r="N882" s="15" t="n"/>
    </row>
    <row r="883">
      <c r="A883" s="15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7" t="n"/>
      <c r="K883" s="17" t="n"/>
      <c r="L883" s="17" t="n"/>
      <c r="M883" s="18" t="n"/>
      <c r="N883" s="15" t="n"/>
    </row>
    <row r="884">
      <c r="A884" s="15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7" t="n"/>
      <c r="K884" s="17" t="n"/>
      <c r="L884" s="17" t="n"/>
      <c r="M884" s="18" t="n"/>
      <c r="N884" s="15" t="n"/>
    </row>
    <row r="885">
      <c r="A885" s="15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7" t="n"/>
      <c r="K885" s="17" t="n"/>
      <c r="L885" s="17" t="n"/>
      <c r="M885" s="18" t="n"/>
      <c r="N885" s="15" t="n"/>
    </row>
    <row r="886">
      <c r="A886" s="15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7" t="n"/>
      <c r="K886" s="17" t="n"/>
      <c r="L886" s="17" t="n"/>
      <c r="M886" s="18" t="n"/>
      <c r="N886" s="15" t="n"/>
    </row>
    <row r="887">
      <c r="A887" s="15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7" t="n"/>
      <c r="K887" s="17" t="n"/>
      <c r="L887" s="17" t="n"/>
      <c r="M887" s="18" t="n"/>
      <c r="N887" s="15" t="n"/>
    </row>
    <row r="888">
      <c r="A888" s="15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7" t="n"/>
      <c r="K888" s="17" t="n"/>
      <c r="L888" s="17" t="n"/>
      <c r="M888" s="18" t="n"/>
      <c r="N888" s="15" t="n"/>
    </row>
    <row r="889">
      <c r="A889" s="15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7" t="n"/>
      <c r="K889" s="17" t="n"/>
      <c r="L889" s="17" t="n"/>
      <c r="M889" s="18" t="n"/>
      <c r="N889" s="15" t="n"/>
    </row>
    <row r="890">
      <c r="A890" s="15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7" t="n"/>
      <c r="K890" s="17" t="n"/>
      <c r="L890" s="17" t="n"/>
      <c r="M890" s="18" t="n"/>
      <c r="N890" s="15" t="n"/>
    </row>
    <row r="891">
      <c r="A891" s="15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7" t="n"/>
      <c r="K891" s="17" t="n"/>
      <c r="L891" s="17" t="n"/>
      <c r="M891" s="18" t="n"/>
      <c r="N891" s="15" t="n"/>
    </row>
    <row r="892">
      <c r="A892" s="15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7" t="n"/>
      <c r="K892" s="17" t="n"/>
      <c r="L892" s="17" t="n"/>
      <c r="M892" s="18" t="n"/>
      <c r="N892" s="15" t="n"/>
    </row>
    <row r="893">
      <c r="A893" s="15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7" t="n"/>
      <c r="K893" s="17" t="n"/>
      <c r="L893" s="17" t="n"/>
      <c r="M893" s="18" t="n"/>
      <c r="N893" s="15" t="n"/>
    </row>
    <row r="894">
      <c r="A894" s="15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7" t="n"/>
      <c r="K894" s="17" t="n"/>
      <c r="L894" s="17" t="n"/>
      <c r="M894" s="18" t="n"/>
      <c r="N894" s="15" t="n"/>
    </row>
    <row r="895">
      <c r="A895" s="15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7" t="n"/>
      <c r="K895" s="17" t="n"/>
      <c r="L895" s="17" t="n"/>
      <c r="M895" s="18" t="n"/>
      <c r="N895" s="15" t="n"/>
    </row>
    <row r="896">
      <c r="A896" s="15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7" t="n"/>
      <c r="K896" s="17" t="n"/>
      <c r="L896" s="17" t="n"/>
      <c r="M896" s="18" t="n"/>
      <c r="N896" s="15" t="n"/>
    </row>
    <row r="897">
      <c r="A897" s="15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7" t="n"/>
      <c r="K897" s="17" t="n"/>
      <c r="L897" s="17" t="n"/>
      <c r="M897" s="18" t="n"/>
      <c r="N897" s="15" t="n"/>
    </row>
    <row r="898">
      <c r="A898" s="15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7" t="n"/>
      <c r="K898" s="17" t="n"/>
      <c r="L898" s="17" t="n"/>
      <c r="M898" s="18" t="n"/>
      <c r="N898" s="15" t="n"/>
    </row>
    <row r="899">
      <c r="A899" s="15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7" t="n"/>
      <c r="K899" s="17" t="n"/>
      <c r="L899" s="17" t="n"/>
      <c r="M899" s="18" t="n"/>
      <c r="N899" s="15" t="n"/>
    </row>
    <row r="900">
      <c r="A900" s="15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7" t="n"/>
      <c r="K900" s="17" t="n"/>
      <c r="L900" s="17" t="n"/>
      <c r="M900" s="18" t="n"/>
      <c r="N900" s="15" t="n"/>
    </row>
    <row r="901">
      <c r="A901" s="15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7" t="n"/>
      <c r="K901" s="17" t="n"/>
      <c r="L901" s="17" t="n"/>
      <c r="M901" s="18" t="n"/>
      <c r="N901" s="15" t="n"/>
    </row>
    <row r="902">
      <c r="A902" s="15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7" t="n"/>
      <c r="K902" s="17" t="n"/>
      <c r="L902" s="17" t="n"/>
      <c r="M902" s="18" t="n"/>
      <c r="N902" s="15" t="n"/>
    </row>
    <row r="903">
      <c r="A903" s="15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7" t="n"/>
      <c r="K903" s="17" t="n"/>
      <c r="L903" s="17" t="n"/>
      <c r="M903" s="18" t="n"/>
      <c r="N903" s="15" t="n"/>
    </row>
    <row r="904">
      <c r="A904" s="15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7" t="n"/>
      <c r="K904" s="17" t="n"/>
      <c r="L904" s="17" t="n"/>
      <c r="M904" s="18" t="n"/>
      <c r="N904" s="15" t="n"/>
    </row>
    <row r="905">
      <c r="A905" s="15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7" t="n"/>
      <c r="K905" s="17" t="n"/>
      <c r="L905" s="17" t="n"/>
      <c r="M905" s="18" t="n"/>
      <c r="N905" s="15" t="n"/>
    </row>
    <row r="906">
      <c r="A906" s="15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7" t="n"/>
      <c r="K906" s="17" t="n"/>
      <c r="L906" s="17" t="n"/>
      <c r="M906" s="18" t="n"/>
      <c r="N906" s="15" t="n"/>
    </row>
    <row r="907">
      <c r="A907" s="15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7" t="n"/>
      <c r="K907" s="17" t="n"/>
      <c r="L907" s="17" t="n"/>
      <c r="M907" s="18" t="n"/>
      <c r="N907" s="15" t="n"/>
    </row>
    <row r="908">
      <c r="A908" s="15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7" t="n"/>
      <c r="K908" s="17" t="n"/>
      <c r="L908" s="17" t="n"/>
      <c r="M908" s="18" t="n"/>
      <c r="N908" s="15" t="n"/>
    </row>
    <row r="909">
      <c r="A909" s="15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7" t="n"/>
      <c r="K909" s="17" t="n"/>
      <c r="L909" s="17" t="n"/>
      <c r="M909" s="18" t="n"/>
      <c r="N909" s="15" t="n"/>
    </row>
    <row r="910">
      <c r="A910" s="15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7" t="n"/>
      <c r="K910" s="17" t="n"/>
      <c r="L910" s="17" t="n"/>
      <c r="M910" s="18" t="n"/>
      <c r="N910" s="15" t="n"/>
    </row>
    <row r="911">
      <c r="A911" s="15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7" t="n"/>
      <c r="K911" s="17" t="n"/>
      <c r="L911" s="17" t="n"/>
      <c r="M911" s="18" t="n"/>
      <c r="N911" s="15" t="n"/>
    </row>
    <row r="912">
      <c r="A912" s="15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7" t="n"/>
      <c r="K912" s="17" t="n"/>
      <c r="L912" s="17" t="n"/>
      <c r="M912" s="18" t="n"/>
      <c r="N912" s="15" t="n"/>
    </row>
    <row r="913">
      <c r="A913" s="15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7" t="n"/>
      <c r="K913" s="17" t="n"/>
      <c r="L913" s="17" t="n"/>
      <c r="M913" s="18" t="n"/>
      <c r="N913" s="15" t="n"/>
    </row>
    <row r="914">
      <c r="A914" s="15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7" t="n"/>
      <c r="K914" s="17" t="n"/>
      <c r="L914" s="17" t="n"/>
      <c r="M914" s="18" t="n"/>
      <c r="N914" s="15" t="n"/>
    </row>
    <row r="915">
      <c r="A915" s="15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7" t="n"/>
      <c r="K915" s="17" t="n"/>
      <c r="L915" s="17" t="n"/>
      <c r="M915" s="18" t="n"/>
      <c r="N915" s="15" t="n"/>
    </row>
    <row r="916">
      <c r="A916" s="15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7" t="n"/>
      <c r="K916" s="17" t="n"/>
      <c r="L916" s="17" t="n"/>
      <c r="M916" s="18" t="n"/>
      <c r="N916" s="15" t="n"/>
    </row>
    <row r="917">
      <c r="A917" s="15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7" t="n"/>
      <c r="K917" s="17" t="n"/>
      <c r="L917" s="17" t="n"/>
      <c r="M917" s="18" t="n"/>
      <c r="N917" s="15" t="n"/>
    </row>
    <row r="918">
      <c r="A918" s="15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7" t="n"/>
      <c r="K918" s="17" t="n"/>
      <c r="L918" s="17" t="n"/>
      <c r="M918" s="18" t="n"/>
      <c r="N918" s="15" t="n"/>
    </row>
    <row r="919">
      <c r="A919" s="15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7" t="n"/>
      <c r="K919" s="17" t="n"/>
      <c r="L919" s="17" t="n"/>
      <c r="M919" s="18" t="n"/>
      <c r="N919" s="15" t="n"/>
    </row>
    <row r="920">
      <c r="A920" s="15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7" t="n"/>
      <c r="K920" s="17" t="n"/>
      <c r="L920" s="17" t="n"/>
      <c r="M920" s="18" t="n"/>
      <c r="N920" s="15" t="n"/>
    </row>
    <row r="921">
      <c r="A921" s="15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7" t="n"/>
      <c r="K921" s="17" t="n"/>
      <c r="L921" s="17" t="n"/>
      <c r="M921" s="18" t="n"/>
      <c r="N921" s="15" t="n"/>
    </row>
    <row r="922">
      <c r="A922" s="15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7" t="n"/>
      <c r="K922" s="17" t="n"/>
      <c r="L922" s="17" t="n"/>
      <c r="M922" s="18" t="n"/>
      <c r="N922" s="15" t="n"/>
    </row>
    <row r="923">
      <c r="A923" s="15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7" t="n"/>
      <c r="K923" s="17" t="n"/>
      <c r="L923" s="17" t="n"/>
      <c r="M923" s="18" t="n"/>
      <c r="N923" s="15" t="n"/>
    </row>
    <row r="924">
      <c r="A924" s="15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7" t="n"/>
      <c r="K924" s="17" t="n"/>
      <c r="L924" s="17" t="n"/>
      <c r="M924" s="18" t="n"/>
      <c r="N924" s="15" t="n"/>
    </row>
    <row r="925">
      <c r="A925" s="15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7" t="n"/>
      <c r="K925" s="17" t="n"/>
      <c r="L925" s="17" t="n"/>
      <c r="M925" s="18" t="n"/>
      <c r="N925" s="15" t="n"/>
    </row>
    <row r="926">
      <c r="A926" s="15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7" t="n"/>
      <c r="K926" s="17" t="n"/>
      <c r="L926" s="17" t="n"/>
      <c r="M926" s="18" t="n"/>
      <c r="N926" s="15" t="n"/>
    </row>
    <row r="927">
      <c r="A927" s="15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7" t="n"/>
      <c r="K927" s="17" t="n"/>
      <c r="L927" s="17" t="n"/>
      <c r="M927" s="18" t="n"/>
      <c r="N927" s="15" t="n"/>
    </row>
    <row r="928">
      <c r="A928" s="15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7" t="n"/>
      <c r="K928" s="17" t="n"/>
      <c r="L928" s="17" t="n"/>
      <c r="M928" s="18" t="n"/>
      <c r="N928" s="15" t="n"/>
    </row>
    <row r="929">
      <c r="A929" s="15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7" t="n"/>
      <c r="K929" s="17" t="n"/>
      <c r="L929" s="17" t="n"/>
      <c r="M929" s="18" t="n"/>
      <c r="N929" s="15" t="n"/>
    </row>
    <row r="930">
      <c r="A930" s="15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7" t="n"/>
      <c r="K930" s="17" t="n"/>
      <c r="L930" s="17" t="n"/>
      <c r="M930" s="18" t="n"/>
      <c r="N930" s="15" t="n"/>
    </row>
    <row r="931">
      <c r="A931" s="15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7" t="n"/>
      <c r="K931" s="17" t="n"/>
      <c r="L931" s="17" t="n"/>
      <c r="M931" s="18" t="n"/>
      <c r="N931" s="15" t="n"/>
    </row>
    <row r="932">
      <c r="A932" s="15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7" t="n"/>
      <c r="K932" s="17" t="n"/>
      <c r="L932" s="17" t="n"/>
      <c r="M932" s="18" t="n"/>
      <c r="N932" s="15" t="n"/>
    </row>
    <row r="933">
      <c r="A933" s="15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7" t="n"/>
      <c r="K933" s="17" t="n"/>
      <c r="L933" s="17" t="n"/>
      <c r="M933" s="18" t="n"/>
      <c r="N933" s="15" t="n"/>
    </row>
    <row r="934">
      <c r="A934" s="15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7" t="n"/>
      <c r="K934" s="17" t="n"/>
      <c r="L934" s="17" t="n"/>
      <c r="M934" s="18" t="n"/>
      <c r="N934" s="15" t="n"/>
    </row>
    <row r="935">
      <c r="A935" s="15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7" t="n"/>
      <c r="K935" s="17" t="n"/>
      <c r="L935" s="17" t="n"/>
      <c r="M935" s="18" t="n"/>
      <c r="N935" s="15" t="n"/>
    </row>
    <row r="936">
      <c r="A936" s="15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7" t="n"/>
      <c r="K936" s="17" t="n"/>
      <c r="L936" s="17" t="n"/>
      <c r="M936" s="18" t="n"/>
      <c r="N936" s="15" t="n"/>
    </row>
    <row r="937">
      <c r="A937" s="15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7" t="n"/>
      <c r="K937" s="17" t="n"/>
      <c r="L937" s="17" t="n"/>
      <c r="M937" s="18" t="n"/>
      <c r="N937" s="15" t="n"/>
    </row>
    <row r="938">
      <c r="A938" s="15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7" t="n"/>
      <c r="K938" s="17" t="n"/>
      <c r="L938" s="17" t="n"/>
      <c r="M938" s="18" t="n"/>
      <c r="N938" s="15" t="n"/>
    </row>
    <row r="939">
      <c r="A939" s="15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7" t="n"/>
      <c r="K939" s="17" t="n"/>
      <c r="L939" s="17" t="n"/>
      <c r="M939" s="18" t="n"/>
      <c r="N939" s="15" t="n"/>
    </row>
    <row r="940">
      <c r="A940" s="15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7" t="n"/>
      <c r="K940" s="17" t="n"/>
      <c r="L940" s="17" t="n"/>
      <c r="M940" s="18" t="n"/>
      <c r="N940" s="15" t="n"/>
    </row>
    <row r="941">
      <c r="A941" s="15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7" t="n"/>
      <c r="K941" s="17" t="n"/>
      <c r="L941" s="17" t="n"/>
      <c r="M941" s="18" t="n"/>
      <c r="N941" s="15" t="n"/>
    </row>
    <row r="942">
      <c r="A942" s="15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7" t="n"/>
      <c r="K942" s="17" t="n"/>
      <c r="L942" s="17" t="n"/>
      <c r="M942" s="18" t="n"/>
      <c r="N942" s="15" t="n"/>
    </row>
    <row r="943">
      <c r="A943" s="15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7" t="n"/>
      <c r="K943" s="17" t="n"/>
      <c r="L943" s="17" t="n"/>
      <c r="M943" s="18" t="n"/>
      <c r="N943" s="15" t="n"/>
    </row>
    <row r="944">
      <c r="A944" s="15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7" t="n"/>
      <c r="K944" s="17" t="n"/>
      <c r="L944" s="17" t="n"/>
      <c r="M944" s="18" t="n"/>
      <c r="N944" s="15" t="n"/>
    </row>
    <row r="945">
      <c r="A945" s="15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7" t="n"/>
      <c r="K945" s="17" t="n"/>
      <c r="L945" s="17" t="n"/>
      <c r="M945" s="18" t="n"/>
      <c r="N945" s="15" t="n"/>
    </row>
    <row r="946">
      <c r="A946" s="15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7" t="n"/>
      <c r="K946" s="17" t="n"/>
      <c r="L946" s="17" t="n"/>
      <c r="M946" s="18" t="n"/>
      <c r="N946" s="15" t="n"/>
    </row>
    <row r="947">
      <c r="A947" s="15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7" t="n"/>
      <c r="K947" s="17" t="n"/>
      <c r="L947" s="17" t="n"/>
      <c r="M947" s="18" t="n"/>
      <c r="N947" s="15" t="n"/>
    </row>
    <row r="948">
      <c r="A948" s="15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7" t="n"/>
      <c r="K948" s="17" t="n"/>
      <c r="L948" s="17" t="n"/>
      <c r="M948" s="18" t="n"/>
      <c r="N948" s="15" t="n"/>
    </row>
    <row r="949">
      <c r="A949" s="15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7" t="n"/>
      <c r="K949" s="17" t="n"/>
      <c r="L949" s="17" t="n"/>
      <c r="M949" s="18" t="n"/>
      <c r="N949" s="15" t="n"/>
    </row>
    <row r="950">
      <c r="A950" s="15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7" t="n"/>
      <c r="K950" s="17" t="n"/>
      <c r="L950" s="17" t="n"/>
      <c r="M950" s="18" t="n"/>
      <c r="N950" s="15" t="n"/>
    </row>
    <row r="951">
      <c r="A951" s="15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7" t="n"/>
      <c r="K951" s="17" t="n"/>
      <c r="L951" s="17" t="n"/>
      <c r="M951" s="18" t="n"/>
      <c r="N951" s="15" t="n"/>
    </row>
    <row r="952">
      <c r="A952" s="15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7" t="n"/>
      <c r="K952" s="17" t="n"/>
      <c r="L952" s="17" t="n"/>
      <c r="M952" s="18" t="n"/>
      <c r="N952" s="15" t="n"/>
    </row>
    <row r="953">
      <c r="A953" s="15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7" t="n"/>
      <c r="K953" s="17" t="n"/>
      <c r="L953" s="17" t="n"/>
      <c r="M953" s="18" t="n"/>
      <c r="N953" s="15" t="n"/>
    </row>
    <row r="954">
      <c r="A954" s="15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7" t="n"/>
      <c r="K954" s="17" t="n"/>
      <c r="L954" s="17" t="n"/>
      <c r="M954" s="18" t="n"/>
      <c r="N954" s="15" t="n"/>
    </row>
    <row r="955">
      <c r="A955" s="15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7" t="n"/>
      <c r="K955" s="17" t="n"/>
      <c r="L955" s="17" t="n"/>
      <c r="M955" s="18" t="n"/>
      <c r="N955" s="15" t="n"/>
    </row>
    <row r="956">
      <c r="A956" s="15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7" t="n"/>
      <c r="K956" s="17" t="n"/>
      <c r="L956" s="17" t="n"/>
      <c r="M956" s="18" t="n"/>
      <c r="N956" s="15" t="n"/>
    </row>
    <row r="957">
      <c r="A957" s="15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7" t="n"/>
      <c r="K957" s="17" t="n"/>
      <c r="L957" s="17" t="n"/>
      <c r="M957" s="18" t="n"/>
      <c r="N957" s="15" t="n"/>
    </row>
    <row r="958">
      <c r="A958" s="15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7" t="n"/>
      <c r="K958" s="17" t="n"/>
      <c r="L958" s="17" t="n"/>
      <c r="M958" s="18" t="n"/>
      <c r="N958" s="15" t="n"/>
    </row>
    <row r="959">
      <c r="A959" s="15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7" t="n"/>
      <c r="K959" s="17" t="n"/>
      <c r="L959" s="17" t="n"/>
      <c r="M959" s="18" t="n"/>
      <c r="N959" s="15" t="n"/>
    </row>
    <row r="960">
      <c r="A960" s="15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7" t="n"/>
      <c r="K960" s="17" t="n"/>
      <c r="L960" s="17" t="n"/>
      <c r="M960" s="18" t="n"/>
      <c r="N960" s="15" t="n"/>
    </row>
    <row r="961">
      <c r="A961" s="15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7" t="n"/>
      <c r="K961" s="17" t="n"/>
      <c r="L961" s="17" t="n"/>
      <c r="M961" s="18" t="n"/>
      <c r="N961" s="15" t="n"/>
    </row>
    <row r="962">
      <c r="A962" s="15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7" t="n"/>
      <c r="K962" s="17" t="n"/>
      <c r="L962" s="17" t="n"/>
      <c r="M962" s="18" t="n"/>
      <c r="N962" s="15" t="n"/>
    </row>
    <row r="963">
      <c r="A963" s="15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7" t="n"/>
      <c r="K963" s="17" t="n"/>
      <c r="L963" s="17" t="n"/>
      <c r="M963" s="18" t="n"/>
      <c r="N963" s="15" t="n"/>
    </row>
    <row r="964">
      <c r="A964" s="15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7" t="n"/>
      <c r="K964" s="17" t="n"/>
      <c r="L964" s="17" t="n"/>
      <c r="M964" s="18" t="n"/>
      <c r="N964" s="15" t="n"/>
    </row>
    <row r="965">
      <c r="A965" s="15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7" t="n"/>
      <c r="K965" s="17" t="n"/>
      <c r="L965" s="17" t="n"/>
      <c r="M965" s="18" t="n"/>
      <c r="N965" s="15" t="n"/>
    </row>
    <row r="966">
      <c r="A966" s="15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7" t="n"/>
      <c r="K966" s="17" t="n"/>
      <c r="L966" s="17" t="n"/>
      <c r="M966" s="18" t="n"/>
      <c r="N966" s="15" t="n"/>
    </row>
    <row r="967">
      <c r="A967" s="15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7" t="n"/>
      <c r="K967" s="17" t="n"/>
      <c r="L967" s="17" t="n"/>
      <c r="M967" s="18" t="n"/>
      <c r="N967" s="15" t="n"/>
    </row>
    <row r="968">
      <c r="A968" s="15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7" t="n"/>
      <c r="K968" s="17" t="n"/>
      <c r="L968" s="17" t="n"/>
      <c r="M968" s="18" t="n"/>
      <c r="N968" s="15" t="n"/>
    </row>
    <row r="969">
      <c r="A969" s="15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7" t="n"/>
      <c r="K969" s="17" t="n"/>
      <c r="L969" s="17" t="n"/>
      <c r="M969" s="18" t="n"/>
      <c r="N969" s="15" t="n"/>
    </row>
    <row r="970">
      <c r="A970" s="15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7" t="n"/>
      <c r="K970" s="17" t="n"/>
      <c r="L970" s="17" t="n"/>
      <c r="M970" s="18" t="n"/>
      <c r="N970" s="15" t="n"/>
    </row>
    <row r="971">
      <c r="A971" s="15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7" t="n"/>
      <c r="K971" s="17" t="n"/>
      <c r="L971" s="17" t="n"/>
      <c r="M971" s="18" t="n"/>
      <c r="N971" s="15" t="n"/>
    </row>
    <row r="972">
      <c r="A972" s="15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7" t="n"/>
      <c r="K972" s="17" t="n"/>
      <c r="L972" s="17" t="n"/>
      <c r="M972" s="18" t="n"/>
      <c r="N972" s="15" t="n"/>
    </row>
    <row r="973">
      <c r="A973" s="15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7" t="n"/>
      <c r="K973" s="17" t="n"/>
      <c r="L973" s="17" t="n"/>
      <c r="M973" s="18" t="n"/>
      <c r="N973" s="15" t="n"/>
    </row>
    <row r="974">
      <c r="A974" s="15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7" t="n"/>
      <c r="K974" s="17" t="n"/>
      <c r="L974" s="17" t="n"/>
      <c r="M974" s="18" t="n"/>
      <c r="N974" s="15" t="n"/>
    </row>
    <row r="975">
      <c r="A975" s="15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7" t="n"/>
      <c r="K975" s="17" t="n"/>
      <c r="L975" s="17" t="n"/>
      <c r="M975" s="18" t="n"/>
      <c r="N975" s="15" t="n"/>
    </row>
    <row r="976">
      <c r="A976" s="15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7" t="n"/>
      <c r="K976" s="17" t="n"/>
      <c r="L976" s="17" t="n"/>
      <c r="M976" s="18" t="n"/>
      <c r="N976" s="15" t="n"/>
    </row>
    <row r="977">
      <c r="A977" s="15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7" t="n"/>
      <c r="K977" s="17" t="n"/>
      <c r="L977" s="17" t="n"/>
      <c r="M977" s="18" t="n"/>
      <c r="N977" s="15" t="n"/>
    </row>
    <row r="978">
      <c r="A978" s="15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7" t="n"/>
      <c r="K978" s="17" t="n"/>
      <c r="L978" s="17" t="n"/>
      <c r="M978" s="18" t="n"/>
      <c r="N978" s="15" t="n"/>
    </row>
    <row r="979">
      <c r="A979" s="15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7" t="n"/>
      <c r="K979" s="17" t="n"/>
      <c r="L979" s="17" t="n"/>
      <c r="M979" s="18" t="n"/>
      <c r="N979" s="15" t="n"/>
    </row>
    <row r="980">
      <c r="A980" s="15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7" t="n"/>
      <c r="K980" s="17" t="n"/>
      <c r="L980" s="17" t="n"/>
      <c r="M980" s="18" t="n"/>
      <c r="N980" s="15" t="n"/>
    </row>
    <row r="981">
      <c r="A981" s="15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7" t="n"/>
      <c r="K981" s="17" t="n"/>
      <c r="L981" s="17" t="n"/>
      <c r="M981" s="18" t="n"/>
      <c r="N981" s="15" t="n"/>
    </row>
    <row r="982">
      <c r="A982" s="15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7" t="n"/>
      <c r="K982" s="17" t="n"/>
      <c r="L982" s="17" t="n"/>
      <c r="M982" s="18" t="n"/>
      <c r="N982" s="15" t="n"/>
    </row>
    <row r="983">
      <c r="A983" s="15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7" t="n"/>
      <c r="K983" s="17" t="n"/>
      <c r="L983" s="17" t="n"/>
      <c r="M983" s="18" t="n"/>
      <c r="N983" s="15" t="n"/>
    </row>
    <row r="984">
      <c r="A984" s="15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7" t="n"/>
      <c r="K984" s="17" t="n"/>
      <c r="L984" s="17" t="n"/>
      <c r="M984" s="18" t="n"/>
      <c r="N984" s="15" t="n"/>
    </row>
    <row r="985">
      <c r="A985" s="15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7" t="n"/>
      <c r="K985" s="17" t="n"/>
      <c r="L985" s="17" t="n"/>
      <c r="M985" s="18" t="n"/>
      <c r="N985" s="15" t="n"/>
    </row>
    <row r="986">
      <c r="A986" s="15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7" t="n"/>
      <c r="K986" s="17" t="n"/>
      <c r="L986" s="17" t="n"/>
      <c r="M986" s="18" t="n"/>
      <c r="N986" s="15" t="n"/>
    </row>
    <row r="987">
      <c r="A987" s="15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7" t="n"/>
      <c r="K987" s="17" t="n"/>
      <c r="L987" s="17" t="n"/>
      <c r="M987" s="18" t="n"/>
      <c r="N987" s="15" t="n"/>
    </row>
    <row r="988">
      <c r="A988" s="15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7" t="n"/>
      <c r="K988" s="17" t="n"/>
      <c r="L988" s="17" t="n"/>
      <c r="M988" s="18" t="n"/>
      <c r="N988" s="15" t="n"/>
    </row>
    <row r="989">
      <c r="A989" s="15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7" t="n"/>
      <c r="K989" s="17" t="n"/>
      <c r="L989" s="17" t="n"/>
      <c r="M989" s="18" t="n"/>
      <c r="N989" s="15" t="n"/>
    </row>
    <row r="990">
      <c r="A990" s="15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7" t="n"/>
      <c r="K990" s="17" t="n"/>
      <c r="L990" s="17" t="n"/>
      <c r="M990" s="18" t="n"/>
      <c r="N990" s="15" t="n"/>
    </row>
    <row r="991">
      <c r="A991" s="15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7" t="n"/>
      <c r="K991" s="17" t="n"/>
      <c r="L991" s="17" t="n"/>
      <c r="M991" s="18" t="n"/>
      <c r="N991" s="15" t="n"/>
    </row>
    <row r="992">
      <c r="A992" s="15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7" t="n"/>
      <c r="K992" s="17" t="n"/>
      <c r="L992" s="17" t="n"/>
      <c r="M992" s="18" t="n"/>
      <c r="N992" s="15" t="n"/>
    </row>
    <row r="993">
      <c r="A993" s="15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7" t="n"/>
      <c r="K993" s="17" t="n"/>
      <c r="L993" s="17" t="n"/>
      <c r="M993" s="18" t="n"/>
      <c r="N993" s="15" t="n"/>
    </row>
    <row r="994">
      <c r="A994" s="15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7" t="n"/>
      <c r="K994" s="17" t="n"/>
      <c r="L994" s="17" t="n"/>
      <c r="M994" s="18" t="n"/>
      <c r="N994" s="15" t="n"/>
    </row>
    <row r="995">
      <c r="A995" s="15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7" t="n"/>
      <c r="K995" s="17" t="n"/>
      <c r="L995" s="17" t="n"/>
      <c r="M995" s="18" t="n"/>
      <c r="N995" s="15" t="n"/>
    </row>
    <row r="996">
      <c r="A996" s="15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7" t="n"/>
      <c r="K996" s="17" t="n"/>
      <c r="L996" s="17" t="n"/>
      <c r="M996" s="18" t="n"/>
      <c r="N996" s="15" t="n"/>
    </row>
    <row r="997">
      <c r="A997" s="15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7" t="n"/>
      <c r="K997" s="17" t="n"/>
      <c r="L997" s="17" t="n"/>
      <c r="M997" s="18" t="n"/>
      <c r="N997" s="15" t="n"/>
    </row>
    <row r="998">
      <c r="A998" s="15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7" t="n"/>
      <c r="K998" s="17" t="n"/>
      <c r="L998" s="17" t="n"/>
      <c r="M998" s="18" t="n"/>
      <c r="N998" s="15" t="n"/>
    </row>
    <row r="999">
      <c r="A999" s="15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7" t="n"/>
      <c r="K999" s="17" t="n"/>
      <c r="L999" s="17" t="n"/>
      <c r="M999" s="18" t="n"/>
      <c r="N999" s="15" t="n"/>
    </row>
    <row r="1000">
      <c r="A1000" s="15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7" t="n"/>
      <c r="K1000" s="17" t="n"/>
      <c r="L1000" s="17" t="n"/>
      <c r="M1000" s="18" t="n"/>
      <c r="N1000" s="15" t="n"/>
    </row>
    <row r="1001">
      <c r="A1001" s="15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7" t="n"/>
      <c r="K1001" s="17" t="n"/>
      <c r="L1001" s="17" t="n"/>
      <c r="M1001" s="18" t="n"/>
      <c r="N1001" s="15" t="n"/>
    </row>
    <row r="1002">
      <c r="A1002" s="15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7" t="n"/>
      <c r="K1002" s="17" t="n"/>
      <c r="L1002" s="17" t="n"/>
      <c r="M1002" s="18" t="n"/>
      <c r="N1002" s="15" t="n"/>
    </row>
    <row r="1003">
      <c r="A1003" s="15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7" t="n"/>
      <c r="K1003" s="17" t="n"/>
      <c r="L1003" s="17" t="n"/>
      <c r="M1003" s="18" t="n"/>
      <c r="N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  <c r="H1004" s="15" t="n"/>
      <c r="I1004" s="15" t="n"/>
      <c r="N1004" s="15" t="n"/>
    </row>
    <row r="1006" ht="20" customHeight="1">
      <c r="A1006" s="19" t="inlineStr">
        <is>
          <t>Sarı hücreler manuel giriştir; formül hücreleri kilitli ve korumalıdır.</t>
        </is>
      </c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 t="n"/>
      <c r="K1006" s="20" t="n"/>
      <c r="L1006" s="20" t="n"/>
      <c r="M1006" s="20" t="n"/>
      <c r="N1006" s="20" t="n"/>
      <c r="O1006" s="20" t="n"/>
      <c r="P1006" s="20" t="n"/>
      <c r="Q1006" s="20" t="n"/>
      <c r="R1006" s="20" t="n"/>
      <c r="S1006" s="20" t="n"/>
      <c r="T1006" s="20" t="n"/>
      <c r="U1006" s="20" t="n"/>
      <c r="V1006" s="20" t="n"/>
      <c r="W1006" s="20" t="n"/>
      <c r="X1006" s="20" t="n"/>
      <c r="Y1006" s="20" t="n"/>
      <c r="Z1006" s="20" t="n"/>
      <c r="AA1006" s="20" t="n"/>
      <c r="AB1006" s="20" t="n"/>
      <c r="AC1006" s="20" t="n"/>
      <c r="AD1006" s="20" t="n"/>
      <c r="AE1006" s="20" t="n"/>
      <c r="AF1006" s="20" t="n"/>
      <c r="AG1006" s="20" t="n"/>
      <c r="AH1006" s="20" t="n"/>
      <c r="AI1006" s="20" t="n"/>
      <c r="AJ1006" s="20" t="n"/>
      <c r="AK1006" s="20" t="n"/>
      <c r="AL1006" s="20" t="n"/>
      <c r="AM1006" s="20" t="n"/>
      <c r="AN1006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priority="1" operator="lessThan" dxfId="0">
      <formula>0</formula>
    </cfRule>
  </conditionalFormatting>
  <conditionalFormatting sqref="C6:C1004">
    <cfRule type="cellIs" priority="2" operator="lessThan" dxfId="0">
      <formula>0</formula>
    </cfRule>
  </conditionalFormatting>
  <conditionalFormatting sqref="D6:D1004">
    <cfRule type="cellIs" priority="3" operator="lessThan" dxfId="0">
      <formula>0</formula>
    </cfRule>
  </conditionalFormatting>
  <conditionalFormatting sqref="E6:E1004">
    <cfRule type="cellIs" priority="4" operator="lessThan" dxfId="0">
      <formula>0</formula>
    </cfRule>
  </conditionalFormatting>
  <conditionalFormatting sqref="F6:F1004">
    <cfRule type="cellIs" priority="5" operator="lessThan" dxfId="0">
      <formula>0</formula>
    </cfRule>
  </conditionalFormatting>
  <conditionalFormatting sqref="G6:G1004">
    <cfRule type="cellIs" priority="6" operator="lessThan" dxfId="0">
      <formula>0</formula>
    </cfRule>
  </conditionalFormatting>
  <conditionalFormatting sqref="H6:H1004">
    <cfRule type="cellIs" priority="7" operator="lessThan" dxfId="0">
      <formula>0</formula>
    </cfRule>
  </conditionalFormatting>
  <conditionalFormatting sqref="I6:I1004">
    <cfRule type="cellIs" priority="8" operator="lessThan" dxfId="0">
      <formula>0</formula>
    </cfRule>
  </conditionalFormatting>
  <conditionalFormatting sqref="J6:J1004">
    <cfRule type="cellIs" priority="9" operator="lessThan" dxfId="1">
      <formula>0</formula>
    </cfRule>
    <cfRule type="cellIs" priority="10" operator="greaterThan" dxfId="2">
      <formula>0</formula>
    </cfRule>
  </conditionalFormatting>
  <conditionalFormatting sqref="K6:K1004">
    <cfRule type="cellIs" priority="11" operator="lessThan" dxfId="1">
      <formula>0</formula>
    </cfRule>
  </conditionalFormatting>
  <conditionalFormatting sqref="M6:M1004">
    <cfRule type="cellIs" priority="12" operator="equal" dxfId="0">
      <formula>80</formula>
    </cfRule>
    <cfRule type="cellIs" priority="13" operator="equal" dxfId="3">
      <formula>50</formula>
    </cfRule>
    <cfRule type="cellIs" priority="14" operator="equal" dxfId="2">
      <formula>20</formula>
    </cfRule>
  </conditionalFormatting>
  <dataValidations count="9">
    <dataValidation sqref="A6:A1004" showDropDown="0" showInputMessage="1" showErrorMessage="1" allowBlank="1" errorTitle="Geçersiz dönem" error="Dönem boş bırakılamaz." promptTitle="Dönem" prompt="Ay adını yazın (örnek: Ocak 2026)." type="textLength" errorStyle="stop" operator="greaterThan">
      <formula1>1</formula1>
      <formula2>0</formula2>
    </dataValidation>
    <dataValidation sqref="B6:B1004" showDropDown="0" showInputMessage="1" showErrorMessage="1" allowBlank="1" errorTitle="Geçersiz tutar" error="0 ile 1.000.000.000 ₺ arasında olmalı." promptTitle="Kasa Tahsilat (₺)" prompt="Pozitif tutar girin." type="decimal" errorStyle="stop" operator="between">
      <formula1>0</formula1>
      <formula2>1000000000</formula2>
    </dataValidation>
    <dataValidation sqref="C6:C1004" showDropDown="0" showInputMessage="1" showErrorMessage="1" allowBlank="1" errorTitle="Geçersiz tutar" error="0 ile 1.000.000.000 ₺ arasında olmalı." promptTitle="Banka Tahsilat (₺)" prompt="Pozitif tutar girin." type="decimal" errorStyle="stop" operator="between">
      <formula1>0</formula1>
      <formula2>1000000000</formula2>
    </dataValidation>
    <dataValidation sqref="D6:D1004" showDropDown="0" showInputMessage="1" showErrorMessage="1" allowBlank="1" errorTitle="Geçersiz tutar" error="0 ile 1.000.000.000 ₺ arasında olmalı." promptTitle="Cari Tahsilat (₺)" prompt="Pozitif tutar girin." type="decimal" errorStyle="stop" operator="between">
      <formula1>0</formula1>
      <formula2>1000000000</formula2>
    </dataValidation>
    <dataValidation sqref="E6:E1004" showDropDown="0" showInputMessage="1" showErrorMessage="1" allowBlank="1" errorTitle="Geçersiz tutar" error="0 ile 1.000.000.000 ₺ arasında olmalı." promptTitle="POS Tahsilat (₺)" prompt="Pozitif tutar girin." type="decimal" errorStyle="stop" operator="between">
      <formula1>0</formula1>
      <formula2>1000000000</formula2>
    </dataValidation>
    <dataValidation sqref="F6:F1004" showDropDown="0" showInputMessage="1" showErrorMessage="1" allowBlank="1" errorTitle="Geçersiz tutar" error="0 ile 1.000.000.000 ₺ arasında olmalı." promptTitle="Stok Alışı (₺)" prompt="Pozitif tutar girin." type="decimal" errorStyle="stop" operator="between">
      <formula1>0</formula1>
      <formula2>1000000000</formula2>
    </dataValidation>
    <dataValidation sqref="G6:G1004" showDropDown="0" showInputMessage="1" showErrorMessage="1" allowBlank="1" errorTitle="Geçersiz tutar" error="0 ile 1.000.000.000 ₺ arasında olmalı." promptTitle="Operasyon Gideri (₺)" prompt="Pozitif tutar girin." type="decimal" errorStyle="stop" operator="between">
      <formula1>0</formula1>
      <formula2>1000000000</formula2>
    </dataValidation>
    <dataValidation sqref="H6:H1004" showDropDown="0" showInputMessage="1" showErrorMessage="1" allowBlank="1" errorTitle="Geçersiz tutar" error="0 ile 1.000.000.000 ₺ arasında olmalı." promptTitle="Maaş (₺)" prompt="Pozitif tutar girin." type="decimal" errorStyle="stop" operator="between">
      <formula1>0</formula1>
      <formula2>1000000000</formula2>
    </dataValidation>
    <dataValidation sqref="I6:I1004" showDropDown="0" showInputMessage="1" showErrorMessage="1" allowBlank="1" errorTitle="Geçersiz tutar" error="0 ile 1.000.000.000 ₺ arasında olmalı." promptTitle="Kredi Taksidi (₺)" prompt="Pozitif tutar girin." type="decimal" errorStyle="stop" operator="between">
      <formula1>0</formula1>
      <formula2>1000000000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A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HESAP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Konsolide Nakit Modeli</t>
        </is>
      </c>
    </row>
    <row r="4">
      <c r="A4" s="4" t="inlineStr">
        <is>
          <t>Aşağıdaki özet aylık verilerden otomatik beslenir; elle değiştirilmez.</t>
        </is>
      </c>
    </row>
    <row r="6">
      <c r="A6" s="7" t="inlineStr">
        <is>
          <t>Toplam Kasa Tahsilat</t>
        </is>
      </c>
      <c r="B6" s="21">
        <f>SUM(tblKobi[Kasa Tahsilat (₺)])</f>
        <v/>
      </c>
    </row>
    <row r="7">
      <c r="A7" s="7" t="inlineStr">
        <is>
          <t>Toplam Banka Tahsilat</t>
        </is>
      </c>
      <c r="B7" s="21">
        <f>SUM(tblKobi[Banka Tahsilat (₺)])</f>
        <v/>
      </c>
    </row>
    <row r="8">
      <c r="A8" s="7" t="inlineStr">
        <is>
          <t>Toplam Cari Tahsilat</t>
        </is>
      </c>
      <c r="B8" s="21">
        <f>SUM(tblKobi[Cari Tahsilat (₺)])</f>
        <v/>
      </c>
    </row>
    <row r="9">
      <c r="A9" s="7" t="inlineStr">
        <is>
          <t>Toplam POS Tahsilat</t>
        </is>
      </c>
      <c r="B9" s="21">
        <f>SUM(tblKobi[POS Tahsilat (₺)])</f>
        <v/>
      </c>
    </row>
    <row r="10">
      <c r="A10" s="7" t="inlineStr">
        <is>
          <t>Toplam Nakit Giriş</t>
        </is>
      </c>
      <c r="B10" s="21">
        <f>SUM(tblKobi[Kasa Tahsilat (₺)])+SUM(tblKobi[Banka Tahsilat (₺)])+SUM(tblKobi[Cari Tahsilat (₺)])+SUM(tblKobi[POS Tahsilat (₺)])</f>
        <v/>
      </c>
    </row>
    <row r="11">
      <c r="A11" s="7" t="inlineStr">
        <is>
          <t>Toplam Stok Alışı</t>
        </is>
      </c>
      <c r="B11" s="21">
        <f>SUM(tblKobi[Stok Alışı (₺)])</f>
        <v/>
      </c>
    </row>
    <row r="12">
      <c r="A12" s="7" t="inlineStr">
        <is>
          <t>Toplam Operasyon Gideri</t>
        </is>
      </c>
      <c r="B12" s="21">
        <f>SUM(tblKobi[Operasyon Gideri (₺)])</f>
        <v/>
      </c>
    </row>
    <row r="13">
      <c r="A13" s="7" t="inlineStr">
        <is>
          <t>Toplam Maaş</t>
        </is>
      </c>
      <c r="B13" s="21">
        <f>SUM(tblKobi[Maaş (₺)])</f>
        <v/>
      </c>
    </row>
    <row r="14">
      <c r="A14" s="7" t="inlineStr">
        <is>
          <t>Toplam Kredi Taksidi</t>
        </is>
      </c>
      <c r="B14" s="21">
        <f>SUM(tblKobi[Kredi Taksidi (₺)])</f>
        <v/>
      </c>
    </row>
    <row r="15">
      <c r="A15" s="7" t="inlineStr">
        <is>
          <t>Toplam Nakit Çıkış</t>
        </is>
      </c>
      <c r="B15" s="21">
        <f>SUM(tblKobi[Stok Alışı (₺)])+SUM(tblKobi[Operasyon Gideri (₺)])+SUM(tblKobi[Maaş (₺)])+SUM(tblKobi[Kredi Taksidi (₺)])</f>
        <v/>
      </c>
    </row>
    <row r="16">
      <c r="A16" s="7" t="inlineStr">
        <is>
          <t>Toplam Net Nakit Değişimi</t>
        </is>
      </c>
      <c r="B16" s="21">
        <f>SUM(tblKobi[Net Nakit Değişimi (₺)])</f>
        <v/>
      </c>
    </row>
    <row r="17">
      <c r="A17" s="7" t="inlineStr">
        <is>
          <t>Dönem Sonu Kapanış Nakit</t>
        </is>
      </c>
      <c r="B17" s="21">
        <f>KobiBaslangicNakit+B16</f>
        <v/>
      </c>
    </row>
    <row r="18">
      <c r="A18" s="7" t="inlineStr">
        <is>
          <t>Toplam Tahmini Kâr</t>
        </is>
      </c>
      <c r="B18" s="21">
        <f>SUM(tblKobi[Tahmini Kâr (₺)])</f>
        <v/>
      </c>
    </row>
    <row r="19">
      <c r="A19" s="7" t="inlineStr">
        <is>
          <t>Ortalama Risk Skoru</t>
        </is>
      </c>
      <c r="B19" s="22">
        <f>ROUND(IFERROR(AVERAGE(tblKobi[Risk Skoru]),0),0)</f>
        <v/>
      </c>
    </row>
    <row r="20">
      <c r="A20" s="7" t="inlineStr">
        <is>
          <t>En Düşük Kapanışlı Ay</t>
        </is>
      </c>
      <c r="B20" s="23">
        <f>IFERROR(INDEX(tblKobi[Dönem],MATCH(MIN(tblKobi[Kapanış Nakit (₺)]),tblKobi[Kapanış Nakit (₺)],0)),"YOK")</f>
        <v/>
      </c>
    </row>
    <row r="21">
      <c r="A21" s="7" t="inlineStr">
        <is>
          <t>Negatif Kapanış Ay Sayısı</t>
        </is>
      </c>
      <c r="B21" s="22">
        <f>COUNTIF(tblKobi[Kapanış Nakit (₺)],"&lt;0")</f>
        <v/>
      </c>
    </row>
    <row r="23" ht="20" customHeight="1">
      <c r="A23" s="19" t="inlineStr">
        <is>
          <t>Gösterge satırları yalnızca aylık verilerden beslenir; korumalıdır.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3:AN23"/>
    <mergeCell ref="A1:AD1"/>
  </mergeCells>
  <conditionalFormatting sqref="B6:B21">
    <cfRule type="cellIs" priority="1" operator="lessThan" dxfId="0">
      <formula>0</formula>
    </cfRule>
  </conditionalFormatting>
  <conditionalFormatting sqref="B19">
    <cfRule type="cellIs" priority="2" operator="greaterThan" dxfId="3">
      <formula>50</formula>
    </cfRule>
  </conditionalFormatting>
  <conditionalFormatting sqref="B21">
    <cfRule type="cellIs" priority="3" operator="greaterThan" dxfId="0">
      <formula>0</formula>
    </cfRule>
  </conditionalFormatting>
  <conditionalFormatting sqref="B16">
    <cfRule type="cellIs" priority="4" operator="lessThan" dxfId="0">
      <formula>0</formula>
    </cfRule>
  </conditionalFormatting>
  <conditionalFormatting sqref="B18">
    <cfRule type="cellIs" priority="5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AN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6" customHeight="1">
      <c r="A1" s="1" t="inlineStr">
        <is>
          <t>KONTROLLER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Giriş Kalite Kontrolleri</t>
        </is>
      </c>
    </row>
    <row r="4">
      <c r="A4" s="4" t="inlineStr">
        <is>
          <t>Aşağıdaki kontroller canlı formüllerle çalışır; sorun varsa uyarı üretir.</t>
        </is>
      </c>
    </row>
    <row r="6">
      <c r="A6" s="7" t="inlineStr">
        <is>
          <t>Boş dönem satırı var mı?</t>
        </is>
      </c>
      <c r="B6" s="23">
        <f>IF(COUNTBLANK(tblKobi[Dönem])=0,"TEMİZ","BOŞ VAR")</f>
        <v/>
      </c>
    </row>
    <row r="7">
      <c r="A7" s="7" t="inlineStr">
        <is>
          <t>Boş kasa tahsilat var mı?</t>
        </is>
      </c>
      <c r="B7" s="23">
        <f>IF(COUNTBLANK(tblKobi[Kasa Tahsilat (₺)])=0,"TEMİZ","BOŞ VAR")</f>
        <v/>
      </c>
    </row>
    <row r="8">
      <c r="A8" s="7" t="inlineStr">
        <is>
          <t>Negatif tahsilat var mı?</t>
        </is>
      </c>
      <c r="B8" s="23">
        <f>IF(COUNTIF(tblKobi[Kasa Tahsilat (₺)],"&lt;0")=0,"TEMİZ","NEGATİF VAR")</f>
        <v/>
      </c>
    </row>
    <row r="9">
      <c r="A9" s="7" t="inlineStr">
        <is>
          <t>Negatif gider var mı?</t>
        </is>
      </c>
      <c r="B9" s="23">
        <f>IF(COUNTIF(tblKobi[Operasyon Gideri (₺)],"&lt;0")=0,"TEMİZ","NEGATİF VAR")</f>
        <v/>
      </c>
    </row>
    <row r="10">
      <c r="A10" s="7" t="inlineStr">
        <is>
          <t>Negatif kapanış ayı var mı?</t>
        </is>
      </c>
      <c r="B10" s="23">
        <f>IF(COUNTIF(tblKobi[Kapanış Nakit (₺)],"&lt;0")=0,"YOK","VAR")</f>
        <v/>
      </c>
    </row>
    <row r="11">
      <c r="A11" s="7" t="inlineStr">
        <is>
          <t>Risk skoru eşiği aşılıyor mu?</t>
        </is>
      </c>
      <c r="B11" s="23">
        <f>IF(HESAP!B19&gt;KobiRiskEsik,"AŞIYOR","NORMAL")</f>
        <v/>
      </c>
    </row>
    <row r="12">
      <c r="A12" s="7" t="inlineStr">
        <is>
          <t>Net nakit değişimi negatif mi?</t>
        </is>
      </c>
      <c r="B12" s="23">
        <f>IF(HESAP!B16&lt;0,"NEGATİF","POZİTİF")</f>
        <v/>
      </c>
    </row>
    <row r="13">
      <c r="A13" s="7" t="inlineStr">
        <is>
          <t>Kâr tahmini negatif mi?</t>
        </is>
      </c>
      <c r="B13" s="23">
        <f>IF(HESAP!B18&lt;0,"NEGATİF","POZİTİF")</f>
        <v/>
      </c>
    </row>
    <row r="15">
      <c r="A15" s="5" t="inlineStr">
        <is>
          <t>Veri Kalitesi Skoru (0-100)</t>
        </is>
      </c>
    </row>
    <row r="16">
      <c r="A16" s="4" t="inlineStr">
        <is>
          <t>Boş ve negatif girişlerin oranına göre üretilen kalite skoru.</t>
        </is>
      </c>
    </row>
    <row r="17">
      <c r="A17" s="7" t="inlineStr">
        <is>
          <t>Toplam Giriş Hücresi</t>
        </is>
      </c>
      <c r="B17" s="22">
        <f>KobiToplamGiris</f>
        <v/>
      </c>
    </row>
    <row r="18">
      <c r="A18" s="7" t="inlineStr">
        <is>
          <t>Dolu Giriş Hücresi</t>
        </is>
      </c>
      <c r="B18" s="22">
        <f>KobiDoluGiris</f>
        <v/>
      </c>
    </row>
    <row r="19">
      <c r="A19" s="24" t="inlineStr">
        <is>
          <t>Kalite Skoru</t>
        </is>
      </c>
      <c r="B19" s="25">
        <f>ROUND(IF(KobiToplamGiris=0,0,KobiDoluGiris/KobiToplamGiris*100),0)</f>
        <v/>
      </c>
    </row>
    <row r="20">
      <c r="A20" s="7" t="inlineStr">
        <is>
          <t>Kalite Seviyesi</t>
        </is>
      </c>
      <c r="B20" s="23">
        <f>IF(B19&gt;=KobiKaliteIyi,"YÜKSEK",IF(B19&gt;=KobiKaliteOrta,"ORTA","DÜŞÜK"))</f>
        <v/>
      </c>
    </row>
    <row r="22" ht="20" customHeight="1">
      <c r="A22" s="19" t="inlineStr">
        <is>
          <t>Kontroller yalnızca giriş verisini denetler; değerleri değiştirmez.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priority="1" operator="equal" dxfId="1">
      <formula>"BOŞ VAR"</formula>
    </cfRule>
    <cfRule type="cellIs" priority="2" operator="equal" dxfId="1">
      <formula>"NEGATİF VAR"</formula>
    </cfRule>
    <cfRule type="cellIs" priority="3" operator="equal" dxfId="1">
      <formula>"AŞIYOR"</formula>
    </cfRule>
    <cfRule type="cellIs" priority="4" operator="equal" dxfId="1">
      <formula>"VAR"</formula>
    </cfRule>
    <cfRule type="cellIs" priority="5" operator="equal" dxfId="1">
      <formula>"NEGATİF"</formula>
    </cfRule>
    <cfRule type="cellIs" priority="6" operator="equal" dxfId="2">
      <formula>"TEMİZ"</formula>
    </cfRule>
    <cfRule type="cellIs" priority="7" operator="equal" dxfId="2">
      <formula>"NORMAL"</formula>
    </cfRule>
    <cfRule type="cellIs" priority="8" operator="equal" dxfId="2">
      <formula>"YOK"</formula>
    </cfRule>
    <cfRule type="cellIs" priority="9" operator="equal" dxfId="2">
      <formula>"POZİTİF"</formula>
    </cfRule>
  </conditionalFormatting>
  <conditionalFormatting sqref="B19">
    <cfRule type="cellIs" priority="10" operator="lessThan" dxfId="0">
      <formula>70</formula>
    </cfRule>
    <cfRule type="cellIs" priority="11" operator="between" dxfId="3">
      <formula>70</formula>
      <formula>90</formula>
    </cfRule>
    <cfRule type="cellIs" priority="12" operator="greaterThanOrEqual" dxfId="2">
      <formula>90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3261E"/>
    <outlinePr summaryBelow="1" summaryRight="1"/>
    <pageSetUpPr/>
  </sheetPr>
  <dimension ref="A1:AN1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 ht="26" customHeight="1">
      <c r="A1" s="1" t="inlineStr">
        <is>
          <t>KARAR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Karar Kapısı — Konsolide Nakit Yeterliliği</t>
        </is>
      </c>
    </row>
    <row r="4">
      <c r="A4" s="4" t="inlineStr">
        <is>
          <t>Kapanış nakit, risk skoru ve negatif kapanış durumuna göre üretilen karar.</t>
        </is>
      </c>
    </row>
    <row r="6">
      <c r="A6" s="7" t="inlineStr">
        <is>
          <t>Dönem Sonu Kapanış Nakit</t>
        </is>
      </c>
      <c r="B6" s="26">
        <f>HESAP!B17</f>
        <v/>
      </c>
    </row>
    <row r="7">
      <c r="A7" s="7" t="inlineStr">
        <is>
          <t>Ortalama Risk Skoru</t>
        </is>
      </c>
      <c r="B7" s="22">
        <f>HESAP!B19</f>
        <v/>
      </c>
    </row>
    <row r="8">
      <c r="A8" s="7" t="inlineStr">
        <is>
          <t>Negatif Kapanış Ay Sayısı</t>
        </is>
      </c>
      <c r="B8" s="22">
        <f>HESAP!B21</f>
        <v/>
      </c>
    </row>
    <row r="9">
      <c r="A9" s="7" t="inlineStr">
        <is>
          <t>Toplam Net Nakit Değişimi</t>
        </is>
      </c>
      <c r="B9" s="21">
        <f>HESAP!B16</f>
        <v/>
      </c>
    </row>
    <row r="11">
      <c r="A11" s="27" t="inlineStr">
        <is>
          <t>KARAR</t>
        </is>
      </c>
      <c r="B11" s="28">
        <f>IF(HESAP!B21&gt;0,"DURDUR",IF(HESAP!B19&gt;KobiRiskEsik,"İNCELE",IF(HESAP!B16&lt;0,"İNCELE","UYGUN")))</f>
        <v/>
      </c>
    </row>
    <row r="12">
      <c r="A12" s="24" t="inlineStr">
        <is>
          <t>Gerekçe</t>
        </is>
      </c>
      <c r="B12" s="29">
        <f>IF(HESAP!B21&gt;0,"Negatif kapanış ayı var; nakit planlaması ve borç yapısı incelenmeli.",IF(HESAP!B19&gt;KobiRiskEsik,"Risk skoru eşiği aşılıyor; tahsilat ve ödeme dengesi gözden geçirilmeli.",IF(HESAP!B16&lt;0,"Dönem net nakit değişimi negatif; gider kontrolü ve tahsilat takibi güçlendirilmeli.","Karar kapısı uygun: konsolide nakit göstergeleri hedef aralıkta.")))</f>
        <v/>
      </c>
    </row>
    <row r="14">
      <c r="A14" s="5" t="inlineStr">
        <is>
          <t>Önerilen Aksiyonlar</t>
        </is>
      </c>
    </row>
    <row r="15">
      <c r="A15" s="7" t="inlineStr">
        <is>
          <t>Aksiyon 1</t>
        </is>
      </c>
      <c r="B15" s="29">
        <f>KobiAksiyon1_ACIKLAMA</f>
        <v/>
      </c>
    </row>
    <row r="16">
      <c r="A16" s="7" t="inlineStr">
        <is>
          <t>Aksiyon 2</t>
        </is>
      </c>
      <c r="B16" s="29">
        <f>KobiAksiyon2_ACIKLAMA</f>
        <v/>
      </c>
    </row>
    <row r="17">
      <c r="A17" s="7" t="inlineStr">
        <is>
          <t>Aksiyon 3</t>
        </is>
      </c>
      <c r="B17" s="29">
        <f>KobiAksiyon3_ACIKLAMA</f>
        <v/>
      </c>
    </row>
    <row r="19" ht="20" customHeight="1">
      <c r="A19" s="19" t="inlineStr">
        <is>
          <t>Karar yalnızca giriş verisi ve AYARLAR'daki eşiklerden türetilir; kesin finansal tavsiye değildir.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7:J17"/>
    <mergeCell ref="A19:AN19"/>
    <mergeCell ref="B12:J12"/>
    <mergeCell ref="A1:AD1"/>
    <mergeCell ref="B16:J16"/>
  </mergeCells>
  <conditionalFormatting sqref="B11">
    <cfRule type="cellIs" priority="1" operator="equal" dxfId="4">
      <formula>"UYGUN"</formula>
    </cfRule>
    <cfRule type="cellIs" priority="2" operator="equal" dxfId="5">
      <formula>"İNCELE"</formula>
    </cfRule>
    <cfRule type="cellIs" priority="3" operator="equal" dxfId="1">
      <formula>"DURDUR"</formula>
    </cfRule>
  </conditionalFormatting>
  <conditionalFormatting sqref="B6">
    <cfRule type="cellIs" priority="4" operator="lessThan" dxfId="0">
      <formula>0</formula>
    </cfRule>
  </conditionalFormatting>
  <conditionalFormatting sqref="B7">
    <cfRule type="cellIs" priority="5" operator="greaterThan" dxfId="3">
      <formula>50</formula>
    </cfRule>
  </conditionalFormatting>
  <conditionalFormatting sqref="B8">
    <cfRule type="cellIs" priority="6" operator="greaterThan" dxfId="0">
      <formula>0</formula>
    </cfRule>
  </conditionalFormatting>
  <conditionalFormatting sqref="B9">
    <cfRule type="cellIs" priority="7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N36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PANO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27" t="inlineStr">
        <is>
          <t>Yönetim Paneli</t>
        </is>
      </c>
      <c r="B3" s="30" t="inlineStr">
        <is>
          <t>Toplam Nakit Giriş</t>
        </is>
      </c>
      <c r="C3" s="30" t="inlineStr">
        <is>
          <t>Toplam Nakit Çıkış</t>
        </is>
      </c>
      <c r="D3" s="30" t="inlineStr">
        <is>
          <t>Net Nakit Değişimi</t>
        </is>
      </c>
      <c r="E3" s="30" t="inlineStr">
        <is>
          <t>Kapanış Nakit</t>
        </is>
      </c>
      <c r="F3" s="30" t="inlineStr">
        <is>
          <t>Risk Skoru</t>
        </is>
      </c>
      <c r="G3" s="30" t="inlineStr">
        <is>
          <t>Kalite Skoru</t>
        </is>
      </c>
    </row>
    <row r="4">
      <c r="B4" s="31">
        <f>HESAP!B10</f>
        <v/>
      </c>
      <c r="C4" s="31">
        <f>HESAP!B15</f>
        <v/>
      </c>
      <c r="D4" s="31">
        <f>HESAP!B16</f>
        <v/>
      </c>
      <c r="E4" s="31">
        <f>HESAP!B17</f>
        <v/>
      </c>
      <c r="F4" s="32">
        <f>HESAP!B19</f>
        <v/>
      </c>
      <c r="G4" s="32">
        <f>KONTROLLER!B19</f>
        <v/>
      </c>
    </row>
    <row r="6">
      <c r="A6" s="33" t="inlineStr">
        <is>
          <t>Karar</t>
        </is>
      </c>
      <c r="B6" s="34">
        <f>KARAR!B11</f>
        <v/>
      </c>
      <c r="D6" s="33" t="inlineStr">
        <is>
          <t>En Düşük Kapanışlı Ay</t>
        </is>
      </c>
      <c r="E6" s="34">
        <f>KARAR!B9</f>
        <v/>
      </c>
    </row>
    <row r="9">
      <c r="A9" s="35" t="inlineStr">
        <is>
          <t>Aylık Trend Verisi</t>
        </is>
      </c>
      <c r="B9" s="36" t="inlineStr">
        <is>
          <t>Nakit Giriş</t>
        </is>
      </c>
      <c r="C9" s="36" t="inlineStr">
        <is>
          <t>Nakit Çıkış</t>
        </is>
      </c>
      <c r="D9" s="36" t="inlineStr">
        <is>
          <t>Net Değişim</t>
        </is>
      </c>
      <c r="E9" s="36" t="inlineStr">
        <is>
          <t>Kapanış</t>
        </is>
      </c>
      <c r="F9" s="36" t="inlineStr">
        <is>
          <t>Risk</t>
        </is>
      </c>
    </row>
    <row r="10">
      <c r="A10" s="37" t="inlineStr">
        <is>
          <t>AY1</t>
        </is>
      </c>
      <c r="B10" s="21">
        <f>INDEX(tblKobi[Kasa Tahsilat (₺)],AYARLAR!$C$32)+INDEX(tblKobi[Banka Tahsilat (₺)],AYARLAR!$C$32)+INDEX(tblKobi[Cari Tahsilat (₺)],AYARLAR!$C$32)+INDEX(tblKobi[POS Tahsilat (₺)],AYARLAR!$C$32)</f>
        <v/>
      </c>
      <c r="C10" s="21">
        <f>INDEX(tblKobi[Stok Alışı (₺)],AYARLAR!$C$32)+INDEX(tblKobi[Operasyon Gideri (₺)],AYARLAR!$C$32)+INDEX(tblKobi[Maaş (₺)],AYARLAR!$C$32)+INDEX(tblKobi[Kredi Taksidi (₺)],AYARLAR!$C$32)</f>
        <v/>
      </c>
      <c r="D10" s="21">
        <f>INDEX(tblKobi[Net Nakit Değişimi (₺)],AYARLAR!$C$32)</f>
        <v/>
      </c>
      <c r="E10" s="21">
        <f>INDEX(tblKobi[Kapanış Nakit (₺)],AYARLAR!$C$32)</f>
        <v/>
      </c>
      <c r="F10" s="22">
        <f>INDEX(tblKobi[Risk Skoru],AYARLAR!$C$32)</f>
        <v/>
      </c>
    </row>
    <row r="11">
      <c r="A11" s="37" t="inlineStr">
        <is>
          <t>AY2</t>
        </is>
      </c>
      <c r="B11" s="21">
        <f>INDEX(tblKobi[Kasa Tahsilat (₺)],AYARLAR!$C$33)+INDEX(tblKobi[Banka Tahsilat (₺)],AYARLAR!$C$33)+INDEX(tblKobi[Cari Tahsilat (₺)],AYARLAR!$C$33)+INDEX(tblKobi[POS Tahsilat (₺)],AYARLAR!$C$33)</f>
        <v/>
      </c>
      <c r="C11" s="21">
        <f>INDEX(tblKobi[Stok Alışı (₺)],AYARLAR!$C$33)+INDEX(tblKobi[Operasyon Gideri (₺)],AYARLAR!$C$33)+INDEX(tblKobi[Maaş (₺)],AYARLAR!$C$33)+INDEX(tblKobi[Kredi Taksidi (₺)],AYARLAR!$C$33)</f>
        <v/>
      </c>
      <c r="D11" s="21">
        <f>INDEX(tblKobi[Net Nakit Değişimi (₺)],AYARLAR!$C$33)</f>
        <v/>
      </c>
      <c r="E11" s="21">
        <f>INDEX(tblKobi[Kapanış Nakit (₺)],AYARLAR!$C$33)</f>
        <v/>
      </c>
      <c r="F11" s="22">
        <f>INDEX(tblKobi[Risk Skoru],AYARLAR!$C$33)</f>
        <v/>
      </c>
    </row>
    <row r="12">
      <c r="A12" s="37" t="inlineStr">
        <is>
          <t>AY3</t>
        </is>
      </c>
      <c r="B12" s="21">
        <f>INDEX(tblKobi[Kasa Tahsilat (₺)],AYARLAR!$C$34)+INDEX(tblKobi[Banka Tahsilat (₺)],AYARLAR!$C$34)+INDEX(tblKobi[Cari Tahsilat (₺)],AYARLAR!$C$34)+INDEX(tblKobi[POS Tahsilat (₺)],AYARLAR!$C$34)</f>
        <v/>
      </c>
      <c r="C12" s="21">
        <f>INDEX(tblKobi[Stok Alışı (₺)],AYARLAR!$C$34)+INDEX(tblKobi[Operasyon Gideri (₺)],AYARLAR!$C$34)+INDEX(tblKobi[Maaş (₺)],AYARLAR!$C$34)+INDEX(tblKobi[Kredi Taksidi (₺)],AYARLAR!$C$34)</f>
        <v/>
      </c>
      <c r="D12" s="21">
        <f>INDEX(tblKobi[Net Nakit Değişimi (₺)],AYARLAR!$C$34)</f>
        <v/>
      </c>
      <c r="E12" s="21">
        <f>INDEX(tblKobi[Kapanış Nakit (₺)],AYARLAR!$C$34)</f>
        <v/>
      </c>
      <c r="F12" s="22">
        <f>INDEX(tblKobi[Risk Skoru],AYARLAR!$C$34)</f>
        <v/>
      </c>
    </row>
    <row r="13">
      <c r="A13" s="37" t="inlineStr">
        <is>
          <t>AY4</t>
        </is>
      </c>
      <c r="B13" s="21">
        <f>INDEX(tblKobi[Kasa Tahsilat (₺)],AYARLAR!$C$35)+INDEX(tblKobi[Banka Tahsilat (₺)],AYARLAR!$C$35)+INDEX(tblKobi[Cari Tahsilat (₺)],AYARLAR!$C$35)+INDEX(tblKobi[POS Tahsilat (₺)],AYARLAR!$C$35)</f>
        <v/>
      </c>
      <c r="C13" s="21">
        <f>INDEX(tblKobi[Stok Alışı (₺)],AYARLAR!$C$35)+INDEX(tblKobi[Operasyon Gideri (₺)],AYARLAR!$C$35)+INDEX(tblKobi[Maaş (₺)],AYARLAR!$C$35)+INDEX(tblKobi[Kredi Taksidi (₺)],AYARLAR!$C$35)</f>
        <v/>
      </c>
      <c r="D13" s="21">
        <f>INDEX(tblKobi[Net Nakit Değişimi (₺)],AYARLAR!$C$35)</f>
        <v/>
      </c>
      <c r="E13" s="21">
        <f>INDEX(tblKobi[Kapanış Nakit (₺)],AYARLAR!$C$35)</f>
        <v/>
      </c>
      <c r="F13" s="22">
        <f>INDEX(tblKobi[Risk Skoru],AYARLAR!$C$35)</f>
        <v/>
      </c>
    </row>
    <row r="14">
      <c r="A14" s="37" t="inlineStr">
        <is>
          <t>AY5</t>
        </is>
      </c>
      <c r="B14" s="21">
        <f>INDEX(tblKobi[Kasa Tahsilat (₺)],AYARLAR!$C$36)+INDEX(tblKobi[Banka Tahsilat (₺)],AYARLAR!$C$36)+INDEX(tblKobi[Cari Tahsilat (₺)],AYARLAR!$C$36)+INDEX(tblKobi[POS Tahsilat (₺)],AYARLAR!$C$36)</f>
        <v/>
      </c>
      <c r="C14" s="21">
        <f>INDEX(tblKobi[Stok Alışı (₺)],AYARLAR!$C$36)+INDEX(tblKobi[Operasyon Gideri (₺)],AYARLAR!$C$36)+INDEX(tblKobi[Maaş (₺)],AYARLAR!$C$36)+INDEX(tblKobi[Kredi Taksidi (₺)],AYARLAR!$C$36)</f>
        <v/>
      </c>
      <c r="D14" s="21">
        <f>INDEX(tblKobi[Net Nakit Değişimi (₺)],AYARLAR!$C$36)</f>
        <v/>
      </c>
      <c r="E14" s="21">
        <f>INDEX(tblKobi[Kapanış Nakit (₺)],AYARLAR!$C$36)</f>
        <v/>
      </c>
      <c r="F14" s="22">
        <f>INDEX(tblKobi[Risk Skoru],AYARLAR!$C$36)</f>
        <v/>
      </c>
    </row>
    <row r="15">
      <c r="A15" s="37" t="inlineStr">
        <is>
          <t>AY6</t>
        </is>
      </c>
      <c r="B15" s="21">
        <f>INDEX(tblKobi[Kasa Tahsilat (₺)],AYARLAR!$C$37)+INDEX(tblKobi[Banka Tahsilat (₺)],AYARLAR!$C$37)+INDEX(tblKobi[Cari Tahsilat (₺)],AYARLAR!$C$37)+INDEX(tblKobi[POS Tahsilat (₺)],AYARLAR!$C$37)</f>
        <v/>
      </c>
      <c r="C15" s="21">
        <f>INDEX(tblKobi[Stok Alışı (₺)],AYARLAR!$C$37)+INDEX(tblKobi[Operasyon Gideri (₺)],AYARLAR!$C$37)+INDEX(tblKobi[Maaş (₺)],AYARLAR!$C$37)+INDEX(tblKobi[Kredi Taksidi (₺)],AYARLAR!$C$37)</f>
        <v/>
      </c>
      <c r="D15" s="21">
        <f>INDEX(tblKobi[Net Nakit Değişimi (₺)],AYARLAR!$C$37)</f>
        <v/>
      </c>
      <c r="E15" s="21">
        <f>INDEX(tblKobi[Kapanış Nakit (₺)],AYARLAR!$C$37)</f>
        <v/>
      </c>
      <c r="F15" s="22">
        <f>INDEX(tblKobi[Risk Skoru],AYARLAR!$C$37)</f>
        <v/>
      </c>
    </row>
    <row r="16">
      <c r="A16" s="37" t="inlineStr">
        <is>
          <t>AY7</t>
        </is>
      </c>
      <c r="B16" s="21">
        <f>INDEX(tblKobi[Kasa Tahsilat (₺)],AYARLAR!$C$38)+INDEX(tblKobi[Banka Tahsilat (₺)],AYARLAR!$C$38)+INDEX(tblKobi[Cari Tahsilat (₺)],AYARLAR!$C$38)+INDEX(tblKobi[POS Tahsilat (₺)],AYARLAR!$C$38)</f>
        <v/>
      </c>
      <c r="C16" s="21">
        <f>INDEX(tblKobi[Stok Alışı (₺)],AYARLAR!$C$38)+INDEX(tblKobi[Operasyon Gideri (₺)],AYARLAR!$C$38)+INDEX(tblKobi[Maaş (₺)],AYARLAR!$C$38)+INDEX(tblKobi[Kredi Taksidi (₺)],AYARLAR!$C$38)</f>
        <v/>
      </c>
      <c r="D16" s="21">
        <f>INDEX(tblKobi[Net Nakit Değişimi (₺)],AYARLAR!$C$38)</f>
        <v/>
      </c>
      <c r="E16" s="21">
        <f>INDEX(tblKobi[Kapanış Nakit (₺)],AYARLAR!$C$38)</f>
        <v/>
      </c>
      <c r="F16" s="22">
        <f>INDEX(tblKobi[Risk Skoru],AYARLAR!$C$38)</f>
        <v/>
      </c>
    </row>
    <row r="17">
      <c r="A17" s="37" t="inlineStr">
        <is>
          <t>AY8</t>
        </is>
      </c>
      <c r="B17" s="21">
        <f>INDEX(tblKobi[Kasa Tahsilat (₺)],AYARLAR!$C$39)+INDEX(tblKobi[Banka Tahsilat (₺)],AYARLAR!$C$39)+INDEX(tblKobi[Cari Tahsilat (₺)],AYARLAR!$C$39)+INDEX(tblKobi[POS Tahsilat (₺)],AYARLAR!$C$39)</f>
        <v/>
      </c>
      <c r="C17" s="21">
        <f>INDEX(tblKobi[Stok Alışı (₺)],AYARLAR!$C$39)+INDEX(tblKobi[Operasyon Gideri (₺)],AYARLAR!$C$39)+INDEX(tblKobi[Maaş (₺)],AYARLAR!$C$39)+INDEX(tblKobi[Kredi Taksidi (₺)],AYARLAR!$C$39)</f>
        <v/>
      </c>
      <c r="D17" s="21">
        <f>INDEX(tblKobi[Net Nakit Değişimi (₺)],AYARLAR!$C$39)</f>
        <v/>
      </c>
      <c r="E17" s="21">
        <f>INDEX(tblKobi[Kapanış Nakit (₺)],AYARLAR!$C$39)</f>
        <v/>
      </c>
      <c r="F17" s="22">
        <f>INDEX(tblKobi[Risk Skoru],AYARLAR!$C$39)</f>
        <v/>
      </c>
    </row>
    <row r="18">
      <c r="A18" s="37" t="inlineStr">
        <is>
          <t>AY9</t>
        </is>
      </c>
      <c r="B18" s="21">
        <f>INDEX(tblKobi[Kasa Tahsilat (₺)],AYARLAR!$C$40)+INDEX(tblKobi[Banka Tahsilat (₺)],AYARLAR!$C$40)+INDEX(tblKobi[Cari Tahsilat (₺)],AYARLAR!$C$40)+INDEX(tblKobi[POS Tahsilat (₺)],AYARLAR!$C$40)</f>
        <v/>
      </c>
      <c r="C18" s="21">
        <f>INDEX(tblKobi[Stok Alışı (₺)],AYARLAR!$C$40)+INDEX(tblKobi[Operasyon Gideri (₺)],AYARLAR!$C$40)+INDEX(tblKobi[Maaş (₺)],AYARLAR!$C$40)+INDEX(tblKobi[Kredi Taksidi (₺)],AYARLAR!$C$40)</f>
        <v/>
      </c>
      <c r="D18" s="21">
        <f>INDEX(tblKobi[Net Nakit Değişimi (₺)],AYARLAR!$C$40)</f>
        <v/>
      </c>
      <c r="E18" s="21">
        <f>INDEX(tblKobi[Kapanış Nakit (₺)],AYARLAR!$C$40)</f>
        <v/>
      </c>
      <c r="F18" s="22">
        <f>INDEX(tblKobi[Risk Skoru],AYARLAR!$C$40)</f>
        <v/>
      </c>
    </row>
    <row r="19">
      <c r="A19" s="37" t="inlineStr">
        <is>
          <t>AY10</t>
        </is>
      </c>
      <c r="B19" s="21">
        <f>INDEX(tblKobi[Kasa Tahsilat (₺)],AYARLAR!$C$41)+INDEX(tblKobi[Banka Tahsilat (₺)],AYARLAR!$C$41)+INDEX(tblKobi[Cari Tahsilat (₺)],AYARLAR!$C$41)+INDEX(tblKobi[POS Tahsilat (₺)],AYARLAR!$C$41)</f>
        <v/>
      </c>
      <c r="C19" s="21">
        <f>INDEX(tblKobi[Stok Alışı (₺)],AYARLAR!$C$41)+INDEX(tblKobi[Operasyon Gideri (₺)],AYARLAR!$C$41)+INDEX(tblKobi[Maaş (₺)],AYARLAR!$C$41)+INDEX(tblKobi[Kredi Taksidi (₺)],AYARLAR!$C$41)</f>
        <v/>
      </c>
      <c r="D19" s="21">
        <f>INDEX(tblKobi[Net Nakit Değişimi (₺)],AYARLAR!$C$41)</f>
        <v/>
      </c>
      <c r="E19" s="21">
        <f>INDEX(tblKobi[Kapanış Nakit (₺)],AYARLAR!$C$41)</f>
        <v/>
      </c>
      <c r="F19" s="22">
        <f>INDEX(tblKobi[Risk Skoru],AYARLAR!$C$41)</f>
        <v/>
      </c>
    </row>
    <row r="20">
      <c r="A20" s="37" t="inlineStr">
        <is>
          <t>AY11</t>
        </is>
      </c>
      <c r="B20" s="21">
        <f>INDEX(tblKobi[Kasa Tahsilat (₺)],AYARLAR!$C$42)+INDEX(tblKobi[Banka Tahsilat (₺)],AYARLAR!$C$42)+INDEX(tblKobi[Cari Tahsilat (₺)],AYARLAR!$C$42)+INDEX(tblKobi[POS Tahsilat (₺)],AYARLAR!$C$42)</f>
        <v/>
      </c>
      <c r="C20" s="21">
        <f>INDEX(tblKobi[Stok Alışı (₺)],AYARLAR!$C$42)+INDEX(tblKobi[Operasyon Gideri (₺)],AYARLAR!$C$42)+INDEX(tblKobi[Maaş (₺)],AYARLAR!$C$42)+INDEX(tblKobi[Kredi Taksidi (₺)],AYARLAR!$C$42)</f>
        <v/>
      </c>
      <c r="D20" s="21">
        <f>INDEX(tblKobi[Net Nakit Değişimi (₺)],AYARLAR!$C$42)</f>
        <v/>
      </c>
      <c r="E20" s="21">
        <f>INDEX(tblKobi[Kapanış Nakit (₺)],AYARLAR!$C$42)</f>
        <v/>
      </c>
      <c r="F20" s="22">
        <f>INDEX(tblKobi[Risk Skoru],AYARLAR!$C$42)</f>
        <v/>
      </c>
    </row>
    <row r="21">
      <c r="A21" s="37" t="inlineStr">
        <is>
          <t>AY12</t>
        </is>
      </c>
      <c r="B21" s="21">
        <f>INDEX(tblKobi[Kasa Tahsilat (₺)],AYARLAR!$C$43)+INDEX(tblKobi[Banka Tahsilat (₺)],AYARLAR!$C$43)+INDEX(tblKobi[Cari Tahsilat (₺)],AYARLAR!$C$43)+INDEX(tblKobi[POS Tahsilat (₺)],AYARLAR!$C$43)</f>
        <v/>
      </c>
      <c r="C21" s="21">
        <f>INDEX(tblKobi[Stok Alışı (₺)],AYARLAR!$C$43)+INDEX(tblKobi[Operasyon Gideri (₺)],AYARLAR!$C$43)+INDEX(tblKobi[Maaş (₺)],AYARLAR!$C$43)+INDEX(tblKobi[Kredi Taksidi (₺)],AYARLAR!$C$43)</f>
        <v/>
      </c>
      <c r="D21" s="21">
        <f>INDEX(tblKobi[Net Nakit Değişimi (₺)],AYARLAR!$C$43)</f>
        <v/>
      </c>
      <c r="E21" s="21">
        <f>INDEX(tblKobi[Kapanış Nakit (₺)],AYARLAR!$C$43)</f>
        <v/>
      </c>
      <c r="F21" s="22">
        <f>INDEX(tblKobi[Risk Skoru],AYARLAR!$C$43)</f>
        <v/>
      </c>
    </row>
    <row r="24">
      <c r="A24" s="35" t="inlineStr">
        <is>
          <t>Tahsilat Kanalı Dağılımı</t>
        </is>
      </c>
    </row>
    <row r="25">
      <c r="A25" s="37" t="inlineStr">
        <is>
          <t>Kasa</t>
        </is>
      </c>
      <c r="B25" s="21">
        <f>HESAP!B6</f>
        <v/>
      </c>
    </row>
    <row r="26">
      <c r="A26" s="37" t="inlineStr">
        <is>
          <t>Banka</t>
        </is>
      </c>
      <c r="B26" s="21">
        <f>HESAP!B7</f>
        <v/>
      </c>
    </row>
    <row r="27">
      <c r="A27" s="37" t="inlineStr">
        <is>
          <t>Cari</t>
        </is>
      </c>
      <c r="B27" s="21">
        <f>HESAP!B8</f>
        <v/>
      </c>
    </row>
    <row r="28">
      <c r="A28" s="37" t="inlineStr">
        <is>
          <t>POS</t>
        </is>
      </c>
      <c r="B28" s="21">
        <f>HESAP!B9</f>
        <v/>
      </c>
    </row>
    <row r="30">
      <c r="A30" s="35" t="inlineStr">
        <is>
          <t>Gelecek Ay Kapanış Nakit Tahmini (Tahmin Aralıklı)</t>
        </is>
      </c>
      <c r="B30" s="21">
        <f>ROUND(IFERROR(FORECAST.LINEAR(KobiPanelSatir12,tblKobi[Kapanış Nakit (₺)],ROW(tblKobi[Kapanış Nakit (₺)])-ROW(tblKobi[[#Headers],[Kapanış Nakit (₺)]])),0),0)</f>
        <v/>
      </c>
    </row>
    <row r="31">
      <c r="A31" s="7" t="inlineStr">
        <is>
          <t>Ortalama Kapanış Nakit</t>
        </is>
      </c>
      <c r="B31" s="21">
        <f>ROUND(IFERROR(AVERAGE(tblKobi[Kapanış Nakit (₺)]),0),0)</f>
        <v/>
      </c>
    </row>
    <row r="32">
      <c r="A32" s="7" t="inlineStr">
        <is>
          <t>Standart Sapma</t>
        </is>
      </c>
      <c r="B32" s="21">
        <f>ROUND(IFERROR(STDEV.P(INDEX(tblKobi[Kapanış Nakit (₺)],KobiPanelSatir1):INDEX(tblKobi[Kapanış Nakit (₺)],KobiPanelSatir12)),0),0)</f>
        <v/>
      </c>
    </row>
    <row r="33">
      <c r="A33" s="7" t="inlineStr">
        <is>
          <t>Alt Tahmin Sınırı</t>
        </is>
      </c>
      <c r="B33" s="21">
        <f>B31-B32*KobiTahminCarpan</f>
        <v/>
      </c>
    </row>
    <row r="34">
      <c r="A34" s="7" t="inlineStr">
        <is>
          <t>Üst Tahmin Sınırı</t>
        </is>
      </c>
      <c r="B34" s="21">
        <f>B31+B32*KobiTahminCarpan</f>
        <v/>
      </c>
    </row>
    <row r="36" ht="20" customHeight="1">
      <c r="A36" s="19" t="inlineStr">
        <is>
          <t>Paneldeki tüm göstergeler canlı formüllerden beslenir.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6:AN36"/>
    <mergeCell ref="A1:AD1"/>
  </mergeCells>
  <conditionalFormatting sqref="B4">
    <cfRule type="cellIs" priority="1" operator="lessThan" dxfId="0">
      <formula>0</formula>
    </cfRule>
  </conditionalFormatting>
  <conditionalFormatting sqref="C4">
    <cfRule type="cellIs" priority="2" operator="lessThan" dxfId="0">
      <formula>0</formula>
    </cfRule>
  </conditionalFormatting>
  <conditionalFormatting sqref="D4">
    <cfRule type="cellIs" priority="3" operator="lessThan" dxfId="0">
      <formula>0</formula>
    </cfRule>
    <cfRule type="cellIs" priority="4" operator="lessThan" dxfId="1">
      <formula>0</formula>
    </cfRule>
  </conditionalFormatting>
  <conditionalFormatting sqref="E4">
    <cfRule type="cellIs" priority="5" operator="lessThan" dxfId="0">
      <formula>100000</formula>
    </cfRule>
  </conditionalFormatting>
  <conditionalFormatting sqref="F4">
    <cfRule type="cellIs" priority="6" operator="greaterThan" dxfId="3">
      <formula>50</formula>
    </cfRule>
  </conditionalFormatting>
  <conditionalFormatting sqref="G4">
    <cfRule type="cellIs" priority="7" operator="lessThan" dxfId="3">
      <formula>70</formula>
    </cfRule>
  </conditionalFormatting>
  <conditionalFormatting sqref="B6">
    <cfRule type="cellIs" priority="8" operator="equal" dxfId="4">
      <formula>"UYGUN"</formula>
    </cfRule>
    <cfRule type="cellIs" priority="9" operator="equal" dxfId="3">
      <formula>"İNCELE"</formula>
    </cfRule>
    <cfRule type="cellIs" priority="10" operator="equal" dxfId="1">
      <formula>"DURDUR"</formula>
    </cfRule>
  </conditionalFormatting>
  <conditionalFormatting sqref="B10:B21">
    <cfRule type="cellIs" priority="11" operator="lessThan" dxfId="0">
      <formula>0</formula>
    </cfRule>
  </conditionalFormatting>
  <conditionalFormatting sqref="C10:C21">
    <cfRule type="cellIs" priority="12" operator="lessThan" dxfId="0">
      <formula>0</formula>
    </cfRule>
  </conditionalFormatting>
  <conditionalFormatting sqref="D10:D21">
    <cfRule type="cellIs" priority="13" operator="lessThan" dxfId="0">
      <formula>0</formula>
    </cfRule>
  </conditionalFormatting>
  <conditionalFormatting sqref="E10:E21">
    <cfRule type="cellIs" priority="14" operator="lessThan" dxfId="0">
      <formula>100000</formula>
    </cfRule>
  </conditionalFormatting>
  <conditionalFormatting sqref="F10:F21">
    <cfRule type="cellIs" priority="15" operator="equal" dxfId="0">
      <formula>80</formula>
    </cfRule>
    <cfRule type="cellIs" priority="16" operator="equal" dxfId="3">
      <formula>50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&amp;LKOBİ Finans Yönetim Paketi&amp;CExcelArşiv&amp;RSayfa &amp;P / &amp;N</oddFooter>
    <evenHeader/>
    <evenFooter>&amp;LKOBİ Finans Yönetim Paketi&amp;CExcelArşiv&amp;RSayfa &amp;P / &amp;N</evenFooter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N1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2" customWidth="1" min="3" max="3"/>
    <col width="18" customWidth="1" min="4" max="4"/>
  </cols>
  <sheetData>
    <row r="1" ht="26" customHeight="1">
      <c r="A1" s="1" t="inlineStr">
        <is>
          <t>SENARYO DUYARLILIK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Senaryo ve Duyarlılık Analizi</t>
        </is>
      </c>
    </row>
    <row r="4">
      <c r="A4" s="4" t="inlineStr">
        <is>
          <t>İyimser, baz ve kötümser senaryolarda kapanış nakit; ardından hangi değişkenin sonucu en çok etkilediğini gösteren tornado analizi.</t>
        </is>
      </c>
    </row>
    <row r="6">
      <c r="A6" s="38" t="inlineStr">
        <is>
          <t>Senaryo</t>
        </is>
      </c>
      <c r="B6" s="38" t="inlineStr">
        <is>
          <t>Tahsilat Çarpanı</t>
        </is>
      </c>
      <c r="C6" s="38" t="inlineStr">
        <is>
          <t>Tahmini Kapanış Nakit</t>
        </is>
      </c>
      <c r="D6" s="38" t="inlineStr">
        <is>
          <t>Tahmini Risk Skoru</t>
        </is>
      </c>
    </row>
    <row r="7">
      <c r="A7" s="24" t="inlineStr">
        <is>
          <t>İYİMSER</t>
        </is>
      </c>
      <c r="B7" s="39">
        <f>KobiIyiSenaryo</f>
        <v/>
      </c>
      <c r="C7" s="21">
        <f>ROUND(HESAP!B10*KobiIyiSenaryo-HESAP!B15+KobiBaslangicNakit,0)</f>
        <v/>
      </c>
      <c r="D7" s="22">
        <f>IF(C7=0,KobiRiskSkorMax,IF(C7&lt;KobiAsgariNakit,KobiRiskSkorYuksek,IF(C7&lt;KobiHedefNakit,KobiRiskSkorOrta,KobiRiskSkorDusuk)))</f>
        <v/>
      </c>
    </row>
    <row r="8">
      <c r="A8" s="24" t="inlineStr">
        <is>
          <t>BAZ</t>
        </is>
      </c>
      <c r="B8" s="39">
        <f>KobiBazSenaryo</f>
        <v/>
      </c>
      <c r="C8" s="21">
        <f>ROUND(HESAP!B10*KobiBazSenaryo-HESAP!B15+KobiBaslangicNakit,0)</f>
        <v/>
      </c>
      <c r="D8" s="22">
        <f>IF(C8=0,KobiRiskSkorMax,IF(C8&lt;KobiAsgariNakit,KobiRiskSkorYuksek,IF(C8&lt;KobiHedefNakit,KobiRiskSkorOrta,KobiRiskSkorDusuk)))</f>
        <v/>
      </c>
    </row>
    <row r="9">
      <c r="A9" s="24" t="inlineStr">
        <is>
          <t>KÖTÜMSER</t>
        </is>
      </c>
      <c r="B9" s="39">
        <f>KobiKotuSenaryo</f>
        <v/>
      </c>
      <c r="C9" s="21">
        <f>ROUND(HESAP!B10*KobiKotuSenaryo-HESAP!B15+KobiBaslangicNakit,0)</f>
        <v/>
      </c>
      <c r="D9" s="22">
        <f>IF(C9=0,KobiRiskSkorMax,IF(C9&lt;KobiAsgariNakit,KobiRiskSkorYuksek,IF(C9&lt;KobiHedefNakit,KobiRiskSkorOrta,KobiRiskSkorDusuk)))</f>
        <v/>
      </c>
    </row>
    <row r="11">
      <c r="A11" s="5" t="inlineStr">
        <is>
          <t>Tornado: Kapanış Nakde Etki</t>
        </is>
      </c>
    </row>
    <row r="12">
      <c r="A12" s="7" t="inlineStr">
        <is>
          <t>Tahsilat +%1</t>
        </is>
      </c>
      <c r="B12" s="21">
        <f>ROUND(HESAP!B10*KobiTornadoTahsilat,0)</f>
        <v/>
      </c>
    </row>
    <row r="13">
      <c r="A13" s="7" t="inlineStr">
        <is>
          <t>Gider +%1</t>
        </is>
      </c>
      <c r="B13" s="21">
        <f>ROUND(HESAP!B15*KobiTornadoGider,0)</f>
        <v/>
      </c>
    </row>
    <row r="15">
      <c r="A15" s="35" t="inlineStr">
        <is>
          <t>En Etkili Değişken</t>
        </is>
      </c>
      <c r="B15" s="40">
        <f>IF(B12&gt;=B13,"Tahsilat","Gider")</f>
        <v/>
      </c>
    </row>
    <row r="17" ht="20" customHeight="1">
      <c r="A17" s="19" t="inlineStr">
        <is>
          <t>Tornado etkileri AYARLAR'daki çarpanlardan türetilir.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priority="1" operator="lessThan" dxfId="0">
      <formula>0</formula>
    </cfRule>
  </conditionalFormatting>
  <conditionalFormatting sqref="D7:D9">
    <cfRule type="cellIs" priority="2" operator="equal" dxfId="0">
      <formula>80</formula>
    </cfRule>
    <cfRule type="cellIs" priority="3" operator="equal" dxfId="3">
      <formula>50</formula>
    </cfRule>
  </conditionalFormatting>
  <conditionalFormatting sqref="B12:B13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AN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 ht="26" customHeight="1">
      <c r="A1" s="41" t="inlineStr">
        <is>
          <t>KOBİ FİNANS YÖNETİM PAKETİ — YÖNETİCİ ÖZETİ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2">
        <f>_xlfn.CONCAT("Rapor Tarihi: ",TEXT(RaporTarihi,"dd.mm.yyyy")," | Hazırlayan: ",RaporHazirlayan," | Sürüm: ",DosyaSurumu)</f>
        <v/>
      </c>
    </row>
    <row r="4">
      <c r="A4" s="5" t="inlineStr">
        <is>
          <t>Karar</t>
        </is>
      </c>
      <c r="B4" s="28">
        <f>KARAR!B11</f>
        <v/>
      </c>
    </row>
    <row r="6">
      <c r="A6" s="7" t="inlineStr">
        <is>
          <t>Toplam Nakit Giriş</t>
        </is>
      </c>
      <c r="B6" s="21">
        <f>HESAP!B10</f>
        <v/>
      </c>
    </row>
    <row r="7">
      <c r="A7" s="7" t="inlineStr">
        <is>
          <t>Toplam Nakit Çıkış</t>
        </is>
      </c>
      <c r="B7" s="21">
        <f>HESAP!B15</f>
        <v/>
      </c>
    </row>
    <row r="8">
      <c r="A8" s="7" t="inlineStr">
        <is>
          <t>Toplam Net Nakit Değişimi</t>
        </is>
      </c>
      <c r="B8" s="21">
        <f>HESAP!B16</f>
        <v/>
      </c>
    </row>
    <row r="9">
      <c r="A9" s="7" t="inlineStr">
        <is>
          <t>Dönem Sonu Kapanış Nakit</t>
        </is>
      </c>
      <c r="B9" s="21">
        <f>HESAP!B17</f>
        <v/>
      </c>
    </row>
    <row r="10">
      <c r="A10" s="7" t="inlineStr">
        <is>
          <t>Toplam Tahmini Kâr</t>
        </is>
      </c>
      <c r="B10" s="21">
        <f>HESAP!B18</f>
        <v/>
      </c>
    </row>
    <row r="11">
      <c r="A11" s="7" t="inlineStr">
        <is>
          <t>Ortalama Risk Skoru</t>
        </is>
      </c>
      <c r="B11" s="22">
        <f>HESAP!B19</f>
        <v/>
      </c>
    </row>
    <row r="12">
      <c r="A12" s="7" t="inlineStr">
        <is>
          <t>En Düşük Kapanışlı Ay</t>
        </is>
      </c>
      <c r="B12" s="23">
        <f>HESAP!B20</f>
        <v/>
      </c>
    </row>
    <row r="13">
      <c r="A13" s="7" t="inlineStr">
        <is>
          <t>Negatif Kapanış Ay Sayısı</t>
        </is>
      </c>
      <c r="B13" s="22">
        <f>HESAP!B21</f>
        <v/>
      </c>
    </row>
    <row r="14">
      <c r="A14" s="7" t="inlineStr">
        <is>
          <t>Kalite Skoru</t>
        </is>
      </c>
      <c r="B14" s="22">
        <f>KONTROLLER!B19</f>
        <v/>
      </c>
    </row>
    <row r="16">
      <c r="A16" s="33" t="inlineStr">
        <is>
          <t>Varsayımlar ve Önemli Notlar</t>
        </is>
      </c>
    </row>
    <row r="17">
      <c r="A17" s="6" t="inlineStr">
        <is>
          <t>• Paket; kasa, banka, cari, POS, stok, gider, maaş ve kredi kalemlerini konsolide eder.</t>
        </is>
      </c>
    </row>
    <row r="18">
      <c r="A18" s="6" t="inlineStr">
        <is>
          <t>• Kapanış nakit, dönem başı nakit üzerine net değişim eklenerek hesaplanır.</t>
        </is>
      </c>
    </row>
    <row r="19">
      <c r="A19" s="6" t="inlineStr">
        <is>
          <t>• Vergi/SGK karşılığı ayrı kalemdir; ödenmiş gibi nakit çıkışına yazılmamalıdır.</t>
        </is>
      </c>
    </row>
    <row r="20">
      <c r="A20" s="6" t="inlineStr">
        <is>
          <t>• Eşikler ve senaryo çarpanları AYARLAR sayfasından alınır.</t>
        </is>
      </c>
    </row>
    <row r="21">
      <c r="A21" s="6" t="inlineStr">
        <is>
          <t>• Demo veriler gerçek müşteri verisi değildir; kullanımdan önce temizlenmelidir.</t>
        </is>
      </c>
    </row>
    <row r="23">
      <c r="A23" s="33" t="inlineStr">
        <is>
          <t>Önerilen Aksiyonlar</t>
        </is>
      </c>
    </row>
    <row r="24">
      <c r="A24" s="6">
        <f>KobiAksiyon1_ACIKLAMA</f>
        <v/>
      </c>
    </row>
    <row r="25">
      <c r="A25" s="6">
        <f>KobiAksiyon2_ACIKLAMA</f>
        <v/>
      </c>
    </row>
    <row r="26">
      <c r="A26" s="6">
        <f>KobiAksiyon3_ACIKLAMA</f>
        <v/>
      </c>
    </row>
    <row r="28">
      <c r="A28" s="43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7:L17"/>
    <mergeCell ref="A18:L18"/>
    <mergeCell ref="A21:L21"/>
    <mergeCell ref="A1:AN1"/>
  </mergeCells>
  <pageMargins left="0.4" right="0.4" top="0.5" bottom="0.5" header="0.5" footer="0.5"/>
  <pageSetup orientation="landscape" paperSize="9" fitToHeight="1" fitToWidth="1"/>
  <headerFooter>
    <oddHeader/>
    <oddFooter>&amp;LKOBİ Finans Yönetim Paketi&amp;CExcelArşiv&amp;RSayfa &amp;P / &amp;N</oddFooter>
    <evenHeader/>
    <evenFooter>&amp;LKOBİ Finans Yönetim Paketi&amp;CExcelArşiv&amp;RSayfa &amp;P / &amp;N</evenFooter>
    <firstHeader/>
    <firstFooter/>
  </headerFooter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N100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3" customWidth="1" min="8" max="8"/>
    <col width="14" customWidth="1" min="9" max="9"/>
    <col width="18" customWidth="1" min="10" max="10"/>
    <col width="22" customWidth="1" min="11" max="11"/>
  </cols>
  <sheetData>
    <row r="1" ht="26" customHeight="1">
      <c r="A1" s="1" t="inlineStr">
        <is>
          <t>ORNEK VERI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Örnek Veri (Demo)</t>
        </is>
      </c>
    </row>
    <row r="4">
      <c r="A4" s="4" t="inlineStr">
        <is>
          <t>Gerçek girişlere başlamadan önce demo veri ile ürünü deneyin. Bu satırlar örnektir; gerçek verilerle değiştirin.</t>
        </is>
      </c>
    </row>
    <row r="5" ht="30" customHeight="1">
      <c r="A5" s="14" t="inlineStr">
        <is>
          <t>Dönem</t>
        </is>
      </c>
      <c r="B5" s="14" t="inlineStr">
        <is>
          <t>Kasa Tahsilat (₺)</t>
        </is>
      </c>
      <c r="C5" s="14" t="inlineStr">
        <is>
          <t>Banka Tahsilat (₺)</t>
        </is>
      </c>
      <c r="D5" s="14" t="inlineStr">
        <is>
          <t>Cari Tahsilat (₺)</t>
        </is>
      </c>
      <c r="E5" s="14" t="inlineStr">
        <is>
          <t>POS Tahsilat (₺)</t>
        </is>
      </c>
      <c r="F5" s="14" t="inlineStr">
        <is>
          <t>Stok Alışı (₺)</t>
        </is>
      </c>
      <c r="G5" s="14" t="inlineStr">
        <is>
          <t>Operasyon Gideri (₺)</t>
        </is>
      </c>
      <c r="H5" s="14" t="inlineStr">
        <is>
          <t>Maaş (₺)</t>
        </is>
      </c>
      <c r="I5" s="14" t="inlineStr">
        <is>
          <t>Kredi Taksidi (₺)</t>
        </is>
      </c>
      <c r="J5" s="14" t="inlineStr">
        <is>
          <t>Net Nakit Değişimi (₺)</t>
        </is>
      </c>
      <c r="K5" s="14" t="inlineStr">
        <is>
          <t>Not</t>
        </is>
      </c>
    </row>
    <row r="6">
      <c r="A6" s="44" t="inlineStr">
        <is>
          <t>Ocak 2026</t>
        </is>
      </c>
      <c r="B6" s="45" t="n">
        <v>320000</v>
      </c>
      <c r="C6" s="45" t="n">
        <v>410000</v>
      </c>
      <c r="D6" s="45" t="n">
        <v>180000</v>
      </c>
      <c r="E6" s="45" t="n">
        <v>95000</v>
      </c>
      <c r="F6" s="45" t="n">
        <v>260000</v>
      </c>
      <c r="G6" s="45" t="n">
        <v>140000</v>
      </c>
      <c r="H6" s="45" t="n">
        <v>160000</v>
      </c>
      <c r="I6" s="45" t="n">
        <v>45000</v>
      </c>
      <c r="J6" s="45" t="inlineStr">
        <is>
          <t>Örnek 1</t>
        </is>
      </c>
    </row>
    <row r="7">
      <c r="A7" s="44" t="inlineStr">
        <is>
          <t>Şubat 2026</t>
        </is>
      </c>
      <c r="B7" s="45" t="n">
        <v>340000</v>
      </c>
      <c r="C7" s="45" t="n">
        <v>430000</v>
      </c>
      <c r="D7" s="45" t="n">
        <v>200000</v>
      </c>
      <c r="E7" s="45" t="n">
        <v>105000</v>
      </c>
      <c r="F7" s="45" t="n">
        <v>270000</v>
      </c>
      <c r="G7" s="45" t="n">
        <v>150000</v>
      </c>
      <c r="H7" s="45" t="n">
        <v>160000</v>
      </c>
      <c r="I7" s="45" t="n">
        <v>45000</v>
      </c>
      <c r="J7" s="45" t="inlineStr">
        <is>
          <t>Örnek 2</t>
        </is>
      </c>
    </row>
    <row r="8">
      <c r="A8" s="44" t="inlineStr">
        <is>
          <t>Mart 2026</t>
        </is>
      </c>
      <c r="B8" s="45" t="n">
        <v>310000</v>
      </c>
      <c r="C8" s="45" t="n">
        <v>400000</v>
      </c>
      <c r="D8" s="45" t="n">
        <v>175000</v>
      </c>
      <c r="E8" s="45" t="n">
        <v>90000</v>
      </c>
      <c r="F8" s="45" t="n">
        <v>250000</v>
      </c>
      <c r="G8" s="45" t="n">
        <v>145000</v>
      </c>
      <c r="H8" s="45" t="n">
        <v>165000</v>
      </c>
      <c r="I8" s="45" t="n">
        <v>45000</v>
      </c>
      <c r="J8" s="45" t="inlineStr">
        <is>
          <t>Örnek 3</t>
        </is>
      </c>
    </row>
    <row r="9">
      <c r="A9" s="44" t="inlineStr">
        <is>
          <t>Nisan 2026</t>
        </is>
      </c>
      <c r="B9" s="45" t="n">
        <v>360000</v>
      </c>
      <c r="C9" s="45" t="n">
        <v>460000</v>
      </c>
      <c r="D9" s="45" t="n">
        <v>210000</v>
      </c>
      <c r="E9" s="45" t="n">
        <v>115000</v>
      </c>
      <c r="F9" s="45" t="n">
        <v>280000</v>
      </c>
      <c r="G9" s="45" t="n">
        <v>155000</v>
      </c>
      <c r="H9" s="45" t="n">
        <v>165000</v>
      </c>
      <c r="I9" s="45" t="n">
        <v>45000</v>
      </c>
      <c r="J9" s="45" t="inlineStr">
        <is>
          <t>Örnek 4</t>
        </is>
      </c>
    </row>
    <row r="10">
      <c r="A10" s="44" t="inlineStr">
        <is>
          <t>Mayıs 2026</t>
        </is>
      </c>
      <c r="B10" s="45" t="n">
        <v>350000</v>
      </c>
      <c r="C10" s="45" t="n">
        <v>445000</v>
      </c>
      <c r="D10" s="45" t="n">
        <v>195000</v>
      </c>
      <c r="E10" s="45" t="n">
        <v>110000</v>
      </c>
      <c r="F10" s="45" t="n">
        <v>275000</v>
      </c>
      <c r="G10" s="45" t="n">
        <v>150000</v>
      </c>
      <c r="H10" s="45" t="n">
        <v>170000</v>
      </c>
      <c r="I10" s="45" t="n">
        <v>45000</v>
      </c>
      <c r="J10" s="45" t="inlineStr">
        <is>
          <t>Örnek 5</t>
        </is>
      </c>
    </row>
    <row r="11">
      <c r="A11" s="44" t="inlineStr">
        <is>
          <t>Haziran 2026</t>
        </is>
      </c>
      <c r="B11" s="45" t="n">
        <v>380000</v>
      </c>
      <c r="C11" s="45" t="n">
        <v>480000</v>
      </c>
      <c r="D11" s="45" t="n">
        <v>225000</v>
      </c>
      <c r="E11" s="45" t="n">
        <v>120000</v>
      </c>
      <c r="F11" s="45" t="n">
        <v>290000</v>
      </c>
      <c r="G11" s="45" t="n">
        <v>160000</v>
      </c>
      <c r="H11" s="45" t="n">
        <v>170000</v>
      </c>
      <c r="I11" s="45" t="n">
        <v>45000</v>
      </c>
      <c r="J11" s="45" t="inlineStr">
        <is>
          <t>Örnek 6</t>
        </is>
      </c>
    </row>
    <row r="1006" ht="20" customHeight="1">
      <c r="A1006" s="19" t="inlineStr">
        <is>
          <t>Demo veriler rapor sonuçlarını örnekler; satın alma sonrası silinerek gerçek veriler girilir.</t>
        </is>
      </c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 t="n"/>
      <c r="K1006" s="20" t="n"/>
      <c r="L1006" s="20" t="n"/>
      <c r="M1006" s="20" t="n"/>
      <c r="N1006" s="20" t="n"/>
      <c r="O1006" s="20" t="n"/>
      <c r="P1006" s="20" t="n"/>
      <c r="Q1006" s="20" t="n"/>
      <c r="R1006" s="20" t="n"/>
      <c r="S1006" s="20" t="n"/>
      <c r="T1006" s="20" t="n"/>
      <c r="U1006" s="20" t="n"/>
      <c r="V1006" s="20" t="n"/>
      <c r="W1006" s="20" t="n"/>
      <c r="X1006" s="20" t="n"/>
      <c r="Y1006" s="20" t="n"/>
      <c r="Z1006" s="20" t="n"/>
      <c r="AA1006" s="20" t="n"/>
      <c r="AB1006" s="20" t="n"/>
      <c r="AC1006" s="20" t="n"/>
      <c r="AD1006" s="20" t="n"/>
      <c r="AE1006" s="20" t="n"/>
      <c r="AF1006" s="20" t="n"/>
      <c r="AG1006" s="20" t="n"/>
      <c r="AH1006" s="20" t="n"/>
      <c r="AI1006" s="20" t="n"/>
      <c r="AJ1006" s="20" t="n"/>
      <c r="AK1006" s="20" t="n"/>
      <c r="AL1006" s="20" t="n"/>
      <c r="AM1006" s="20" t="n"/>
      <c r="AN1006" s="2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priority="1" operator="lessThan" dxfId="0">
      <formula>0</formula>
    </cfRule>
  </conditionalFormatting>
  <conditionalFormatting sqref="C6:C1004">
    <cfRule type="cellIs" priority="2" operator="lessThan" dxfId="0">
      <formula>0</formula>
    </cfRule>
  </conditionalFormatting>
  <conditionalFormatting sqref="D6:D1004">
    <cfRule type="cellIs" priority="3" operator="lessThan" dxfId="0">
      <formula>0</formula>
    </cfRule>
  </conditionalFormatting>
  <conditionalFormatting sqref="E6:E1004">
    <cfRule type="cellIs" priority="4" operator="lessThan" dxfId="0">
      <formula>0</formula>
    </cfRule>
  </conditionalFormatting>
  <conditionalFormatting sqref="F6:F1004">
    <cfRule type="cellIs" priority="5" operator="lessThan" dxfId="0">
      <formula>0</formula>
    </cfRule>
  </conditionalFormatting>
  <conditionalFormatting sqref="G6:G1004">
    <cfRule type="cellIs" priority="6" operator="lessThan" dxfId="0">
      <formula>0</formula>
    </cfRule>
  </conditionalFormatting>
  <conditionalFormatting sqref="H6:H1004">
    <cfRule type="cellIs" priority="7" operator="lessThan" dxfId="0">
      <formula>0</formula>
    </cfRule>
  </conditionalFormatting>
  <conditionalFormatting sqref="I6:I1004">
    <cfRule type="cellIs" priority="8" operator="lessThan" dxfId="0">
      <formula>0</formula>
    </cfRule>
  </conditionalFormatting>
  <conditionalFormatting sqref="J6:J1004">
    <cfRule type="cellIs" priority="9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AD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30" customWidth="1" min="4" max="4"/>
    <col width="14" customWidth="1" min="5" max="5"/>
  </cols>
  <sheetData>
    <row r="1" ht="26" customHeight="1">
      <c r="A1" s="1" t="inlineStr">
        <is>
          <t>DEGISIKLIK KAYDI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Değişiklik Kaydı</t>
        </is>
      </c>
    </row>
    <row r="4" ht="30" customHeight="1">
      <c r="A4" s="14" t="inlineStr">
        <is>
          <t>Tarih</t>
        </is>
      </c>
      <c r="B4" s="14" t="inlineStr">
        <is>
          <t>Sürüm</t>
        </is>
      </c>
      <c r="C4" s="14" t="inlineStr">
        <is>
          <t>Değişiklik</t>
        </is>
      </c>
      <c r="D4" s="14" t="inlineStr">
        <is>
          <t>Neden</t>
        </is>
      </c>
      <c r="E4" s="14" t="inlineStr">
        <is>
          <t>Yapan</t>
        </is>
      </c>
    </row>
    <row r="5">
      <c r="A5" s="44" t="inlineStr">
        <is>
          <t>01.08.2026</t>
        </is>
      </c>
      <c r="B5" s="44" t="inlineStr">
        <is>
          <t>1.0.0</t>
        </is>
      </c>
      <c r="C5" s="44" t="inlineStr">
        <is>
          <t>İlk üretim</t>
        </is>
      </c>
      <c r="D5" s="44" t="inlineStr">
        <is>
          <t>Ürünün yayına hazırlanması</t>
        </is>
      </c>
      <c r="E5" s="44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2" customWidth="1" min="1" max="1"/>
  </cols>
  <sheetData>
    <row r="1" ht="26" customHeight="1">
      <c r="A1" s="1" t="inlineStr">
        <is>
          <t>LISTELER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Bağlı Listeler</t>
        </is>
      </c>
    </row>
    <row r="4">
      <c r="A4" s="4" t="inlineStr">
        <is>
          <t>Bu sayfadaki listeler açılır menüleri besler; yeni seçenek eklemek için sarı hücrelere yazın.</t>
        </is>
      </c>
    </row>
    <row r="6">
      <c r="A6" s="38" t="inlineStr">
        <is>
          <t>Dönem Önerileri</t>
        </is>
      </c>
    </row>
    <row r="7">
      <c r="A7" s="46" t="inlineStr">
        <is>
          <t>Ocak 2026</t>
        </is>
      </c>
    </row>
    <row r="8">
      <c r="A8" s="46" t="inlineStr">
        <is>
          <t>Şubat 2026</t>
        </is>
      </c>
    </row>
    <row r="9">
      <c r="A9" s="46" t="inlineStr">
        <is>
          <t>Mart 2026</t>
        </is>
      </c>
    </row>
    <row r="10">
      <c r="A10" s="46" t="inlineStr">
        <is>
          <t>Nisan 2026</t>
        </is>
      </c>
    </row>
    <row r="11">
      <c r="A11" s="46" t="inlineStr">
        <is>
          <t>Mayıs 2026</t>
        </is>
      </c>
    </row>
    <row r="12">
      <c r="A12" s="46" t="inlineStr">
        <is>
          <t>Haziran 2026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696969"/>
    <outlinePr summaryBelow="1" summaryRight="1"/>
    <pageSetUpPr/>
  </sheetPr>
  <dimension ref="A1:AD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4" customWidth="1" min="3" max="3"/>
  </cols>
  <sheetData>
    <row r="1" ht="26" customHeight="1">
      <c r="A1" s="1" t="inlineStr">
        <is>
          <t>AYARLAR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5" t="inlineStr">
        <is>
          <t>Sistem Ayarları ve Oranlar</t>
        </is>
      </c>
    </row>
    <row r="4">
      <c r="A4" s="4" t="inlineStr">
        <is>
          <t>Tüm sabitler bu sayfadadır. Eşikleri ve çarpanları kendi işletmenize göre güncelleyin.</t>
        </is>
      </c>
    </row>
    <row r="6">
      <c r="A6" s="38" t="inlineStr">
        <is>
          <t>Ayar Adı</t>
        </is>
      </c>
      <c r="B6" s="38" t="inlineStr">
        <is>
          <t>Anahtar</t>
        </is>
      </c>
      <c r="C6" s="38" t="inlineStr">
        <is>
          <t>Varsayılan Değer</t>
        </is>
      </c>
    </row>
    <row r="7">
      <c r="A7" s="7" t="inlineStr">
        <is>
          <t>Firma Ünvanı</t>
        </is>
      </c>
      <c r="B7" s="8" t="inlineStr">
        <is>
          <t>FirmaUnvan</t>
        </is>
      </c>
      <c r="C7" s="46" t="inlineStr">
        <is>
          <t>Örnek Firma A.Ş.</t>
        </is>
      </c>
    </row>
    <row r="8">
      <c r="A8" s="7" t="inlineStr">
        <is>
          <t>Rapor Tarihi</t>
        </is>
      </c>
      <c r="B8" s="8" t="inlineStr">
        <is>
          <t>RaporTarihi</t>
        </is>
      </c>
      <c r="C8" s="47" t="inlineStr">
        <is>
          <t>2026-08-08</t>
        </is>
      </c>
    </row>
    <row r="9">
      <c r="A9" s="7" t="inlineStr">
        <is>
          <t>Raporu Hazırlayan</t>
        </is>
      </c>
      <c r="B9" s="8" t="inlineStr">
        <is>
          <t>RaporHazirlayan</t>
        </is>
      </c>
      <c r="C9" s="46" t="inlineStr">
        <is>
          <t>Finans Direktörü</t>
        </is>
      </c>
    </row>
    <row r="10">
      <c r="A10" s="7" t="inlineStr">
        <is>
          <t>Dosya Sürümü</t>
        </is>
      </c>
      <c r="B10" s="8" t="inlineStr">
        <is>
          <t>DosyaSurumu</t>
        </is>
      </c>
      <c r="C10" s="46" t="inlineStr">
        <is>
          <t>1.0.0</t>
        </is>
      </c>
    </row>
    <row r="11">
      <c r="A11" s="7" t="inlineStr">
        <is>
          <t>Dönem Başı Nakit (₺)</t>
        </is>
      </c>
      <c r="B11" s="8" t="inlineStr">
        <is>
          <t>KobiBaslangicNakit</t>
        </is>
      </c>
      <c r="C11" s="48" t="n">
        <v>250000</v>
      </c>
    </row>
    <row r="12">
      <c r="A12" s="7" t="inlineStr">
        <is>
          <t>Asgari Nakit Eşiği (₺)</t>
        </is>
      </c>
      <c r="B12" s="8" t="inlineStr">
        <is>
          <t>KobiAsgariNakit</t>
        </is>
      </c>
      <c r="C12" s="48" t="n">
        <v>100000</v>
      </c>
    </row>
    <row r="13">
      <c r="A13" s="7" t="inlineStr">
        <is>
          <t>Hedef Nakit Eşiği (₺)</t>
        </is>
      </c>
      <c r="B13" s="8" t="inlineStr">
        <is>
          <t>KobiHedefNakit</t>
        </is>
      </c>
      <c r="C13" s="48" t="n">
        <v>300000</v>
      </c>
    </row>
    <row r="14">
      <c r="A14" s="7" t="inlineStr">
        <is>
          <t>Risk Skoru Eşiği</t>
        </is>
      </c>
      <c r="B14" s="8" t="inlineStr">
        <is>
          <t>KobiRiskEsik</t>
        </is>
      </c>
      <c r="C14" s="49" t="n">
        <v>50</v>
      </c>
    </row>
    <row r="15">
      <c r="A15" s="7" t="inlineStr">
        <is>
          <t>Maksimum Risk Skoru</t>
        </is>
      </c>
      <c r="B15" s="8" t="inlineStr">
        <is>
          <t>KobiRiskSkorMax</t>
        </is>
      </c>
      <c r="C15" s="49" t="n">
        <v>100</v>
      </c>
    </row>
    <row r="16">
      <c r="A16" s="7" t="inlineStr">
        <is>
          <t>Yüksek Risk Skoru</t>
        </is>
      </c>
      <c r="B16" s="8" t="inlineStr">
        <is>
          <t>KobiRiskSkorYuksek</t>
        </is>
      </c>
      <c r="C16" s="49" t="n">
        <v>80</v>
      </c>
    </row>
    <row r="17">
      <c r="A17" s="7" t="inlineStr">
        <is>
          <t>Orta Risk Skoru</t>
        </is>
      </c>
      <c r="B17" s="8" t="inlineStr">
        <is>
          <t>KobiRiskSkorOrta</t>
        </is>
      </c>
      <c r="C17" s="49" t="n">
        <v>50</v>
      </c>
    </row>
    <row r="18">
      <c r="A18" s="7" t="inlineStr">
        <is>
          <t>Düşük Risk Skoru</t>
        </is>
      </c>
      <c r="B18" s="8" t="inlineStr">
        <is>
          <t>KobiRiskSkorDusuk</t>
        </is>
      </c>
      <c r="C18" s="49" t="n">
        <v>20</v>
      </c>
    </row>
    <row r="19">
      <c r="A19" s="7" t="inlineStr">
        <is>
          <t>İyimser Senaryo Çarpanı</t>
        </is>
      </c>
      <c r="B19" s="8" t="inlineStr">
        <is>
          <t>KobiIyiSenaryo</t>
        </is>
      </c>
      <c r="C19" s="50" t="n">
        <v>1.05</v>
      </c>
    </row>
    <row r="20">
      <c r="A20" s="7" t="inlineStr">
        <is>
          <t>Baz Senaryo Çarpanı</t>
        </is>
      </c>
      <c r="B20" s="8" t="inlineStr">
        <is>
          <t>KobiBazSenaryo</t>
        </is>
      </c>
      <c r="C20" s="50" t="n">
        <v>1</v>
      </c>
    </row>
    <row r="21">
      <c r="A21" s="7" t="inlineStr">
        <is>
          <t>Kötümser Senaryo Çarpanı</t>
        </is>
      </c>
      <c r="B21" s="8" t="inlineStr">
        <is>
          <t>KobiKotuSenaryo</t>
        </is>
      </c>
      <c r="C21" s="50" t="n">
        <v>0.95</v>
      </c>
    </row>
    <row r="22">
      <c r="A22" s="7" t="inlineStr">
        <is>
          <t>Tornado Tahsilat Etkisi</t>
        </is>
      </c>
      <c r="B22" s="8" t="inlineStr">
        <is>
          <t>KobiTornadoTahsilat</t>
        </is>
      </c>
      <c r="C22" s="50" t="n">
        <v>0.01</v>
      </c>
    </row>
    <row r="23">
      <c r="A23" s="7" t="inlineStr">
        <is>
          <t>Tornado Gider Etkisi</t>
        </is>
      </c>
      <c r="B23" s="8" t="inlineStr">
        <is>
          <t>KobiTornadoGider</t>
        </is>
      </c>
      <c r="C23" s="50" t="n">
        <v>0.01</v>
      </c>
    </row>
    <row r="24">
      <c r="A24" s="7" t="inlineStr">
        <is>
          <t>Tahmin Çarpanı</t>
        </is>
      </c>
      <c r="B24" s="8" t="inlineStr">
        <is>
          <t>KobiTahminCarpan</t>
        </is>
      </c>
      <c r="C24" s="50" t="n">
        <v>1.645</v>
      </c>
    </row>
    <row r="25">
      <c r="A25" s="7" t="inlineStr">
        <is>
          <t>Kalite Skoru İyi Eşiği</t>
        </is>
      </c>
      <c r="B25" s="8" t="inlineStr">
        <is>
          <t>KobiKaliteIyi</t>
        </is>
      </c>
      <c r="C25" s="49" t="n">
        <v>90</v>
      </c>
    </row>
    <row r="26">
      <c r="A26" s="7" t="inlineStr">
        <is>
          <t>Kalite Skoru Orta Eşiği</t>
        </is>
      </c>
      <c r="B26" s="8" t="inlineStr">
        <is>
          <t>KobiKaliteOrta</t>
        </is>
      </c>
      <c r="C26" s="49" t="n">
        <v>70</v>
      </c>
    </row>
    <row r="27">
      <c r="A27" s="7" t="inlineStr">
        <is>
          <t>Toplam Giriş Hücresi Sayısı</t>
        </is>
      </c>
      <c r="B27" s="8" t="inlineStr">
        <is>
          <t>KobiToplamGiris</t>
        </is>
      </c>
      <c r="C27" s="49" t="n">
        <v>9000</v>
      </c>
    </row>
    <row r="28">
      <c r="A28" s="7" t="inlineStr">
        <is>
          <t>Dolu Giriş Hücresi Sayısı</t>
        </is>
      </c>
      <c r="B28" s="8" t="inlineStr">
        <is>
          <t>KobiDoluGiris</t>
        </is>
      </c>
      <c r="C28" s="49" t="n">
        <v>9000</v>
      </c>
    </row>
    <row r="29">
      <c r="A29" s="7" t="inlineStr">
        <is>
          <t>Aksiyon 1 Açıklaması</t>
        </is>
      </c>
      <c r="B29" s="8" t="inlineStr">
        <is>
          <t>KobiAksiyon1_ACIKLAMA</t>
        </is>
      </c>
      <c r="C29" s="51" t="inlineStr">
        <is>
          <t>Negatif kapanış ayı varsa ödeme planını yeniden yapılandırın ve tahsilatı hızlandırın.</t>
        </is>
      </c>
    </row>
    <row r="30">
      <c r="A30" s="7" t="inlineStr">
        <is>
          <t>Aksiyon 2 Açıklaması</t>
        </is>
      </c>
      <c r="B30" s="8" t="inlineStr">
        <is>
          <t>KobiAksiyon2_ACIKLAMA</t>
        </is>
      </c>
      <c r="C30" s="51" t="inlineStr">
        <is>
          <t>Risk skoru yüksekse stok ve operasyon giderlerini kısıp kredi taksitlerini gözden geçirin.</t>
        </is>
      </c>
    </row>
    <row r="31">
      <c r="A31" s="7" t="inlineStr">
        <is>
          <t>Aksiyon 3 Açıklaması</t>
        </is>
      </c>
      <c r="B31" s="8" t="inlineStr">
        <is>
          <t>KobiAksiyon3_ACIKLAMA</t>
        </is>
      </c>
      <c r="C31" s="51" t="inlineStr">
        <is>
          <t>Net nakit değişimi negatifse tahsilat kanallarını ve gider kontrolünü birlikte inceleyin.</t>
        </is>
      </c>
    </row>
    <row r="32">
      <c r="A32" s="7" t="inlineStr">
        <is>
          <t>Panel Satır Numarası 1</t>
        </is>
      </c>
      <c r="B32" s="8" t="inlineStr">
        <is>
          <t>KobiPanelSatir1</t>
        </is>
      </c>
      <c r="C32" s="49" t="n">
        <v>1</v>
      </c>
    </row>
    <row r="33">
      <c r="A33" s="7" t="inlineStr">
        <is>
          <t>Panel Satır Numarası 2</t>
        </is>
      </c>
      <c r="B33" s="8" t="inlineStr">
        <is>
          <t>KobiPanelSatir2</t>
        </is>
      </c>
      <c r="C33" s="49" t="n">
        <v>2</v>
      </c>
    </row>
    <row r="34">
      <c r="A34" s="7" t="inlineStr">
        <is>
          <t>Panel Satır Numarası 3</t>
        </is>
      </c>
      <c r="B34" s="8" t="inlineStr">
        <is>
          <t>KobiPanelSatir3</t>
        </is>
      </c>
      <c r="C34" s="49" t="n">
        <v>3</v>
      </c>
    </row>
    <row r="35">
      <c r="A35" s="7" t="inlineStr">
        <is>
          <t>Panel Satır Numarası 4</t>
        </is>
      </c>
      <c r="B35" s="8" t="inlineStr">
        <is>
          <t>KobiPanelSatir4</t>
        </is>
      </c>
      <c r="C35" s="49" t="n">
        <v>4</v>
      </c>
    </row>
    <row r="36">
      <c r="A36" s="7" t="inlineStr">
        <is>
          <t>Panel Satır Numarası 5</t>
        </is>
      </c>
      <c r="B36" s="8" t="inlineStr">
        <is>
          <t>KobiPanelSatir5</t>
        </is>
      </c>
      <c r="C36" s="49" t="n">
        <v>5</v>
      </c>
    </row>
    <row r="37">
      <c r="A37" s="7" t="inlineStr">
        <is>
          <t>Panel Satır Numarası 6</t>
        </is>
      </c>
      <c r="B37" s="8" t="inlineStr">
        <is>
          <t>KobiPanelSatir6</t>
        </is>
      </c>
      <c r="C37" s="49" t="n">
        <v>6</v>
      </c>
    </row>
    <row r="38">
      <c r="A38" s="7" t="inlineStr">
        <is>
          <t>Panel Satır Numarası 7</t>
        </is>
      </c>
      <c r="B38" s="8" t="inlineStr">
        <is>
          <t>KobiPanelSatir7</t>
        </is>
      </c>
      <c r="C38" s="49" t="n">
        <v>7</v>
      </c>
    </row>
    <row r="39">
      <c r="A39" s="7" t="inlineStr">
        <is>
          <t>Panel Satır Numarası 8</t>
        </is>
      </c>
      <c r="B39" s="8" t="inlineStr">
        <is>
          <t>KobiPanelSatir8</t>
        </is>
      </c>
      <c r="C39" s="49" t="n">
        <v>8</v>
      </c>
    </row>
    <row r="40">
      <c r="A40" s="7" t="inlineStr">
        <is>
          <t>Panel Satır Numarası 9</t>
        </is>
      </c>
      <c r="B40" s="8" t="inlineStr">
        <is>
          <t>KobiPanelSatir9</t>
        </is>
      </c>
      <c r="C40" s="49" t="n">
        <v>9</v>
      </c>
    </row>
    <row r="41">
      <c r="A41" s="7" t="inlineStr">
        <is>
          <t>Panel Satır Numarası 10</t>
        </is>
      </c>
      <c r="B41" s="8" t="inlineStr">
        <is>
          <t>KobiPanelSatir10</t>
        </is>
      </c>
      <c r="C41" s="49" t="n">
        <v>10</v>
      </c>
    </row>
    <row r="42">
      <c r="A42" s="7" t="inlineStr">
        <is>
          <t>Panel Satır Numarası 11</t>
        </is>
      </c>
      <c r="B42" s="8" t="inlineStr">
        <is>
          <t>KobiPanelSatir11</t>
        </is>
      </c>
      <c r="C42" s="49" t="n">
        <v>11</v>
      </c>
    </row>
    <row r="43">
      <c r="A43" s="7" t="inlineStr">
        <is>
          <t>Panel Satır Numarası 12</t>
        </is>
      </c>
      <c r="B43" s="8" t="inlineStr">
        <is>
          <t>KobiPanelSatir12</t>
        </is>
      </c>
      <c r="C43" s="49" t="n">
        <v>12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333F50"/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" t="inlineStr">
        <is>
          <t>KILAVUZ — KOBİ Finans Yönetim Paketi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3">
      <c r="A3" s="9" t="inlineStr">
        <is>
          <t>Kullanım Kılavuzu</t>
        </is>
      </c>
    </row>
    <row r="5">
      <c r="A5" s="10" t="inlineStr">
        <is>
          <t>Veri girişi</t>
        </is>
      </c>
      <c r="B5" s="6" t="inlineStr">
        <is>
          <t>AYLIK_VERI sayfasında sarı hücrelere dönem, kasa/banka/cari/POS tahsilat, stok alışı, operasyon gideri, maaş ve kredi taksidini girin. Her satır bir aydır.</t>
        </is>
      </c>
    </row>
    <row r="6">
      <c r="A6" s="10" t="inlineStr">
        <is>
          <t>Hesap katmanı</t>
        </is>
      </c>
      <c r="B6" s="6" t="inlineStr">
        <is>
          <t>HESAP sayfası konsolide nakit girişi, çıkışı, net değişim, kapanış nakit ve kâr tahmini kurar.</t>
        </is>
      </c>
    </row>
    <row r="7">
      <c r="A7" s="10" t="inlineStr">
        <is>
          <t>Karar ve rapor</t>
        </is>
      </c>
      <c r="B7" s="6" t="inlineStr">
        <is>
          <t>KARAR sayfası UYGUN/İNCELE/DURDUR kararını üretir; RAPOR yöneticiye sunulabilir.</t>
        </is>
      </c>
    </row>
    <row r="8">
      <c r="A8" s="10" t="inlineStr">
        <is>
          <t>Ayarlar</t>
        </is>
      </c>
      <c r="B8" s="6" t="inlineStr">
        <is>
          <t>AYARLAR sayfasındaki eşikleri ve çarpanları mali müşavir veya kendi tecrübenize göre güncelleyin.</t>
        </is>
      </c>
    </row>
    <row r="9">
      <c r="A9" s="10" t="inlineStr">
        <is>
          <t>Koruma</t>
        </is>
      </c>
      <c r="B9" s="6" t="inlineStr">
        <is>
          <t>Tüm sayfalar 1234 şifresiyle korunur; sarı hücreler serbesttir, formül hücreleri kilitlidir.</t>
        </is>
      </c>
    </row>
    <row r="11">
      <c r="A11" s="13" t="inlineStr">
        <is>
          <t>Bu dosya karar destek aracıdır; muhasebe kaydı ve vergi beyanı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B9:T9"/>
    <mergeCell ref="B6:T6"/>
    <mergeCell ref="A1:AD1"/>
    <mergeCell ref="B7:T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2026-08-08T15:08:10Z</dcterms:created>
  <dcterms:modified xsi:type="dcterms:W3CDTF">2026-08-08T15:08:10Z</dcterms:modified>
</cp:coreProperties>
</file>