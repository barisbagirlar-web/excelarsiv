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comments2.xml" ContentType="application/vnd.openxmlformats-officedocument.spreadsheetml.comments+xml"/>
  <Override PartName="/xl/comments13.xml" ContentType="application/vnd.openxmlformats-officedocument.spreadsheetml.comments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drawings/vmlDrawing2.vml" ContentType="application/vnd.openxmlformats-officedocument.vmlDrawing"/>
  <Override PartName="/xl/drawings/drawing2.xml" ContentType="application/vnd.openxmlformats-officedocument.drawing+xml"/>
  <Override PartName="/xl/drawings/vmlDrawing4.vml" ContentType="application/vnd.openxmlformats-officedocument.vmlDrawing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5.vml" ContentType="application/vnd.openxmlformats-officedocument.vmlDrawing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olors2.xml" ContentType="application/vnd.ms-office.chartcolorstyle+xml"/>
  <Override PartName="/xl/charts/chart1.xml" ContentType="application/vnd.openxmlformats-officedocument.drawingml.chart+xml"/>
  <Override PartName="/xl/charts/chart7.xml" ContentType="application/vnd.openxmlformats-officedocument.drawingml.chart+xml"/>
  <Override PartName="/xl/charts/colors3.xml" ContentType="application/vnd.ms-office.chartcolorstyle+xml"/>
  <Override PartName="/xl/charts/chart2.xml" ContentType="application/vnd.openxmlformats-officedocument.drawingml.chart+xml"/>
  <Override PartName="/xl/charts/colors9.xml" ContentType="application/vnd.ms-office.chartcolorstyle+xml"/>
  <Override PartName="/xl/charts/style4.xml" ContentType="application/vnd.ms-office.chartstyle+xml"/>
  <Override PartName="/xl/charts/colors8.xml" ContentType="application/vnd.ms-office.chartcolorstyle+xml"/>
  <Override PartName="/xl/charts/chart3.xml" ContentType="application/vnd.openxmlformats-officedocument.drawingml.chart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style5.xml" ContentType="application/vnd.ms-office.chartstyle+xml"/>
  <Override PartName="/xl/charts/colors5.xml" ContentType="application/vnd.ms-office.chartcolorstyle+xml"/>
  <Override PartName="/xl/charts/style6.xml" ContentType="application/vnd.ms-office.chartstyle+xml"/>
  <Override PartName="/xl/charts/colors6.xml" ContentType="application/vnd.ms-office.chartcolor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7.xml" ContentType="application/vnd.ms-office.chart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omments14.xml" ContentType="application/vnd.openxmlformats-officedocument.spreadsheetml.comment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KAPAK" sheetId="1" state="visible" r:id="rId3"/>
    <sheet name="HIZLI_BASLANGIC" sheetId="2" state="visible" r:id="rId4"/>
    <sheet name="BORC_LISTESI" sheetId="3" state="visible" r:id="rId5"/>
    <sheet name="HESAP" sheetId="4" state="visible" r:id="rId6"/>
    <sheet name="ANALITIK_MOTOR" sheetId="5" state="visible" r:id="rId7"/>
    <sheet name="KONTROLLER" sheetId="6" state="visible" r:id="rId8"/>
    <sheet name="KARAR" sheetId="7" state="visible" r:id="rId9"/>
    <sheet name="PANO" sheetId="8" state="visible" r:id="rId10"/>
    <sheet name="SENARYO_DUYARLILIK" sheetId="9" state="visible" r:id="rId11"/>
    <sheet name="RAPOR" sheetId="10" state="visible" r:id="rId12"/>
    <sheet name="ORNEK_VERI" sheetId="11" state="visible" r:id="rId13"/>
    <sheet name="DEGISIKLIK_KAYDI" sheetId="12" state="visible" r:id="rId14"/>
    <sheet name="LISTELER" sheetId="13" state="visible" r:id="rId15"/>
    <sheet name="AYARLAR" sheetId="14" state="visible" r:id="rId16"/>
    <sheet name="KILAVUZ" sheetId="15" state="visible" r:id="rId17"/>
  </sheets>
  <definedNames>
    <definedName function="false" hidden="false" localSheetId="7" name="_xlnm.Print_Area" vbProcedure="false">PANO!$A$1:$M$50</definedName>
    <definedName function="false" hidden="false" localSheetId="9" name="_xlnm.Print_Area" vbProcedure="false">RAPOR!$A$1:$L$29</definedName>
    <definedName function="false" hidden="false" name="DosyaSurumu" vbProcedure="false">AYARLAR!$B$10</definedName>
    <definedName function="false" hidden="false" name="EnDusukSecenek" vbProcedure="false">HESAP!$B$50</definedName>
    <definedName function="false" hidden="false" name="FirmaUnvan" vbProcedure="false">AYARLAR!$B$7</definedName>
    <definedName function="false" hidden="false" name="IskontoOrani" vbProcedure="false">AYARLAR!$B$19</definedName>
    <definedName function="false" hidden="false" name="KrediAylikTaksit" vbProcedure="false">HESAP!$B$38</definedName>
    <definedName function="false" hidden="false" name="KrediFaizYillik" vbProcedure="false">AYARLAR!$B$14</definedName>
    <definedName function="false" hidden="false" name="KrediKomisyonOran" vbProcedure="false">AYARLAR!$B$15</definedName>
    <definedName function="false" hidden="false" name="KrediOnayiVar" vbProcedure="false">AYARLAR!$B$17</definedName>
    <definedName function="false" hidden="false" name="KrediTaksitSayisi" vbProcedure="false">AYARLAR!$B$16</definedName>
    <definedName function="false" hidden="false" name="KrediToplamMaliyet" vbProcedure="false">HESAP!$B$39</definedName>
    <definedName function="false" hidden="false" name="KrediTornadoFaiz" vbProcedure="false">AYARLAR!$B$32</definedName>
    <definedName function="false" hidden="false" name="ListeBorcTurleri" vbProcedure="false">LISTELER!$A$7:$A$13</definedName>
    <definedName function="false" hidden="false" name="ListeEvetHayir" vbProcedure="false">LISTELER!$B$8:$B$9</definedName>
    <definedName function="false" hidden="false" name="modulI1BorcTahmin" vbProcedure="false">ANALITIK_MOTOR!$C$13</definedName>
    <definedName function="false" hidden="false" name="modulI1BorcTahminYorum" vbProcedure="false">ANALITIK_MOTOR!$D$13</definedName>
    <definedName function="false" hidden="false" name="modulI2YuzdelikP90" vbProcedure="false">ANALITIK_MOTOR!$C$14</definedName>
    <definedName function="false" hidden="false" name="modulI2YuzdelikP90Yorum" vbProcedure="false">ANALITIK_MOTOR!$D$14</definedName>
    <definedName function="false" hidden="false" name="modulI3NbdFarki" vbProcedure="false">ANALITIK_MOTOR!$C$15</definedName>
    <definedName function="false" hidden="false" name="modulI3NbdFarkiYorum" vbProcedure="false">ANALITIK_MOTOR!$D$15</definedName>
    <definedName function="false" hidden="false" name="modulO1Anomali" vbProcedure="false">ANALITIK_MOTOR!$C$8</definedName>
    <definedName function="false" hidden="false" name="modulO1AnomaliYorum" vbProcedure="false">ANALITIK_MOTOR!$D$8</definedName>
    <definedName function="false" hidden="false" name="modulO2EnYuksekBorc" vbProcedure="false">ANALITIK_MOTOR!$C$9</definedName>
    <definedName function="false" hidden="false" name="modulO2EnYuksekBorcYorum" vbProcedure="false">ANALITIK_MOTOR!$D$9</definedName>
    <definedName function="false" hidden="false" name="modulO3Senaryo" vbProcedure="false">ANALITIK_MOTOR!$C$10</definedName>
    <definedName function="false" hidden="false" name="modulO3SenaryoYorum" vbProcedure="false">ANALITIK_MOTOR!$D$10</definedName>
    <definedName function="false" hidden="false" name="modulO6Hhi" vbProcedure="false">ANALITIK_MOTOR!$C$11</definedName>
    <definedName function="false" hidden="false" name="modulO6HhiYorum" vbProcedure="false">ANALITIK_MOTOR!$D$11</definedName>
    <definedName function="false" hidden="false" name="modulO8KaliteSkor" vbProcedure="false">ANALITIK_MOTOR!$C$12</definedName>
    <definedName function="false" hidden="false" name="modulO8KaliteSkorYorum" vbProcedure="false">ANALITIK_MOTOR!$D$12</definedName>
    <definedName function="false" hidden="false" name="modulT1ZamOrani" vbProcedure="false">ANALITIK_MOTOR!$C$6</definedName>
    <definedName function="false" hidden="false" name="modulT1ZamOraniYorum" vbProcedure="false">ANALITIK_MOTOR!$D$6</definedName>
    <definedName function="false" hidden="false" name="modulT2OrtalamaBorc" vbProcedure="false">ANALITIK_MOTOR!$C$7</definedName>
    <definedName function="false" hidden="false" name="modulT2OrtalamaBorcYorum" vbProcedure="false">ANALITIK_MOTOR!$D$7</definedName>
    <definedName function="false" hidden="false" name="NbdFarki" vbProcedure="false">HESAP!$B$58</definedName>
    <definedName function="false" hidden="false" name="PesinOdeme" vbProcedure="false">HESAP!$B$44</definedName>
    <definedName function="false" hidden="false" name="PesinTerkinOran" vbProcedure="false">AYARLAR!$B$18</definedName>
    <definedName function="false" hidden="false" name="RaporHazirlayan" vbProcedure="false">AYARLAR!$B$9</definedName>
    <definedName function="false" hidden="false" name="RaporTarihi" vbProcedure="false">AYARLAR!$B$8</definedName>
    <definedName function="false" hidden="false" name="SenTecilBaz" vbProcedure="false">AYARLAR!$B$21</definedName>
    <definedName function="false" hidden="false" name="SenTecilIyi" vbProcedure="false">AYARLAR!$B$20</definedName>
    <definedName function="false" hidden="false" name="SenTecilKotu" vbProcedure="false">AYARLAR!$B$22</definedName>
    <definedName function="false" hidden="false" name="SenTecilKritik" vbProcedure="false">AYARLAR!$B$23</definedName>
    <definedName function="false" hidden="false" name="TecilAksiyon1_ACIKLAMA" vbProcedure="false">AYARLAR!$B$48</definedName>
    <definedName function="false" hidden="false" name="TecilAksiyon2_ACIKLAMA" vbProcedure="false">AYARLAR!$B$49</definedName>
    <definedName function="false" hidden="false" name="TecilAksiyon3_ACIKLAMA" vbProcedure="false">AYARLAR!$B$50</definedName>
    <definedName function="false" hidden="false" name="TecilAylikNakitAkisi" vbProcedure="false">AYARLAR!$B$27</definedName>
    <definedName function="false" hidden="false" name="TecilAylikTaksit" vbProcedure="false">HESAP!$B$29</definedName>
    <definedName function="false" hidden="false" name="TecilDoluGiris" vbProcedure="false">KONTROLLER!$B$18</definedName>
    <definedName function="false" hidden="false" name="TecilFaizYillik" vbProcedure="false">AYARLAR!$B$13</definedName>
    <definedName function="false" hidden="false" name="TecilKaliteIyi" vbProcedure="false">AYARLAR!$B$25</definedName>
    <definedName function="false" hidden="false" name="TecilKaliteOrta" vbProcedure="false">AYARLAR!$B$26</definedName>
    <definedName function="false" hidden="false" name="TecilP90Oran" vbProcedure="false">AYARLAR!$B$29</definedName>
    <definedName function="false" hidden="false" name="TecilPanelSatir1" vbProcedure="false">AYARLAR!$B$35</definedName>
    <definedName function="false" hidden="false" name="TecilPanelSatir10" vbProcedure="false">AYARLAR!$B$44</definedName>
    <definedName function="false" hidden="false" name="TecilPanelSatir11" vbProcedure="false">AYARLAR!$B$45</definedName>
    <definedName function="false" hidden="false" name="TecilPanelSatir12" vbProcedure="false">AYARLAR!$B$46</definedName>
    <definedName function="false" hidden="false" name="TecilPanelSatir2" vbProcedure="false">AYARLAR!$B$36</definedName>
    <definedName function="false" hidden="false" name="TecilPanelSatir3" vbProcedure="false">AYARLAR!$B$37</definedName>
    <definedName function="false" hidden="false" name="TecilPanelSatir4" vbProcedure="false">AYARLAR!$B$38</definedName>
    <definedName function="false" hidden="false" name="TecilPanelSatir5" vbProcedure="false">AYARLAR!$B$39</definedName>
    <definedName function="false" hidden="false" name="TecilPanelSatir6" vbProcedure="false">AYARLAR!$B$40</definedName>
    <definedName function="false" hidden="false" name="TecilPanelSatir7" vbProcedure="false">AYARLAR!$B$41</definedName>
    <definedName function="false" hidden="false" name="TecilPanelSatir8" vbProcedure="false">AYARLAR!$B$42</definedName>
    <definedName function="false" hidden="false" name="TecilPanelSatir9" vbProcedure="false">AYARLAR!$B$43</definedName>
    <definedName function="false" hidden="false" name="TecilPesinatOran" vbProcedure="false">AYARLAR!$B$11</definedName>
    <definedName function="false" hidden="false" name="TecilRaporTarihi" vbProcedure="false">AYARLAR!$B$8</definedName>
    <definedName function="false" hidden="false" name="TecilTahminCarpan" vbProcedure="false">AYARLAR!$B$24</definedName>
    <definedName function="false" hidden="false" name="TecilTaksitSayisi" vbProcedure="false">AYARLAR!$B$12</definedName>
    <definedName function="false" hidden="false" name="TecilTemelKolonSayisi" vbProcedure="false">AYARLAR!$B$30</definedName>
    <definedName function="false" hidden="false" name="TecilToplamBorc" vbProcedure="false">HESAP!$B$17</definedName>
    <definedName function="false" hidden="false" name="TecilToplamGiris" vbProcedure="false">KONTROLLER!$B$17</definedName>
    <definedName function="false" hidden="false" name="TecilToplamMaliyet" vbProcedure="false">HESAP!$B$30</definedName>
    <definedName function="false" hidden="false" name="TecilTornadoFaiz" vbProcedure="false">AYARLAR!$B$31</definedName>
    <definedName function="false" hidden="false" name="TecilYuksekBorcEsik" vbProcedure="false">AYARLAR!$B$28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A5" authorId="0">
      <text>
        <r>
          <rPr>
            <sz val="10"/>
            <rFont val="Arial"/>
            <family val="2"/>
          </rPr>
          <t xml:space="preserve">Tanım: Adım 1 — Borçlarınızı girin | Neden önemli: Ürünü doğru kullanmak için | Doğru kullanım: Sırayla izleyin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-119</xdr:colOff>
                <xdr:row>8</xdr:row>
                <xdr:rowOff>8</xdr:rowOff>
              </xdr:to>
            </anchor>
          </commentPr>
        </mc:Choice>
        <mc:Fallback/>
      </mc:AlternateContent>
    </comment>
    <comment ref="A6" authorId="0">
      <text>
        <r>
          <rPr>
            <sz val="10"/>
            <rFont val="Arial"/>
            <family val="2"/>
          </rPr>
          <t xml:space="preserve">Tanım: Adım 2 — Seçenekleri izleyin | Neden önemli: Ürünü doğru kullanmak için | Doğru kullanım: Sırayla izleyin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-119</xdr:colOff>
                <xdr:row>8</xdr:row>
                <xdr:rowOff>8</xdr:rowOff>
              </xdr:to>
            </anchor>
          </commentPr>
        </mc:Choice>
        <mc:Fallback/>
      </mc:AlternateContent>
    </comment>
    <comment ref="A7" authorId="0">
      <text>
        <r>
          <rPr>
            <sz val="10"/>
            <rFont val="Arial"/>
            <family val="2"/>
          </rPr>
          <t xml:space="preserve">Tanım: Adım 3 — Kararı değerlendirin | Neden önemli: Ürünü doğru kullanmak için | Doğru kullanım: Sırayla izleyin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-119</xdr:colOff>
                <xdr:row>8</xdr:row>
                <xdr:rowOff>8</xdr:rowOff>
              </xdr:to>
            </anchor>
          </commentPr>
        </mc:Choice>
        <mc:Fallback/>
      </mc:AlternateContent>
    </comment>
    <comment ref="A8" authorId="0">
      <text>
        <r>
          <rPr>
            <sz val="10"/>
            <rFont val="Arial"/>
            <family val="2"/>
          </rPr>
          <t xml:space="preserve">Tanım: Adım 4 — Oranları ayarlayın | Neden önemli: Ürünü doğru kullanmak için | Doğru kullanım: Sırayla izleyin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-119</xdr:colOff>
                <xdr:row>8</xdr:row>
                <xdr:rowOff>8</xdr:rowOff>
              </xdr:to>
            </anchor>
          </commentPr>
        </mc:Choice>
        <mc:Fallback/>
      </mc:AlternateContent>
    </comment>
  </commentList>
</comments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A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21</xdr:rowOff>
              </xdr:from>
              <xdr:to>
                <xdr:col>2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</commentList>
</comments>
</file>

<file path=xl/comments6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B6" authorId="0">
      <text>
        <r>
          <rPr>
            <sz val="10"/>
            <rFont val="Arial"/>
            <family val="2"/>
          </rPr>
          <t xml:space="preserve">Tanım: Boş borç aslı satırı var mı? | Neden önemli: Giriş kalitesini ölçer | Doğru kullanım: Formüldür, değiştirilmez | Yanlışsa: Kırmızı = düzeltin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Tanım: Negatif borç aslı var mı? | Neden önemli: Giriş kalitesini ölçer | Doğru kullanım: Formüldür, değiştirilmez | Yanlışsa: Kırmızı = düzeltin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Negatif gecikme zammı var mı? | Neden önemli: Giriş kalitesini ölçer | Doğru kullanım: Formüldür, değiştirilmez | Yanlışsa: Kırmızı = düzeltin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Vadesi 36 aydan eski borç var mı? | Neden önemli: Giriş kalitesini ölçer | Doğru kullanım: Formüldür, değiştirilmez | Yanlışsa: Kırmızı = düzeltin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Aylık zam oranı 1'in üzerinde mi? | Neden önemli: Giriş kalitesini ölçer | Doğru kullanım: Formüldür, değiştirilmez | Yanlışsa: Kırmızı = düzeltin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Tanım: Toplam borç eşiği aşılıyor mu? | Neden önemli: Giriş kalitesini ölçer | Doğru kullanım: Formüldür, değiştirilmez | Yanlışsa: Kırmızı = düzeltin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Tanım: Tecil taksiti aylık nakit akışını aşıyor mu? | Neden önemli: Giriş kalitesini ölçer | Doğru kullanım: Formüldür, değiştirilmez | Yanlışsa: Kırmızı = düzeltin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Tanım: NBD farkı hangi tarafı işaret ediyor? | Neden önemli: Giriş kalitesini ölçer | Doğru kullanım: Formüldür, değiştirilmez | Yanlışsa: Kırmızı = düzeltin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</commentList>
</comments>
</file>

<file path=xl/comments1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A7" authorId="0">
      <text>
        <r>
          <rPr>
            <sz val="10"/>
            <rFont val="Arial"/>
            <family val="2"/>
          </rPr>
          <t xml:space="preserve">Tanım: Borç türü | Neden önemli: Açılır listeyi besler | Doğru kullanım: Yeni tür için satır ekleyin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4</xdr:col>
                <xdr:colOff>34</xdr:colOff>
                <xdr:row>8</xdr:row>
                <xdr:rowOff>8</xdr:rowOff>
              </xdr:to>
            </anchor>
          </commentPr>
        </mc:Choice>
        <mc:Fallback/>
      </mc:AlternateContent>
    </comment>
    <comment ref="A8" authorId="0">
      <text>
        <r>
          <rPr>
            <sz val="10"/>
            <rFont val="Arial"/>
            <family val="2"/>
          </rPr>
          <t xml:space="preserve">Tanım: Borç türü | Neden önemli: Açılır listeyi besler | Doğru kullanım: Yeni tür için satır ekleyin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4</xdr:col>
                <xdr:colOff>34</xdr:colOff>
                <xdr:row>8</xdr:row>
                <xdr:rowOff>8</xdr:rowOff>
              </xdr:to>
            </anchor>
          </commentPr>
        </mc:Choice>
        <mc:Fallback/>
      </mc:AlternateContent>
    </comment>
    <comment ref="A9" authorId="0">
      <text>
        <r>
          <rPr>
            <sz val="10"/>
            <rFont val="Arial"/>
            <family val="2"/>
          </rPr>
          <t xml:space="preserve">Tanım: Borç türü | Neden önemli: Açılır listeyi besler | Doğru kullanım: Yeni tür için satır ekleyin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4</xdr:col>
                <xdr:colOff>34</xdr:colOff>
                <xdr:row>8</xdr:row>
                <xdr:rowOff>8</xdr:rowOff>
              </xdr:to>
            </anchor>
          </commentPr>
        </mc:Choice>
        <mc:Fallback/>
      </mc:AlternateContent>
    </comment>
    <comment ref="A10" authorId="0">
      <text>
        <r>
          <rPr>
            <sz val="10"/>
            <rFont val="Arial"/>
            <family val="2"/>
          </rPr>
          <t xml:space="preserve">Tanım: Borç türü | Neden önemli: Açılır listeyi besler | Doğru kullanım: Yeni tür için satır ekleyin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4</xdr:col>
                <xdr:colOff>34</xdr:colOff>
                <xdr:row>8</xdr:row>
                <xdr:rowOff>8</xdr:rowOff>
              </xdr:to>
            </anchor>
          </commentPr>
        </mc:Choice>
        <mc:Fallback/>
      </mc:AlternateContent>
    </comment>
    <comment ref="A11" authorId="0">
      <text>
        <r>
          <rPr>
            <sz val="10"/>
            <rFont val="Arial"/>
            <family val="2"/>
          </rPr>
          <t xml:space="preserve">Tanım: Borç türü | Neden önemli: Açılır listeyi besler | Doğru kullanım: Yeni tür için satır ekleyin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4</xdr:col>
                <xdr:colOff>34</xdr:colOff>
                <xdr:row>8</xdr:row>
                <xdr:rowOff>8</xdr:rowOff>
              </xdr:to>
            </anchor>
          </commentPr>
        </mc:Choice>
        <mc:Fallback/>
      </mc:AlternateContent>
    </comment>
    <comment ref="A12" authorId="0">
      <text>
        <r>
          <rPr>
            <sz val="10"/>
            <rFont val="Arial"/>
            <family val="2"/>
          </rPr>
          <t xml:space="preserve">Tanım: Borç türü | Neden önemli: Açılır listeyi besler | Doğru kullanım: Yeni tür için satır ekleyin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4</xdr:col>
                <xdr:colOff>34</xdr:colOff>
                <xdr:row>8</xdr:row>
                <xdr:rowOff>8</xdr:rowOff>
              </xdr:to>
            </anchor>
          </commentPr>
        </mc:Choice>
        <mc:Fallback/>
      </mc:AlternateContent>
    </comment>
    <comment ref="A13" authorId="0">
      <text>
        <r>
          <rPr>
            <sz val="10"/>
            <rFont val="Arial"/>
            <family val="2"/>
          </rPr>
          <t xml:space="preserve">Tanım: Borç türü | Neden önemli: Açılır listeyi besler | Doğru kullanım: Yeni tür için satır ekleyin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4</xdr:col>
                <xdr:colOff>34</xdr:colOff>
                <xdr:row>8</xdr:row>
                <xdr:rowOff>8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4</xdr:col>
                <xdr:colOff>14</xdr:colOff>
                <xdr:row>6</xdr:row>
                <xdr:rowOff>18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4</xdr:col>
                <xdr:colOff>14</xdr:colOff>
                <xdr:row>6</xdr:row>
                <xdr:rowOff>18</xdr:rowOff>
              </xdr:to>
            </anchor>
          </commentPr>
        </mc:Choice>
        <mc:Fallback/>
      </mc:AlternateContent>
    </comment>
  </commentList>
</comments>
</file>

<file path=xl/comments1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B7" authorId="0">
      <text>
        <r>
          <rPr>
            <sz val="10"/>
            <rFont val="Arial"/>
            <family val="2"/>
          </rPr>
          <t xml:space="preserve">Tanım: Firma unvanı rapor başlığında görünür. | Neden önemli: Tüm hesaplamaları etkiler | Doğru kullanım: Açıklamaya uygun değer girin | Kaynak: Kullanıcı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162</xdr:colOff>
                <xdr:row>6</xdr:row>
                <xdr:rowOff>28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Geciken ay ve NBD hesabının dayanak tarihi. | Neden önemli: Tüm hesaplamaları etkiler | Doğru kullanım: Açıklamaya uygun değer girin | Kaynak: Kullanıcı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162</xdr:colOff>
                <xdr:row>6</xdr:row>
                <xdr:rowOff>28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Raporu hazırlayan kişi. | Neden önemli: Tüm hesaplamaları etkiler | Doğru kullanım: Açıklamaya uygun değer girin | Kaynak: Kullanıcı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162</xdr:colOff>
                <xdr:row>6</xdr:row>
                <xdr:rowOff>28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Dosya sürümü. | Neden önemli: Tüm hesaplamaları etkiler | Doğru kullanım: Açıklamaya uygun değer girin | Kaynak: Kullanıcı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162</xdr:colOff>
                <xdr:row>6</xdr:row>
                <xdr:rowOff>28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Tanım: Tecile başlamadan ödenen peşin oranı. | Neden önemli: Tüm hesaplamaları etkiler | Doğru kullanım: Açıklamaya uygun değer girin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162</xdr:colOff>
                <xdr:row>6</xdr:row>
                <xdr:rowOff>28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Tanım: Tecilin vadeye yayılacağı taksit sayısı. | Neden önemli: Tüm hesaplamaları etkiler | Doğru kullanım: Açıklamaya uygun değer girin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162</xdr:colOff>
                <xdr:row>6</xdr:row>
                <xdr:rowOff>28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Tanım: Yıllık tecil faizi (6183 kapsamında değişken). | Neden önemli: Tüm hesaplamaları etkiler | Doğru kullanım: Açıklamaya uygun değer girin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162</xdr:colOff>
                <xdr:row>6</xdr:row>
                <xdr:rowOff>28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Arial"/>
            <family val="2"/>
          </rPr>
          <t xml:space="preserve">Tanım: Borcu kapatacak banka kredisinin yıllık faizi. | Neden önemli: Tüm hesaplamaları etkiler | Doğru kullanım: Açıklamaya uygun değer girin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162</xdr:colOff>
                <xdr:row>6</xdr:row>
                <xdr:rowOff>28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Arial"/>
            <family val="2"/>
          </rPr>
          <t xml:space="preserve">Tanım: Kredi komisyon oranı. | Neden önemli: Tüm hesaplamaları etkiler | Doğru kullanım: Açıklamaya uygun değer girin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162</xdr:colOff>
                <xdr:row>6</xdr:row>
                <xdr:rowOff>28</xdr:rowOff>
              </xdr:to>
            </anchor>
          </commentPr>
        </mc:Choice>
        <mc:Fallback/>
      </mc:AlternateContent>
    </comment>
    <comment ref="B16" authorId="0">
      <text>
        <r>
          <rPr>
            <sz val="10"/>
            <rFont val="Arial"/>
            <family val="2"/>
          </rPr>
          <t xml:space="preserve">Tanım: Kredi taksit sayısı. | Neden önemli: Tüm hesaplamaları etkiler | Doğru kullanım: Açıklamaya uygun değer girin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162</xdr:colOff>
                <xdr:row>6</xdr:row>
                <xdr:rowOff>28</xdr:rowOff>
              </xdr:to>
            </anchor>
          </commentPr>
        </mc:Choice>
        <mc:Fallback/>
      </mc:AlternateContent>
    </comment>
    <comment ref="B17" authorId="0">
      <text>
        <r>
          <rPr>
            <sz val="10"/>
            <rFont val="Arial"/>
            <family val="2"/>
          </rPr>
          <t xml:space="preserve">Tanım: Kredi onayı var mı? Hayır ise kredi seçeneği devre dışı kalır. | Neden önemli: Tüm hesaplamaları etkiler | Doğru kullanım: Açıklamaya uygun değer girin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162</xdr:colOff>
                <xdr:row>6</xdr:row>
                <xdr:rowOff>28</xdr:rowOff>
              </xdr:to>
            </anchor>
          </commentPr>
        </mc:Choice>
        <mc:Fallback/>
      </mc:AlternateContent>
    </comment>
    <comment ref="B18" authorId="0">
      <text>
        <r>
          <rPr>
            <sz val="10"/>
            <rFont val="Arial"/>
            <family val="2"/>
          </rPr>
          <t xml:space="preserve">Tanım: Peşin ödemede gecikme zammından terkin edilen oran (yapılandırma). | Neden önemli: Tüm hesaplamaları etkiler | Doğru kullanım: Açıklamaya uygun değer girin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162</xdr:colOff>
                <xdr:row>6</xdr:row>
                <xdr:rowOff>28</xdr:rowOff>
              </xdr:to>
            </anchor>
          </commentPr>
        </mc:Choice>
        <mc:Fallback/>
      </mc:AlternateContent>
    </comment>
    <comment ref="B19" authorId="0">
      <text>
        <r>
          <rPr>
            <sz val="10"/>
            <rFont val="Arial"/>
            <family val="2"/>
          </rPr>
          <t xml:space="preserve">Tanım: NBD için yıllık iskonto oranı. | Neden önemli: Tüm hesaplamaları etkiler | Doğru kullanım: Açıklamaya uygun değer girin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162</xdr:colOff>
                <xdr:row>6</xdr:row>
                <xdr:rowOff>28</xdr:rowOff>
              </xdr:to>
            </anchor>
          </commentPr>
        </mc:Choice>
        <mc:Fallback/>
      </mc:AlternateContent>
    </comment>
    <comment ref="B20" authorId="0">
      <text>
        <r>
          <rPr>
            <sz val="10"/>
            <rFont val="Arial"/>
            <family val="2"/>
          </rPr>
          <t xml:space="preserve">Tanım: İyimser senaryo tecil faizi. | Neden önemli: Tüm hesaplamaları etkiler | Doğru kullanım: Açıklamaya uygun değer girin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162</xdr:colOff>
                <xdr:row>6</xdr:row>
                <xdr:rowOff>28</xdr:rowOff>
              </xdr:to>
            </anchor>
          </commentPr>
        </mc:Choice>
        <mc:Fallback/>
      </mc:AlternateContent>
    </comment>
    <comment ref="B21" authorId="0">
      <text>
        <r>
          <rPr>
            <sz val="10"/>
            <rFont val="Arial"/>
            <family val="2"/>
          </rPr>
          <t xml:space="preserve">Tanım: Baz senaryo tecil faizi. | Neden önemli: Tüm hesaplamaları etkiler | Doğru kullanım: Açıklamaya uygun değer girin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162</xdr:colOff>
                <xdr:row>6</xdr:row>
                <xdr:rowOff>28</xdr:rowOff>
              </xdr:to>
            </anchor>
          </commentPr>
        </mc:Choice>
        <mc:Fallback/>
      </mc:AlternateContent>
    </comment>
    <comment ref="B22" authorId="0">
      <text>
        <r>
          <rPr>
            <sz val="10"/>
            <rFont val="Arial"/>
            <family val="2"/>
          </rPr>
          <t xml:space="preserve">Tanım: Kötümser senaryo tecil faizi. | Neden önemli: Tüm hesaplamaları etkiler | Doğru kullanım: Açıklamaya uygun değer girin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162</xdr:colOff>
                <xdr:row>6</xdr:row>
                <xdr:rowOff>28</xdr:rowOff>
              </xdr:to>
            </anchor>
          </commentPr>
        </mc:Choice>
        <mc:Fallback/>
      </mc:AlternateContent>
    </comment>
    <comment ref="B23" authorId="0">
      <text>
        <r>
          <rPr>
            <sz val="10"/>
            <rFont val="Arial"/>
            <family val="2"/>
          </rPr>
          <t xml:space="preserve">Tanım: Kritik senaryo tecil faizi. | Neden önemli: Tüm hesaplamaları etkiler | Doğru kullanım: Açıklamaya uygun değer girin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162</xdr:colOff>
                <xdr:row>6</xdr:row>
                <xdr:rowOff>28</xdr:rowOff>
              </xdr:to>
            </anchor>
          </commentPr>
        </mc:Choice>
        <mc:Fallback/>
      </mc:AlternateContent>
    </comment>
    <comment ref="B24" authorId="0">
      <text>
        <r>
          <rPr>
            <sz val="10"/>
            <rFont val="Arial"/>
            <family val="2"/>
          </rPr>
          <t xml:space="preserve">Tanım: Tahmin güven bandı çarpanı (%90 normal dağılım). | Neden önemli: Tüm hesaplamaları etkiler | Doğru kullanım: Açıklamaya uygun değer girin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162</xdr:colOff>
                <xdr:row>6</xdr:row>
                <xdr:rowOff>28</xdr:rowOff>
              </xdr:to>
            </anchor>
          </commentPr>
        </mc:Choice>
        <mc:Fallback/>
      </mc:AlternateContent>
    </comment>
    <comment ref="B25" authorId="0">
      <text>
        <r>
          <rPr>
            <sz val="10"/>
            <rFont val="Arial"/>
            <family val="2"/>
          </rPr>
          <t xml:space="preserve">Tanım: Yüksek kalite skoru eşiği. | Neden önemli: Tüm hesaplamaları etkiler | Doğru kullanım: Açıklamaya uygun değer girin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162</xdr:colOff>
                <xdr:row>6</xdr:row>
                <xdr:rowOff>28</xdr:rowOff>
              </xdr:to>
            </anchor>
          </commentPr>
        </mc:Choice>
        <mc:Fallback/>
      </mc:AlternateContent>
    </comment>
    <comment ref="B26" authorId="0">
      <text>
        <r>
          <rPr>
            <sz val="10"/>
            <rFont val="Arial"/>
            <family val="2"/>
          </rPr>
          <t xml:space="preserve">Tanım: Orta kalite skoru eşiği. | Neden önemli: Tüm hesaplamaları etkiler | Doğru kullanım: Açıklamaya uygun değer girin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162</xdr:colOff>
                <xdr:row>6</xdr:row>
                <xdr:rowOff>28</xdr:rowOff>
              </xdr:to>
            </anchor>
          </commentPr>
        </mc:Choice>
        <mc:Fallback/>
      </mc:AlternateContent>
    </comment>
    <comment ref="B27" authorId="0">
      <text>
        <r>
          <rPr>
            <sz val="10"/>
            <rFont val="Arial"/>
            <family val="2"/>
          </rPr>
          <t xml:space="preserve">Tanım: Aylık nakit akışı; tecil taksiti bu değerle kıyaslanır. | Neden önemli: Tüm hesaplamaları etkiler | Doğru kullanım: Açıklamaya uygun değer girin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162</xdr:colOff>
                <xdr:row>6</xdr:row>
                <xdr:rowOff>28</xdr:rowOff>
              </xdr:to>
            </anchor>
          </commentPr>
        </mc:Choice>
        <mc:Fallback/>
      </mc:AlternateContent>
    </comment>
    <comment ref="B28" authorId="0">
      <text>
        <r>
          <rPr>
            <sz val="10"/>
            <rFont val="Arial"/>
            <family val="2"/>
          </rPr>
          <t xml:space="preserve">Tanım: Yüksek borç eşiği. | Neden önemli: Tüm hesaplamaları etkiler | Doğru kullanım: Açıklamaya uygun değer girin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162</xdr:colOff>
                <xdr:row>6</xdr:row>
                <xdr:rowOff>28</xdr:rowOff>
              </xdr:to>
            </anchor>
          </commentPr>
        </mc:Choice>
        <mc:Fallback/>
      </mc:AlternateContent>
    </comment>
    <comment ref="B29" authorId="0">
      <text>
        <r>
          <rPr>
            <sz val="10"/>
            <rFont val="Arial"/>
            <family val="2"/>
          </rPr>
          <t xml:space="preserve">Tanım: Toplam borç dağılımında üst yüzdelik dilimin oranı. | Neden önemli: Tüm hesaplamaları etkiler | Doğru kullanım: Açıklamaya uygun değer girin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162</xdr:colOff>
                <xdr:row>6</xdr:row>
                <xdr:rowOff>28</xdr:rowOff>
              </xdr:to>
            </anchor>
          </commentPr>
        </mc:Choice>
        <mc:Fallback/>
      </mc:AlternateContent>
    </comment>
    <comment ref="B30" authorId="0">
      <text>
        <r>
          <rPr>
            <sz val="10"/>
            <rFont val="Arial"/>
            <family val="2"/>
          </rPr>
          <t xml:space="preserve">Tanım: Veri kalitesi skorunda temel kabul edilen zorunlu giriş kolonu sayısı. | Neden önemli: Tüm hesaplamaları etkiler | Doğru kullanım: Açıklamaya uygun değer girin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162</xdr:colOff>
                <xdr:row>6</xdr:row>
                <xdr:rowOff>28</xdr:rowOff>
              </xdr:to>
            </anchor>
          </commentPr>
        </mc:Choice>
        <mc:Fallback/>
      </mc:AlternateContent>
    </comment>
    <comment ref="B31" authorId="0">
      <text>
        <r>
          <rPr>
            <sz val="10"/>
            <rFont val="Arial"/>
            <family val="2"/>
          </rPr>
          <t xml:space="preserve">Tanım: Tornado analizinde tecil faizine uygulanan +1 puan çarpanı. | Neden önemli: Tüm hesaplamaları etkiler | Doğru kullanım: Açıklamaya uygun değer girin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162</xdr:colOff>
                <xdr:row>6</xdr:row>
                <xdr:rowOff>28</xdr:rowOff>
              </xdr:to>
            </anchor>
          </commentPr>
        </mc:Choice>
        <mc:Fallback/>
      </mc:AlternateContent>
    </comment>
    <comment ref="B32" authorId="0">
      <text>
        <r>
          <rPr>
            <sz val="10"/>
            <rFont val="Arial"/>
            <family val="2"/>
          </rPr>
          <t xml:space="preserve">Tanım: Tornado analizinde kredi faizine uygulanan +1 puan çarpanı. | Neden önemli: Tüm hesaplamaları etkiler | Doğru kullanım: Açıklamaya uygun değer girin | Kaynak: Varsayım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162</xdr:colOff>
                <xdr:row>6</xdr:row>
                <xdr:rowOff>28</xdr:rowOff>
              </xdr:to>
            </anchor>
          </commentPr>
        </mc:Choice>
        <mc:Fallback/>
      </mc:AlternateContent>
    </comment>
    <comment ref="B35" authorId="0">
      <text>
        <r>
          <rPr>
            <sz val="10"/>
            <rFont val="Arial"/>
            <family val="2"/>
          </rPr>
          <t xml:space="preserve">Tanım: Panel satır numarası 1 | Neden önemli: PANO'daki grafiği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162</xdr:colOff>
                <xdr:row>6</xdr:row>
                <xdr:rowOff>28</xdr:rowOff>
              </xdr:to>
            </anchor>
          </commentPr>
        </mc:Choice>
        <mc:Fallback/>
      </mc:AlternateContent>
    </comment>
    <comment ref="B36" authorId="0">
      <text>
        <r>
          <rPr>
            <sz val="10"/>
            <rFont val="Arial"/>
            <family val="2"/>
          </rPr>
          <t xml:space="preserve">Tanım: Panel satır numarası 2 | Neden önemli: PANO'daki grafiği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162</xdr:colOff>
                <xdr:row>6</xdr:row>
                <xdr:rowOff>28</xdr:rowOff>
              </xdr:to>
            </anchor>
          </commentPr>
        </mc:Choice>
        <mc:Fallback/>
      </mc:AlternateContent>
    </comment>
    <comment ref="B37" authorId="0">
      <text>
        <r>
          <rPr>
            <sz val="10"/>
            <rFont val="Arial"/>
            <family val="2"/>
          </rPr>
          <t xml:space="preserve">Tanım: Panel satır numarası 3 | Neden önemli: PANO'daki grafiği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162</xdr:colOff>
                <xdr:row>6</xdr:row>
                <xdr:rowOff>28</xdr:rowOff>
              </xdr:to>
            </anchor>
          </commentPr>
        </mc:Choice>
        <mc:Fallback/>
      </mc:AlternateContent>
    </comment>
    <comment ref="B38" authorId="0">
      <text>
        <r>
          <rPr>
            <sz val="10"/>
            <rFont val="Arial"/>
            <family val="2"/>
          </rPr>
          <t xml:space="preserve">Tanım: Panel satır numarası 4 | Neden önemli: PANO'daki grafiği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162</xdr:colOff>
                <xdr:row>6</xdr:row>
                <xdr:rowOff>28</xdr:rowOff>
              </xdr:to>
            </anchor>
          </commentPr>
        </mc:Choice>
        <mc:Fallback/>
      </mc:AlternateContent>
    </comment>
    <comment ref="B39" authorId="0">
      <text>
        <r>
          <rPr>
            <sz val="10"/>
            <rFont val="Arial"/>
            <family val="2"/>
          </rPr>
          <t xml:space="preserve">Tanım: Panel satır numarası 5 | Neden önemli: PANO'daki grafiği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162</xdr:colOff>
                <xdr:row>6</xdr:row>
                <xdr:rowOff>28</xdr:rowOff>
              </xdr:to>
            </anchor>
          </commentPr>
        </mc:Choice>
        <mc:Fallback/>
      </mc:AlternateContent>
    </comment>
    <comment ref="B40" authorId="0">
      <text>
        <r>
          <rPr>
            <sz val="10"/>
            <rFont val="Arial"/>
            <family val="2"/>
          </rPr>
          <t xml:space="preserve">Tanım: Panel satır numarası 6 | Neden önemli: PANO'daki grafiği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162</xdr:colOff>
                <xdr:row>6</xdr:row>
                <xdr:rowOff>28</xdr:rowOff>
              </xdr:to>
            </anchor>
          </commentPr>
        </mc:Choice>
        <mc:Fallback/>
      </mc:AlternateContent>
    </comment>
    <comment ref="B41" authorId="0">
      <text>
        <r>
          <rPr>
            <sz val="10"/>
            <rFont val="Arial"/>
            <family val="2"/>
          </rPr>
          <t xml:space="preserve">Tanım: Panel satır numarası 7 | Neden önemli: PANO'daki grafiği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162</xdr:colOff>
                <xdr:row>6</xdr:row>
                <xdr:rowOff>28</xdr:rowOff>
              </xdr:to>
            </anchor>
          </commentPr>
        </mc:Choice>
        <mc:Fallback/>
      </mc:AlternateContent>
    </comment>
    <comment ref="B42" authorId="0">
      <text>
        <r>
          <rPr>
            <sz val="10"/>
            <rFont val="Arial"/>
            <family val="2"/>
          </rPr>
          <t xml:space="preserve">Tanım: Panel satır numarası 8 | Neden önemli: PANO'daki grafiği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162</xdr:colOff>
                <xdr:row>6</xdr:row>
                <xdr:rowOff>28</xdr:rowOff>
              </xdr:to>
            </anchor>
          </commentPr>
        </mc:Choice>
        <mc:Fallback/>
      </mc:AlternateContent>
    </comment>
    <comment ref="B43" authorId="0">
      <text>
        <r>
          <rPr>
            <sz val="10"/>
            <rFont val="Arial"/>
            <family val="2"/>
          </rPr>
          <t xml:space="preserve">Tanım: Panel satır numarası 9 | Neden önemli: PANO'daki grafiği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162</xdr:colOff>
                <xdr:row>6</xdr:row>
                <xdr:rowOff>28</xdr:rowOff>
              </xdr:to>
            </anchor>
          </commentPr>
        </mc:Choice>
        <mc:Fallback/>
      </mc:AlternateContent>
    </comment>
    <comment ref="B44" authorId="0">
      <text>
        <r>
          <rPr>
            <sz val="10"/>
            <rFont val="Arial"/>
            <family val="2"/>
          </rPr>
          <t xml:space="preserve">Tanım: Panel satır numarası 10 | Neden önemli: PANO'daki grafiği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162</xdr:colOff>
                <xdr:row>6</xdr:row>
                <xdr:rowOff>28</xdr:rowOff>
              </xdr:to>
            </anchor>
          </commentPr>
        </mc:Choice>
        <mc:Fallback/>
      </mc:AlternateContent>
    </comment>
    <comment ref="B45" authorId="0">
      <text>
        <r>
          <rPr>
            <sz val="10"/>
            <rFont val="Arial"/>
            <family val="2"/>
          </rPr>
          <t xml:space="preserve">Tanım: Panel satır numarası 11 | Neden önemli: PANO'daki grafiği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162</xdr:colOff>
                <xdr:row>6</xdr:row>
                <xdr:rowOff>28</xdr:rowOff>
              </xdr:to>
            </anchor>
          </commentPr>
        </mc:Choice>
        <mc:Fallback/>
      </mc:AlternateContent>
    </comment>
    <comment ref="B46" authorId="0">
      <text>
        <r>
          <rPr>
            <sz val="10"/>
            <rFont val="Arial"/>
            <family val="2"/>
          </rPr>
          <t xml:space="preserve">Tanım: Panel satır numarası 12 | Neden önemli: PANO'daki grafiği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162</xdr:colOff>
                <xdr:row>6</xdr:row>
                <xdr:rowOff>28</xdr:rowOff>
              </xdr:to>
            </anchor>
          </commentPr>
        </mc:Choice>
        <mc:Fallback/>
      </mc:AlternateContent>
    </comment>
    <comment ref="B4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142</xdr:colOff>
                <xdr:row>5</xdr:row>
                <xdr:rowOff>38</xdr:rowOff>
              </xdr:to>
            </anchor>
          </commentPr>
        </mc:Choice>
        <mc:Fallback/>
      </mc:AlternateContent>
    </comment>
    <comment ref="B4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142</xdr:colOff>
                <xdr:row>5</xdr:row>
                <xdr:rowOff>38</xdr:rowOff>
              </xdr:to>
            </anchor>
          </commentPr>
        </mc:Choice>
        <mc:Fallback/>
      </mc:AlternateContent>
    </comment>
    <comment ref="B5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142</xdr:colOff>
                <xdr:row>5</xdr:row>
                <xdr:rowOff>38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<sst xmlns="http://schemas.openxmlformats.org/spreadsheetml/2006/main" count="501" uniqueCount="350">
  <si>
    <t xml:space="preserve">KAPAK — Vergi/SGK Borcunu Tecil Etmeli Miyim? (Kredi mi Tecil mi?)</t>
  </si>
  <si>
    <t xml:space="preserve">Vergi/SGK Borcunu Tecil Etmeli Miyim? (Kredi mi Tecil mi?)</t>
  </si>
  <si>
    <t xml:space="preserve">Vergi ve SGK borçlarınızı girin; tecil, banka kredisi ve peşin ödeme seçeneklerinin toplam maliyetini ve bugünkü değerini karşılaştırın; size en uygun ödeme yoluna karar verin.</t>
  </si>
  <si>
    <t xml:space="preserve">Bu ürün ne sağlar?</t>
  </si>
  <si>
    <t xml:space="preserve">• Borç aslı, gecikme zammı ve vade yapısını tek tabloda izler; toplam borç ve aylık zam yükünü hesaplar</t>
  </si>
  <si>
    <t xml:space="preserve">• Tecil (vadeye yayma), banka kredisi ve peşin ödeme seçeneklerinin toplam maliyetini hesaplar</t>
  </si>
  <si>
    <t xml:space="preserve">• Seçenekleri bugünkü değerine (NBD) indirgeyerek en ucuz ödeme yolunu belirler</t>
  </si>
  <si>
    <t xml:space="preserve">• Tecil faizi, kredi faizi ve iskonto oranına göre senaryo bant aralığı ve tornado analizi</t>
  </si>
  <si>
    <t xml:space="preserve">• Borç türü yoğunlaşması, anomali ve veri kalite skoru ile karar kapısı ve aksiyon önerisi</t>
  </si>
  <si>
    <t xml:space="preserve">Kimler için?</t>
  </si>
  <si>
    <t xml:space="preserve">• Vergi ve SGK borcu için tecil başvurusu değerlendiren mükellefler</t>
  </si>
  <si>
    <t xml:space="preserve">• Borcunu kredi ile kapatmayı düşünen işletme sahipleri ve finans yöneticileri</t>
  </si>
  <si>
    <t xml:space="preserve">• Tecil ile kredi arasında maliyet karşılaştırması yapmak isteyen mali müşavirler</t>
  </si>
  <si>
    <t xml:space="preserve">Nasıl başlanır?</t>
  </si>
  <si>
    <t xml:space="preserve">1. HIZLI_BASLANGIC sayfasını okuyun. 2. BORC_LISTESI sayfasına borçlarınızı girin. 3. PANO ve RAPOR sayfalarından önerilen ödeme yolunu izleyin.</t>
  </si>
  <si>
    <t xml:space="preserve">Sürüm 1.0.0 | 2026 | ExcelArşiv | Lisans: Tek kullanıcı</t>
  </si>
  <si>
    <t xml:space="preserve">HIZLI BASLANGIC — Vergi/SGK Borcunu Tecil Etmeli Miyim? (Kredi mi Tecil mi?)</t>
  </si>
  <si>
    <t xml:space="preserve">Nasıl kullanılır?</t>
  </si>
  <si>
    <t xml:space="preserve">Adım 1 — Borçlarınızı girin</t>
  </si>
  <si>
    <t xml:space="preserve">BORC_LISTESI sayfasındaki sarı hücrelere borç türü, borç aslı, gecikme zammı, vade tarihi ve aylık zam oranını girin.</t>
  </si>
  <si>
    <t xml:space="preserve">Adım 2 — Seçenekleri izleyin</t>
  </si>
  <si>
    <t xml:space="preserve">HESAP sayfası tecil, kredi ve peşin ödeme seçeneklerinin toplam maliyetini ve NBD'sini hesaplar.</t>
  </si>
  <si>
    <t xml:space="preserve">Adım 3 — Kararı değerlendirin</t>
  </si>
  <si>
    <t xml:space="preserve">KARAR sayfası en düşük maliyetli ödeme yolunu gerekçesiyle önerir.</t>
  </si>
  <si>
    <t xml:space="preserve">Adım 4 — Oranları ayarlayın</t>
  </si>
  <si>
    <t xml:space="preserve">Tecil faizi, kredi faizi, iskonto oranı ve terkin oranı AYARLAR sayfasından değiştirilir.</t>
  </si>
  <si>
    <t xml:space="preserve">Sık yapılan hatalar</t>
  </si>
  <si>
    <t xml:space="preserve">• Gecikme zammını borç aslının dışında eksik girmek (toplam borç eksik çıkar)</t>
  </si>
  <si>
    <t xml:space="preserve">• Vade tarihini rapor tarihinden sonra bırakmak (geciken ay sıfır görünür)</t>
  </si>
  <si>
    <t xml:space="preserve">• Aylık zam oranını yüzde yerine 1'in üzerinde ondalık girmek (zam yükü şişer)</t>
  </si>
  <si>
    <t xml:space="preserve">Bu dosya karar destek aracıdır; tecil başvurusu sonucu bağlayıcı değildir.</t>
  </si>
  <si>
    <t xml:space="preserve">BORC LISTESI — Vergi/SGK Borcunu Tecil Etmeli Miyim? (Kredi mi Tecil mi?)</t>
  </si>
  <si>
    <t xml:space="preserve">Vergi ve SGK Borç Listesi</t>
  </si>
  <si>
    <t xml:space="preserve">Sarı hücrelere manuel veri girin. Her satır bir vergi/SGK borç kalemidir; geciken ay, toplam borç ve aylık zam yükü otomatik hesaplanır.</t>
  </si>
  <si>
    <t xml:space="preserve">Borç Kodu</t>
  </si>
  <si>
    <t xml:space="preserve">Borç Türü</t>
  </si>
  <si>
    <t xml:space="preserve">Borç Aslı (TL)</t>
  </si>
  <si>
    <t xml:space="preserve">Gecikme Zammı (TL)</t>
  </si>
  <si>
    <t xml:space="preserve">Vade Tarihi</t>
  </si>
  <si>
    <t xml:space="preserve">Aylık Zam Oranı</t>
  </si>
  <si>
    <t xml:space="preserve">Geciken Ay</t>
  </si>
  <si>
    <t xml:space="preserve">Toplam Borç (TL)</t>
  </si>
  <si>
    <t xml:space="preserve">Aylık Zam Yükü (TL)</t>
  </si>
  <si>
    <t xml:space="preserve">Açıklama</t>
  </si>
  <si>
    <t xml:space="preserve">V-1001</t>
  </si>
  <si>
    <t xml:space="preserve">KDV</t>
  </si>
  <si>
    <t xml:space="preserve">V-1002</t>
  </si>
  <si>
    <t xml:space="preserve">Muhtasar Stopaj</t>
  </si>
  <si>
    <t xml:space="preserve">V-1003</t>
  </si>
  <si>
    <t xml:space="preserve">Kurumlar Vergisi</t>
  </si>
  <si>
    <t xml:space="preserve">S-2001</t>
  </si>
  <si>
    <t xml:space="preserve">SGK Primi</t>
  </si>
  <si>
    <t xml:space="preserve">S-2002</t>
  </si>
  <si>
    <t xml:space="preserve">SGK Cezası</t>
  </si>
  <si>
    <t xml:space="preserve">V-1004</t>
  </si>
  <si>
    <t xml:space="preserve">Gelir Vergisi</t>
  </si>
  <si>
    <t xml:space="preserve">V-1005</t>
  </si>
  <si>
    <t xml:space="preserve">Sarı hücreler manuel giriştir; formül hücreleri kilitli ve korumalıdır.</t>
  </si>
  <si>
    <t xml:space="preserve">HESAP — Vergi/SGK Borcunu Tecil Etmeli Miyim? (Kredi mi Tecil mi?)</t>
  </si>
  <si>
    <t xml:space="preserve">Borç Türü Bazlı Özet ve Ödeme Seçeneği Motoru</t>
  </si>
  <si>
    <t xml:space="preserve">Aşağıdaki özet borç listesinden otomatik beslenir; seçenek hesapları AYARLAR'daki oranlarla canlı üretilir.</t>
  </si>
  <si>
    <t xml:space="preserve">Asıl Toplam</t>
  </si>
  <si>
    <t xml:space="preserve">Zam Toplam</t>
  </si>
  <si>
    <t xml:space="preserve">Toplam Borç</t>
  </si>
  <si>
    <t xml:space="preserve">Aylık Zam Yükü</t>
  </si>
  <si>
    <t xml:space="preserve">Ortalama Geciken Ay</t>
  </si>
  <si>
    <t xml:space="preserve">Diğer</t>
  </si>
  <si>
    <t xml:space="preserve">TOPLAM BLOK</t>
  </si>
  <si>
    <t xml:space="preserve">Toplam Borç Aslı (TL)</t>
  </si>
  <si>
    <t xml:space="preserve">Toplam Gecikme Zammı (TL)</t>
  </si>
  <si>
    <t xml:space="preserve">TOPLAM BORÇ (TL)</t>
  </si>
  <si>
    <t xml:space="preserve">Toplam Aylık Zam Yükü (TL)</t>
  </si>
  <si>
    <t xml:space="preserve">Borç Kalemi Sayısı</t>
  </si>
  <si>
    <t xml:space="preserve">Borç Türü Sayısı (farklı)</t>
  </si>
  <si>
    <t xml:space="preserve">TECİL SEÇENEĞİ (6183/48 kapsamında vadeye yayma)</t>
  </si>
  <si>
    <t xml:space="preserve">Peşinat Oranı</t>
  </si>
  <si>
    <t xml:space="preserve">Peşinat Tutarı (TL)</t>
  </si>
  <si>
    <t xml:space="preserve">Tecil Anaparası (TL)</t>
  </si>
  <si>
    <t xml:space="preserve">Aylık Tecil Faizi</t>
  </si>
  <si>
    <t xml:space="preserve">Tecil Taksit Sayısı</t>
  </si>
  <si>
    <t xml:space="preserve">Aylık Taksit (TL)</t>
  </si>
  <si>
    <t xml:space="preserve">Tecil Toplam Maliyet (TL)</t>
  </si>
  <si>
    <t xml:space="preserve">KREDİ SEÇENEĞİ (bankadan borcu kapatacak kredi)</t>
  </si>
  <si>
    <t xml:space="preserve">Kredi Komisyon Oranı</t>
  </si>
  <si>
    <t xml:space="preserve">Komisyon Tutarı (TL)</t>
  </si>
  <si>
    <t xml:space="preserve">Kredi Anaparası (TL)</t>
  </si>
  <si>
    <t xml:space="preserve">Aylık Kredi Faizi</t>
  </si>
  <si>
    <t xml:space="preserve">Kredi Taksit Sayısı</t>
  </si>
  <si>
    <t xml:space="preserve">Kredi Toplam Maliyet (TL)</t>
  </si>
  <si>
    <t xml:space="preserve">PEŞİN ÖDEME SEÇENEĞİ (yapılandırma terkinli)</t>
  </si>
  <si>
    <t xml:space="preserve">Gecikme Zammı Terkin Oranı</t>
  </si>
  <si>
    <t xml:space="preserve">Terkin Tutarı (TL)</t>
  </si>
  <si>
    <t xml:space="preserve">Peşin Ödeme (TL)</t>
  </si>
  <si>
    <t xml:space="preserve">SEÇENEK KARŞILAŞTIRMASI</t>
  </si>
  <si>
    <t xml:space="preserve">Peşin Ödeme Tutarı (TL)</t>
  </si>
  <si>
    <t xml:space="preserve">En Düşük Maliyetli Seçenek</t>
  </si>
  <si>
    <t xml:space="preserve">En Düşük Maliyet (TL)</t>
  </si>
  <si>
    <t xml:space="preserve">Tecil − Kredi Farkı (TL)</t>
  </si>
  <si>
    <t xml:space="preserve">BUGÜNKÜ DEĞER KARŞILAŞTIRMASI (NBD)</t>
  </si>
  <si>
    <t xml:space="preserve">NBD Tecil (TL)</t>
  </si>
  <si>
    <t xml:space="preserve">NBD Kredi (TL)</t>
  </si>
  <si>
    <t xml:space="preserve">NBD Peşin (TL)</t>
  </si>
  <si>
    <t xml:space="preserve">NBD Farkı (Tecil − Kredi) (TL)</t>
  </si>
  <si>
    <t xml:space="preserve">Hesap satırları yalnızca borç listesinden ve AYARLAR'dan beslenir; korumalıdır.</t>
  </si>
  <si>
    <t xml:space="preserve">ANALITIK MOTOR — Vergi/SGK Borcunu Tecil Etmeli Miyim? (Kredi mi Tecil mi?)</t>
  </si>
  <si>
    <t xml:space="preserve">ANALİTİK MOTOR — DERİNLİK KATMANI</t>
  </si>
  <si>
    <t xml:space="preserve">Kod</t>
  </si>
  <si>
    <t xml:space="preserve">Gösterge</t>
  </si>
  <si>
    <t xml:space="preserve">Değer</t>
  </si>
  <si>
    <t xml:space="preserve">Makine Yorumu</t>
  </si>
  <si>
    <t xml:space="preserve">T1</t>
  </si>
  <si>
    <t xml:space="preserve">Ortalama Gecikme Zammı Oranı</t>
  </si>
  <si>
    <t xml:space="preserve">T2</t>
  </si>
  <si>
    <t xml:space="preserve">Ortalama Toplam Borç</t>
  </si>
  <si>
    <t xml:space="preserve">O1</t>
  </si>
  <si>
    <t xml:space="preserve">Toplam Borç Sapması (MAD)</t>
  </si>
  <si>
    <t xml:space="preserve">O2</t>
  </si>
  <si>
    <t xml:space="preserve">En Yüksek Borç Kalemi</t>
  </si>
  <si>
    <t xml:space="preserve">O3</t>
  </si>
  <si>
    <t xml:space="preserve">Senaryo Bant Genişliği</t>
  </si>
  <si>
    <t xml:space="preserve">O6</t>
  </si>
  <si>
    <t xml:space="preserve">Borç Yoğunlaşması (HHI)</t>
  </si>
  <si>
    <t xml:space="preserve">O8</t>
  </si>
  <si>
    <t xml:space="preserve">Veri Kalite Skoru</t>
  </si>
  <si>
    <t xml:space="preserve">I1</t>
  </si>
  <si>
    <t xml:space="preserve">Gelecek Dönem Borç Tahmini</t>
  </si>
  <si>
    <t xml:space="preserve">I2</t>
  </si>
  <si>
    <t xml:space="preserve">Toplam Borç Yüzdelik P90</t>
  </si>
  <si>
    <t xml:space="preserve">I3</t>
  </si>
  <si>
    <t xml:space="preserve">NBD Farkı (Tecil − Kredi)</t>
  </si>
  <si>
    <t xml:space="preserve">KONTROLLER — Vergi/SGK Borcunu Tecil Etmeli Miyim? (Kredi mi Tecil mi?)</t>
  </si>
  <si>
    <t xml:space="preserve">Giriş Kalite Kontrolleri</t>
  </si>
  <si>
    <t xml:space="preserve">Aşağıdaki kontroller canlı formüllerle çalışır; sorun varsa uyarı üretir.</t>
  </si>
  <si>
    <t xml:space="preserve">Boş borç aslı satırı var mı?</t>
  </si>
  <si>
    <t xml:space="preserve">Negatif borç aslı var mı?</t>
  </si>
  <si>
    <t xml:space="preserve">Negatif gecikme zammı var mı?</t>
  </si>
  <si>
    <t xml:space="preserve">Vadesi 36 aydan eski borç var mı?</t>
  </si>
  <si>
    <t xml:space="preserve">Aylık zam oranı 1'in üzerinde mi?</t>
  </si>
  <si>
    <t xml:space="preserve">Toplam borç eşiği aşılıyor mu?</t>
  </si>
  <si>
    <t xml:space="preserve">Tecil taksiti aylık nakit akışını aşıyor mu?</t>
  </si>
  <si>
    <t xml:space="preserve">NBD farkı hangi tarafı işaret ediyor?</t>
  </si>
  <si>
    <t xml:space="preserve">Veri Kalitesi Skoru (0-100)</t>
  </si>
  <si>
    <t xml:space="preserve">Temel giriş kolonlarının dolu olma oranına göre üretilen kalite skoru.</t>
  </si>
  <si>
    <t xml:space="preserve">Toplam Giriş Hücresi</t>
  </si>
  <si>
    <t xml:space="preserve">Dolu Giriş Hücresi</t>
  </si>
  <si>
    <t xml:space="preserve">Kalite Skoru</t>
  </si>
  <si>
    <t xml:space="preserve">Kalite Seviyesi</t>
  </si>
  <si>
    <t xml:space="preserve">Kontroller yalnızca giriş verisini denetler; değerleri değiştirmez.</t>
  </si>
  <si>
    <t xml:space="preserve">KARAR — Vergi/SGK Borcunu Tecil Etmeli Miyim? (Kredi mi Tecil mi?)</t>
  </si>
  <si>
    <t xml:space="preserve">Karar Kapısı — Tecil mi, Kredi mi, Peşin mi?</t>
  </si>
  <si>
    <t xml:space="preserve">Toplam maliyet, bugünkü değer farkı ve kredi erişimine göre üretilen karar.</t>
  </si>
  <si>
    <t xml:space="preserve">KARAR</t>
  </si>
  <si>
    <t xml:space="preserve">Gerekçe</t>
  </si>
  <si>
    <t xml:space="preserve">Önerilen Aksiyonlar</t>
  </si>
  <si>
    <t xml:space="preserve">Aksiyon 1</t>
  </si>
  <si>
    <t xml:space="preserve">Aksiyon 2</t>
  </si>
  <si>
    <t xml:space="preserve">Aksiyon 3</t>
  </si>
  <si>
    <t xml:space="preserve">Karar yalnızca giriş verisi ve AYARLAR'daki oran/eşiklerden türetilir; tecil başvuru sonucu bağlayıcı değildir.</t>
  </si>
  <si>
    <t xml:space="preserve">PANO — Vergi/SGK Borcunu Tecil Etmeli Miyim? (Kredi mi Tecil mi?)</t>
  </si>
  <si>
    <t xml:space="preserve">Yönetim Paneli</t>
  </si>
  <si>
    <t xml:space="preserve">Tecil Toplam (TL)</t>
  </si>
  <si>
    <t xml:space="preserve">Kredi Toplam (TL)</t>
  </si>
  <si>
    <t xml:space="preserve">En Düşük Seçenek</t>
  </si>
  <si>
    <t xml:space="preserve">NBD Farkı (TL)</t>
  </si>
  <si>
    <t xml:space="preserve">Karar</t>
  </si>
  <si>
    <t xml:space="preserve">Borç Kalemi</t>
  </si>
  <si>
    <t xml:space="preserve">Asıl Toplam (TL)</t>
  </si>
  <si>
    <t xml:space="preserve">Zam Toplam (TL)</t>
  </si>
  <si>
    <t xml:space="preserve">Borç Sırası</t>
  </si>
  <si>
    <t xml:space="preserve">Gelecek Dönem Toplam Borç Tahmini</t>
  </si>
  <si>
    <t xml:space="preserve">Toplam Borç Standart Sapması</t>
  </si>
  <si>
    <t xml:space="preserve">Alt Tahmin Sınırı</t>
  </si>
  <si>
    <t xml:space="preserve">Üst Tahmin Sınırı</t>
  </si>
  <si>
    <t xml:space="preserve">Seçenek</t>
  </si>
  <si>
    <t xml:space="preserve">Toplam Maliyet (TL)</t>
  </si>
  <si>
    <t xml:space="preserve">NBD (TL)</t>
  </si>
  <si>
    <t xml:space="preserve">TECİL</t>
  </si>
  <si>
    <t xml:space="preserve">KREDİ</t>
  </si>
  <si>
    <t xml:space="preserve">PEŞİN</t>
  </si>
  <si>
    <t xml:space="preserve">Senaryo</t>
  </si>
  <si>
    <t xml:space="preserve">Tecil Maliyeti (TL)</t>
  </si>
  <si>
    <t xml:space="preserve">İyimser</t>
  </si>
  <si>
    <t xml:space="preserve">Baz</t>
  </si>
  <si>
    <t xml:space="preserve">Kötümser</t>
  </si>
  <si>
    <t xml:space="preserve">Kritik</t>
  </si>
  <si>
    <t xml:space="preserve">Paneldeki tüm göstergeler canlı formüllerden beslenir.</t>
  </si>
  <si>
    <t xml:space="preserve">SENARYO DUYARLILIK — Vergi/SGK Borcunu Tecil Etmeli Miyim? (Kredi mi Tecil mi?)</t>
  </si>
  <si>
    <t xml:space="preserve">Senaryo ve Duyarlılık Analizi</t>
  </si>
  <si>
    <t xml:space="preserve">Farklı tecil faizi senaryolarında toplam maliyet bant aralığı; ardından hangi değişkenin maliyeti en çok etkilediğini gösteren tornado analizi.</t>
  </si>
  <si>
    <t xml:space="preserve">Aylık Faiz</t>
  </si>
  <si>
    <t xml:space="preserve">Durum</t>
  </si>
  <si>
    <t xml:space="preserve">İYİMSER</t>
  </si>
  <si>
    <t xml:space="preserve">BAZ</t>
  </si>
  <si>
    <t xml:space="preserve">KÖTÜMSER</t>
  </si>
  <si>
    <t xml:space="preserve">KRİTİK</t>
  </si>
  <si>
    <t xml:space="preserve">Senaryo Bant Genişliği (İyi − Kritik)</t>
  </si>
  <si>
    <t xml:space="preserve">Tornado: Toplam Maliyete Etki</t>
  </si>
  <si>
    <t xml:space="preserve">Tecil Faizi +1 puan Etkisi</t>
  </si>
  <si>
    <t xml:space="preserve">Kredi Faizi +1 puan Etkisi</t>
  </si>
  <si>
    <t xml:space="preserve">En Etkili Değişken</t>
  </si>
  <si>
    <t xml:space="preserve">Senaryo faizleri ve tornado çarpanları AYARLAR'dan türetilir.</t>
  </si>
  <si>
    <t xml:space="preserve">VERGİ/SGK BORCU — ÖDEME YOLU YÖNETİCİ ÖZETİ</t>
  </si>
  <si>
    <t xml:space="preserve">Varsayımlar ve Önemli Notlar</t>
  </si>
  <si>
    <t xml:space="preserve">• Tecil seçeneği 6183 sayılı Kanun 48. madde kapsamında vadeye yaymayı modeller; tecil faizi AYARLAR'dan güncellenir.</t>
  </si>
  <si>
    <t xml:space="preserve">• Kredi seçeneği borcu kapatacak banka kredisini modeller; faiz ve komisyon oranı kullanıcı tarafından girilir.</t>
  </si>
  <si>
    <t xml:space="preserve">• Peşin ödeme seçeneği yapılandırma kapsamında gecikme zammının terkin edilen kısmını dikkate alır.</t>
  </si>
  <si>
    <t xml:space="preserve">• NBD karşılaştırması iskonto oranıyla aylık ödemeleri bugünkü değere indirger; iskonto oranı AYARLAR'dadır.</t>
  </si>
  <si>
    <t xml:space="preserve">• Bu dosya karar destek aracıdır; tecil başvuru sonucu ve kredi onayı bağlayıcı değildir.</t>
  </si>
  <si>
    <t xml:space="preserve">• Demo veriler gerçek müşteri verisi değildir; kullanımdan önce temizlenmelidir.</t>
  </si>
  <si>
    <t xml:space="preserve">Bu rapor karar destek amaçlıdır; mali tavsiye niteliği taşımaz.</t>
  </si>
  <si>
    <t xml:space="preserve">ORNEK VERI — Vergi/SGK Borcunu Tecil Etmeli Miyim? (Kredi mi Tecil mi?)</t>
  </si>
  <si>
    <t xml:space="preserve">Örnek Veri (Demo)</t>
  </si>
  <si>
    <t xml:space="preserve">Gerçek girişlere başlamadan önce demo veri ile ürünü deneyin. Bu satırlar örnektir; gerçek verilerle değiştirin.</t>
  </si>
  <si>
    <t xml:space="preserve">Demo veriler rapor sonuçlarını örnekler; satın alma sonrası silinerek gerçek veriler girilir.</t>
  </si>
  <si>
    <t xml:space="preserve">DEGISIKLIK KAYDI — Vergi/SGK Borcunu Tecil Etmeli Miyim? (Kredi mi Tecil mi?)</t>
  </si>
  <si>
    <t xml:space="preserve">Değişiklik Kaydı</t>
  </si>
  <si>
    <t xml:space="preserve">Tarih</t>
  </si>
  <si>
    <t xml:space="preserve">Sürüm</t>
  </si>
  <si>
    <t xml:space="preserve">Değişiklik</t>
  </si>
  <si>
    <t xml:space="preserve">Neden</t>
  </si>
  <si>
    <t xml:space="preserve">Yapan</t>
  </si>
  <si>
    <t xml:space="preserve">10.08.2026</t>
  </si>
  <si>
    <t xml:space="preserve">1.0.0</t>
  </si>
  <si>
    <t xml:space="preserve">İlk üretim</t>
  </si>
  <si>
    <t xml:space="preserve">Ürünün yayına hazırlanması</t>
  </si>
  <si>
    <t xml:space="preserve">ExcelArşiv</t>
  </si>
  <si>
    <t xml:space="preserve">LISTELER — Vergi/SGK Borcunu Tecil Etmeli Miyim? (Kredi mi Tecil mi?)</t>
  </si>
  <si>
    <t xml:space="preserve">Bağlı Listeler</t>
  </si>
  <si>
    <t xml:space="preserve">Bu sayfadaki listeler açılır menüleri besler; yeni seçenek eklemek için sarı hücrelere yazın.</t>
  </si>
  <si>
    <t xml:space="preserve">Kredi Onayı</t>
  </si>
  <si>
    <t xml:space="preserve">Evet</t>
  </si>
  <si>
    <t xml:space="preserve">Hayır</t>
  </si>
  <si>
    <t xml:space="preserve">AYARLAR — Vergi/SGK Borcunu Tecil Etmeli Miyim? (Kredi mi Tecil mi?)</t>
  </si>
  <si>
    <t xml:space="preserve">Sistem Ayarları ve Oranlar</t>
  </si>
  <si>
    <t xml:space="preserve">Tüm sabitler bu sayfadadır. Tecil faizi, kredi faizi, iskonto oranı ve terkin oranını güncelleyin; değişen her değer tüm hesaplamalara anında yansır.</t>
  </si>
  <si>
    <t xml:space="preserve">anahtar</t>
  </si>
  <si>
    <t xml:space="preserve">deger</t>
  </si>
  <si>
    <t xml:space="preserve">birim</t>
  </si>
  <si>
    <t xml:space="preserve">alt</t>
  </si>
  <si>
    <t xml:space="preserve">ust</t>
  </si>
  <si>
    <t xml:space="preserve">aciklama</t>
  </si>
  <si>
    <t xml:space="preserve">kaynak</t>
  </si>
  <si>
    <t xml:space="preserve">yururluk_tarihi</t>
  </si>
  <si>
    <t xml:space="preserve">dogrulama_tarihi</t>
  </si>
  <si>
    <t xml:space="preserve">FirmaUnvan</t>
  </si>
  <si>
    <t xml:space="preserve">Örnek Firma A.Ş.</t>
  </si>
  <si>
    <t xml:space="preserve">Metin</t>
  </si>
  <si>
    <t xml:space="preserve">Firma unvanı rapor başlığında görünür.</t>
  </si>
  <si>
    <t xml:space="preserve">Kullanıcı</t>
  </si>
  <si>
    <t xml:space="preserve">RaporTarihi</t>
  </si>
  <si>
    <t xml:space="preserve">Geciken ay ve NBD hesabının dayanak tarihi.</t>
  </si>
  <si>
    <t xml:space="preserve">RaporHazirlayan</t>
  </si>
  <si>
    <t xml:space="preserve">Mali İşler Direktörü</t>
  </si>
  <si>
    <t xml:space="preserve">Raporu hazırlayan kişi.</t>
  </si>
  <si>
    <t xml:space="preserve">DosyaSurumu</t>
  </si>
  <si>
    <t xml:space="preserve">Dosya sürümü.</t>
  </si>
  <si>
    <t xml:space="preserve">TecilPesinatOran</t>
  </si>
  <si>
    <t xml:space="preserve">Oran</t>
  </si>
  <si>
    <t xml:space="preserve">Tecile başlamadan ödenen peşin oranı.</t>
  </si>
  <si>
    <t xml:space="preserve">Varsayım</t>
  </si>
  <si>
    <t xml:space="preserve">TecilTaksitSayisi</t>
  </si>
  <si>
    <t xml:space="preserve">Adet</t>
  </si>
  <si>
    <t xml:space="preserve">Tecilin vadeye yayılacağı taksit sayısı.</t>
  </si>
  <si>
    <t xml:space="preserve">TecilFaizYillik</t>
  </si>
  <si>
    <t xml:space="preserve">Yıllık tecil faizi (6183 kapsamında değişken).</t>
  </si>
  <si>
    <t xml:space="preserve">KrediFaizYillik</t>
  </si>
  <si>
    <t xml:space="preserve">Borcu kapatacak banka kredisinin yıllık faizi.</t>
  </si>
  <si>
    <t xml:space="preserve">KrediKomisyonOran</t>
  </si>
  <si>
    <t xml:space="preserve">Kredi komisyon oranı.</t>
  </si>
  <si>
    <t xml:space="preserve">KrediTaksitSayisi</t>
  </si>
  <si>
    <t xml:space="preserve">Kredi taksit sayısı.</t>
  </si>
  <si>
    <t xml:space="preserve">KrediOnayiVar</t>
  </si>
  <si>
    <t xml:space="preserve">Kredi onayı var mı? Hayır ise kredi seçeneği devre dışı kalır.</t>
  </si>
  <si>
    <t xml:space="preserve">PesinTerkinOran</t>
  </si>
  <si>
    <t xml:space="preserve">Peşin ödemede gecikme zammından terkin edilen oran (yapılandırma).</t>
  </si>
  <si>
    <t xml:space="preserve">IskontoOrani</t>
  </si>
  <si>
    <t xml:space="preserve">NBD için yıllık iskonto oranı.</t>
  </si>
  <si>
    <t xml:space="preserve">SenTecilIyi</t>
  </si>
  <si>
    <t xml:space="preserve">İyimser senaryo tecil faizi.</t>
  </si>
  <si>
    <t xml:space="preserve">SenTecilBaz</t>
  </si>
  <si>
    <t xml:space="preserve">Baz senaryo tecil faizi.</t>
  </si>
  <si>
    <t xml:space="preserve">SenTecilKotu</t>
  </si>
  <si>
    <t xml:space="preserve">Kötümser senaryo tecil faizi.</t>
  </si>
  <si>
    <t xml:space="preserve">SenTecilKritik</t>
  </si>
  <si>
    <t xml:space="preserve">Kritik senaryo tecil faizi.</t>
  </si>
  <si>
    <t xml:space="preserve">TecilTahminCarpan</t>
  </si>
  <si>
    <t xml:space="preserve">Çarpan</t>
  </si>
  <si>
    <t xml:space="preserve">Tahmin güven bandı çarpanı (%90 normal dağılım).</t>
  </si>
  <si>
    <t xml:space="preserve">TecilKaliteIyi</t>
  </si>
  <si>
    <t xml:space="preserve">Puan</t>
  </si>
  <si>
    <t xml:space="preserve">Yüksek kalite skoru eşiği.</t>
  </si>
  <si>
    <t xml:space="preserve">TecilKaliteOrta</t>
  </si>
  <si>
    <t xml:space="preserve">Orta kalite skoru eşiği.</t>
  </si>
  <si>
    <t xml:space="preserve">TecilAylikNakitAkisi</t>
  </si>
  <si>
    <t xml:space="preserve">TL</t>
  </si>
  <si>
    <t xml:space="preserve">Aylık nakit akışı; tecil taksiti bu değerle kıyaslanır.</t>
  </si>
  <si>
    <t xml:space="preserve">TecilYuksekBorcEsik</t>
  </si>
  <si>
    <t xml:space="preserve">Yüksek borç eşiği.</t>
  </si>
  <si>
    <t xml:space="preserve">TecilP90Oran</t>
  </si>
  <si>
    <t xml:space="preserve">Toplam borç dağılımında üst yüzdelik dilimin oranı.</t>
  </si>
  <si>
    <t xml:space="preserve">TecilTemelKolonSayisi</t>
  </si>
  <si>
    <t xml:space="preserve">Veri kalitesi skorunda temel kabul edilen zorunlu giriş kolonu sayısı.</t>
  </si>
  <si>
    <t xml:space="preserve">TecilTornadoFaiz</t>
  </si>
  <si>
    <t xml:space="preserve">Tornado analizinde tecil faizine uygulanan +1 puan çarpanı.</t>
  </si>
  <si>
    <t xml:space="preserve">KrediTornadoFaiz</t>
  </si>
  <si>
    <t xml:space="preserve">Tornado analizinde kredi faizine uygulanan +1 puan çarpanı.</t>
  </si>
  <si>
    <t xml:space="preserve">TecilPanelSatir1</t>
  </si>
  <si>
    <t xml:space="preserve">Satır</t>
  </si>
  <si>
    <t xml:space="preserve">PANO'daki borç kalemi bazlı toplam borç grafiğinin tablodaki veri satırı (1. veri).</t>
  </si>
  <si>
    <t xml:space="preserve">TecilPanelSatir2</t>
  </si>
  <si>
    <t xml:space="preserve">PANO'daki borç kalemi bazlı toplam borç grafiğinin tablodaki veri satırı (2. veri).</t>
  </si>
  <si>
    <t xml:space="preserve">TecilPanelSatir3</t>
  </si>
  <si>
    <t xml:space="preserve">PANO'daki borç kalemi bazlı toplam borç grafiğinin tablodaki veri satırı (3. veri).</t>
  </si>
  <si>
    <t xml:space="preserve">TecilPanelSatir4</t>
  </si>
  <si>
    <t xml:space="preserve">PANO'daki borç kalemi bazlı toplam borç grafiğinin tablodaki veri satırı (4. veri).</t>
  </si>
  <si>
    <t xml:space="preserve">TecilPanelSatir5</t>
  </si>
  <si>
    <t xml:space="preserve">PANO'daki borç kalemi bazlı toplam borç grafiğinin tablodaki veri satırı (5. veri).</t>
  </si>
  <si>
    <t xml:space="preserve">TecilPanelSatir6</t>
  </si>
  <si>
    <t xml:space="preserve">PANO'daki borç kalemi bazlı toplam borç grafiğinin tablodaki veri satırı (6. veri).</t>
  </si>
  <si>
    <t xml:space="preserve">TecilPanelSatir7</t>
  </si>
  <si>
    <t xml:space="preserve">PANO'daki borç kalemi bazlı toplam borç grafiğinin tablodaki veri satırı (7. veri).</t>
  </si>
  <si>
    <t xml:space="preserve">TecilPanelSatir8</t>
  </si>
  <si>
    <t xml:space="preserve">PANO'daki borç kalemi bazlı toplam borç grafiğinin tablodaki veri satırı (8. veri).</t>
  </si>
  <si>
    <t xml:space="preserve">TecilPanelSatir9</t>
  </si>
  <si>
    <t xml:space="preserve">PANO'daki borç kalemi bazlı toplam borç grafiğinin tablodaki veri satırı (9. veri).</t>
  </si>
  <si>
    <t xml:space="preserve">TecilPanelSatir10</t>
  </si>
  <si>
    <t xml:space="preserve">PANO'daki borç kalemi bazlı toplam borç grafiğinin tablodaki veri satırı (10. veri).</t>
  </si>
  <si>
    <t xml:space="preserve">TecilPanelSatir11</t>
  </si>
  <si>
    <t xml:space="preserve">PANO'daki borç kalemi bazlı toplam borç grafiğinin tablodaki veri satırı (11. veri).</t>
  </si>
  <si>
    <t xml:space="preserve">TecilPanelSatir12</t>
  </si>
  <si>
    <t xml:space="preserve">PANO'daki borç kalemi bazlı toplam borç grafiğinin tablodaki veri satırı (12. veri).</t>
  </si>
  <si>
    <t xml:space="preserve">TecilAksiyon1_ACIKLAMA</t>
  </si>
  <si>
    <t xml:space="preserve">Karara göre önerilen aksiyon.</t>
  </si>
  <si>
    <t xml:space="preserve">KARAR sayfasında gösterilen aksiyon metni.</t>
  </si>
  <si>
    <t xml:space="preserve">TecilAksiyon2_ACIKLAMA</t>
  </si>
  <si>
    <t xml:space="preserve">TecilAksiyon3_ACIKLAMA</t>
  </si>
  <si>
    <t xml:space="preserve">KILAVUZ — Vergi/SGK Borcunu Tecil Etmeli Miyim? (Kredi mi Tecil mi?)</t>
  </si>
  <si>
    <t xml:space="preserve">Kullanım Kılavuzu</t>
  </si>
  <si>
    <t xml:space="preserve">Veri girişi</t>
  </si>
  <si>
    <t xml:space="preserve">BORC_LISTESI sayfasında sarı hücrelere borçlarınızı girin. Borç türünü listeden seçin; borç aslı, gecikme zammı, vade tarihi ve aylık zam oranını girin. Geciken ay, toplam borç ve aylık zam yükü otomatik hesaplanır.</t>
  </si>
  <si>
    <t xml:space="preserve">Seçenek hesapları</t>
  </si>
  <si>
    <t xml:space="preserve">HESAP sayfası tecil, kredi ve peşin ödeme seçeneklerinin toplam maliyetini ve bugünkü değerini (NBD) hesaplar. Peşinat oranı, taksit sayısı ve faizler AYARLAR'dan gelir.</t>
  </si>
  <si>
    <t xml:space="preserve">Karar ve aksiyon</t>
  </si>
  <si>
    <t xml:space="preserve">KARAR sayfası en düşük maliyetli ödeme yolunu gerekçesiyle önerir. Kredi onayı yoksa kredi seçeneği karar dışı bırakılır.</t>
  </si>
  <si>
    <t xml:space="preserve">Oranlar ve senaryolar</t>
  </si>
  <si>
    <t xml:space="preserve">AYARLAR sayfasından tecil faizi, kredi faizi, iskonto oranı, terkin oranı ve senaryo faizlerini güncelleyin; PANO ve SENARYO_DUYARLILIK sayfaları anında güncellenir.</t>
  </si>
  <si>
    <t xml:space="preserve">Güven ve karar kalitesi</t>
  </si>
  <si>
    <t xml:space="preserve">Veri kalite skoru girişlerin tamlığını ölçer. Borç girişi yokken karar VERİ YOK; negatif girişte DURDUR üretir. Verileriniz cihazınızdan çıkmaz; dosya tamamen çevrimdışıdır.</t>
  </si>
  <si>
    <t xml:space="preserve">Uyumluluk</t>
  </si>
  <si>
    <t xml:space="preserve">Excel 2016-365 (Windows ve Mac), LibreOffice ve Google Sheets ile uyumludur. Makro içermez; formüller ayrıştırıcı ile denetlenmiştir.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</si>
</sst>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&quot;₺ &quot;#,##0;[RED]&quot;(₺ &quot;#,##0\);\-"/>
    <numFmt numFmtId="166" formatCode="dd/mm/yyyy"/>
    <numFmt numFmtId="167" formatCode="0.0%;[RED]\(0.0%\);\-"/>
    <numFmt numFmtId="168" formatCode="0.0"/>
    <numFmt numFmtId="169" formatCode="#,##0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Segoe UI"/>
      <family val="0"/>
      <charset val="1"/>
    </font>
    <font>
      <b val="true"/>
      <sz val="18"/>
      <color rgb="FFFFFFFF"/>
      <name val="Segoe UI"/>
      <family val="0"/>
      <charset val="1"/>
    </font>
    <font>
      <sz val="10"/>
      <color rgb="FF595959"/>
      <name val="Segoe UI"/>
      <family val="0"/>
      <charset val="1"/>
    </font>
    <font>
      <b val="true"/>
      <sz val="12"/>
      <color rgb="FF0F2742"/>
      <name val="Segoe UI"/>
      <family val="0"/>
      <charset val="1"/>
    </font>
    <font>
      <sz val="10"/>
      <color rgb="FF333333"/>
      <name val="Segoe UI"/>
      <family val="0"/>
      <charset val="1"/>
    </font>
    <font>
      <sz val="9"/>
      <color rgb="FF595959"/>
      <name val="Segoe UI"/>
      <family val="0"/>
      <charset val="1"/>
    </font>
    <font>
      <b val="true"/>
      <sz val="13"/>
      <color rgb="FF0F2742"/>
      <name val="Segoe UI"/>
      <family val="0"/>
      <charset val="1"/>
    </font>
    <font>
      <b val="true"/>
      <sz val="10"/>
      <color rgb="FF0F2742"/>
      <name val="Segoe UI"/>
      <family val="0"/>
      <charset val="1"/>
    </font>
    <font>
      <b val="true"/>
      <sz val="12"/>
      <color rgb="FFB3261E"/>
      <name val="Segoe UI"/>
      <family val="0"/>
      <charset val="1"/>
    </font>
    <font>
      <sz val="10"/>
      <color rgb="FFB3261E"/>
      <name val="Segoe UI"/>
      <family val="0"/>
      <charset val="1"/>
    </font>
    <font>
      <sz val="10"/>
      <name val="Arial"/>
      <family val="2"/>
    </font>
    <font>
      <b val="true"/>
      <sz val="10"/>
      <color rgb="FFFFFFFF"/>
      <name val="Segoe UI"/>
      <family val="0"/>
      <charset val="1"/>
    </font>
    <font>
      <sz val="10"/>
      <color rgb="FF1F4E79"/>
      <name val="Segoe UI"/>
      <family val="0"/>
      <charset val="1"/>
    </font>
    <font>
      <b val="true"/>
      <sz val="10"/>
      <color rgb="FF333333"/>
      <name val="Segoe UI"/>
      <family val="0"/>
      <charset val="1"/>
    </font>
    <font>
      <sz val="10"/>
      <color rgb="FF006100"/>
      <name val="Segoe UI"/>
      <family val="0"/>
      <charset val="1"/>
    </font>
    <font>
      <b val="true"/>
      <sz val="11"/>
      <color rgb="FF0F2742"/>
      <name val="Segoe UI"/>
      <family val="0"/>
      <charset val="1"/>
    </font>
    <font>
      <b val="true"/>
      <sz val="10"/>
      <color rgb="FF006100"/>
      <name val="Segoe UI"/>
      <family val="0"/>
      <charset val="1"/>
    </font>
    <font>
      <b val="true"/>
      <sz val="10"/>
      <color rgb="FFB08948"/>
      <name val="Segoe UI"/>
      <family val="0"/>
      <charset val="1"/>
    </font>
    <font>
      <sz val="10"/>
      <color rgb="FF000000"/>
      <name val="Segoe UI"/>
      <family val="0"/>
      <charset val="1"/>
    </font>
    <font>
      <b val="true"/>
      <sz val="14"/>
      <color rgb="FF0F2742"/>
      <name val="Segoe UI"/>
      <family val="0"/>
      <charset val="1"/>
    </font>
    <font>
      <b val="true"/>
      <sz val="14"/>
      <color rgb="FF006100"/>
      <name val="Segoe UI"/>
      <family val="0"/>
      <charset val="1"/>
    </font>
    <font>
      <b val="true"/>
      <sz val="12"/>
      <color rgb="FF006100"/>
      <name val="Segoe U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6"/>
      <color rgb="FFFFFFFF"/>
      <name val="Segoe UI"/>
      <family val="0"/>
      <charset val="1"/>
    </font>
    <font>
      <i val="true"/>
      <sz val="9"/>
      <color rgb="FF595959"/>
      <name val="Segoe UI"/>
      <family val="0"/>
      <charset val="1"/>
    </font>
    <font>
      <b val="true"/>
      <sz val="9"/>
      <color rgb="FF000000"/>
      <name val="Segoe UI"/>
      <family val="0"/>
      <charset val="1"/>
    </font>
    <font>
      <b val="true"/>
      <sz val="10"/>
      <color rgb="FF1F4E79"/>
      <name val="Segoe U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000F2742"/>
        <bgColor rgb="FF333333"/>
      </patternFill>
    </fill>
    <fill>
      <patternFill patternType="solid">
        <fgColor rgb="001F4E79"/>
        <bgColor rgb="FF333333"/>
      </patternFill>
    </fill>
    <fill>
      <patternFill patternType="solid">
        <fgColor rgb="00EEF2F7"/>
        <bgColor rgb="00F2F2F2"/>
      </patternFill>
    </fill>
    <fill>
      <patternFill patternType="solid">
        <fgColor rgb="FFFFF2CC"/>
        <bgColor rgb="FFFDE9E9"/>
      </patternFill>
    </fill>
    <fill>
      <patternFill patternType="solid">
        <fgColor rgb="00DDEBF7"/>
        <bgColor rgb="FFE2EFDA"/>
      </patternFill>
    </fill>
    <fill>
      <patternFill patternType="solid">
        <fgColor rgb="00F2F2F2"/>
        <bgColor rgb="00EEF2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6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7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0" fillId="5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6" fontId="0" fillId="5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7" fontId="0" fillId="5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6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2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9" fontId="2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2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2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2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2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2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30" fillId="7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31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31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7" fontId="31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9" fontId="31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5" fontId="31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30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22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16" fillId="5" borderId="0" xfId="0" applyFont="true" applyBorder="false" applyAlignment="true" applyProtection="true">
      <alignment horizontal="left" vertical="center" textRotation="0" wrapText="tru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001F4E7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00EEF2F7"/>
          <bgColor rgb="FF000000"/>
        </patternFill>
      </fill>
    </dxf>
    <dxf>
      <font>
        <name val="Segoe UI"/>
        <charset val="1"/>
        <family val="0"/>
        <b val="1"/>
        <color rgb="FFB3261E"/>
        <sz val="10"/>
      </font>
      <fill>
        <patternFill>
          <bgColor rgb="FFFDE9E9"/>
        </patternFill>
      </fill>
    </dxf>
    <dxf>
      <font>
        <name val="Segoe UI"/>
        <charset val="1"/>
        <family val="0"/>
        <b val="1"/>
        <color rgb="FFB3261E"/>
        <sz val="10"/>
      </font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E2EFDA"/>
        </patternFill>
      </fill>
    </dxf>
    <dxf>
      <font>
        <name val="Segoe UI"/>
        <charset val="1"/>
        <family val="0"/>
        <b val="1"/>
        <color rgb="FF1F7A4D"/>
        <sz val="10"/>
      </font>
      <fill>
        <patternFill>
          <bgColor rgb="FFE2EFDA"/>
        </patternFill>
      </fill>
    </dxf>
    <dxf>
      <fill>
        <patternFill>
          <bgColor rgb="00F2F2F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B08948"/>
      <rgbColor rgb="FF800080"/>
      <rgbColor rgb="FF1F7A4D"/>
      <rgbColor rgb="FFC0C0C0"/>
      <rgbColor rgb="FF878787"/>
      <rgbColor rgb="FF93A9CE"/>
      <rgbColor rgb="FFAB4744"/>
      <rgbColor rgb="FFFFF2CC"/>
      <rgbColor rgb="FFDDEBF7"/>
      <rgbColor rgb="FF660066"/>
      <rgbColor rgb="FFDC853E"/>
      <rgbColor rgb="FF4672A8"/>
      <rgbColor rgb="FFD9D9D9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EEF2F7"/>
      <rgbColor rgb="FFE2EFDA"/>
      <rgbColor rgb="FFFDE9E9"/>
      <rgbColor rgb="FF99CCFF"/>
      <rgbColor rgb="FFFF99CC"/>
      <rgbColor rgb="FFCC99FF"/>
      <rgbColor rgb="FFF2F2F2"/>
      <rgbColor rgb="FF4A7EBB"/>
      <rgbColor rgb="FF33CCCC"/>
      <rgbColor rgb="FF99CC00"/>
      <rgbColor rgb="FFFFCC00"/>
      <rgbColor rgb="FFFF9900"/>
      <rgbColor rgb="FFFF6600"/>
      <rgbColor rgb="FF725990"/>
      <rgbColor rgb="FF8AA64F"/>
      <rgbColor rgb="FF0F2742"/>
      <rgbColor rgb="FF4299B0"/>
      <rgbColor rgb="FF003300"/>
      <rgbColor rgb="FF595959"/>
      <rgbColor rgb="FFB3261E"/>
      <rgbColor rgb="FFC0504D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_rels/chart7.xml.rels><?xml version="1.0" encoding="UTF-8"?>
<Relationships xmlns="http://schemas.openxmlformats.org/package/2006/relationships"><Relationship Id="rId1" Type="http://schemas.microsoft.com/office/2011/relationships/chartStyle" Target="style7.xml"/><Relationship Id="rId2" Type="http://schemas.microsoft.com/office/2011/relationships/chartColorStyle" Target="colors7.xml"/>
</Relationships>
</file>

<file path=xl/charts/_rels/chart8.xml.rels><?xml version="1.0" encoding="UTF-8"?>
<Relationships xmlns="http://schemas.openxmlformats.org/package/2006/relationships"><Relationship Id="rId1" Type="http://schemas.microsoft.com/office/2011/relationships/chartStyle" Target="style8.xml"/><Relationship Id="rId2" Type="http://schemas.microsoft.com/office/2011/relationships/chartColorStyle" Target="colors8.xml"/>
</Relationships>
</file>

<file path=xl/charts/_rels/chart9.xml.rels><?xml version="1.0" encoding="UTF-8"?>
<Relationships xmlns="http://schemas.openxmlformats.org/package/2006/relationships"><Relationship Id="rId1" Type="http://schemas.microsoft.com/office/2011/relationships/chartStyle" Target="style9.xml"/><Relationship Id="rId2" Type="http://schemas.microsoft.com/office/2011/relationships/chartColorStyle" Target="colors9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Borç Türü Asıl ve Zam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PANO!B10</c:f>
              <c:strCache>
                <c:ptCount val="1"/>
                <c:pt idx="0">
                  <c:v>Asıl Toplam (TL)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PANO!$A$11:$A$17</c:f>
              <c:strCache>
                <c:ptCount val="7"/>
                <c:pt idx="0">
                  <c:v>Gelir Vergisi</c:v>
                </c:pt>
                <c:pt idx="1">
                  <c:v>Kurumlar Vergisi</c:v>
                </c:pt>
                <c:pt idx="2">
                  <c:v>KDV</c:v>
                </c:pt>
                <c:pt idx="3">
                  <c:v>Muhtasar Stopaj</c:v>
                </c:pt>
                <c:pt idx="4">
                  <c:v>SGK Primi</c:v>
                </c:pt>
                <c:pt idx="5">
                  <c:v>SGK Cezası</c:v>
                </c:pt>
                <c:pt idx="6">
                  <c:v>Diğer</c:v>
                </c:pt>
              </c:strCache>
            </c:strRef>
          </c:cat>
          <c:val>
            <c:numRef>
              <c:f>PANO!$B$11:$B$17</c:f>
              <c:numCache>
                <c:formatCode>"₺ "#,##0;[RED]"(₺ "#,##0\);\-</c:formatCode>
                <c:ptCount val="7"/>
                <c:pt idx="0">
                  <c:v>60000</c:v>
                </c:pt>
                <c:pt idx="1">
                  <c:v>240000</c:v>
                </c:pt>
                <c:pt idx="2">
                  <c:v>240000</c:v>
                </c:pt>
                <c:pt idx="3">
                  <c:v>80000</c:v>
                </c:pt>
                <c:pt idx="4">
                  <c:v>120000</c:v>
                </c:pt>
                <c:pt idx="5">
                  <c:v>40000</c:v>
                </c:pt>
                <c:pt idx="6">
                  <c:v>0</c:v>
                </c:pt>
              </c:numCache>
            </c:numRef>
          </c:val>
        </c:ser>
        <c:ser>
          <c:idx val="1"/>
          <c:order val="1"/>
          <c:tx>
            <c:strRef>
              <c:f>PANO!C10</c:f>
              <c:strCache>
                <c:ptCount val="1"/>
                <c:pt idx="0">
                  <c:v>Zam Toplam (TL)</c:v>
                </c:pt>
              </c:strCache>
            </c:strRef>
          </c:tx>
          <c:spPr>
            <a:solidFill>
              <a:srgbClr val="C0504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PANO!$A$11:$A$17</c:f>
              <c:strCache>
                <c:ptCount val="7"/>
                <c:pt idx="0">
                  <c:v>Gelir Vergisi</c:v>
                </c:pt>
                <c:pt idx="1">
                  <c:v>Kurumlar Vergisi</c:v>
                </c:pt>
                <c:pt idx="2">
                  <c:v>KDV</c:v>
                </c:pt>
                <c:pt idx="3">
                  <c:v>Muhtasar Stopaj</c:v>
                </c:pt>
                <c:pt idx="4">
                  <c:v>SGK Primi</c:v>
                </c:pt>
                <c:pt idx="5">
                  <c:v>SGK Cezası</c:v>
                </c:pt>
                <c:pt idx="6">
                  <c:v>Diğer</c:v>
                </c:pt>
              </c:strCache>
            </c:strRef>
          </c:cat>
          <c:val>
            <c:numRef>
              <c:f>PANO!$C$11:$C$17</c:f>
              <c:numCache>
                <c:formatCode>"₺ "#,##0;[RED]"(₺ "#,##0\);\-</c:formatCode>
                <c:ptCount val="7"/>
                <c:pt idx="0">
                  <c:v>9000</c:v>
                </c:pt>
                <c:pt idx="1">
                  <c:v>61000</c:v>
                </c:pt>
                <c:pt idx="2">
                  <c:v>50000</c:v>
                </c:pt>
                <c:pt idx="3">
                  <c:v>19000</c:v>
                </c:pt>
                <c:pt idx="4">
                  <c:v>31000</c:v>
                </c:pt>
                <c:pt idx="5">
                  <c:v>14000</c:v>
                </c:pt>
                <c:pt idx="6">
                  <c:v>0</c:v>
                </c:pt>
              </c:numCache>
            </c:numRef>
          </c:val>
        </c:ser>
        <c:gapWidth val="150"/>
        <c:overlap val="0"/>
        <c:axId val="82653154"/>
        <c:axId val="50965322"/>
      </c:barChart>
      <c:catAx>
        <c:axId val="8265315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0965322"/>
        <c:crosses val="autoZero"/>
        <c:auto val="1"/>
        <c:lblAlgn val="ctr"/>
        <c:lblOffset val="100"/>
        <c:noMultiLvlLbl val="0"/>
      </c:catAx>
      <c:valAx>
        <c:axId val="509653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265315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Toplam Borç Dağılımı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PANO!D10</c:f>
              <c:strCache>
                <c:ptCount val="1"/>
                <c:pt idx="0">
                  <c:v>Toplam Borç (TL)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1260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1260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1260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1260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1260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PANO!$A$11:$A$17</c:f>
              <c:strCache>
                <c:ptCount val="7"/>
                <c:pt idx="0">
                  <c:v>Gelir Vergisi</c:v>
                </c:pt>
                <c:pt idx="1">
                  <c:v>Kurumlar Vergisi</c:v>
                </c:pt>
                <c:pt idx="2">
                  <c:v>KDV</c:v>
                </c:pt>
                <c:pt idx="3">
                  <c:v>Muhtasar Stopaj</c:v>
                </c:pt>
                <c:pt idx="4">
                  <c:v>SGK Primi</c:v>
                </c:pt>
                <c:pt idx="5">
                  <c:v>SGK Cezası</c:v>
                </c:pt>
                <c:pt idx="6">
                  <c:v>Diğer</c:v>
                </c:pt>
              </c:strCache>
            </c:strRef>
          </c:cat>
          <c:val>
            <c:numRef>
              <c:f>PANO!$D$11:$D$17</c:f>
              <c:numCache>
                <c:formatCode>"₺ "#,##0;[RED]"(₺ "#,##0\);\-</c:formatCode>
                <c:ptCount val="7"/>
                <c:pt idx="0">
                  <c:v>69000</c:v>
                </c:pt>
                <c:pt idx="1">
                  <c:v>301000</c:v>
                </c:pt>
                <c:pt idx="2">
                  <c:v>290000</c:v>
                </c:pt>
                <c:pt idx="3">
                  <c:v>99000</c:v>
                </c:pt>
                <c:pt idx="4">
                  <c:v>151000</c:v>
                </c:pt>
                <c:pt idx="5">
                  <c:v>54000</c:v>
                </c:pt>
                <c:pt idx="6">
                  <c:v>0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Aylık Zam Yükü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PANO!E10</c:f>
              <c:strCache>
                <c:ptCount val="1"/>
                <c:pt idx="0">
                  <c:v>Aylık Zam Yükü (TL)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PANO!$A$11:$A$17</c:f>
              <c:strCache>
                <c:ptCount val="7"/>
                <c:pt idx="0">
                  <c:v>Gelir Vergisi</c:v>
                </c:pt>
                <c:pt idx="1">
                  <c:v>Kurumlar Vergisi</c:v>
                </c:pt>
                <c:pt idx="2">
                  <c:v>KDV</c:v>
                </c:pt>
                <c:pt idx="3">
                  <c:v>Muhtasar Stopaj</c:v>
                </c:pt>
                <c:pt idx="4">
                  <c:v>SGK Primi</c:v>
                </c:pt>
                <c:pt idx="5">
                  <c:v>SGK Cezası</c:v>
                </c:pt>
                <c:pt idx="6">
                  <c:v>Diğer</c:v>
                </c:pt>
              </c:strCache>
            </c:strRef>
          </c:cat>
          <c:val>
            <c:numRef>
              <c:f>PANO!$E$11:$E$17</c:f>
              <c:numCache>
                <c:formatCode>"₺ "#,##0;[RED]"(₺ "#,##0\);\-</c:formatCode>
                <c:ptCount val="7"/>
                <c:pt idx="0">
                  <c:v>2400</c:v>
                </c:pt>
                <c:pt idx="1">
                  <c:v>9600</c:v>
                </c:pt>
                <c:pt idx="2">
                  <c:v>9600</c:v>
                </c:pt>
                <c:pt idx="3">
                  <c:v>3200</c:v>
                </c:pt>
                <c:pt idx="4">
                  <c:v>3600</c:v>
                </c:pt>
                <c:pt idx="5">
                  <c:v>1600</c:v>
                </c:pt>
                <c:pt idx="6">
                  <c:v>0</c:v>
                </c:pt>
              </c:numCache>
            </c:numRef>
          </c:val>
        </c:ser>
        <c:gapWidth val="150"/>
        <c:overlap val="0"/>
        <c:axId val="68603630"/>
        <c:axId val="32655805"/>
      </c:barChart>
      <c:catAx>
        <c:axId val="6860363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2655805"/>
        <c:crosses val="autoZero"/>
        <c:auto val="1"/>
        <c:lblAlgn val="ctr"/>
        <c:lblOffset val="100"/>
        <c:noMultiLvlLbl val="0"/>
      </c:catAx>
      <c:valAx>
        <c:axId val="326558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860363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Borç Kalemi Bazlı Toplam Borç Trendi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PANO!H20</c:f>
              <c:strCache>
                <c:ptCount val="1"/>
                <c:pt idx="0">
                  <c:v>Toplam Borç (TL)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PANO!$G$21:$G$32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PANO!$H$21:$H$32</c:f>
              <c:numCache>
                <c:formatCode>"₺ "#,##0;[RED]"(₺ "#,##0\);\-</c:formatCode>
                <c:ptCount val="12"/>
                <c:pt idx="0">
                  <c:v>0</c:v>
                </c:pt>
                <c:pt idx="1">
                  <c:v>192000</c:v>
                </c:pt>
                <c:pt idx="2">
                  <c:v>99000</c:v>
                </c:pt>
                <c:pt idx="3">
                  <c:v>301000</c:v>
                </c:pt>
                <c:pt idx="4">
                  <c:v>151000</c:v>
                </c:pt>
                <c:pt idx="5">
                  <c:v>54000</c:v>
                </c:pt>
                <c:pt idx="6">
                  <c:v>69000</c:v>
                </c:pt>
                <c:pt idx="7">
                  <c:v>98000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0257917"/>
        <c:axId val="44558995"/>
      </c:lineChart>
      <c:catAx>
        <c:axId val="40257917"/>
        <c:scaling>
          <c:orientation val="minMax"/>
        </c:scaling>
        <c:delete val="0"/>
        <c:axPos val="b"/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4558995"/>
        <c:crosses val="autoZero"/>
        <c:auto val="1"/>
        <c:lblAlgn val="ctr"/>
        <c:lblOffset val="100"/>
        <c:noMultiLvlLbl val="0"/>
      </c:catAx>
      <c:valAx>
        <c:axId val="4455899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025791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Projeksiyon: Ortalama, Alt ve Üst Sınır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PANO!B34</c:f>
              <c:strCache>
                <c:ptCount val="1"/>
                <c:pt idx="0">
                  <c:v>-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PANO!$A$35:$A$38</c:f>
              <c:strCache>
                <c:ptCount val="4"/>
                <c:pt idx="0">
                  <c:v>Ortalama Toplam Borç</c:v>
                </c:pt>
                <c:pt idx="1">
                  <c:v>Toplam Borç Standart Sapması</c:v>
                </c:pt>
                <c:pt idx="2">
                  <c:v>Alt Tahmin Sınırı</c:v>
                </c:pt>
                <c:pt idx="3">
                  <c:v>Üst Tahmin Sınırı</c:v>
                </c:pt>
              </c:strCache>
            </c:strRef>
          </c:cat>
          <c:val>
            <c:numRef>
              <c:f>PANO!$B$35:$B$38</c:f>
              <c:numCache>
                <c:formatCode>"₺ "#,##0;[RED]"(₺ "#,##0\);\-</c:formatCode>
                <c:ptCount val="4"/>
                <c:pt idx="0">
                  <c:v>965</c:v>
                </c:pt>
                <c:pt idx="1">
                  <c:v>0</c:v>
                </c:pt>
                <c:pt idx="2">
                  <c:v>965</c:v>
                </c:pt>
                <c:pt idx="3">
                  <c:v>965</c:v>
                </c:pt>
              </c:numCache>
            </c:numRef>
          </c:val>
        </c:ser>
        <c:gapWidth val="150"/>
        <c:overlap val="0"/>
        <c:axId val="92679578"/>
        <c:axId val="41922524"/>
      </c:barChart>
      <c:catAx>
        <c:axId val="9267957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1922524"/>
        <c:crosses val="autoZero"/>
        <c:auto val="1"/>
        <c:lblAlgn val="ctr"/>
        <c:lblOffset val="100"/>
        <c:noMultiLvlLbl val="0"/>
      </c:catAx>
      <c:valAx>
        <c:axId val="419225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267957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Seçenek Toplam Maliyet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PANO!B40</c:f>
              <c:strCache>
                <c:ptCount val="1"/>
                <c:pt idx="0">
                  <c:v>Toplam Maliyet (TL)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PANO!$A$41:$A$43</c:f>
              <c:strCache>
                <c:ptCount val="3"/>
                <c:pt idx="0">
                  <c:v>TECİL</c:v>
                </c:pt>
                <c:pt idx="1">
                  <c:v>KREDİ</c:v>
                </c:pt>
                <c:pt idx="2">
                  <c:v>PEŞİN</c:v>
                </c:pt>
              </c:strCache>
            </c:strRef>
          </c:cat>
          <c:val>
            <c:numRef>
              <c:f>PANO!$B$41:$B$43</c:f>
              <c:numCache>
                <c:formatCode>"₺ "#,##0;[RED]"(₺ "#,##0\);\-</c:formatCode>
                <c:ptCount val="3"/>
                <c:pt idx="0">
                  <c:v>1050898.74214534</c:v>
                </c:pt>
                <c:pt idx="1">
                  <c:v>1175651.83750416</c:v>
                </c:pt>
                <c:pt idx="2">
                  <c:v>872000</c:v>
                </c:pt>
              </c:numCache>
            </c:numRef>
          </c:val>
        </c:ser>
        <c:gapWidth val="150"/>
        <c:overlap val="0"/>
        <c:axId val="19209233"/>
        <c:axId val="34762343"/>
      </c:barChart>
      <c:catAx>
        <c:axId val="1920923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4762343"/>
        <c:crosses val="autoZero"/>
        <c:auto val="1"/>
        <c:lblAlgn val="ctr"/>
        <c:lblOffset val="100"/>
        <c:noMultiLvlLbl val="0"/>
      </c:catAx>
      <c:valAx>
        <c:axId val="347623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920923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Seçenek NBD Karşılaştırması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PANO!C40</c:f>
              <c:strCache>
                <c:ptCount val="1"/>
                <c:pt idx="0">
                  <c:v>NBD (TL)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PANO!$A$41:$A$43</c:f>
              <c:strCache>
                <c:ptCount val="3"/>
                <c:pt idx="0">
                  <c:v>TECİL</c:v>
                </c:pt>
                <c:pt idx="1">
                  <c:v>KREDİ</c:v>
                </c:pt>
                <c:pt idx="2">
                  <c:v>PEŞİN</c:v>
                </c:pt>
              </c:strCache>
            </c:strRef>
          </c:cat>
          <c:val>
            <c:numRef>
              <c:f>PANO!$C$41:$C$43</c:f>
              <c:numCache>
                <c:formatCode>"₺ "#,##0;[RED]"(₺ "#,##0\);\-</c:formatCode>
                <c:ptCount val="3"/>
                <c:pt idx="0">
                  <c:v>912318.617182757</c:v>
                </c:pt>
                <c:pt idx="1">
                  <c:v>1007762.50809095</c:v>
                </c:pt>
                <c:pt idx="2">
                  <c:v>872000</c:v>
                </c:pt>
              </c:numCache>
            </c:numRef>
          </c:val>
        </c:ser>
        <c:gapWidth val="150"/>
        <c:overlap val="0"/>
        <c:axId val="81006086"/>
        <c:axId val="92244590"/>
      </c:barChart>
      <c:catAx>
        <c:axId val="8100608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2244590"/>
        <c:crosses val="autoZero"/>
        <c:auto val="1"/>
        <c:lblAlgn val="ctr"/>
        <c:lblOffset val="100"/>
        <c:noMultiLvlLbl val="0"/>
      </c:catAx>
      <c:valAx>
        <c:axId val="922445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100608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Senaryo Tecil Maliyetleri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PANO!F45</c:f>
              <c:strCache>
                <c:ptCount val="1"/>
                <c:pt idx="0">
                  <c:v>Tecil Maliyeti (TL)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PANO!$E$46:$E$49</c:f>
              <c:strCache>
                <c:ptCount val="4"/>
                <c:pt idx="0">
                  <c:v>İyimser</c:v>
                </c:pt>
                <c:pt idx="1">
                  <c:v>Baz</c:v>
                </c:pt>
                <c:pt idx="2">
                  <c:v>Kötümser</c:v>
                </c:pt>
                <c:pt idx="3">
                  <c:v>Kritik</c:v>
                </c:pt>
              </c:strCache>
            </c:strRef>
          </c:cat>
          <c:val>
            <c:numRef>
              <c:f>PANO!$F$46:$F$49</c:f>
              <c:numCache>
                <c:formatCode>"₺ "#,##0;[RED]"(₺ "#,##0\);\-</c:formatCode>
                <c:ptCount val="4"/>
                <c:pt idx="0">
                  <c:v>1021422.50868795</c:v>
                </c:pt>
                <c:pt idx="1">
                  <c:v>1050898.74214534</c:v>
                </c:pt>
                <c:pt idx="2">
                  <c:v>1085924.20902122</c:v>
                </c:pt>
                <c:pt idx="3">
                  <c:v>1137134.65375374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3792752"/>
        <c:axId val="44575194"/>
      </c:lineChart>
      <c:catAx>
        <c:axId val="63792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4575194"/>
        <c:crosses val="autoZero"/>
        <c:auto val="1"/>
        <c:lblAlgn val="ctr"/>
        <c:lblOffset val="100"/>
        <c:noMultiLvlLbl val="0"/>
      </c:catAx>
      <c:valAx>
        <c:axId val="445751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379275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Tornado: Maliyete Etki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SENARYO_DUYARLILIK!B13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SENARYO_DUYARLILIK!$A$14:$A$15</c:f>
              <c:strCache>
                <c:ptCount val="2"/>
                <c:pt idx="0">
                  <c:v>Tecil Faizi +1 puan Etkisi</c:v>
                </c:pt>
                <c:pt idx="1">
                  <c:v>Kredi Faizi +1 puan Etkisi</c:v>
                </c:pt>
              </c:strCache>
            </c:strRef>
          </c:cat>
          <c:val>
            <c:numRef>
              <c:f>SENARYO_DUYARLILIK!$B$14:$B$15</c:f>
              <c:numCache>
                <c:formatCode>"₺ "#,##0;[RED]"(₺ "#,##0\);\-</c:formatCode>
                <c:ptCount val="2"/>
                <c:pt idx="0">
                  <c:v>4961.82507350831</c:v>
                </c:pt>
                <c:pt idx="1">
                  <c:v>5773.56724707806</c:v>
                </c:pt>
              </c:numCache>
            </c:numRef>
          </c:val>
        </c:ser>
        <c:gapWidth val="150"/>
        <c:overlap val="0"/>
        <c:axId val="37484240"/>
        <c:axId val="74348464"/>
      </c:barChart>
      <c:catAx>
        <c:axId val="37484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4348464"/>
        <c:crosses val="autoZero"/>
        <c:auto val="1"/>
        <c:lblAlgn val="ctr"/>
        <c:lblOffset val="100"/>
        <c:noMultiLvlLbl val="0"/>
      </c:catAx>
      <c:valAx>
        <c:axId val="7434846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748424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8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9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9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7</xdr:row>
      <xdr:rowOff>0</xdr:rowOff>
    </xdr:from>
    <xdr:to>
      <xdr:col>10</xdr:col>
      <xdr:colOff>307440</xdr:colOff>
      <xdr:row>23</xdr:row>
      <xdr:rowOff>21960</xdr:rowOff>
    </xdr:to>
    <xdr:graphicFrame>
      <xdr:nvGraphicFramePr>
        <xdr:cNvPr id="1" name="Chart 1"/>
        <xdr:cNvGraphicFramePr/>
      </xdr:nvGraphicFramePr>
      <xdr:xfrm>
        <a:off x="8458200" y="15429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20</xdr:col>
      <xdr:colOff>0</xdr:colOff>
      <xdr:row>7</xdr:row>
      <xdr:rowOff>0</xdr:rowOff>
    </xdr:from>
    <xdr:to>
      <xdr:col>27</xdr:col>
      <xdr:colOff>39240</xdr:colOff>
      <xdr:row>23</xdr:row>
      <xdr:rowOff>21960</xdr:rowOff>
    </xdr:to>
    <xdr:graphicFrame>
      <xdr:nvGraphicFramePr>
        <xdr:cNvPr id="2" name="Chart 2"/>
        <xdr:cNvGraphicFramePr/>
      </xdr:nvGraphicFramePr>
      <xdr:xfrm>
        <a:off x="20025360" y="1542960"/>
        <a:ext cx="43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0</xdr:colOff>
      <xdr:row>20</xdr:row>
      <xdr:rowOff>0</xdr:rowOff>
    </xdr:from>
    <xdr:to>
      <xdr:col>10</xdr:col>
      <xdr:colOff>307440</xdr:colOff>
      <xdr:row>37</xdr:row>
      <xdr:rowOff>1080</xdr:rowOff>
    </xdr:to>
    <xdr:graphicFrame>
      <xdr:nvGraphicFramePr>
        <xdr:cNvPr id="3" name="Chart 3"/>
        <xdr:cNvGraphicFramePr/>
      </xdr:nvGraphicFramePr>
      <xdr:xfrm>
        <a:off x="8458200" y="41889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20</xdr:col>
      <xdr:colOff>0</xdr:colOff>
      <xdr:row>20</xdr:row>
      <xdr:rowOff>0</xdr:rowOff>
    </xdr:from>
    <xdr:to>
      <xdr:col>29</xdr:col>
      <xdr:colOff>255960</xdr:colOff>
      <xdr:row>37</xdr:row>
      <xdr:rowOff>1080</xdr:rowOff>
    </xdr:to>
    <xdr:graphicFrame>
      <xdr:nvGraphicFramePr>
        <xdr:cNvPr id="4" name="Chart 4"/>
        <xdr:cNvGraphicFramePr/>
      </xdr:nvGraphicFramePr>
      <xdr:xfrm>
        <a:off x="20025360" y="41889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5</xdr:col>
      <xdr:colOff>0</xdr:colOff>
      <xdr:row>33</xdr:row>
      <xdr:rowOff>0</xdr:rowOff>
    </xdr:from>
    <xdr:to>
      <xdr:col>8</xdr:col>
      <xdr:colOff>450360</xdr:colOff>
      <xdr:row>48</xdr:row>
      <xdr:rowOff>22320</xdr:rowOff>
    </xdr:to>
    <xdr:graphicFrame>
      <xdr:nvGraphicFramePr>
        <xdr:cNvPr id="5" name="Chart 5"/>
        <xdr:cNvGraphicFramePr/>
      </xdr:nvGraphicFramePr>
      <xdr:xfrm>
        <a:off x="8458200" y="666576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20</xdr:col>
      <xdr:colOff>0</xdr:colOff>
      <xdr:row>33</xdr:row>
      <xdr:rowOff>0</xdr:rowOff>
    </xdr:from>
    <xdr:to>
      <xdr:col>27</xdr:col>
      <xdr:colOff>399240</xdr:colOff>
      <xdr:row>48</xdr:row>
      <xdr:rowOff>22320</xdr:rowOff>
    </xdr:to>
    <xdr:graphicFrame>
      <xdr:nvGraphicFramePr>
        <xdr:cNvPr id="6" name="Chart 6"/>
        <xdr:cNvGraphicFramePr/>
      </xdr:nvGraphicFramePr>
      <xdr:xfrm>
        <a:off x="20025360" y="666576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5</xdr:col>
      <xdr:colOff>0</xdr:colOff>
      <xdr:row>40</xdr:row>
      <xdr:rowOff>0</xdr:rowOff>
    </xdr:from>
    <xdr:to>
      <xdr:col>8</xdr:col>
      <xdr:colOff>450360</xdr:colOff>
      <xdr:row>54</xdr:row>
      <xdr:rowOff>155520</xdr:rowOff>
    </xdr:to>
    <xdr:graphicFrame>
      <xdr:nvGraphicFramePr>
        <xdr:cNvPr id="7" name="Chart 7"/>
        <xdr:cNvGraphicFramePr/>
      </xdr:nvGraphicFramePr>
      <xdr:xfrm>
        <a:off x="8458200" y="799920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20</xdr:col>
      <xdr:colOff>0</xdr:colOff>
      <xdr:row>40</xdr:row>
      <xdr:rowOff>0</xdr:rowOff>
    </xdr:from>
    <xdr:to>
      <xdr:col>27</xdr:col>
      <xdr:colOff>399240</xdr:colOff>
      <xdr:row>54</xdr:row>
      <xdr:rowOff>155520</xdr:rowOff>
    </xdr:to>
    <xdr:graphicFrame>
      <xdr:nvGraphicFramePr>
        <xdr:cNvPr id="8" name="Chart 8"/>
        <xdr:cNvGraphicFramePr/>
      </xdr:nvGraphicFramePr>
      <xdr:xfrm>
        <a:off x="20025360" y="799920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16</xdr:row>
      <xdr:rowOff>0</xdr:rowOff>
    </xdr:from>
    <xdr:to>
      <xdr:col>11</xdr:col>
      <xdr:colOff>399240</xdr:colOff>
      <xdr:row>30</xdr:row>
      <xdr:rowOff>155520</xdr:rowOff>
    </xdr:to>
    <xdr:graphicFrame>
      <xdr:nvGraphicFramePr>
        <xdr:cNvPr id="9" name="Chart 1"/>
        <xdr:cNvGraphicFramePr/>
      </xdr:nvGraphicFramePr>
      <xdr:xfrm>
        <a:off x="7894440" y="353556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Borc" displayName="tblBorc" ref="A5:J1004" headerRowCount="1" totalsRowCount="0" totalsRowShown="0">
  <tableColumns count="10">
    <tableColumn id="1" name="Borç Kodu"/>
    <tableColumn id="2" name="Borç Türü"/>
    <tableColumn id="3" name="Borç Aslı (TL)"/>
    <tableColumn id="4" name="Gecikme Zammı (TL)"/>
    <tableColumn id="5" name="Vade Tarihi"/>
    <tableColumn id="6" name="Aylık Zam Oranı"/>
    <tableColumn id="7" name="Geciken Ay">
      <calculatedColumnFormula>=IF(tblBorc[[#This Row],[Vade Tarihi]]="",0,MAX(0,ROUNDDOWN((TecilRaporTarihi-tblBorc[[#This Row],[Vade Tarihi]])/30,0)))</calculatedColumnFormula>
    </tableColumn>
    <tableColumn id="8" name="Toplam Borç (TL)">
      <calculatedColumnFormula>=IF(tblBorc[[#This Row],[Borç Aslı (TL)]]="",0,tblBorc[[#This Row],[Borç Aslı (TL)]]+tblBorc[[#This Row],[Gecikme Zammı (TL)]])</calculatedColumnFormula>
    </tableColumn>
    <tableColumn id="9" name="Aylık Zam Yükü (TL)">
      <calculatedColumnFormula>=IF(tblBorc[[#This Row],[Borç Aslı (TL)]]="",0,tblBorc[[#This Row],[Borç Aslı (TL)]]*tblBorc[[#This Row],[Aylık Zam Oranı]])</calculatedColumnFormula>
    </tableColumn>
    <tableColumn id="10" name="Açıklama">
      <calculatedColumnFormula>=IF(tblBorc[[#This Row],[Borç Türü]]="","",CONCATENATE("Borç: ",tblBorc[[#This Row],[Borç Türü]]," | Toplam: ",TEXT(tblBorc[[#This Row],[Toplam Borç (TL)]],"#,##0")))</calculatedColumnFormula>
    </tableColumn>
  </tableColumns>
</table>
</file>

<file path=xl/tables/table2.xml><?xml version="1.0" encoding="utf-8"?>
<table xmlns="http://schemas.openxmlformats.org/spreadsheetml/2006/main" id="2" name="tblOrnekBorc" displayName="tblOrnekBorc" ref="A5:H1004" headerRowCount="1" totalsRowCount="0" totalsRowShown="0">
  <tableColumns count="8">
    <tableColumn id="1" name="Borç Kodu"/>
    <tableColumn id="2" name="Borç Türü"/>
    <tableColumn id="3" name="Borç Aslı (TL)"/>
    <tableColumn id="4" name="Gecikme Zammı (TL)"/>
    <tableColumn id="5" name="Vade Tarihi"/>
    <tableColumn id="6" name="Aylık Zam Oranı"/>
    <tableColumn id="7" name="Toplam Borç (TL)">
      <calculatedColumnFormula>=IF(tblOrnekBorc[[#This Row],[Borç Aslı (TL)]]="",0,tblOrnekBorc[[#This Row],[Borç Aslı (TL)]]+tblOrnekBorc[[#This Row],[Gecikme Zammı (TL)]])</calculatedColumnFormula>
    </tableColumn>
    <tableColumn id="8" name="Açıklama">
      <calculatedColumnFormula>=IF(tblOrnekBorc[[#This Row],[Borç Türü]]="","",CONCATENATE("Örnek borç: ",tblOrnekBorc[[#This Row],[Borç Türü]]))</calculatedColumnFormula>
    </tableColumn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<Relationship Id="rId3" Type="http://schemas.openxmlformats.org/officeDocument/2006/relationships/table" Target="../tables/table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3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4.v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5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3" customFormat="false" ht="30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customFormat="false" ht="1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6" customFormat="false" ht="15" hidden="false" customHeight="false" outlineLevel="0" collapsed="false">
      <c r="A6" s="4" t="s">
        <v>3</v>
      </c>
    </row>
    <row r="7" customFormat="false" ht="15" hidden="false" customHeight="true" outlineLevel="0" collapsed="false">
      <c r="A7" s="5" t="s">
        <v>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</row>
    <row r="8" customFormat="false" ht="15" hidden="false" customHeight="true" outlineLevel="0" collapsed="false">
      <c r="A8" s="5" t="s">
        <v>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 customFormat="false" ht="15" hidden="false" customHeight="true" outlineLevel="0" collapsed="false">
      <c r="A9" s="5" t="s">
        <v>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</row>
    <row r="10" customFormat="false" ht="15" hidden="false" customHeight="true" outlineLevel="0" collapsed="false">
      <c r="A10" s="5" t="s">
        <v>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 customFormat="false" ht="15" hidden="false" customHeight="true" outlineLevel="0" collapsed="false">
      <c r="A11" s="5" t="s">
        <v>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4" customFormat="false" ht="15" hidden="false" customHeight="false" outlineLevel="0" collapsed="false">
      <c r="A14" s="4" t="s">
        <v>9</v>
      </c>
    </row>
    <row r="15" customFormat="false" ht="15" hidden="false" customHeight="false" outlineLevel="0" collapsed="false">
      <c r="A15" s="6" t="s">
        <v>10</v>
      </c>
    </row>
    <row r="16" customFormat="false" ht="15" hidden="false" customHeight="false" outlineLevel="0" collapsed="false">
      <c r="A16" s="6" t="s">
        <v>11</v>
      </c>
    </row>
    <row r="17" customFormat="false" ht="15" hidden="false" customHeight="false" outlineLevel="0" collapsed="false">
      <c r="A17" s="6" t="s">
        <v>12</v>
      </c>
    </row>
    <row r="18" customFormat="false" ht="15" hidden="false" customHeight="false" outlineLevel="0" collapsed="false">
      <c r="A18" s="4" t="s">
        <v>13</v>
      </c>
    </row>
    <row r="19" customFormat="false" ht="15" hidden="false" customHeight="true" outlineLevel="0" collapsed="false">
      <c r="A19" s="5" t="s">
        <v>14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1" customFormat="false" ht="15" hidden="false" customHeight="false" outlineLevel="0" collapsed="false">
      <c r="A21" s="7" t="s">
        <v>15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</sheetData>
  <sheetProtection sheet="true" password="cc3d" objects="true" scenarios="true" deleteColumns="false" deleteRows="false"/>
  <mergeCells count="10">
    <mergeCell ref="A1:AN1"/>
    <mergeCell ref="A3:AN3"/>
    <mergeCell ref="A4:P4"/>
    <mergeCell ref="A7:AD7"/>
    <mergeCell ref="A8:AD8"/>
    <mergeCell ref="A9:AD9"/>
    <mergeCell ref="A10:AD10"/>
    <mergeCell ref="A11:AD11"/>
    <mergeCell ref="A19:P19"/>
    <mergeCell ref="A21:P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60"/>
  </cols>
  <sheetData>
    <row r="1" customFormat="false" ht="25.5" hidden="false" customHeight="true" outlineLevel="0" collapsed="false">
      <c r="A1" s="1" t="s">
        <v>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6.15" hidden="false" customHeight="false" outlineLevel="0" collapsed="false">
      <c r="A3" s="8" t="s">
        <v>17</v>
      </c>
    </row>
    <row r="5" customFormat="false" ht="15" hidden="false" customHeight="true" outlineLevel="0" collapsed="false">
      <c r="A5" s="9" t="s">
        <v>18</v>
      </c>
      <c r="B5" s="5" t="s">
        <v>19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customFormat="false" ht="15" hidden="false" customHeight="true" outlineLevel="0" collapsed="false">
      <c r="A6" s="9" t="s">
        <v>20</v>
      </c>
      <c r="B6" s="5" t="s">
        <v>21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customFormat="false" ht="15" hidden="false" customHeight="true" outlineLevel="0" collapsed="false">
      <c r="A7" s="9" t="s">
        <v>22</v>
      </c>
      <c r="B7" s="5" t="s">
        <v>23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customFormat="false" ht="15" hidden="false" customHeight="true" outlineLevel="0" collapsed="false">
      <c r="A8" s="9" t="s">
        <v>24</v>
      </c>
      <c r="B8" s="5" t="s">
        <v>25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11" customFormat="false" ht="15" hidden="false" customHeight="false" outlineLevel="0" collapsed="false">
      <c r="A11" s="10" t="s">
        <v>26</v>
      </c>
    </row>
    <row r="12" customFormat="false" ht="15" hidden="false" customHeight="false" outlineLevel="0" collapsed="false">
      <c r="A12" s="11" t="s">
        <v>27</v>
      </c>
    </row>
    <row r="13" customFormat="false" ht="15" hidden="false" customHeight="false" outlineLevel="0" collapsed="false">
      <c r="A13" s="11" t="s">
        <v>28</v>
      </c>
    </row>
    <row r="14" customFormat="false" ht="15" hidden="false" customHeight="false" outlineLevel="0" collapsed="false">
      <c r="A14" s="11" t="s">
        <v>29</v>
      </c>
    </row>
    <row r="15" customFormat="false" ht="15" hidden="false" customHeight="false" outlineLevel="0" collapsed="false">
      <c r="A15" s="12" t="s">
        <v>30</v>
      </c>
    </row>
  </sheetData>
  <sheetProtection sheet="true" password="cc3d" objects="true" scenarios="true" deleteColumns="false" deleteRows="false"/>
  <mergeCells count="5">
    <mergeCell ref="A1:AD1"/>
    <mergeCell ref="B5:T5"/>
    <mergeCell ref="B6:T6"/>
    <mergeCell ref="B7:T7"/>
    <mergeCell ref="B8:T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0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4" min="3" style="0" width="18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9" min="8" style="0" width="18"/>
    <col collapsed="false" customWidth="true" hidden="false" outlineLevel="0" max="10" min="10" style="0" width="30"/>
  </cols>
  <sheetData>
    <row r="1" customFormat="false" ht="25.5" hidden="false" customHeight="true" outlineLevel="0" collapsed="false">
      <c r="A1" s="1" t="s">
        <v>31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6.15" hidden="false" customHeight="false" outlineLevel="0" collapsed="false">
      <c r="A3" s="8" t="s">
        <v>32</v>
      </c>
    </row>
    <row r="4" customFormat="false" ht="68.65" hidden="false" customHeight="false" outlineLevel="0" collapsed="false">
      <c r="A4" s="13" t="s">
        <v>33</v>
      </c>
    </row>
    <row r="5" customFormat="false" ht="30" hidden="false" customHeight="true" outlineLevel="0" collapsed="false">
      <c r="A5" s="14" t="s">
        <v>34</v>
      </c>
      <c r="B5" s="14" t="s">
        <v>35</v>
      </c>
      <c r="C5" s="14" t="s">
        <v>36</v>
      </c>
      <c r="D5" s="14" t="s">
        <v>37</v>
      </c>
      <c r="E5" s="14" t="s">
        <v>38</v>
      </c>
      <c r="F5" s="14" t="s">
        <v>39</v>
      </c>
      <c r="G5" s="14" t="s">
        <v>40</v>
      </c>
      <c r="H5" s="14" t="s">
        <v>41</v>
      </c>
      <c r="I5" s="14" t="s">
        <v>42</v>
      </c>
      <c r="J5" s="14" t="s">
        <v>43</v>
      </c>
    </row>
    <row r="6" customFormat="false" ht="15" hidden="false" customHeight="false" outlineLevel="0" collapsed="false">
      <c r="A6" s="15" t="s">
        <v>44</v>
      </c>
      <c r="B6" s="15" t="s">
        <v>45</v>
      </c>
      <c r="C6" s="16" t="n">
        <v>150000</v>
      </c>
      <c r="D6" s="16" t="n">
        <v>42000</v>
      </c>
      <c r="E6" s="17" t="n">
        <v>45742</v>
      </c>
      <c r="F6" s="18" t="n">
        <v>0.04</v>
      </c>
      <c r="G6" s="19" t="n">
        <f aca="false">IF($E6="",0,MAX(0,ROUNDDOWN((TecilRaporTarihi-$E6)/30,0)))</f>
        <v>16</v>
      </c>
      <c r="H6" s="19" t="n">
        <f aca="false">IF($C6="",0,$C6+$D6)</f>
        <v>192000</v>
      </c>
      <c r="I6" s="19" t="n">
        <f aca="false">IF($C6="",0,$C6*$F6)</f>
        <v>6000</v>
      </c>
      <c r="J6" s="19" t="str">
        <f aca="false">IF($B6="","",CONCATENATE("Borç: ",$B6," | Toplam: ",TEXT($H6,"#,##0")))</f>
        <v>Borç: KDV | Toplam: 192.000</v>
      </c>
    </row>
    <row r="7" customFormat="false" ht="15" hidden="false" customHeight="false" outlineLevel="0" collapsed="false">
      <c r="A7" s="15" t="s">
        <v>46</v>
      </c>
      <c r="B7" s="15" t="s">
        <v>47</v>
      </c>
      <c r="C7" s="16" t="n">
        <v>80000</v>
      </c>
      <c r="D7" s="16" t="n">
        <v>19000</v>
      </c>
      <c r="E7" s="17" t="n">
        <v>45834</v>
      </c>
      <c r="F7" s="18" t="n">
        <v>0.04</v>
      </c>
      <c r="G7" s="19" t="n">
        <f aca="false">IF($E7="",0,MAX(0,ROUNDDOWN((TecilRaporTarihi-$E7)/30,0)))</f>
        <v>13</v>
      </c>
      <c r="H7" s="19" t="n">
        <f aca="false">IF($C7="",0,$C7+$D7)</f>
        <v>99000</v>
      </c>
      <c r="I7" s="19" t="n">
        <f aca="false">IF($C7="",0,$C7*$F7)</f>
        <v>3200</v>
      </c>
      <c r="J7" s="19" t="str">
        <f aca="false">IF($B7="","",CONCATENATE("Borç: ",$B7," | Toplam: ",TEXT($H7,"#,##0")))</f>
        <v>Borç: Muhtasar Stopaj | Toplam: 99.000</v>
      </c>
    </row>
    <row r="8" customFormat="false" ht="15" hidden="false" customHeight="false" outlineLevel="0" collapsed="false">
      <c r="A8" s="15" t="s">
        <v>48</v>
      </c>
      <c r="B8" s="15" t="s">
        <v>49</v>
      </c>
      <c r="C8" s="16" t="n">
        <v>240000</v>
      </c>
      <c r="D8" s="16" t="n">
        <v>61000</v>
      </c>
      <c r="E8" s="17" t="n">
        <v>45808</v>
      </c>
      <c r="F8" s="18" t="n">
        <v>0.04</v>
      </c>
      <c r="G8" s="19" t="n">
        <f aca="false">IF($E8="",0,MAX(0,ROUNDDOWN((TecilRaporTarihi-$E8)/30,0)))</f>
        <v>14</v>
      </c>
      <c r="H8" s="19" t="n">
        <f aca="false">IF($C8="",0,$C8+$D8)</f>
        <v>301000</v>
      </c>
      <c r="I8" s="19" t="n">
        <f aca="false">IF($C8="",0,$C8*$F8)</f>
        <v>9600</v>
      </c>
      <c r="J8" s="19" t="str">
        <f aca="false">IF($B8="","",CONCATENATE("Borç: ",$B8," | Toplam: ",TEXT($H8,"#,##0")))</f>
        <v>Borç: Kurumlar Vergisi | Toplam: 301.000</v>
      </c>
    </row>
    <row r="9" customFormat="false" ht="15" hidden="false" customHeight="false" outlineLevel="0" collapsed="false">
      <c r="A9" s="15" t="s">
        <v>50</v>
      </c>
      <c r="B9" s="15" t="s">
        <v>51</v>
      </c>
      <c r="C9" s="16" t="n">
        <v>120000</v>
      </c>
      <c r="D9" s="16" t="n">
        <v>31000</v>
      </c>
      <c r="E9" s="17" t="n">
        <v>45900</v>
      </c>
      <c r="F9" s="18" t="n">
        <v>0.03</v>
      </c>
      <c r="G9" s="19" t="n">
        <f aca="false">IF($E9="",0,MAX(0,ROUNDDOWN((TecilRaporTarihi-$E9)/30,0)))</f>
        <v>11</v>
      </c>
      <c r="H9" s="19" t="n">
        <f aca="false">IF($C9="",0,$C9+$D9)</f>
        <v>151000</v>
      </c>
      <c r="I9" s="19" t="n">
        <f aca="false">IF($C9="",0,$C9*$F9)</f>
        <v>3600</v>
      </c>
      <c r="J9" s="19" t="str">
        <f aca="false">IF($B9="","",CONCATENATE("Borç: ",$B9," | Toplam: ",TEXT($H9,"#,##0")))</f>
        <v>Borç: SGK Primi | Toplam: 151.000</v>
      </c>
    </row>
    <row r="10" customFormat="false" ht="15" hidden="false" customHeight="false" outlineLevel="0" collapsed="false">
      <c r="A10" s="15" t="s">
        <v>52</v>
      </c>
      <c r="B10" s="15" t="s">
        <v>53</v>
      </c>
      <c r="C10" s="16" t="n">
        <v>40000</v>
      </c>
      <c r="D10" s="16" t="n">
        <v>14000</v>
      </c>
      <c r="E10" s="17" t="n">
        <v>45961</v>
      </c>
      <c r="F10" s="18" t="n">
        <v>0.04</v>
      </c>
      <c r="G10" s="19" t="n">
        <f aca="false">IF($E10="",0,MAX(0,ROUNDDOWN((TecilRaporTarihi-$E10)/30,0)))</f>
        <v>9</v>
      </c>
      <c r="H10" s="19" t="n">
        <f aca="false">IF($C10="",0,$C10+$D10)</f>
        <v>54000</v>
      </c>
      <c r="I10" s="19" t="n">
        <f aca="false">IF($C10="",0,$C10*$F10)</f>
        <v>1600</v>
      </c>
      <c r="J10" s="19" t="str">
        <f aca="false">IF($B10="","",CONCATENATE("Borç: ",$B10," | Toplam: ",TEXT($H10,"#,##0")))</f>
        <v>Borç: SGK Cezası | Toplam: 54.000</v>
      </c>
    </row>
    <row r="11" customFormat="false" ht="15" hidden="false" customHeight="false" outlineLevel="0" collapsed="false">
      <c r="A11" s="15" t="s">
        <v>54</v>
      </c>
      <c r="B11" s="15" t="s">
        <v>55</v>
      </c>
      <c r="C11" s="16" t="n">
        <v>60000</v>
      </c>
      <c r="D11" s="16" t="n">
        <v>9000</v>
      </c>
      <c r="E11" s="17" t="n">
        <v>45991</v>
      </c>
      <c r="F11" s="18" t="n">
        <v>0.04</v>
      </c>
      <c r="G11" s="19" t="n">
        <f aca="false">IF($E11="",0,MAX(0,ROUNDDOWN((TecilRaporTarihi-$E11)/30,0)))</f>
        <v>8</v>
      </c>
      <c r="H11" s="19" t="n">
        <f aca="false">IF($C11="",0,$C11+$D11)</f>
        <v>69000</v>
      </c>
      <c r="I11" s="19" t="n">
        <f aca="false">IF($C11="",0,$C11*$F11)</f>
        <v>2400</v>
      </c>
      <c r="J11" s="19" t="str">
        <f aca="false">IF($B11="","",CONCATENATE("Borç: ",$B11," | Toplam: ",TEXT($H11,"#,##0")))</f>
        <v>Borç: Gelir Vergisi | Toplam: 69.000</v>
      </c>
    </row>
    <row r="12" customFormat="false" ht="15" hidden="false" customHeight="false" outlineLevel="0" collapsed="false">
      <c r="A12" s="15" t="s">
        <v>56</v>
      </c>
      <c r="B12" s="15" t="s">
        <v>45</v>
      </c>
      <c r="C12" s="16" t="n">
        <v>90000</v>
      </c>
      <c r="D12" s="16" t="n">
        <v>8000</v>
      </c>
      <c r="E12" s="17" t="n">
        <v>46079</v>
      </c>
      <c r="F12" s="18" t="n">
        <v>0.04</v>
      </c>
      <c r="G12" s="19" t="n">
        <f aca="false">IF($E12="",0,MAX(0,ROUNDDOWN((TecilRaporTarihi-$E12)/30,0)))</f>
        <v>5</v>
      </c>
      <c r="H12" s="19" t="n">
        <f aca="false">IF($C12="",0,$C12+$D12)</f>
        <v>98000</v>
      </c>
      <c r="I12" s="19" t="n">
        <f aca="false">IF($C12="",0,$C12*$F12)</f>
        <v>3600</v>
      </c>
      <c r="J12" s="19" t="str">
        <f aca="false">IF($B12="","",CONCATENATE("Borç: ",$B12," | Toplam: ",TEXT($H12,"#,##0")))</f>
        <v>Borç: KDV | Toplam: 98.000</v>
      </c>
    </row>
    <row r="13" customFormat="false" ht="15" hidden="false" customHeight="false" outlineLevel="0" collapsed="false">
      <c r="A13" s="20"/>
      <c r="B13" s="20"/>
      <c r="C13" s="21"/>
      <c r="D13" s="21"/>
      <c r="E13" s="22"/>
      <c r="F13" s="23"/>
      <c r="G13" s="19" t="n">
        <f aca="false">IF($E13="",0,MAX(0,ROUNDDOWN((TecilRaporTarihi-$E13)/30,0)))</f>
        <v>0</v>
      </c>
      <c r="H13" s="19" t="n">
        <f aca="false">IF($C13="",0,$C13+$D13)</f>
        <v>0</v>
      </c>
      <c r="I13" s="19" t="n">
        <f aca="false">IF($C13="",0,$C13*$F13)</f>
        <v>0</v>
      </c>
      <c r="J13" s="19" t="str">
        <f aca="false">IF($B13="","",CONCATENATE("Borç: ",$B13," | Toplam: ",TEXT($H13,"#,##0")))</f>
        <v/>
      </c>
    </row>
    <row r="14" customFormat="false" ht="15" hidden="false" customHeight="false" outlineLevel="0" collapsed="false">
      <c r="A14" s="20"/>
      <c r="B14" s="20"/>
      <c r="C14" s="21"/>
      <c r="D14" s="21"/>
      <c r="E14" s="22"/>
      <c r="F14" s="23"/>
      <c r="G14" s="19" t="n">
        <f aca="false">IF($E14="",0,MAX(0,ROUNDDOWN((TecilRaporTarihi-$E14)/30,0)))</f>
        <v>0</v>
      </c>
      <c r="H14" s="19" t="n">
        <f aca="false">IF($C14="",0,$C14+$D14)</f>
        <v>0</v>
      </c>
      <c r="I14" s="19" t="n">
        <f aca="false">IF($C14="",0,$C14*$F14)</f>
        <v>0</v>
      </c>
      <c r="J14" s="19" t="str">
        <f aca="false">IF($B14="","",CONCATENATE("Borç: ",$B14," | Toplam: ",TEXT($H14,"#,##0")))</f>
        <v/>
      </c>
    </row>
    <row r="15" customFormat="false" ht="15" hidden="false" customHeight="false" outlineLevel="0" collapsed="false">
      <c r="A15" s="20"/>
      <c r="B15" s="20"/>
      <c r="C15" s="21"/>
      <c r="D15" s="21"/>
      <c r="E15" s="22"/>
      <c r="F15" s="23"/>
      <c r="G15" s="19" t="n">
        <f aca="false">IF($E15="",0,MAX(0,ROUNDDOWN((TecilRaporTarihi-$E15)/30,0)))</f>
        <v>0</v>
      </c>
      <c r="H15" s="19" t="n">
        <f aca="false">IF($C15="",0,$C15+$D15)</f>
        <v>0</v>
      </c>
      <c r="I15" s="19" t="n">
        <f aca="false">IF($C15="",0,$C15*$F15)</f>
        <v>0</v>
      </c>
      <c r="J15" s="19" t="str">
        <f aca="false">IF($B15="","",CONCATENATE("Borç: ",$B15," | Toplam: ",TEXT($H15,"#,##0")))</f>
        <v/>
      </c>
    </row>
    <row r="16" customFormat="false" ht="15" hidden="false" customHeight="false" outlineLevel="0" collapsed="false">
      <c r="A16" s="20"/>
      <c r="B16" s="20"/>
      <c r="C16" s="21"/>
      <c r="D16" s="21"/>
      <c r="E16" s="22"/>
      <c r="F16" s="23"/>
      <c r="G16" s="19" t="n">
        <f aca="false">IF($E16="",0,MAX(0,ROUNDDOWN((TecilRaporTarihi-$E16)/30,0)))</f>
        <v>0</v>
      </c>
      <c r="H16" s="19" t="n">
        <f aca="false">IF($C16="",0,$C16+$D16)</f>
        <v>0</v>
      </c>
      <c r="I16" s="19" t="n">
        <f aca="false">IF($C16="",0,$C16*$F16)</f>
        <v>0</v>
      </c>
      <c r="J16" s="19" t="str">
        <f aca="false">IF($B16="","",CONCATENATE("Borç: ",$B16," | Toplam: ",TEXT($H16,"#,##0")))</f>
        <v/>
      </c>
    </row>
    <row r="17" customFormat="false" ht="15" hidden="false" customHeight="false" outlineLevel="0" collapsed="false">
      <c r="A17" s="20"/>
      <c r="B17" s="20"/>
      <c r="C17" s="21"/>
      <c r="D17" s="21"/>
      <c r="E17" s="22"/>
      <c r="F17" s="23"/>
      <c r="G17" s="19" t="n">
        <f aca="false">IF($E17="",0,MAX(0,ROUNDDOWN((TecilRaporTarihi-$E17)/30,0)))</f>
        <v>0</v>
      </c>
      <c r="H17" s="19" t="n">
        <f aca="false">IF($C17="",0,$C17+$D17)</f>
        <v>0</v>
      </c>
      <c r="I17" s="19" t="n">
        <f aca="false">IF($C17="",0,$C17*$F17)</f>
        <v>0</v>
      </c>
      <c r="J17" s="19" t="str">
        <f aca="false">IF($B17="","",CONCATENATE("Borç: ",$B17," | Toplam: ",TEXT($H17,"#,##0")))</f>
        <v/>
      </c>
    </row>
    <row r="18" customFormat="false" ht="15" hidden="false" customHeight="false" outlineLevel="0" collapsed="false">
      <c r="A18" s="20"/>
      <c r="B18" s="20"/>
      <c r="C18" s="21"/>
      <c r="D18" s="21"/>
      <c r="E18" s="22"/>
      <c r="F18" s="23"/>
      <c r="G18" s="19" t="n">
        <f aca="false">IF($E18="",0,MAX(0,ROUNDDOWN((TecilRaporTarihi-$E18)/30,0)))</f>
        <v>0</v>
      </c>
      <c r="H18" s="19" t="n">
        <f aca="false">IF($C18="",0,$C18+$D18)</f>
        <v>0</v>
      </c>
      <c r="I18" s="19" t="n">
        <f aca="false">IF($C18="",0,$C18*$F18)</f>
        <v>0</v>
      </c>
      <c r="J18" s="19" t="str">
        <f aca="false">IF($B18="","",CONCATENATE("Borç: ",$B18," | Toplam: ",TEXT($H18,"#,##0")))</f>
        <v/>
      </c>
    </row>
    <row r="19" customFormat="false" ht="15" hidden="false" customHeight="false" outlineLevel="0" collapsed="false">
      <c r="A19" s="20"/>
      <c r="B19" s="20"/>
      <c r="C19" s="21"/>
      <c r="D19" s="21"/>
      <c r="E19" s="22"/>
      <c r="F19" s="23"/>
      <c r="G19" s="19" t="n">
        <f aca="false">IF($E19="",0,MAX(0,ROUNDDOWN((TecilRaporTarihi-$E19)/30,0)))</f>
        <v>0</v>
      </c>
      <c r="H19" s="19" t="n">
        <f aca="false">IF($C19="",0,$C19+$D19)</f>
        <v>0</v>
      </c>
      <c r="I19" s="19" t="n">
        <f aca="false">IF($C19="",0,$C19*$F19)</f>
        <v>0</v>
      </c>
      <c r="J19" s="19" t="str">
        <f aca="false">IF($B19="","",CONCATENATE("Borç: ",$B19," | Toplam: ",TEXT($H19,"#,##0")))</f>
        <v/>
      </c>
    </row>
    <row r="20" customFormat="false" ht="15" hidden="false" customHeight="false" outlineLevel="0" collapsed="false">
      <c r="A20" s="20"/>
      <c r="B20" s="20"/>
      <c r="C20" s="21"/>
      <c r="D20" s="21"/>
      <c r="E20" s="22"/>
      <c r="F20" s="23"/>
      <c r="G20" s="19" t="n">
        <f aca="false">IF($E20="",0,MAX(0,ROUNDDOWN((TecilRaporTarihi-$E20)/30,0)))</f>
        <v>0</v>
      </c>
      <c r="H20" s="19" t="n">
        <f aca="false">IF($C20="",0,$C20+$D20)</f>
        <v>0</v>
      </c>
      <c r="I20" s="19" t="n">
        <f aca="false">IF($C20="",0,$C20*$F20)</f>
        <v>0</v>
      </c>
      <c r="J20" s="19" t="str">
        <f aca="false">IF($B20="","",CONCATENATE("Borç: ",$B20," | Toplam: ",TEXT($H20,"#,##0")))</f>
        <v/>
      </c>
    </row>
    <row r="21" customFormat="false" ht="15" hidden="false" customHeight="false" outlineLevel="0" collapsed="false">
      <c r="A21" s="20"/>
      <c r="B21" s="20"/>
      <c r="C21" s="21"/>
      <c r="D21" s="21"/>
      <c r="E21" s="22"/>
      <c r="F21" s="23"/>
      <c r="G21" s="19" t="n">
        <f aca="false">IF($E21="",0,MAX(0,ROUNDDOWN((TecilRaporTarihi-$E21)/30,0)))</f>
        <v>0</v>
      </c>
      <c r="H21" s="19" t="n">
        <f aca="false">IF($C21="",0,$C21+$D21)</f>
        <v>0</v>
      </c>
      <c r="I21" s="19" t="n">
        <f aca="false">IF($C21="",0,$C21*$F21)</f>
        <v>0</v>
      </c>
      <c r="J21" s="19" t="str">
        <f aca="false">IF($B21="","",CONCATENATE("Borç: ",$B21," | Toplam: ",TEXT($H21,"#,##0")))</f>
        <v/>
      </c>
    </row>
    <row r="22" customFormat="false" ht="15" hidden="false" customHeight="false" outlineLevel="0" collapsed="false">
      <c r="A22" s="20"/>
      <c r="B22" s="20"/>
      <c r="C22" s="21"/>
      <c r="D22" s="21"/>
      <c r="E22" s="22"/>
      <c r="F22" s="23"/>
      <c r="G22" s="19" t="n">
        <f aca="false">IF($E22="",0,MAX(0,ROUNDDOWN((TecilRaporTarihi-$E22)/30,0)))</f>
        <v>0</v>
      </c>
      <c r="H22" s="19" t="n">
        <f aca="false">IF($C22="",0,$C22+$D22)</f>
        <v>0</v>
      </c>
      <c r="I22" s="19" t="n">
        <f aca="false">IF($C22="",0,$C22*$F22)</f>
        <v>0</v>
      </c>
      <c r="J22" s="19" t="str">
        <f aca="false">IF($B22="","",CONCATENATE("Borç: ",$B22," | Toplam: ",TEXT($H22,"#,##0")))</f>
        <v/>
      </c>
    </row>
    <row r="23" customFormat="false" ht="15" hidden="false" customHeight="false" outlineLevel="0" collapsed="false">
      <c r="A23" s="20"/>
      <c r="B23" s="20"/>
      <c r="C23" s="21"/>
      <c r="D23" s="21"/>
      <c r="E23" s="22"/>
      <c r="F23" s="23"/>
      <c r="G23" s="19" t="n">
        <f aca="false">IF($E23="",0,MAX(0,ROUNDDOWN((TecilRaporTarihi-$E23)/30,0)))</f>
        <v>0</v>
      </c>
      <c r="H23" s="19" t="n">
        <f aca="false">IF($C23="",0,$C23+$D23)</f>
        <v>0</v>
      </c>
      <c r="I23" s="19" t="n">
        <f aca="false">IF($C23="",0,$C23*$F23)</f>
        <v>0</v>
      </c>
      <c r="J23" s="19" t="str">
        <f aca="false">IF($B23="","",CONCATENATE("Borç: ",$B23," | Toplam: ",TEXT($H23,"#,##0")))</f>
        <v/>
      </c>
    </row>
    <row r="24" customFormat="false" ht="15" hidden="false" customHeight="false" outlineLevel="0" collapsed="false">
      <c r="A24" s="20"/>
      <c r="B24" s="20"/>
      <c r="C24" s="21"/>
      <c r="D24" s="21"/>
      <c r="E24" s="22"/>
      <c r="F24" s="23"/>
      <c r="G24" s="19" t="n">
        <f aca="false">IF($E24="",0,MAX(0,ROUNDDOWN((TecilRaporTarihi-$E24)/30,0)))</f>
        <v>0</v>
      </c>
      <c r="H24" s="19" t="n">
        <f aca="false">IF($C24="",0,$C24+$D24)</f>
        <v>0</v>
      </c>
      <c r="I24" s="19" t="n">
        <f aca="false">IF($C24="",0,$C24*$F24)</f>
        <v>0</v>
      </c>
      <c r="J24" s="19" t="str">
        <f aca="false">IF($B24="","",CONCATENATE("Borç: ",$B24," | Toplam: ",TEXT($H24,"#,##0")))</f>
        <v/>
      </c>
    </row>
    <row r="25" customFormat="false" ht="15" hidden="false" customHeight="false" outlineLevel="0" collapsed="false">
      <c r="A25" s="20"/>
      <c r="B25" s="20"/>
      <c r="C25" s="21"/>
      <c r="D25" s="21"/>
      <c r="E25" s="22"/>
      <c r="F25" s="23"/>
      <c r="G25" s="19" t="n">
        <f aca="false">IF($E25="",0,MAX(0,ROUNDDOWN((TecilRaporTarihi-$E25)/30,0)))</f>
        <v>0</v>
      </c>
      <c r="H25" s="19" t="n">
        <f aca="false">IF($C25="",0,$C25+$D25)</f>
        <v>0</v>
      </c>
      <c r="I25" s="19" t="n">
        <f aca="false">IF($C25="",0,$C25*$F25)</f>
        <v>0</v>
      </c>
      <c r="J25" s="19" t="str">
        <f aca="false">IF($B25="","",CONCATENATE("Borç: ",$B25," | Toplam: ",TEXT($H25,"#,##0")))</f>
        <v/>
      </c>
    </row>
    <row r="26" customFormat="false" ht="15" hidden="false" customHeight="false" outlineLevel="0" collapsed="false">
      <c r="A26" s="20"/>
      <c r="B26" s="20"/>
      <c r="C26" s="21"/>
      <c r="D26" s="21"/>
      <c r="E26" s="22"/>
      <c r="F26" s="23"/>
      <c r="G26" s="19" t="n">
        <f aca="false">IF($E26="",0,MAX(0,ROUNDDOWN((TecilRaporTarihi-$E26)/30,0)))</f>
        <v>0</v>
      </c>
      <c r="H26" s="19" t="n">
        <f aca="false">IF($C26="",0,$C26+$D26)</f>
        <v>0</v>
      </c>
      <c r="I26" s="19" t="n">
        <f aca="false">IF($C26="",0,$C26*$F26)</f>
        <v>0</v>
      </c>
      <c r="J26" s="19" t="str">
        <f aca="false">IF($B26="","",CONCATENATE("Borç: ",$B26," | Toplam: ",TEXT($H26,"#,##0")))</f>
        <v/>
      </c>
    </row>
    <row r="27" customFormat="false" ht="15" hidden="false" customHeight="false" outlineLevel="0" collapsed="false">
      <c r="A27" s="20"/>
      <c r="B27" s="20"/>
      <c r="C27" s="21"/>
      <c r="D27" s="21"/>
      <c r="E27" s="22"/>
      <c r="F27" s="23"/>
      <c r="G27" s="19" t="n">
        <f aca="false">IF($E27="",0,MAX(0,ROUNDDOWN((TecilRaporTarihi-$E27)/30,0)))</f>
        <v>0</v>
      </c>
      <c r="H27" s="19" t="n">
        <f aca="false">IF($C27="",0,$C27+$D27)</f>
        <v>0</v>
      </c>
      <c r="I27" s="19" t="n">
        <f aca="false">IF($C27="",0,$C27*$F27)</f>
        <v>0</v>
      </c>
      <c r="J27" s="19" t="str">
        <f aca="false">IF($B27="","",CONCATENATE("Borç: ",$B27," | Toplam: ",TEXT($H27,"#,##0")))</f>
        <v/>
      </c>
    </row>
    <row r="28" customFormat="false" ht="15" hidden="false" customHeight="false" outlineLevel="0" collapsed="false">
      <c r="A28" s="20"/>
      <c r="B28" s="20"/>
      <c r="C28" s="21"/>
      <c r="D28" s="21"/>
      <c r="E28" s="22"/>
      <c r="F28" s="23"/>
      <c r="G28" s="19" t="n">
        <f aca="false">IF($E28="",0,MAX(0,ROUNDDOWN((TecilRaporTarihi-$E28)/30,0)))</f>
        <v>0</v>
      </c>
      <c r="H28" s="19" t="n">
        <f aca="false">IF($C28="",0,$C28+$D28)</f>
        <v>0</v>
      </c>
      <c r="I28" s="19" t="n">
        <f aca="false">IF($C28="",0,$C28*$F28)</f>
        <v>0</v>
      </c>
      <c r="J28" s="19" t="str">
        <f aca="false">IF($B28="","",CONCATENATE("Borç: ",$B28," | Toplam: ",TEXT($H28,"#,##0")))</f>
        <v/>
      </c>
    </row>
    <row r="29" customFormat="false" ht="15" hidden="false" customHeight="false" outlineLevel="0" collapsed="false">
      <c r="A29" s="20"/>
      <c r="B29" s="20"/>
      <c r="C29" s="21"/>
      <c r="D29" s="21"/>
      <c r="E29" s="22"/>
      <c r="F29" s="23"/>
      <c r="G29" s="19" t="n">
        <f aca="false">IF($E29="",0,MAX(0,ROUNDDOWN((TecilRaporTarihi-$E29)/30,0)))</f>
        <v>0</v>
      </c>
      <c r="H29" s="19" t="n">
        <f aca="false">IF($C29="",0,$C29+$D29)</f>
        <v>0</v>
      </c>
      <c r="I29" s="19" t="n">
        <f aca="false">IF($C29="",0,$C29*$F29)</f>
        <v>0</v>
      </c>
      <c r="J29" s="19" t="str">
        <f aca="false">IF($B29="","",CONCATENATE("Borç: ",$B29," | Toplam: ",TEXT($H29,"#,##0")))</f>
        <v/>
      </c>
    </row>
    <row r="30" customFormat="false" ht="15" hidden="false" customHeight="false" outlineLevel="0" collapsed="false">
      <c r="A30" s="20"/>
      <c r="B30" s="20"/>
      <c r="C30" s="21"/>
      <c r="D30" s="21"/>
      <c r="E30" s="22"/>
      <c r="F30" s="23"/>
      <c r="G30" s="19" t="n">
        <f aca="false">IF($E30="",0,MAX(0,ROUNDDOWN((TecilRaporTarihi-$E30)/30,0)))</f>
        <v>0</v>
      </c>
      <c r="H30" s="19" t="n">
        <f aca="false">IF($C30="",0,$C30+$D30)</f>
        <v>0</v>
      </c>
      <c r="I30" s="19" t="n">
        <f aca="false">IF($C30="",0,$C30*$F30)</f>
        <v>0</v>
      </c>
      <c r="J30" s="19" t="str">
        <f aca="false">IF($B30="","",CONCATENATE("Borç: ",$B30," | Toplam: ",TEXT($H30,"#,##0")))</f>
        <v/>
      </c>
    </row>
    <row r="31" customFormat="false" ht="15" hidden="false" customHeight="false" outlineLevel="0" collapsed="false">
      <c r="A31" s="20"/>
      <c r="B31" s="20"/>
      <c r="C31" s="21"/>
      <c r="D31" s="21"/>
      <c r="E31" s="22"/>
      <c r="F31" s="23"/>
      <c r="G31" s="19" t="n">
        <f aca="false">IF($E31="",0,MAX(0,ROUNDDOWN((TecilRaporTarihi-$E31)/30,0)))</f>
        <v>0</v>
      </c>
      <c r="H31" s="19" t="n">
        <f aca="false">IF($C31="",0,$C31+$D31)</f>
        <v>0</v>
      </c>
      <c r="I31" s="19" t="n">
        <f aca="false">IF($C31="",0,$C31*$F31)</f>
        <v>0</v>
      </c>
      <c r="J31" s="19" t="str">
        <f aca="false">IF($B31="","",CONCATENATE("Borç: ",$B31," | Toplam: ",TEXT($H31,"#,##0")))</f>
        <v/>
      </c>
    </row>
    <row r="32" customFormat="false" ht="15" hidden="false" customHeight="false" outlineLevel="0" collapsed="false">
      <c r="A32" s="20"/>
      <c r="B32" s="20"/>
      <c r="C32" s="21"/>
      <c r="D32" s="21"/>
      <c r="E32" s="22"/>
      <c r="F32" s="23"/>
      <c r="G32" s="19" t="n">
        <f aca="false">IF($E32="",0,MAX(0,ROUNDDOWN((TecilRaporTarihi-$E32)/30,0)))</f>
        <v>0</v>
      </c>
      <c r="H32" s="19" t="n">
        <f aca="false">IF($C32="",0,$C32+$D32)</f>
        <v>0</v>
      </c>
      <c r="I32" s="19" t="n">
        <f aca="false">IF($C32="",0,$C32*$F32)</f>
        <v>0</v>
      </c>
      <c r="J32" s="19" t="str">
        <f aca="false">IF($B32="","",CONCATENATE("Borç: ",$B32," | Toplam: ",TEXT($H32,"#,##0")))</f>
        <v/>
      </c>
    </row>
    <row r="33" customFormat="false" ht="15" hidden="false" customHeight="false" outlineLevel="0" collapsed="false">
      <c r="A33" s="20"/>
      <c r="B33" s="20"/>
      <c r="C33" s="21"/>
      <c r="D33" s="21"/>
      <c r="E33" s="22"/>
      <c r="F33" s="23"/>
      <c r="G33" s="19" t="n">
        <f aca="false">IF($E33="",0,MAX(0,ROUNDDOWN((TecilRaporTarihi-$E33)/30,0)))</f>
        <v>0</v>
      </c>
      <c r="H33" s="19" t="n">
        <f aca="false">IF($C33="",0,$C33+$D33)</f>
        <v>0</v>
      </c>
      <c r="I33" s="19" t="n">
        <f aca="false">IF($C33="",0,$C33*$F33)</f>
        <v>0</v>
      </c>
      <c r="J33" s="19" t="str">
        <f aca="false">IF($B33="","",CONCATENATE("Borç: ",$B33," | Toplam: ",TEXT($H33,"#,##0")))</f>
        <v/>
      </c>
    </row>
    <row r="34" customFormat="false" ht="15" hidden="false" customHeight="false" outlineLevel="0" collapsed="false">
      <c r="A34" s="20"/>
      <c r="B34" s="20"/>
      <c r="C34" s="21"/>
      <c r="D34" s="21"/>
      <c r="E34" s="22"/>
      <c r="F34" s="23"/>
      <c r="G34" s="19" t="n">
        <f aca="false">IF($E34="",0,MAX(0,ROUNDDOWN((TecilRaporTarihi-$E34)/30,0)))</f>
        <v>0</v>
      </c>
      <c r="H34" s="19" t="n">
        <f aca="false">IF($C34="",0,$C34+$D34)</f>
        <v>0</v>
      </c>
      <c r="I34" s="19" t="n">
        <f aca="false">IF($C34="",0,$C34*$F34)</f>
        <v>0</v>
      </c>
      <c r="J34" s="19" t="str">
        <f aca="false">IF($B34="","",CONCATENATE("Borç: ",$B34," | Toplam: ",TEXT($H34,"#,##0")))</f>
        <v/>
      </c>
    </row>
    <row r="35" customFormat="false" ht="15" hidden="false" customHeight="false" outlineLevel="0" collapsed="false">
      <c r="A35" s="20"/>
      <c r="B35" s="20"/>
      <c r="C35" s="21"/>
      <c r="D35" s="21"/>
      <c r="E35" s="22"/>
      <c r="F35" s="23"/>
      <c r="G35" s="19" t="n">
        <f aca="false">IF($E35="",0,MAX(0,ROUNDDOWN((TecilRaporTarihi-$E35)/30,0)))</f>
        <v>0</v>
      </c>
      <c r="H35" s="19" t="n">
        <f aca="false">IF($C35="",0,$C35+$D35)</f>
        <v>0</v>
      </c>
      <c r="I35" s="19" t="n">
        <f aca="false">IF($C35="",0,$C35*$F35)</f>
        <v>0</v>
      </c>
      <c r="J35" s="19" t="str">
        <f aca="false">IF($B35="","",CONCATENATE("Borç: ",$B35," | Toplam: ",TEXT($H35,"#,##0")))</f>
        <v/>
      </c>
    </row>
    <row r="36" customFormat="false" ht="15" hidden="false" customHeight="false" outlineLevel="0" collapsed="false">
      <c r="A36" s="20"/>
      <c r="B36" s="20"/>
      <c r="C36" s="21"/>
      <c r="D36" s="21"/>
      <c r="E36" s="22"/>
      <c r="F36" s="23"/>
      <c r="G36" s="19" t="n">
        <f aca="false">IF($E36="",0,MAX(0,ROUNDDOWN((TecilRaporTarihi-$E36)/30,0)))</f>
        <v>0</v>
      </c>
      <c r="H36" s="19" t="n">
        <f aca="false">IF($C36="",0,$C36+$D36)</f>
        <v>0</v>
      </c>
      <c r="I36" s="19" t="n">
        <f aca="false">IF($C36="",0,$C36*$F36)</f>
        <v>0</v>
      </c>
      <c r="J36" s="19" t="str">
        <f aca="false">IF($B36="","",CONCATENATE("Borç: ",$B36," | Toplam: ",TEXT($H36,"#,##0")))</f>
        <v/>
      </c>
    </row>
    <row r="37" customFormat="false" ht="15" hidden="false" customHeight="false" outlineLevel="0" collapsed="false">
      <c r="A37" s="20"/>
      <c r="B37" s="20"/>
      <c r="C37" s="21"/>
      <c r="D37" s="21"/>
      <c r="E37" s="22"/>
      <c r="F37" s="23"/>
      <c r="G37" s="19" t="n">
        <f aca="false">IF($E37="",0,MAX(0,ROUNDDOWN((TecilRaporTarihi-$E37)/30,0)))</f>
        <v>0</v>
      </c>
      <c r="H37" s="19" t="n">
        <f aca="false">IF($C37="",0,$C37+$D37)</f>
        <v>0</v>
      </c>
      <c r="I37" s="19" t="n">
        <f aca="false">IF($C37="",0,$C37*$F37)</f>
        <v>0</v>
      </c>
      <c r="J37" s="19" t="str">
        <f aca="false">IF($B37="","",CONCATENATE("Borç: ",$B37," | Toplam: ",TEXT($H37,"#,##0")))</f>
        <v/>
      </c>
    </row>
    <row r="38" customFormat="false" ht="15" hidden="false" customHeight="false" outlineLevel="0" collapsed="false">
      <c r="A38" s="20"/>
      <c r="B38" s="20"/>
      <c r="C38" s="21"/>
      <c r="D38" s="21"/>
      <c r="E38" s="22"/>
      <c r="F38" s="23"/>
      <c r="G38" s="19" t="n">
        <f aca="false">IF($E38="",0,MAX(0,ROUNDDOWN((TecilRaporTarihi-$E38)/30,0)))</f>
        <v>0</v>
      </c>
      <c r="H38" s="19" t="n">
        <f aca="false">IF($C38="",0,$C38+$D38)</f>
        <v>0</v>
      </c>
      <c r="I38" s="19" t="n">
        <f aca="false">IF($C38="",0,$C38*$F38)</f>
        <v>0</v>
      </c>
      <c r="J38" s="19" t="str">
        <f aca="false">IF($B38="","",CONCATENATE("Borç: ",$B38," | Toplam: ",TEXT($H38,"#,##0")))</f>
        <v/>
      </c>
    </row>
    <row r="39" customFormat="false" ht="15" hidden="false" customHeight="false" outlineLevel="0" collapsed="false">
      <c r="A39" s="20"/>
      <c r="B39" s="20"/>
      <c r="C39" s="21"/>
      <c r="D39" s="21"/>
      <c r="E39" s="22"/>
      <c r="F39" s="23"/>
      <c r="G39" s="19" t="n">
        <f aca="false">IF($E39="",0,MAX(0,ROUNDDOWN((TecilRaporTarihi-$E39)/30,0)))</f>
        <v>0</v>
      </c>
      <c r="H39" s="19" t="n">
        <f aca="false">IF($C39="",0,$C39+$D39)</f>
        <v>0</v>
      </c>
      <c r="I39" s="19" t="n">
        <f aca="false">IF($C39="",0,$C39*$F39)</f>
        <v>0</v>
      </c>
      <c r="J39" s="19" t="str">
        <f aca="false">IF($B39="","",CONCATENATE("Borç: ",$B39," | Toplam: ",TEXT($H39,"#,##0")))</f>
        <v/>
      </c>
    </row>
    <row r="40" customFormat="false" ht="15" hidden="false" customHeight="false" outlineLevel="0" collapsed="false">
      <c r="A40" s="20"/>
      <c r="B40" s="20"/>
      <c r="C40" s="21"/>
      <c r="D40" s="21"/>
      <c r="E40" s="22"/>
      <c r="F40" s="23"/>
      <c r="G40" s="19" t="n">
        <f aca="false">IF($E40="",0,MAX(0,ROUNDDOWN((TecilRaporTarihi-$E40)/30,0)))</f>
        <v>0</v>
      </c>
      <c r="H40" s="19" t="n">
        <f aca="false">IF($C40="",0,$C40+$D40)</f>
        <v>0</v>
      </c>
      <c r="I40" s="19" t="n">
        <f aca="false">IF($C40="",0,$C40*$F40)</f>
        <v>0</v>
      </c>
      <c r="J40" s="19" t="str">
        <f aca="false">IF($B40="","",CONCATENATE("Borç: ",$B40," | Toplam: ",TEXT($H40,"#,##0")))</f>
        <v/>
      </c>
    </row>
    <row r="41" customFormat="false" ht="15" hidden="false" customHeight="false" outlineLevel="0" collapsed="false">
      <c r="A41" s="20"/>
      <c r="B41" s="20"/>
      <c r="C41" s="21"/>
      <c r="D41" s="21"/>
      <c r="E41" s="22"/>
      <c r="F41" s="23"/>
      <c r="G41" s="19" t="n">
        <f aca="false">IF($E41="",0,MAX(0,ROUNDDOWN((TecilRaporTarihi-$E41)/30,0)))</f>
        <v>0</v>
      </c>
      <c r="H41" s="19" t="n">
        <f aca="false">IF($C41="",0,$C41+$D41)</f>
        <v>0</v>
      </c>
      <c r="I41" s="19" t="n">
        <f aca="false">IF($C41="",0,$C41*$F41)</f>
        <v>0</v>
      </c>
      <c r="J41" s="19" t="str">
        <f aca="false">IF($B41="","",CONCATENATE("Borç: ",$B41," | Toplam: ",TEXT($H41,"#,##0")))</f>
        <v/>
      </c>
    </row>
    <row r="42" customFormat="false" ht="15" hidden="false" customHeight="false" outlineLevel="0" collapsed="false">
      <c r="A42" s="20"/>
      <c r="B42" s="20"/>
      <c r="C42" s="21"/>
      <c r="D42" s="21"/>
      <c r="E42" s="22"/>
      <c r="F42" s="23"/>
      <c r="G42" s="19" t="n">
        <f aca="false">IF($E42="",0,MAX(0,ROUNDDOWN((TecilRaporTarihi-$E42)/30,0)))</f>
        <v>0</v>
      </c>
      <c r="H42" s="19" t="n">
        <f aca="false">IF($C42="",0,$C42+$D42)</f>
        <v>0</v>
      </c>
      <c r="I42" s="19" t="n">
        <f aca="false">IF($C42="",0,$C42*$F42)</f>
        <v>0</v>
      </c>
      <c r="J42" s="19" t="str">
        <f aca="false">IF($B42="","",CONCATENATE("Borç: ",$B42," | Toplam: ",TEXT($H42,"#,##0")))</f>
        <v/>
      </c>
    </row>
    <row r="43" customFormat="false" ht="15" hidden="false" customHeight="false" outlineLevel="0" collapsed="false">
      <c r="A43" s="20"/>
      <c r="B43" s="20"/>
      <c r="C43" s="21"/>
      <c r="D43" s="21"/>
      <c r="E43" s="22"/>
      <c r="F43" s="23"/>
      <c r="G43" s="19" t="n">
        <f aca="false">IF($E43="",0,MAX(0,ROUNDDOWN((TecilRaporTarihi-$E43)/30,0)))</f>
        <v>0</v>
      </c>
      <c r="H43" s="19" t="n">
        <f aca="false">IF($C43="",0,$C43+$D43)</f>
        <v>0</v>
      </c>
      <c r="I43" s="19" t="n">
        <f aca="false">IF($C43="",0,$C43*$F43)</f>
        <v>0</v>
      </c>
      <c r="J43" s="19" t="str">
        <f aca="false">IF($B43="","",CONCATENATE("Borç: ",$B43," | Toplam: ",TEXT($H43,"#,##0")))</f>
        <v/>
      </c>
    </row>
    <row r="44" customFormat="false" ht="15" hidden="false" customHeight="false" outlineLevel="0" collapsed="false">
      <c r="A44" s="20"/>
      <c r="B44" s="20"/>
      <c r="C44" s="21"/>
      <c r="D44" s="21"/>
      <c r="E44" s="22"/>
      <c r="F44" s="23"/>
      <c r="G44" s="19" t="n">
        <f aca="false">IF($E44="",0,MAX(0,ROUNDDOWN((TecilRaporTarihi-$E44)/30,0)))</f>
        <v>0</v>
      </c>
      <c r="H44" s="19" t="n">
        <f aca="false">IF($C44="",0,$C44+$D44)</f>
        <v>0</v>
      </c>
      <c r="I44" s="19" t="n">
        <f aca="false">IF($C44="",0,$C44*$F44)</f>
        <v>0</v>
      </c>
      <c r="J44" s="19" t="str">
        <f aca="false">IF($B44="","",CONCATENATE("Borç: ",$B44," | Toplam: ",TEXT($H44,"#,##0")))</f>
        <v/>
      </c>
    </row>
    <row r="45" customFormat="false" ht="15" hidden="false" customHeight="false" outlineLevel="0" collapsed="false">
      <c r="A45" s="20"/>
      <c r="B45" s="20"/>
      <c r="C45" s="21"/>
      <c r="D45" s="21"/>
      <c r="E45" s="22"/>
      <c r="F45" s="23"/>
      <c r="G45" s="19" t="n">
        <f aca="false">IF($E45="",0,MAX(0,ROUNDDOWN((TecilRaporTarihi-$E45)/30,0)))</f>
        <v>0</v>
      </c>
      <c r="H45" s="19" t="n">
        <f aca="false">IF($C45="",0,$C45+$D45)</f>
        <v>0</v>
      </c>
      <c r="I45" s="19" t="n">
        <f aca="false">IF($C45="",0,$C45*$F45)</f>
        <v>0</v>
      </c>
      <c r="J45" s="19" t="str">
        <f aca="false">IF($B45="","",CONCATENATE("Borç: ",$B45," | Toplam: ",TEXT($H45,"#,##0")))</f>
        <v/>
      </c>
    </row>
    <row r="46" customFormat="false" ht="15" hidden="false" customHeight="false" outlineLevel="0" collapsed="false">
      <c r="A46" s="20"/>
      <c r="B46" s="20"/>
      <c r="C46" s="21"/>
      <c r="D46" s="21"/>
      <c r="E46" s="22"/>
      <c r="F46" s="23"/>
      <c r="G46" s="19" t="n">
        <f aca="false">IF($E46="",0,MAX(0,ROUNDDOWN((TecilRaporTarihi-$E46)/30,0)))</f>
        <v>0</v>
      </c>
      <c r="H46" s="19" t="n">
        <f aca="false">IF($C46="",0,$C46+$D46)</f>
        <v>0</v>
      </c>
      <c r="I46" s="19" t="n">
        <f aca="false">IF($C46="",0,$C46*$F46)</f>
        <v>0</v>
      </c>
      <c r="J46" s="19" t="str">
        <f aca="false">IF($B46="","",CONCATENATE("Borç: ",$B46," | Toplam: ",TEXT($H46,"#,##0")))</f>
        <v/>
      </c>
    </row>
    <row r="47" customFormat="false" ht="15" hidden="false" customHeight="false" outlineLevel="0" collapsed="false">
      <c r="A47" s="20"/>
      <c r="B47" s="20"/>
      <c r="C47" s="21"/>
      <c r="D47" s="21"/>
      <c r="E47" s="22"/>
      <c r="F47" s="23"/>
      <c r="G47" s="19" t="n">
        <f aca="false">IF($E47="",0,MAX(0,ROUNDDOWN((TecilRaporTarihi-$E47)/30,0)))</f>
        <v>0</v>
      </c>
      <c r="H47" s="19" t="n">
        <f aca="false">IF($C47="",0,$C47+$D47)</f>
        <v>0</v>
      </c>
      <c r="I47" s="19" t="n">
        <f aca="false">IF($C47="",0,$C47*$F47)</f>
        <v>0</v>
      </c>
      <c r="J47" s="19" t="str">
        <f aca="false">IF($B47="","",CONCATENATE("Borç: ",$B47," | Toplam: ",TEXT($H47,"#,##0")))</f>
        <v/>
      </c>
    </row>
    <row r="48" customFormat="false" ht="15" hidden="false" customHeight="false" outlineLevel="0" collapsed="false">
      <c r="A48" s="20"/>
      <c r="B48" s="20"/>
      <c r="C48" s="21"/>
      <c r="D48" s="21"/>
      <c r="E48" s="22"/>
      <c r="F48" s="23"/>
      <c r="G48" s="19" t="n">
        <f aca="false">IF($E48="",0,MAX(0,ROUNDDOWN((TecilRaporTarihi-$E48)/30,0)))</f>
        <v>0</v>
      </c>
      <c r="H48" s="19" t="n">
        <f aca="false">IF($C48="",0,$C48+$D48)</f>
        <v>0</v>
      </c>
      <c r="I48" s="19" t="n">
        <f aca="false">IF($C48="",0,$C48*$F48)</f>
        <v>0</v>
      </c>
      <c r="J48" s="19" t="str">
        <f aca="false">IF($B48="","",CONCATENATE("Borç: ",$B48," | Toplam: ",TEXT($H48,"#,##0")))</f>
        <v/>
      </c>
    </row>
    <row r="49" customFormat="false" ht="15" hidden="false" customHeight="false" outlineLevel="0" collapsed="false">
      <c r="A49" s="20"/>
      <c r="B49" s="20"/>
      <c r="C49" s="21"/>
      <c r="D49" s="21"/>
      <c r="E49" s="22"/>
      <c r="F49" s="23"/>
      <c r="G49" s="19" t="n">
        <f aca="false">IF($E49="",0,MAX(0,ROUNDDOWN((TecilRaporTarihi-$E49)/30,0)))</f>
        <v>0</v>
      </c>
      <c r="H49" s="19" t="n">
        <f aca="false">IF($C49="",0,$C49+$D49)</f>
        <v>0</v>
      </c>
      <c r="I49" s="19" t="n">
        <f aca="false">IF($C49="",0,$C49*$F49)</f>
        <v>0</v>
      </c>
      <c r="J49" s="19" t="str">
        <f aca="false">IF($B49="","",CONCATENATE("Borç: ",$B49," | Toplam: ",TEXT($H49,"#,##0")))</f>
        <v/>
      </c>
    </row>
    <row r="50" customFormat="false" ht="15" hidden="false" customHeight="false" outlineLevel="0" collapsed="false">
      <c r="A50" s="20"/>
      <c r="B50" s="20"/>
      <c r="C50" s="21"/>
      <c r="D50" s="21"/>
      <c r="E50" s="22"/>
      <c r="F50" s="23"/>
      <c r="G50" s="19" t="n">
        <f aca="false">IF($E50="",0,MAX(0,ROUNDDOWN((TecilRaporTarihi-$E50)/30,0)))</f>
        <v>0</v>
      </c>
      <c r="H50" s="19" t="n">
        <f aca="false">IF($C50="",0,$C50+$D50)</f>
        <v>0</v>
      </c>
      <c r="I50" s="19" t="n">
        <f aca="false">IF($C50="",0,$C50*$F50)</f>
        <v>0</v>
      </c>
      <c r="J50" s="19" t="str">
        <f aca="false">IF($B50="","",CONCATENATE("Borç: ",$B50," | Toplam: ",TEXT($H50,"#,##0")))</f>
        <v/>
      </c>
    </row>
    <row r="51" customFormat="false" ht="15" hidden="false" customHeight="false" outlineLevel="0" collapsed="false">
      <c r="A51" s="20"/>
      <c r="B51" s="20"/>
      <c r="C51" s="21"/>
      <c r="D51" s="21"/>
      <c r="E51" s="22"/>
      <c r="F51" s="23"/>
      <c r="G51" s="19" t="n">
        <f aca="false">IF($E51="",0,MAX(0,ROUNDDOWN((TecilRaporTarihi-$E51)/30,0)))</f>
        <v>0</v>
      </c>
      <c r="H51" s="19" t="n">
        <f aca="false">IF($C51="",0,$C51+$D51)</f>
        <v>0</v>
      </c>
      <c r="I51" s="19" t="n">
        <f aca="false">IF($C51="",0,$C51*$F51)</f>
        <v>0</v>
      </c>
      <c r="J51" s="19" t="str">
        <f aca="false">IF($B51="","",CONCATENATE("Borç: ",$B51," | Toplam: ",TEXT($H51,"#,##0")))</f>
        <v/>
      </c>
    </row>
    <row r="52" customFormat="false" ht="15" hidden="false" customHeight="false" outlineLevel="0" collapsed="false">
      <c r="A52" s="20"/>
      <c r="B52" s="20"/>
      <c r="C52" s="21"/>
      <c r="D52" s="21"/>
      <c r="E52" s="22"/>
      <c r="F52" s="23"/>
      <c r="G52" s="19" t="n">
        <f aca="false">IF($E52="",0,MAX(0,ROUNDDOWN((TecilRaporTarihi-$E52)/30,0)))</f>
        <v>0</v>
      </c>
      <c r="H52" s="19" t="n">
        <f aca="false">IF($C52="",0,$C52+$D52)</f>
        <v>0</v>
      </c>
      <c r="I52" s="19" t="n">
        <f aca="false">IF($C52="",0,$C52*$F52)</f>
        <v>0</v>
      </c>
      <c r="J52" s="19" t="str">
        <f aca="false">IF($B52="","",CONCATENATE("Borç: ",$B52," | Toplam: ",TEXT($H52,"#,##0")))</f>
        <v/>
      </c>
    </row>
    <row r="53" customFormat="false" ht="15" hidden="false" customHeight="false" outlineLevel="0" collapsed="false">
      <c r="A53" s="20"/>
      <c r="B53" s="20"/>
      <c r="C53" s="21"/>
      <c r="D53" s="21"/>
      <c r="E53" s="22"/>
      <c r="F53" s="23"/>
      <c r="G53" s="19" t="n">
        <f aca="false">IF($E53="",0,MAX(0,ROUNDDOWN((TecilRaporTarihi-$E53)/30,0)))</f>
        <v>0</v>
      </c>
      <c r="H53" s="19" t="n">
        <f aca="false">IF($C53="",0,$C53+$D53)</f>
        <v>0</v>
      </c>
      <c r="I53" s="19" t="n">
        <f aca="false">IF($C53="",0,$C53*$F53)</f>
        <v>0</v>
      </c>
      <c r="J53" s="19" t="str">
        <f aca="false">IF($B53="","",CONCATENATE("Borç: ",$B53," | Toplam: ",TEXT($H53,"#,##0")))</f>
        <v/>
      </c>
    </row>
    <row r="54" customFormat="false" ht="15" hidden="false" customHeight="false" outlineLevel="0" collapsed="false">
      <c r="A54" s="20"/>
      <c r="B54" s="20"/>
      <c r="C54" s="21"/>
      <c r="D54" s="21"/>
      <c r="E54" s="22"/>
      <c r="F54" s="23"/>
      <c r="G54" s="19" t="n">
        <f aca="false">IF($E54="",0,MAX(0,ROUNDDOWN((TecilRaporTarihi-$E54)/30,0)))</f>
        <v>0</v>
      </c>
      <c r="H54" s="19" t="n">
        <f aca="false">IF($C54="",0,$C54+$D54)</f>
        <v>0</v>
      </c>
      <c r="I54" s="19" t="n">
        <f aca="false">IF($C54="",0,$C54*$F54)</f>
        <v>0</v>
      </c>
      <c r="J54" s="19" t="str">
        <f aca="false">IF($B54="","",CONCATENATE("Borç: ",$B54," | Toplam: ",TEXT($H54,"#,##0")))</f>
        <v/>
      </c>
    </row>
    <row r="55" customFormat="false" ht="15" hidden="false" customHeight="false" outlineLevel="0" collapsed="false">
      <c r="A55" s="20"/>
      <c r="B55" s="20"/>
      <c r="C55" s="21"/>
      <c r="D55" s="21"/>
      <c r="E55" s="22"/>
      <c r="F55" s="23"/>
      <c r="G55" s="19" t="n">
        <f aca="false">IF($E55="",0,MAX(0,ROUNDDOWN((TecilRaporTarihi-$E55)/30,0)))</f>
        <v>0</v>
      </c>
      <c r="H55" s="19" t="n">
        <f aca="false">IF($C55="",0,$C55+$D55)</f>
        <v>0</v>
      </c>
      <c r="I55" s="19" t="n">
        <f aca="false">IF($C55="",0,$C55*$F55)</f>
        <v>0</v>
      </c>
      <c r="J55" s="19" t="str">
        <f aca="false">IF($B55="","",CONCATENATE("Borç: ",$B55," | Toplam: ",TEXT($H55,"#,##0")))</f>
        <v/>
      </c>
    </row>
    <row r="56" customFormat="false" ht="15" hidden="false" customHeight="false" outlineLevel="0" collapsed="false">
      <c r="A56" s="20"/>
      <c r="B56" s="20"/>
      <c r="C56" s="21"/>
      <c r="D56" s="21"/>
      <c r="E56" s="22"/>
      <c r="F56" s="23"/>
      <c r="G56" s="19" t="n">
        <f aca="false">IF($E56="",0,MAX(0,ROUNDDOWN((TecilRaporTarihi-$E56)/30,0)))</f>
        <v>0</v>
      </c>
      <c r="H56" s="19" t="n">
        <f aca="false">IF($C56="",0,$C56+$D56)</f>
        <v>0</v>
      </c>
      <c r="I56" s="19" t="n">
        <f aca="false">IF($C56="",0,$C56*$F56)</f>
        <v>0</v>
      </c>
      <c r="J56" s="19" t="str">
        <f aca="false">IF($B56="","",CONCATENATE("Borç: ",$B56," | Toplam: ",TEXT($H56,"#,##0")))</f>
        <v/>
      </c>
    </row>
    <row r="57" customFormat="false" ht="15" hidden="false" customHeight="false" outlineLevel="0" collapsed="false">
      <c r="A57" s="20"/>
      <c r="B57" s="20"/>
      <c r="C57" s="21"/>
      <c r="D57" s="21"/>
      <c r="E57" s="22"/>
      <c r="F57" s="23"/>
      <c r="G57" s="19" t="n">
        <f aca="false">IF($E57="",0,MAX(0,ROUNDDOWN((TecilRaporTarihi-$E57)/30,0)))</f>
        <v>0</v>
      </c>
      <c r="H57" s="19" t="n">
        <f aca="false">IF($C57="",0,$C57+$D57)</f>
        <v>0</v>
      </c>
      <c r="I57" s="19" t="n">
        <f aca="false">IF($C57="",0,$C57*$F57)</f>
        <v>0</v>
      </c>
      <c r="J57" s="19" t="str">
        <f aca="false">IF($B57="","",CONCATENATE("Borç: ",$B57," | Toplam: ",TEXT($H57,"#,##0")))</f>
        <v/>
      </c>
    </row>
    <row r="58" customFormat="false" ht="15" hidden="false" customHeight="false" outlineLevel="0" collapsed="false">
      <c r="A58" s="20"/>
      <c r="B58" s="20"/>
      <c r="C58" s="21"/>
      <c r="D58" s="21"/>
      <c r="E58" s="22"/>
      <c r="F58" s="23"/>
      <c r="G58" s="19" t="n">
        <f aca="false">IF($E58="",0,MAX(0,ROUNDDOWN((TecilRaporTarihi-$E58)/30,0)))</f>
        <v>0</v>
      </c>
      <c r="H58" s="19" t="n">
        <f aca="false">IF($C58="",0,$C58+$D58)</f>
        <v>0</v>
      </c>
      <c r="I58" s="19" t="n">
        <f aca="false">IF($C58="",0,$C58*$F58)</f>
        <v>0</v>
      </c>
      <c r="J58" s="19" t="str">
        <f aca="false">IF($B58="","",CONCATENATE("Borç: ",$B58," | Toplam: ",TEXT($H58,"#,##0")))</f>
        <v/>
      </c>
    </row>
    <row r="59" customFormat="false" ht="15" hidden="false" customHeight="false" outlineLevel="0" collapsed="false">
      <c r="A59" s="20"/>
      <c r="B59" s="20"/>
      <c r="C59" s="21"/>
      <c r="D59" s="21"/>
      <c r="E59" s="22"/>
      <c r="F59" s="23"/>
      <c r="G59" s="19" t="n">
        <f aca="false">IF($E59="",0,MAX(0,ROUNDDOWN((TecilRaporTarihi-$E59)/30,0)))</f>
        <v>0</v>
      </c>
      <c r="H59" s="19" t="n">
        <f aca="false">IF($C59="",0,$C59+$D59)</f>
        <v>0</v>
      </c>
      <c r="I59" s="19" t="n">
        <f aca="false">IF($C59="",0,$C59*$F59)</f>
        <v>0</v>
      </c>
      <c r="J59" s="19" t="str">
        <f aca="false">IF($B59="","",CONCATENATE("Borç: ",$B59," | Toplam: ",TEXT($H59,"#,##0")))</f>
        <v/>
      </c>
    </row>
    <row r="60" customFormat="false" ht="15" hidden="false" customHeight="false" outlineLevel="0" collapsed="false">
      <c r="A60" s="20"/>
      <c r="B60" s="20"/>
      <c r="C60" s="21"/>
      <c r="D60" s="21"/>
      <c r="E60" s="22"/>
      <c r="F60" s="23"/>
      <c r="G60" s="19" t="n">
        <f aca="false">IF($E60="",0,MAX(0,ROUNDDOWN((TecilRaporTarihi-$E60)/30,0)))</f>
        <v>0</v>
      </c>
      <c r="H60" s="19" t="n">
        <f aca="false">IF($C60="",0,$C60+$D60)</f>
        <v>0</v>
      </c>
      <c r="I60" s="19" t="n">
        <f aca="false">IF($C60="",0,$C60*$F60)</f>
        <v>0</v>
      </c>
      <c r="J60" s="19" t="str">
        <f aca="false">IF($B60="","",CONCATENATE("Borç: ",$B60," | Toplam: ",TEXT($H60,"#,##0")))</f>
        <v/>
      </c>
    </row>
    <row r="61" customFormat="false" ht="15" hidden="false" customHeight="false" outlineLevel="0" collapsed="false">
      <c r="A61" s="20"/>
      <c r="B61" s="20"/>
      <c r="C61" s="21"/>
      <c r="D61" s="21"/>
      <c r="E61" s="22"/>
      <c r="F61" s="23"/>
      <c r="G61" s="19" t="n">
        <f aca="false">IF($E61="",0,MAX(0,ROUNDDOWN((TecilRaporTarihi-$E61)/30,0)))</f>
        <v>0</v>
      </c>
      <c r="H61" s="19" t="n">
        <f aca="false">IF($C61="",0,$C61+$D61)</f>
        <v>0</v>
      </c>
      <c r="I61" s="19" t="n">
        <f aca="false">IF($C61="",0,$C61*$F61)</f>
        <v>0</v>
      </c>
      <c r="J61" s="19" t="str">
        <f aca="false">IF($B61="","",CONCATENATE("Borç: ",$B61," | Toplam: ",TEXT($H61,"#,##0")))</f>
        <v/>
      </c>
    </row>
    <row r="62" customFormat="false" ht="15" hidden="false" customHeight="false" outlineLevel="0" collapsed="false">
      <c r="A62" s="20"/>
      <c r="B62" s="20"/>
      <c r="C62" s="21"/>
      <c r="D62" s="21"/>
      <c r="E62" s="22"/>
      <c r="F62" s="23"/>
      <c r="G62" s="19" t="n">
        <f aca="false">IF($E62="",0,MAX(0,ROUNDDOWN((TecilRaporTarihi-$E62)/30,0)))</f>
        <v>0</v>
      </c>
      <c r="H62" s="19" t="n">
        <f aca="false">IF($C62="",0,$C62+$D62)</f>
        <v>0</v>
      </c>
      <c r="I62" s="19" t="n">
        <f aca="false">IF($C62="",0,$C62*$F62)</f>
        <v>0</v>
      </c>
      <c r="J62" s="19" t="str">
        <f aca="false">IF($B62="","",CONCATENATE("Borç: ",$B62," | Toplam: ",TEXT($H62,"#,##0")))</f>
        <v/>
      </c>
    </row>
    <row r="63" customFormat="false" ht="15" hidden="false" customHeight="false" outlineLevel="0" collapsed="false">
      <c r="A63" s="20"/>
      <c r="B63" s="20"/>
      <c r="C63" s="21"/>
      <c r="D63" s="21"/>
      <c r="E63" s="22"/>
      <c r="F63" s="23"/>
      <c r="G63" s="19" t="n">
        <f aca="false">IF($E63="",0,MAX(0,ROUNDDOWN((TecilRaporTarihi-$E63)/30,0)))</f>
        <v>0</v>
      </c>
      <c r="H63" s="19" t="n">
        <f aca="false">IF($C63="",0,$C63+$D63)</f>
        <v>0</v>
      </c>
      <c r="I63" s="19" t="n">
        <f aca="false">IF($C63="",0,$C63*$F63)</f>
        <v>0</v>
      </c>
      <c r="J63" s="19" t="str">
        <f aca="false">IF($B63="","",CONCATENATE("Borç: ",$B63," | Toplam: ",TEXT($H63,"#,##0")))</f>
        <v/>
      </c>
    </row>
    <row r="64" customFormat="false" ht="15" hidden="false" customHeight="false" outlineLevel="0" collapsed="false">
      <c r="A64" s="20"/>
      <c r="B64" s="20"/>
      <c r="C64" s="21"/>
      <c r="D64" s="21"/>
      <c r="E64" s="22"/>
      <c r="F64" s="23"/>
      <c r="G64" s="19" t="n">
        <f aca="false">IF($E64="",0,MAX(0,ROUNDDOWN((TecilRaporTarihi-$E64)/30,0)))</f>
        <v>0</v>
      </c>
      <c r="H64" s="19" t="n">
        <f aca="false">IF($C64="",0,$C64+$D64)</f>
        <v>0</v>
      </c>
      <c r="I64" s="19" t="n">
        <f aca="false">IF($C64="",0,$C64*$F64)</f>
        <v>0</v>
      </c>
      <c r="J64" s="19" t="str">
        <f aca="false">IF($B64="","",CONCATENATE("Borç: ",$B64," | Toplam: ",TEXT($H64,"#,##0")))</f>
        <v/>
      </c>
    </row>
    <row r="65" customFormat="false" ht="15" hidden="false" customHeight="false" outlineLevel="0" collapsed="false">
      <c r="A65" s="20"/>
      <c r="B65" s="20"/>
      <c r="C65" s="21"/>
      <c r="D65" s="21"/>
      <c r="E65" s="22"/>
      <c r="F65" s="23"/>
      <c r="G65" s="19" t="n">
        <f aca="false">IF($E65="",0,MAX(0,ROUNDDOWN((TecilRaporTarihi-$E65)/30,0)))</f>
        <v>0</v>
      </c>
      <c r="H65" s="19" t="n">
        <f aca="false">IF($C65="",0,$C65+$D65)</f>
        <v>0</v>
      </c>
      <c r="I65" s="19" t="n">
        <f aca="false">IF($C65="",0,$C65*$F65)</f>
        <v>0</v>
      </c>
      <c r="J65" s="19" t="str">
        <f aca="false">IF($B65="","",CONCATENATE("Borç: ",$B65," | Toplam: ",TEXT($H65,"#,##0")))</f>
        <v/>
      </c>
    </row>
    <row r="66" customFormat="false" ht="15" hidden="false" customHeight="false" outlineLevel="0" collapsed="false">
      <c r="A66" s="20"/>
      <c r="B66" s="20"/>
      <c r="C66" s="21"/>
      <c r="D66" s="21"/>
      <c r="E66" s="22"/>
      <c r="F66" s="23"/>
      <c r="G66" s="19" t="n">
        <f aca="false">IF($E66="",0,MAX(0,ROUNDDOWN((TecilRaporTarihi-$E66)/30,0)))</f>
        <v>0</v>
      </c>
      <c r="H66" s="19" t="n">
        <f aca="false">IF($C66="",0,$C66+$D66)</f>
        <v>0</v>
      </c>
      <c r="I66" s="19" t="n">
        <f aca="false">IF($C66="",0,$C66*$F66)</f>
        <v>0</v>
      </c>
      <c r="J66" s="19" t="str">
        <f aca="false">IF($B66="","",CONCATENATE("Borç: ",$B66," | Toplam: ",TEXT($H66,"#,##0")))</f>
        <v/>
      </c>
    </row>
    <row r="67" customFormat="false" ht="15" hidden="false" customHeight="false" outlineLevel="0" collapsed="false">
      <c r="A67" s="20"/>
      <c r="B67" s="20"/>
      <c r="C67" s="21"/>
      <c r="D67" s="21"/>
      <c r="E67" s="22"/>
      <c r="F67" s="23"/>
      <c r="G67" s="19" t="n">
        <f aca="false">IF($E67="",0,MAX(0,ROUNDDOWN((TecilRaporTarihi-$E67)/30,0)))</f>
        <v>0</v>
      </c>
      <c r="H67" s="19" t="n">
        <f aca="false">IF($C67="",0,$C67+$D67)</f>
        <v>0</v>
      </c>
      <c r="I67" s="19" t="n">
        <f aca="false">IF($C67="",0,$C67*$F67)</f>
        <v>0</v>
      </c>
      <c r="J67" s="19" t="str">
        <f aca="false">IF($B67="","",CONCATENATE("Borç: ",$B67," | Toplam: ",TEXT($H67,"#,##0")))</f>
        <v/>
      </c>
    </row>
    <row r="68" customFormat="false" ht="15" hidden="false" customHeight="false" outlineLevel="0" collapsed="false">
      <c r="A68" s="20"/>
      <c r="B68" s="20"/>
      <c r="C68" s="21"/>
      <c r="D68" s="21"/>
      <c r="E68" s="22"/>
      <c r="F68" s="23"/>
      <c r="G68" s="19" t="n">
        <f aca="false">IF($E68="",0,MAX(0,ROUNDDOWN((TecilRaporTarihi-$E68)/30,0)))</f>
        <v>0</v>
      </c>
      <c r="H68" s="19" t="n">
        <f aca="false">IF($C68="",0,$C68+$D68)</f>
        <v>0</v>
      </c>
      <c r="I68" s="19" t="n">
        <f aca="false">IF($C68="",0,$C68*$F68)</f>
        <v>0</v>
      </c>
      <c r="J68" s="19" t="str">
        <f aca="false">IF($B68="","",CONCATENATE("Borç: ",$B68," | Toplam: ",TEXT($H68,"#,##0")))</f>
        <v/>
      </c>
    </row>
    <row r="69" customFormat="false" ht="15" hidden="false" customHeight="false" outlineLevel="0" collapsed="false">
      <c r="A69" s="20"/>
      <c r="B69" s="20"/>
      <c r="C69" s="21"/>
      <c r="D69" s="21"/>
      <c r="E69" s="22"/>
      <c r="F69" s="23"/>
      <c r="G69" s="19" t="n">
        <f aca="false">IF($E69="",0,MAX(0,ROUNDDOWN((TecilRaporTarihi-$E69)/30,0)))</f>
        <v>0</v>
      </c>
      <c r="H69" s="19" t="n">
        <f aca="false">IF($C69="",0,$C69+$D69)</f>
        <v>0</v>
      </c>
      <c r="I69" s="19" t="n">
        <f aca="false">IF($C69="",0,$C69*$F69)</f>
        <v>0</v>
      </c>
      <c r="J69" s="19" t="str">
        <f aca="false">IF($B69="","",CONCATENATE("Borç: ",$B69," | Toplam: ",TEXT($H69,"#,##0")))</f>
        <v/>
      </c>
    </row>
    <row r="70" customFormat="false" ht="15" hidden="false" customHeight="false" outlineLevel="0" collapsed="false">
      <c r="A70" s="20"/>
      <c r="B70" s="20"/>
      <c r="C70" s="21"/>
      <c r="D70" s="21"/>
      <c r="E70" s="22"/>
      <c r="F70" s="23"/>
      <c r="G70" s="19" t="n">
        <f aca="false">IF($E70="",0,MAX(0,ROUNDDOWN((TecilRaporTarihi-$E70)/30,0)))</f>
        <v>0</v>
      </c>
      <c r="H70" s="19" t="n">
        <f aca="false">IF($C70="",0,$C70+$D70)</f>
        <v>0</v>
      </c>
      <c r="I70" s="19" t="n">
        <f aca="false">IF($C70="",0,$C70*$F70)</f>
        <v>0</v>
      </c>
      <c r="J70" s="19" t="str">
        <f aca="false">IF($B70="","",CONCATENATE("Borç: ",$B70," | Toplam: ",TEXT($H70,"#,##0")))</f>
        <v/>
      </c>
    </row>
    <row r="71" customFormat="false" ht="15" hidden="false" customHeight="false" outlineLevel="0" collapsed="false">
      <c r="A71" s="20"/>
      <c r="B71" s="20"/>
      <c r="C71" s="21"/>
      <c r="D71" s="21"/>
      <c r="E71" s="22"/>
      <c r="F71" s="23"/>
      <c r="G71" s="19" t="n">
        <f aca="false">IF($E71="",0,MAX(0,ROUNDDOWN((TecilRaporTarihi-$E71)/30,0)))</f>
        <v>0</v>
      </c>
      <c r="H71" s="19" t="n">
        <f aca="false">IF($C71="",0,$C71+$D71)</f>
        <v>0</v>
      </c>
      <c r="I71" s="19" t="n">
        <f aca="false">IF($C71="",0,$C71*$F71)</f>
        <v>0</v>
      </c>
      <c r="J71" s="19" t="str">
        <f aca="false">IF($B71="","",CONCATENATE("Borç: ",$B71," | Toplam: ",TEXT($H71,"#,##0")))</f>
        <v/>
      </c>
    </row>
    <row r="72" customFormat="false" ht="15" hidden="false" customHeight="false" outlineLevel="0" collapsed="false">
      <c r="A72" s="20"/>
      <c r="B72" s="20"/>
      <c r="C72" s="21"/>
      <c r="D72" s="21"/>
      <c r="E72" s="22"/>
      <c r="F72" s="23"/>
      <c r="G72" s="19" t="n">
        <f aca="false">IF($E72="",0,MAX(0,ROUNDDOWN((TecilRaporTarihi-$E72)/30,0)))</f>
        <v>0</v>
      </c>
      <c r="H72" s="19" t="n">
        <f aca="false">IF($C72="",0,$C72+$D72)</f>
        <v>0</v>
      </c>
      <c r="I72" s="19" t="n">
        <f aca="false">IF($C72="",0,$C72*$F72)</f>
        <v>0</v>
      </c>
      <c r="J72" s="19" t="str">
        <f aca="false">IF($B72="","",CONCATENATE("Borç: ",$B72," | Toplam: ",TEXT($H72,"#,##0")))</f>
        <v/>
      </c>
    </row>
    <row r="73" customFormat="false" ht="15" hidden="false" customHeight="false" outlineLevel="0" collapsed="false">
      <c r="A73" s="20"/>
      <c r="B73" s="20"/>
      <c r="C73" s="21"/>
      <c r="D73" s="21"/>
      <c r="E73" s="22"/>
      <c r="F73" s="23"/>
      <c r="G73" s="19" t="n">
        <f aca="false">IF($E73="",0,MAX(0,ROUNDDOWN((TecilRaporTarihi-$E73)/30,0)))</f>
        <v>0</v>
      </c>
      <c r="H73" s="19" t="n">
        <f aca="false">IF($C73="",0,$C73+$D73)</f>
        <v>0</v>
      </c>
      <c r="I73" s="19" t="n">
        <f aca="false">IF($C73="",0,$C73*$F73)</f>
        <v>0</v>
      </c>
      <c r="J73" s="19" t="str">
        <f aca="false">IF($B73="","",CONCATENATE("Borç: ",$B73," | Toplam: ",TEXT($H73,"#,##0")))</f>
        <v/>
      </c>
    </row>
    <row r="74" customFormat="false" ht="15" hidden="false" customHeight="false" outlineLevel="0" collapsed="false">
      <c r="A74" s="20"/>
      <c r="B74" s="20"/>
      <c r="C74" s="21"/>
      <c r="D74" s="21"/>
      <c r="E74" s="22"/>
      <c r="F74" s="23"/>
      <c r="G74" s="19" t="n">
        <f aca="false">IF($E74="",0,MAX(0,ROUNDDOWN((TecilRaporTarihi-$E74)/30,0)))</f>
        <v>0</v>
      </c>
      <c r="H74" s="19" t="n">
        <f aca="false">IF($C74="",0,$C74+$D74)</f>
        <v>0</v>
      </c>
      <c r="I74" s="19" t="n">
        <f aca="false">IF($C74="",0,$C74*$F74)</f>
        <v>0</v>
      </c>
      <c r="J74" s="19" t="str">
        <f aca="false">IF($B74="","",CONCATENATE("Borç: ",$B74," | Toplam: ",TEXT($H74,"#,##0")))</f>
        <v/>
      </c>
    </row>
    <row r="75" customFormat="false" ht="15" hidden="false" customHeight="false" outlineLevel="0" collapsed="false">
      <c r="A75" s="20"/>
      <c r="B75" s="20"/>
      <c r="C75" s="21"/>
      <c r="D75" s="21"/>
      <c r="E75" s="22"/>
      <c r="F75" s="23"/>
      <c r="G75" s="19" t="n">
        <f aca="false">IF($E75="",0,MAX(0,ROUNDDOWN((TecilRaporTarihi-$E75)/30,0)))</f>
        <v>0</v>
      </c>
      <c r="H75" s="19" t="n">
        <f aca="false">IF($C75="",0,$C75+$D75)</f>
        <v>0</v>
      </c>
      <c r="I75" s="19" t="n">
        <f aca="false">IF($C75="",0,$C75*$F75)</f>
        <v>0</v>
      </c>
      <c r="J75" s="19" t="str">
        <f aca="false">IF($B75="","",CONCATENATE("Borç: ",$B75," | Toplam: ",TEXT($H75,"#,##0")))</f>
        <v/>
      </c>
    </row>
    <row r="76" customFormat="false" ht="15" hidden="false" customHeight="false" outlineLevel="0" collapsed="false">
      <c r="A76" s="20"/>
      <c r="B76" s="20"/>
      <c r="C76" s="21"/>
      <c r="D76" s="21"/>
      <c r="E76" s="22"/>
      <c r="F76" s="23"/>
      <c r="G76" s="19" t="n">
        <f aca="false">IF($E76="",0,MAX(0,ROUNDDOWN((TecilRaporTarihi-$E76)/30,0)))</f>
        <v>0</v>
      </c>
      <c r="H76" s="19" t="n">
        <f aca="false">IF($C76="",0,$C76+$D76)</f>
        <v>0</v>
      </c>
      <c r="I76" s="19" t="n">
        <f aca="false">IF($C76="",0,$C76*$F76)</f>
        <v>0</v>
      </c>
      <c r="J76" s="19" t="str">
        <f aca="false">IF($B76="","",CONCATENATE("Borç: ",$B76," | Toplam: ",TEXT($H76,"#,##0")))</f>
        <v/>
      </c>
    </row>
    <row r="77" customFormat="false" ht="15" hidden="false" customHeight="false" outlineLevel="0" collapsed="false">
      <c r="A77" s="20"/>
      <c r="B77" s="20"/>
      <c r="C77" s="21"/>
      <c r="D77" s="21"/>
      <c r="E77" s="22"/>
      <c r="F77" s="23"/>
      <c r="G77" s="19" t="n">
        <f aca="false">IF($E77="",0,MAX(0,ROUNDDOWN((TecilRaporTarihi-$E77)/30,0)))</f>
        <v>0</v>
      </c>
      <c r="H77" s="19" t="n">
        <f aca="false">IF($C77="",0,$C77+$D77)</f>
        <v>0</v>
      </c>
      <c r="I77" s="19" t="n">
        <f aca="false">IF($C77="",0,$C77*$F77)</f>
        <v>0</v>
      </c>
      <c r="J77" s="19" t="str">
        <f aca="false">IF($B77="","",CONCATENATE("Borç: ",$B77," | Toplam: ",TEXT($H77,"#,##0")))</f>
        <v/>
      </c>
    </row>
    <row r="78" customFormat="false" ht="15" hidden="false" customHeight="false" outlineLevel="0" collapsed="false">
      <c r="A78" s="20"/>
      <c r="B78" s="20"/>
      <c r="C78" s="21"/>
      <c r="D78" s="21"/>
      <c r="E78" s="22"/>
      <c r="F78" s="23"/>
      <c r="G78" s="19" t="n">
        <f aca="false">IF($E78="",0,MAX(0,ROUNDDOWN((TecilRaporTarihi-$E78)/30,0)))</f>
        <v>0</v>
      </c>
      <c r="H78" s="19" t="n">
        <f aca="false">IF($C78="",0,$C78+$D78)</f>
        <v>0</v>
      </c>
      <c r="I78" s="19" t="n">
        <f aca="false">IF($C78="",0,$C78*$F78)</f>
        <v>0</v>
      </c>
      <c r="J78" s="19" t="str">
        <f aca="false">IF($B78="","",CONCATENATE("Borç: ",$B78," | Toplam: ",TEXT($H78,"#,##0")))</f>
        <v/>
      </c>
    </row>
    <row r="79" customFormat="false" ht="15" hidden="false" customHeight="false" outlineLevel="0" collapsed="false">
      <c r="A79" s="20"/>
      <c r="B79" s="20"/>
      <c r="C79" s="21"/>
      <c r="D79" s="21"/>
      <c r="E79" s="22"/>
      <c r="F79" s="23"/>
      <c r="G79" s="19" t="n">
        <f aca="false">IF($E79="",0,MAX(0,ROUNDDOWN((TecilRaporTarihi-$E79)/30,0)))</f>
        <v>0</v>
      </c>
      <c r="H79" s="19" t="n">
        <f aca="false">IF($C79="",0,$C79+$D79)</f>
        <v>0</v>
      </c>
      <c r="I79" s="19" t="n">
        <f aca="false">IF($C79="",0,$C79*$F79)</f>
        <v>0</v>
      </c>
      <c r="J79" s="19" t="str">
        <f aca="false">IF($B79="","",CONCATENATE("Borç: ",$B79," | Toplam: ",TEXT($H79,"#,##0")))</f>
        <v/>
      </c>
    </row>
    <row r="80" customFormat="false" ht="15" hidden="false" customHeight="false" outlineLevel="0" collapsed="false">
      <c r="A80" s="20"/>
      <c r="B80" s="20"/>
      <c r="C80" s="21"/>
      <c r="D80" s="21"/>
      <c r="E80" s="22"/>
      <c r="F80" s="23"/>
      <c r="G80" s="19" t="n">
        <f aca="false">IF($E80="",0,MAX(0,ROUNDDOWN((TecilRaporTarihi-$E80)/30,0)))</f>
        <v>0</v>
      </c>
      <c r="H80" s="19" t="n">
        <f aca="false">IF($C80="",0,$C80+$D80)</f>
        <v>0</v>
      </c>
      <c r="I80" s="19" t="n">
        <f aca="false">IF($C80="",0,$C80*$F80)</f>
        <v>0</v>
      </c>
      <c r="J80" s="19" t="str">
        <f aca="false">IF($B80="","",CONCATENATE("Borç: ",$B80," | Toplam: ",TEXT($H80,"#,##0")))</f>
        <v/>
      </c>
    </row>
    <row r="81" customFormat="false" ht="15" hidden="false" customHeight="false" outlineLevel="0" collapsed="false">
      <c r="A81" s="20"/>
      <c r="B81" s="20"/>
      <c r="C81" s="21"/>
      <c r="D81" s="21"/>
      <c r="E81" s="22"/>
      <c r="F81" s="23"/>
      <c r="G81" s="19" t="n">
        <f aca="false">IF($E81="",0,MAX(0,ROUNDDOWN((TecilRaporTarihi-$E81)/30,0)))</f>
        <v>0</v>
      </c>
      <c r="H81" s="19" t="n">
        <f aca="false">IF($C81="",0,$C81+$D81)</f>
        <v>0</v>
      </c>
      <c r="I81" s="19" t="n">
        <f aca="false">IF($C81="",0,$C81*$F81)</f>
        <v>0</v>
      </c>
      <c r="J81" s="19" t="str">
        <f aca="false">IF($B81="","",CONCATENATE("Borç: ",$B81," | Toplam: ",TEXT($H81,"#,##0")))</f>
        <v/>
      </c>
    </row>
    <row r="82" customFormat="false" ht="15" hidden="false" customHeight="false" outlineLevel="0" collapsed="false">
      <c r="A82" s="20"/>
      <c r="B82" s="20"/>
      <c r="C82" s="21"/>
      <c r="D82" s="21"/>
      <c r="E82" s="22"/>
      <c r="F82" s="23"/>
      <c r="G82" s="19" t="n">
        <f aca="false">IF($E82="",0,MAX(0,ROUNDDOWN((TecilRaporTarihi-$E82)/30,0)))</f>
        <v>0</v>
      </c>
      <c r="H82" s="19" t="n">
        <f aca="false">IF($C82="",0,$C82+$D82)</f>
        <v>0</v>
      </c>
      <c r="I82" s="19" t="n">
        <f aca="false">IF($C82="",0,$C82*$F82)</f>
        <v>0</v>
      </c>
      <c r="J82" s="19" t="str">
        <f aca="false">IF($B82="","",CONCATENATE("Borç: ",$B82," | Toplam: ",TEXT($H82,"#,##0")))</f>
        <v/>
      </c>
    </row>
    <row r="83" customFormat="false" ht="15" hidden="false" customHeight="false" outlineLevel="0" collapsed="false">
      <c r="A83" s="20"/>
      <c r="B83" s="20"/>
      <c r="C83" s="21"/>
      <c r="D83" s="21"/>
      <c r="E83" s="22"/>
      <c r="F83" s="23"/>
      <c r="G83" s="19" t="n">
        <f aca="false">IF($E83="",0,MAX(0,ROUNDDOWN((TecilRaporTarihi-$E83)/30,0)))</f>
        <v>0</v>
      </c>
      <c r="H83" s="19" t="n">
        <f aca="false">IF($C83="",0,$C83+$D83)</f>
        <v>0</v>
      </c>
      <c r="I83" s="19" t="n">
        <f aca="false">IF($C83="",0,$C83*$F83)</f>
        <v>0</v>
      </c>
      <c r="J83" s="19" t="str">
        <f aca="false">IF($B83="","",CONCATENATE("Borç: ",$B83," | Toplam: ",TEXT($H83,"#,##0")))</f>
        <v/>
      </c>
    </row>
    <row r="84" customFormat="false" ht="15" hidden="false" customHeight="false" outlineLevel="0" collapsed="false">
      <c r="A84" s="20"/>
      <c r="B84" s="20"/>
      <c r="C84" s="21"/>
      <c r="D84" s="21"/>
      <c r="E84" s="22"/>
      <c r="F84" s="23"/>
      <c r="G84" s="19" t="n">
        <f aca="false">IF($E84="",0,MAX(0,ROUNDDOWN((TecilRaporTarihi-$E84)/30,0)))</f>
        <v>0</v>
      </c>
      <c r="H84" s="19" t="n">
        <f aca="false">IF($C84="",0,$C84+$D84)</f>
        <v>0</v>
      </c>
      <c r="I84" s="19" t="n">
        <f aca="false">IF($C84="",0,$C84*$F84)</f>
        <v>0</v>
      </c>
      <c r="J84" s="19" t="str">
        <f aca="false">IF($B84="","",CONCATENATE("Borç: ",$B84," | Toplam: ",TEXT($H84,"#,##0")))</f>
        <v/>
      </c>
    </row>
    <row r="85" customFormat="false" ht="15" hidden="false" customHeight="false" outlineLevel="0" collapsed="false">
      <c r="A85" s="20"/>
      <c r="B85" s="20"/>
      <c r="C85" s="21"/>
      <c r="D85" s="21"/>
      <c r="E85" s="22"/>
      <c r="F85" s="23"/>
      <c r="G85" s="19" t="n">
        <f aca="false">IF($E85="",0,MAX(0,ROUNDDOWN((TecilRaporTarihi-$E85)/30,0)))</f>
        <v>0</v>
      </c>
      <c r="H85" s="19" t="n">
        <f aca="false">IF($C85="",0,$C85+$D85)</f>
        <v>0</v>
      </c>
      <c r="I85" s="19" t="n">
        <f aca="false">IF($C85="",0,$C85*$F85)</f>
        <v>0</v>
      </c>
      <c r="J85" s="19" t="str">
        <f aca="false">IF($B85="","",CONCATENATE("Borç: ",$B85," | Toplam: ",TEXT($H85,"#,##0")))</f>
        <v/>
      </c>
    </row>
    <row r="86" customFormat="false" ht="15" hidden="false" customHeight="false" outlineLevel="0" collapsed="false">
      <c r="A86" s="20"/>
      <c r="B86" s="20"/>
      <c r="C86" s="21"/>
      <c r="D86" s="21"/>
      <c r="E86" s="22"/>
      <c r="F86" s="23"/>
      <c r="G86" s="19" t="n">
        <f aca="false">IF($E86="",0,MAX(0,ROUNDDOWN((TecilRaporTarihi-$E86)/30,0)))</f>
        <v>0</v>
      </c>
      <c r="H86" s="19" t="n">
        <f aca="false">IF($C86="",0,$C86+$D86)</f>
        <v>0</v>
      </c>
      <c r="I86" s="19" t="n">
        <f aca="false">IF($C86="",0,$C86*$F86)</f>
        <v>0</v>
      </c>
      <c r="J86" s="19" t="str">
        <f aca="false">IF($B86="","",CONCATENATE("Borç: ",$B86," | Toplam: ",TEXT($H86,"#,##0")))</f>
        <v/>
      </c>
    </row>
    <row r="87" customFormat="false" ht="15" hidden="false" customHeight="false" outlineLevel="0" collapsed="false">
      <c r="A87" s="20"/>
      <c r="B87" s="20"/>
      <c r="C87" s="21"/>
      <c r="D87" s="21"/>
      <c r="E87" s="22"/>
      <c r="F87" s="23"/>
      <c r="G87" s="19" t="n">
        <f aca="false">IF($E87="",0,MAX(0,ROUNDDOWN((TecilRaporTarihi-$E87)/30,0)))</f>
        <v>0</v>
      </c>
      <c r="H87" s="19" t="n">
        <f aca="false">IF($C87="",0,$C87+$D87)</f>
        <v>0</v>
      </c>
      <c r="I87" s="19" t="n">
        <f aca="false">IF($C87="",0,$C87*$F87)</f>
        <v>0</v>
      </c>
      <c r="J87" s="19" t="str">
        <f aca="false">IF($B87="","",CONCATENATE("Borç: ",$B87," | Toplam: ",TEXT($H87,"#,##0")))</f>
        <v/>
      </c>
    </row>
    <row r="88" customFormat="false" ht="15" hidden="false" customHeight="false" outlineLevel="0" collapsed="false">
      <c r="A88" s="20"/>
      <c r="B88" s="20"/>
      <c r="C88" s="21"/>
      <c r="D88" s="21"/>
      <c r="E88" s="22"/>
      <c r="F88" s="23"/>
      <c r="G88" s="19" t="n">
        <f aca="false">IF($E88="",0,MAX(0,ROUNDDOWN((TecilRaporTarihi-$E88)/30,0)))</f>
        <v>0</v>
      </c>
      <c r="H88" s="19" t="n">
        <f aca="false">IF($C88="",0,$C88+$D88)</f>
        <v>0</v>
      </c>
      <c r="I88" s="19" t="n">
        <f aca="false">IF($C88="",0,$C88*$F88)</f>
        <v>0</v>
      </c>
      <c r="J88" s="19" t="str">
        <f aca="false">IF($B88="","",CONCATENATE("Borç: ",$B88," | Toplam: ",TEXT($H88,"#,##0")))</f>
        <v/>
      </c>
    </row>
    <row r="89" customFormat="false" ht="15" hidden="false" customHeight="false" outlineLevel="0" collapsed="false">
      <c r="A89" s="20"/>
      <c r="B89" s="20"/>
      <c r="C89" s="21"/>
      <c r="D89" s="21"/>
      <c r="E89" s="22"/>
      <c r="F89" s="23"/>
      <c r="G89" s="19" t="n">
        <f aca="false">IF($E89="",0,MAX(0,ROUNDDOWN((TecilRaporTarihi-$E89)/30,0)))</f>
        <v>0</v>
      </c>
      <c r="H89" s="19" t="n">
        <f aca="false">IF($C89="",0,$C89+$D89)</f>
        <v>0</v>
      </c>
      <c r="I89" s="19" t="n">
        <f aca="false">IF($C89="",0,$C89*$F89)</f>
        <v>0</v>
      </c>
      <c r="J89" s="19" t="str">
        <f aca="false">IF($B89="","",CONCATENATE("Borç: ",$B89," | Toplam: ",TEXT($H89,"#,##0")))</f>
        <v/>
      </c>
    </row>
    <row r="90" customFormat="false" ht="15" hidden="false" customHeight="false" outlineLevel="0" collapsed="false">
      <c r="A90" s="20"/>
      <c r="B90" s="20"/>
      <c r="C90" s="21"/>
      <c r="D90" s="21"/>
      <c r="E90" s="22"/>
      <c r="F90" s="23"/>
      <c r="G90" s="19" t="n">
        <f aca="false">IF($E90="",0,MAX(0,ROUNDDOWN((TecilRaporTarihi-$E90)/30,0)))</f>
        <v>0</v>
      </c>
      <c r="H90" s="19" t="n">
        <f aca="false">IF($C90="",0,$C90+$D90)</f>
        <v>0</v>
      </c>
      <c r="I90" s="19" t="n">
        <f aca="false">IF($C90="",0,$C90*$F90)</f>
        <v>0</v>
      </c>
      <c r="J90" s="19" t="str">
        <f aca="false">IF($B90="","",CONCATENATE("Borç: ",$B90," | Toplam: ",TEXT($H90,"#,##0")))</f>
        <v/>
      </c>
    </row>
    <row r="91" customFormat="false" ht="15" hidden="false" customHeight="false" outlineLevel="0" collapsed="false">
      <c r="A91" s="20"/>
      <c r="B91" s="20"/>
      <c r="C91" s="21"/>
      <c r="D91" s="21"/>
      <c r="E91" s="22"/>
      <c r="F91" s="23"/>
      <c r="G91" s="19" t="n">
        <f aca="false">IF($E91="",0,MAX(0,ROUNDDOWN((TecilRaporTarihi-$E91)/30,0)))</f>
        <v>0</v>
      </c>
      <c r="H91" s="19" t="n">
        <f aca="false">IF($C91="",0,$C91+$D91)</f>
        <v>0</v>
      </c>
      <c r="I91" s="19" t="n">
        <f aca="false">IF($C91="",0,$C91*$F91)</f>
        <v>0</v>
      </c>
      <c r="J91" s="19" t="str">
        <f aca="false">IF($B91="","",CONCATENATE("Borç: ",$B91," | Toplam: ",TEXT($H91,"#,##0")))</f>
        <v/>
      </c>
    </row>
    <row r="92" customFormat="false" ht="15" hidden="false" customHeight="false" outlineLevel="0" collapsed="false">
      <c r="A92" s="20"/>
      <c r="B92" s="20"/>
      <c r="C92" s="21"/>
      <c r="D92" s="21"/>
      <c r="E92" s="22"/>
      <c r="F92" s="23"/>
      <c r="G92" s="19" t="n">
        <f aca="false">IF($E92="",0,MAX(0,ROUNDDOWN((TecilRaporTarihi-$E92)/30,0)))</f>
        <v>0</v>
      </c>
      <c r="H92" s="19" t="n">
        <f aca="false">IF($C92="",0,$C92+$D92)</f>
        <v>0</v>
      </c>
      <c r="I92" s="19" t="n">
        <f aca="false">IF($C92="",0,$C92*$F92)</f>
        <v>0</v>
      </c>
      <c r="J92" s="19" t="str">
        <f aca="false">IF($B92="","",CONCATENATE("Borç: ",$B92," | Toplam: ",TEXT($H92,"#,##0")))</f>
        <v/>
      </c>
    </row>
    <row r="93" customFormat="false" ht="15" hidden="false" customHeight="false" outlineLevel="0" collapsed="false">
      <c r="A93" s="20"/>
      <c r="B93" s="20"/>
      <c r="C93" s="21"/>
      <c r="D93" s="21"/>
      <c r="E93" s="22"/>
      <c r="F93" s="23"/>
      <c r="G93" s="19" t="n">
        <f aca="false">IF($E93="",0,MAX(0,ROUNDDOWN((TecilRaporTarihi-$E93)/30,0)))</f>
        <v>0</v>
      </c>
      <c r="H93" s="19" t="n">
        <f aca="false">IF($C93="",0,$C93+$D93)</f>
        <v>0</v>
      </c>
      <c r="I93" s="19" t="n">
        <f aca="false">IF($C93="",0,$C93*$F93)</f>
        <v>0</v>
      </c>
      <c r="J93" s="19" t="str">
        <f aca="false">IF($B93="","",CONCATENATE("Borç: ",$B93," | Toplam: ",TEXT($H93,"#,##0")))</f>
        <v/>
      </c>
    </row>
    <row r="94" customFormat="false" ht="15" hidden="false" customHeight="false" outlineLevel="0" collapsed="false">
      <c r="A94" s="20"/>
      <c r="B94" s="20"/>
      <c r="C94" s="21"/>
      <c r="D94" s="21"/>
      <c r="E94" s="22"/>
      <c r="F94" s="23"/>
      <c r="G94" s="19" t="n">
        <f aca="false">IF($E94="",0,MAX(0,ROUNDDOWN((TecilRaporTarihi-$E94)/30,0)))</f>
        <v>0</v>
      </c>
      <c r="H94" s="19" t="n">
        <f aca="false">IF($C94="",0,$C94+$D94)</f>
        <v>0</v>
      </c>
      <c r="I94" s="19" t="n">
        <f aca="false">IF($C94="",0,$C94*$F94)</f>
        <v>0</v>
      </c>
      <c r="J94" s="19" t="str">
        <f aca="false">IF($B94="","",CONCATENATE("Borç: ",$B94," | Toplam: ",TEXT($H94,"#,##0")))</f>
        <v/>
      </c>
    </row>
    <row r="95" customFormat="false" ht="15" hidden="false" customHeight="false" outlineLevel="0" collapsed="false">
      <c r="A95" s="20"/>
      <c r="B95" s="20"/>
      <c r="C95" s="21"/>
      <c r="D95" s="21"/>
      <c r="E95" s="22"/>
      <c r="F95" s="23"/>
      <c r="G95" s="19" t="n">
        <f aca="false">IF($E95="",0,MAX(0,ROUNDDOWN((TecilRaporTarihi-$E95)/30,0)))</f>
        <v>0</v>
      </c>
      <c r="H95" s="19" t="n">
        <f aca="false">IF($C95="",0,$C95+$D95)</f>
        <v>0</v>
      </c>
      <c r="I95" s="19" t="n">
        <f aca="false">IF($C95="",0,$C95*$F95)</f>
        <v>0</v>
      </c>
      <c r="J95" s="19" t="str">
        <f aca="false">IF($B95="","",CONCATENATE("Borç: ",$B95," | Toplam: ",TEXT($H95,"#,##0")))</f>
        <v/>
      </c>
    </row>
    <row r="96" customFormat="false" ht="15" hidden="false" customHeight="false" outlineLevel="0" collapsed="false">
      <c r="A96" s="20"/>
      <c r="B96" s="20"/>
      <c r="C96" s="21"/>
      <c r="D96" s="21"/>
      <c r="E96" s="22"/>
      <c r="F96" s="23"/>
      <c r="G96" s="19" t="n">
        <f aca="false">IF($E96="",0,MAX(0,ROUNDDOWN((TecilRaporTarihi-$E96)/30,0)))</f>
        <v>0</v>
      </c>
      <c r="H96" s="19" t="n">
        <f aca="false">IF($C96="",0,$C96+$D96)</f>
        <v>0</v>
      </c>
      <c r="I96" s="19" t="n">
        <f aca="false">IF($C96="",0,$C96*$F96)</f>
        <v>0</v>
      </c>
      <c r="J96" s="19" t="str">
        <f aca="false">IF($B96="","",CONCATENATE("Borç: ",$B96," | Toplam: ",TEXT($H96,"#,##0")))</f>
        <v/>
      </c>
    </row>
    <row r="97" customFormat="false" ht="15" hidden="false" customHeight="false" outlineLevel="0" collapsed="false">
      <c r="A97" s="20"/>
      <c r="B97" s="20"/>
      <c r="C97" s="21"/>
      <c r="D97" s="21"/>
      <c r="E97" s="22"/>
      <c r="F97" s="23"/>
      <c r="G97" s="19" t="n">
        <f aca="false">IF($E97="",0,MAX(0,ROUNDDOWN((TecilRaporTarihi-$E97)/30,0)))</f>
        <v>0</v>
      </c>
      <c r="H97" s="19" t="n">
        <f aca="false">IF($C97="",0,$C97+$D97)</f>
        <v>0</v>
      </c>
      <c r="I97" s="19" t="n">
        <f aca="false">IF($C97="",0,$C97*$F97)</f>
        <v>0</v>
      </c>
      <c r="J97" s="19" t="str">
        <f aca="false">IF($B97="","",CONCATENATE("Borç: ",$B97," | Toplam: ",TEXT($H97,"#,##0")))</f>
        <v/>
      </c>
    </row>
    <row r="98" customFormat="false" ht="15" hidden="false" customHeight="false" outlineLevel="0" collapsed="false">
      <c r="A98" s="20"/>
      <c r="B98" s="20"/>
      <c r="C98" s="21"/>
      <c r="D98" s="21"/>
      <c r="E98" s="22"/>
      <c r="F98" s="23"/>
      <c r="G98" s="19" t="n">
        <f aca="false">IF($E98="",0,MAX(0,ROUNDDOWN((TecilRaporTarihi-$E98)/30,0)))</f>
        <v>0</v>
      </c>
      <c r="H98" s="19" t="n">
        <f aca="false">IF($C98="",0,$C98+$D98)</f>
        <v>0</v>
      </c>
      <c r="I98" s="19" t="n">
        <f aca="false">IF($C98="",0,$C98*$F98)</f>
        <v>0</v>
      </c>
      <c r="J98" s="19" t="str">
        <f aca="false">IF($B98="","",CONCATENATE("Borç: ",$B98," | Toplam: ",TEXT($H98,"#,##0")))</f>
        <v/>
      </c>
    </row>
    <row r="99" customFormat="false" ht="15" hidden="false" customHeight="false" outlineLevel="0" collapsed="false">
      <c r="A99" s="20"/>
      <c r="B99" s="20"/>
      <c r="C99" s="21"/>
      <c r="D99" s="21"/>
      <c r="E99" s="22"/>
      <c r="F99" s="23"/>
      <c r="G99" s="19" t="n">
        <f aca="false">IF($E99="",0,MAX(0,ROUNDDOWN((TecilRaporTarihi-$E99)/30,0)))</f>
        <v>0</v>
      </c>
      <c r="H99" s="19" t="n">
        <f aca="false">IF($C99="",0,$C99+$D99)</f>
        <v>0</v>
      </c>
      <c r="I99" s="19" t="n">
        <f aca="false">IF($C99="",0,$C99*$F99)</f>
        <v>0</v>
      </c>
      <c r="J99" s="19" t="str">
        <f aca="false">IF($B99="","",CONCATENATE("Borç: ",$B99," | Toplam: ",TEXT($H99,"#,##0")))</f>
        <v/>
      </c>
    </row>
    <row r="100" customFormat="false" ht="15" hidden="false" customHeight="false" outlineLevel="0" collapsed="false">
      <c r="A100" s="20"/>
      <c r="B100" s="20"/>
      <c r="C100" s="21"/>
      <c r="D100" s="21"/>
      <c r="E100" s="22"/>
      <c r="F100" s="23"/>
      <c r="G100" s="19" t="n">
        <f aca="false">IF($E100="",0,MAX(0,ROUNDDOWN((TecilRaporTarihi-$E100)/30,0)))</f>
        <v>0</v>
      </c>
      <c r="H100" s="19" t="n">
        <f aca="false">IF($C100="",0,$C100+$D100)</f>
        <v>0</v>
      </c>
      <c r="I100" s="19" t="n">
        <f aca="false">IF($C100="",0,$C100*$F100)</f>
        <v>0</v>
      </c>
      <c r="J100" s="19" t="str">
        <f aca="false">IF($B100="","",CONCATENATE("Borç: ",$B100," | Toplam: ",TEXT($H100,"#,##0")))</f>
        <v/>
      </c>
    </row>
    <row r="101" customFormat="false" ht="15" hidden="false" customHeight="false" outlineLevel="0" collapsed="false">
      <c r="A101" s="20"/>
      <c r="B101" s="20"/>
      <c r="C101" s="21"/>
      <c r="D101" s="21"/>
      <c r="E101" s="22"/>
      <c r="F101" s="23"/>
      <c r="G101" s="19" t="n">
        <f aca="false">IF($E101="",0,MAX(0,ROUNDDOWN((TecilRaporTarihi-$E101)/30,0)))</f>
        <v>0</v>
      </c>
      <c r="H101" s="19" t="n">
        <f aca="false">IF($C101="",0,$C101+$D101)</f>
        <v>0</v>
      </c>
      <c r="I101" s="19" t="n">
        <f aca="false">IF($C101="",0,$C101*$F101)</f>
        <v>0</v>
      </c>
      <c r="J101" s="19" t="str">
        <f aca="false">IF($B101="","",CONCATENATE("Borç: ",$B101," | Toplam: ",TEXT($H101,"#,##0")))</f>
        <v/>
      </c>
    </row>
    <row r="102" customFormat="false" ht="15" hidden="false" customHeight="false" outlineLevel="0" collapsed="false">
      <c r="A102" s="20"/>
      <c r="B102" s="20"/>
      <c r="C102" s="21"/>
      <c r="D102" s="21"/>
      <c r="E102" s="22"/>
      <c r="F102" s="23"/>
      <c r="G102" s="19" t="n">
        <f aca="false">IF($E102="",0,MAX(0,ROUNDDOWN((TecilRaporTarihi-$E102)/30,0)))</f>
        <v>0</v>
      </c>
      <c r="H102" s="19" t="n">
        <f aca="false">IF($C102="",0,$C102+$D102)</f>
        <v>0</v>
      </c>
      <c r="I102" s="19" t="n">
        <f aca="false">IF($C102="",0,$C102*$F102)</f>
        <v>0</v>
      </c>
      <c r="J102" s="19" t="str">
        <f aca="false">IF($B102="","",CONCATENATE("Borç: ",$B102," | Toplam: ",TEXT($H102,"#,##0")))</f>
        <v/>
      </c>
    </row>
    <row r="103" customFormat="false" ht="15" hidden="false" customHeight="false" outlineLevel="0" collapsed="false">
      <c r="A103" s="20"/>
      <c r="B103" s="20"/>
      <c r="C103" s="21"/>
      <c r="D103" s="21"/>
      <c r="E103" s="22"/>
      <c r="F103" s="23"/>
      <c r="G103" s="19" t="n">
        <f aca="false">IF($E103="",0,MAX(0,ROUNDDOWN((TecilRaporTarihi-$E103)/30,0)))</f>
        <v>0</v>
      </c>
      <c r="H103" s="19" t="n">
        <f aca="false">IF($C103="",0,$C103+$D103)</f>
        <v>0</v>
      </c>
      <c r="I103" s="19" t="n">
        <f aca="false">IF($C103="",0,$C103*$F103)</f>
        <v>0</v>
      </c>
      <c r="J103" s="19" t="str">
        <f aca="false">IF($B103="","",CONCATENATE("Borç: ",$B103," | Toplam: ",TEXT($H103,"#,##0")))</f>
        <v/>
      </c>
    </row>
    <row r="104" customFormat="false" ht="15" hidden="false" customHeight="false" outlineLevel="0" collapsed="false">
      <c r="A104" s="20"/>
      <c r="B104" s="20"/>
      <c r="C104" s="21"/>
      <c r="D104" s="21"/>
      <c r="E104" s="22"/>
      <c r="F104" s="23"/>
      <c r="G104" s="19" t="n">
        <f aca="false">IF($E104="",0,MAX(0,ROUNDDOWN((TecilRaporTarihi-$E104)/30,0)))</f>
        <v>0</v>
      </c>
      <c r="H104" s="19" t="n">
        <f aca="false">IF($C104="",0,$C104+$D104)</f>
        <v>0</v>
      </c>
      <c r="I104" s="19" t="n">
        <f aca="false">IF($C104="",0,$C104*$F104)</f>
        <v>0</v>
      </c>
      <c r="J104" s="19" t="str">
        <f aca="false">IF($B104="","",CONCATENATE("Borç: ",$B104," | Toplam: ",TEXT($H104,"#,##0")))</f>
        <v/>
      </c>
    </row>
    <row r="105" customFormat="false" ht="15" hidden="false" customHeight="false" outlineLevel="0" collapsed="false">
      <c r="A105" s="20"/>
      <c r="B105" s="20"/>
      <c r="C105" s="21"/>
      <c r="D105" s="21"/>
      <c r="E105" s="22"/>
      <c r="F105" s="23"/>
      <c r="G105" s="19" t="n">
        <f aca="false">IF($E105="",0,MAX(0,ROUNDDOWN((TecilRaporTarihi-$E105)/30,0)))</f>
        <v>0</v>
      </c>
      <c r="H105" s="19" t="n">
        <f aca="false">IF($C105="",0,$C105+$D105)</f>
        <v>0</v>
      </c>
      <c r="I105" s="19" t="n">
        <f aca="false">IF($C105="",0,$C105*$F105)</f>
        <v>0</v>
      </c>
      <c r="J105" s="19" t="str">
        <f aca="false">IF($B105="","",CONCATENATE("Borç: ",$B105," | Toplam: ",TEXT($H105,"#,##0")))</f>
        <v/>
      </c>
    </row>
    <row r="106" customFormat="false" ht="15" hidden="false" customHeight="false" outlineLevel="0" collapsed="false">
      <c r="A106" s="20"/>
      <c r="B106" s="20"/>
      <c r="C106" s="21"/>
      <c r="D106" s="21"/>
      <c r="E106" s="22"/>
      <c r="F106" s="23"/>
      <c r="G106" s="19" t="n">
        <f aca="false">IF($E106="",0,MAX(0,ROUNDDOWN((TecilRaporTarihi-$E106)/30,0)))</f>
        <v>0</v>
      </c>
      <c r="H106" s="19" t="n">
        <f aca="false">IF($C106="",0,$C106+$D106)</f>
        <v>0</v>
      </c>
      <c r="I106" s="19" t="n">
        <f aca="false">IF($C106="",0,$C106*$F106)</f>
        <v>0</v>
      </c>
      <c r="J106" s="19" t="str">
        <f aca="false">IF($B106="","",CONCATENATE("Borç: ",$B106," | Toplam: ",TEXT($H106,"#,##0")))</f>
        <v/>
      </c>
    </row>
    <row r="107" customFormat="false" ht="15" hidden="false" customHeight="false" outlineLevel="0" collapsed="false">
      <c r="A107" s="20"/>
      <c r="B107" s="20"/>
      <c r="C107" s="21"/>
      <c r="D107" s="21"/>
      <c r="E107" s="22"/>
      <c r="F107" s="23"/>
      <c r="G107" s="19" t="n">
        <f aca="false">IF($E107="",0,MAX(0,ROUNDDOWN((TecilRaporTarihi-$E107)/30,0)))</f>
        <v>0</v>
      </c>
      <c r="H107" s="19" t="n">
        <f aca="false">IF($C107="",0,$C107+$D107)</f>
        <v>0</v>
      </c>
      <c r="I107" s="19" t="n">
        <f aca="false">IF($C107="",0,$C107*$F107)</f>
        <v>0</v>
      </c>
      <c r="J107" s="19" t="str">
        <f aca="false">IF($B107="","",CONCATENATE("Borç: ",$B107," | Toplam: ",TEXT($H107,"#,##0")))</f>
        <v/>
      </c>
    </row>
    <row r="108" customFormat="false" ht="15" hidden="false" customHeight="false" outlineLevel="0" collapsed="false">
      <c r="A108" s="20"/>
      <c r="B108" s="20"/>
      <c r="C108" s="21"/>
      <c r="D108" s="21"/>
      <c r="E108" s="22"/>
      <c r="F108" s="23"/>
      <c r="G108" s="19" t="n">
        <f aca="false">IF($E108="",0,MAX(0,ROUNDDOWN((TecilRaporTarihi-$E108)/30,0)))</f>
        <v>0</v>
      </c>
      <c r="H108" s="19" t="n">
        <f aca="false">IF($C108="",0,$C108+$D108)</f>
        <v>0</v>
      </c>
      <c r="I108" s="19" t="n">
        <f aca="false">IF($C108="",0,$C108*$F108)</f>
        <v>0</v>
      </c>
      <c r="J108" s="19" t="str">
        <f aca="false">IF($B108="","",CONCATENATE("Borç: ",$B108," | Toplam: ",TEXT($H108,"#,##0")))</f>
        <v/>
      </c>
    </row>
    <row r="109" customFormat="false" ht="15" hidden="false" customHeight="false" outlineLevel="0" collapsed="false">
      <c r="A109" s="20"/>
      <c r="B109" s="20"/>
      <c r="C109" s="21"/>
      <c r="D109" s="21"/>
      <c r="E109" s="22"/>
      <c r="F109" s="23"/>
      <c r="G109" s="19" t="n">
        <f aca="false">IF($E109="",0,MAX(0,ROUNDDOWN((TecilRaporTarihi-$E109)/30,0)))</f>
        <v>0</v>
      </c>
      <c r="H109" s="19" t="n">
        <f aca="false">IF($C109="",0,$C109+$D109)</f>
        <v>0</v>
      </c>
      <c r="I109" s="19" t="n">
        <f aca="false">IF($C109="",0,$C109*$F109)</f>
        <v>0</v>
      </c>
      <c r="J109" s="19" t="str">
        <f aca="false">IF($B109="","",CONCATENATE("Borç: ",$B109," | Toplam: ",TEXT($H109,"#,##0")))</f>
        <v/>
      </c>
    </row>
    <row r="110" customFormat="false" ht="15" hidden="false" customHeight="false" outlineLevel="0" collapsed="false">
      <c r="A110" s="20"/>
      <c r="B110" s="20"/>
      <c r="C110" s="21"/>
      <c r="D110" s="21"/>
      <c r="E110" s="22"/>
      <c r="F110" s="23"/>
      <c r="G110" s="19" t="n">
        <f aca="false">IF($E110="",0,MAX(0,ROUNDDOWN((TecilRaporTarihi-$E110)/30,0)))</f>
        <v>0</v>
      </c>
      <c r="H110" s="19" t="n">
        <f aca="false">IF($C110="",0,$C110+$D110)</f>
        <v>0</v>
      </c>
      <c r="I110" s="19" t="n">
        <f aca="false">IF($C110="",0,$C110*$F110)</f>
        <v>0</v>
      </c>
      <c r="J110" s="19" t="str">
        <f aca="false">IF($B110="","",CONCATENATE("Borç: ",$B110," | Toplam: ",TEXT($H110,"#,##0")))</f>
        <v/>
      </c>
    </row>
    <row r="111" customFormat="false" ht="15" hidden="false" customHeight="false" outlineLevel="0" collapsed="false">
      <c r="A111" s="20"/>
      <c r="B111" s="20"/>
      <c r="C111" s="21"/>
      <c r="D111" s="21"/>
      <c r="E111" s="22"/>
      <c r="F111" s="23"/>
      <c r="G111" s="19" t="n">
        <f aca="false">IF($E111="",0,MAX(0,ROUNDDOWN((TecilRaporTarihi-$E111)/30,0)))</f>
        <v>0</v>
      </c>
      <c r="H111" s="19" t="n">
        <f aca="false">IF($C111="",0,$C111+$D111)</f>
        <v>0</v>
      </c>
      <c r="I111" s="19" t="n">
        <f aca="false">IF($C111="",0,$C111*$F111)</f>
        <v>0</v>
      </c>
      <c r="J111" s="19" t="str">
        <f aca="false">IF($B111="","",CONCATENATE("Borç: ",$B111," | Toplam: ",TEXT($H111,"#,##0")))</f>
        <v/>
      </c>
    </row>
    <row r="112" customFormat="false" ht="15" hidden="false" customHeight="false" outlineLevel="0" collapsed="false">
      <c r="A112" s="20"/>
      <c r="B112" s="20"/>
      <c r="C112" s="21"/>
      <c r="D112" s="21"/>
      <c r="E112" s="22"/>
      <c r="F112" s="23"/>
      <c r="G112" s="19" t="n">
        <f aca="false">IF($E112="",0,MAX(0,ROUNDDOWN((TecilRaporTarihi-$E112)/30,0)))</f>
        <v>0</v>
      </c>
      <c r="H112" s="19" t="n">
        <f aca="false">IF($C112="",0,$C112+$D112)</f>
        <v>0</v>
      </c>
      <c r="I112" s="19" t="n">
        <f aca="false">IF($C112="",0,$C112*$F112)</f>
        <v>0</v>
      </c>
      <c r="J112" s="19" t="str">
        <f aca="false">IF($B112="","",CONCATENATE("Borç: ",$B112," | Toplam: ",TEXT($H112,"#,##0")))</f>
        <v/>
      </c>
    </row>
    <row r="113" customFormat="false" ht="15" hidden="false" customHeight="false" outlineLevel="0" collapsed="false">
      <c r="A113" s="20"/>
      <c r="B113" s="20"/>
      <c r="C113" s="21"/>
      <c r="D113" s="21"/>
      <c r="E113" s="22"/>
      <c r="F113" s="23"/>
      <c r="G113" s="19" t="n">
        <f aca="false">IF($E113="",0,MAX(0,ROUNDDOWN((TecilRaporTarihi-$E113)/30,0)))</f>
        <v>0</v>
      </c>
      <c r="H113" s="19" t="n">
        <f aca="false">IF($C113="",0,$C113+$D113)</f>
        <v>0</v>
      </c>
      <c r="I113" s="19" t="n">
        <f aca="false">IF($C113="",0,$C113*$F113)</f>
        <v>0</v>
      </c>
      <c r="J113" s="19" t="str">
        <f aca="false">IF($B113="","",CONCATENATE("Borç: ",$B113," | Toplam: ",TEXT($H113,"#,##0")))</f>
        <v/>
      </c>
    </row>
    <row r="114" customFormat="false" ht="15" hidden="false" customHeight="false" outlineLevel="0" collapsed="false">
      <c r="A114" s="20"/>
      <c r="B114" s="20"/>
      <c r="C114" s="21"/>
      <c r="D114" s="21"/>
      <c r="E114" s="22"/>
      <c r="F114" s="23"/>
      <c r="G114" s="19" t="n">
        <f aca="false">IF($E114="",0,MAX(0,ROUNDDOWN((TecilRaporTarihi-$E114)/30,0)))</f>
        <v>0</v>
      </c>
      <c r="H114" s="19" t="n">
        <f aca="false">IF($C114="",0,$C114+$D114)</f>
        <v>0</v>
      </c>
      <c r="I114" s="19" t="n">
        <f aca="false">IF($C114="",0,$C114*$F114)</f>
        <v>0</v>
      </c>
      <c r="J114" s="19" t="str">
        <f aca="false">IF($B114="","",CONCATENATE("Borç: ",$B114," | Toplam: ",TEXT($H114,"#,##0")))</f>
        <v/>
      </c>
    </row>
    <row r="115" customFormat="false" ht="15" hidden="false" customHeight="false" outlineLevel="0" collapsed="false">
      <c r="A115" s="20"/>
      <c r="B115" s="20"/>
      <c r="C115" s="21"/>
      <c r="D115" s="21"/>
      <c r="E115" s="22"/>
      <c r="F115" s="23"/>
      <c r="G115" s="19" t="n">
        <f aca="false">IF($E115="",0,MAX(0,ROUNDDOWN((TecilRaporTarihi-$E115)/30,0)))</f>
        <v>0</v>
      </c>
      <c r="H115" s="19" t="n">
        <f aca="false">IF($C115="",0,$C115+$D115)</f>
        <v>0</v>
      </c>
      <c r="I115" s="19" t="n">
        <f aca="false">IF($C115="",0,$C115*$F115)</f>
        <v>0</v>
      </c>
      <c r="J115" s="19" t="str">
        <f aca="false">IF($B115="","",CONCATENATE("Borç: ",$B115," | Toplam: ",TEXT($H115,"#,##0")))</f>
        <v/>
      </c>
    </row>
    <row r="116" customFormat="false" ht="15" hidden="false" customHeight="false" outlineLevel="0" collapsed="false">
      <c r="A116" s="20"/>
      <c r="B116" s="20"/>
      <c r="C116" s="21"/>
      <c r="D116" s="21"/>
      <c r="E116" s="22"/>
      <c r="F116" s="23"/>
      <c r="G116" s="19" t="n">
        <f aca="false">IF($E116="",0,MAX(0,ROUNDDOWN((TecilRaporTarihi-$E116)/30,0)))</f>
        <v>0</v>
      </c>
      <c r="H116" s="19" t="n">
        <f aca="false">IF($C116="",0,$C116+$D116)</f>
        <v>0</v>
      </c>
      <c r="I116" s="19" t="n">
        <f aca="false">IF($C116="",0,$C116*$F116)</f>
        <v>0</v>
      </c>
      <c r="J116" s="19" t="str">
        <f aca="false">IF($B116="","",CONCATENATE("Borç: ",$B116," | Toplam: ",TEXT($H116,"#,##0")))</f>
        <v/>
      </c>
    </row>
    <row r="117" customFormat="false" ht="15" hidden="false" customHeight="false" outlineLevel="0" collapsed="false">
      <c r="A117" s="20"/>
      <c r="B117" s="20"/>
      <c r="C117" s="21"/>
      <c r="D117" s="21"/>
      <c r="E117" s="22"/>
      <c r="F117" s="23"/>
      <c r="G117" s="19" t="n">
        <f aca="false">IF($E117="",0,MAX(0,ROUNDDOWN((TecilRaporTarihi-$E117)/30,0)))</f>
        <v>0</v>
      </c>
      <c r="H117" s="19" t="n">
        <f aca="false">IF($C117="",0,$C117+$D117)</f>
        <v>0</v>
      </c>
      <c r="I117" s="19" t="n">
        <f aca="false">IF($C117="",0,$C117*$F117)</f>
        <v>0</v>
      </c>
      <c r="J117" s="19" t="str">
        <f aca="false">IF($B117="","",CONCATENATE("Borç: ",$B117," | Toplam: ",TEXT($H117,"#,##0")))</f>
        <v/>
      </c>
    </row>
    <row r="118" customFormat="false" ht="15" hidden="false" customHeight="false" outlineLevel="0" collapsed="false">
      <c r="A118" s="20"/>
      <c r="B118" s="20"/>
      <c r="C118" s="21"/>
      <c r="D118" s="21"/>
      <c r="E118" s="22"/>
      <c r="F118" s="23"/>
      <c r="G118" s="19" t="n">
        <f aca="false">IF($E118="",0,MAX(0,ROUNDDOWN((TecilRaporTarihi-$E118)/30,0)))</f>
        <v>0</v>
      </c>
      <c r="H118" s="19" t="n">
        <f aca="false">IF($C118="",0,$C118+$D118)</f>
        <v>0</v>
      </c>
      <c r="I118" s="19" t="n">
        <f aca="false">IF($C118="",0,$C118*$F118)</f>
        <v>0</v>
      </c>
      <c r="J118" s="19" t="str">
        <f aca="false">IF($B118="","",CONCATENATE("Borç: ",$B118," | Toplam: ",TEXT($H118,"#,##0")))</f>
        <v/>
      </c>
    </row>
    <row r="119" customFormat="false" ht="15" hidden="false" customHeight="false" outlineLevel="0" collapsed="false">
      <c r="A119" s="20"/>
      <c r="B119" s="20"/>
      <c r="C119" s="21"/>
      <c r="D119" s="21"/>
      <c r="E119" s="22"/>
      <c r="F119" s="23"/>
      <c r="G119" s="19" t="n">
        <f aca="false">IF($E119="",0,MAX(0,ROUNDDOWN((TecilRaporTarihi-$E119)/30,0)))</f>
        <v>0</v>
      </c>
      <c r="H119" s="19" t="n">
        <f aca="false">IF($C119="",0,$C119+$D119)</f>
        <v>0</v>
      </c>
      <c r="I119" s="19" t="n">
        <f aca="false">IF($C119="",0,$C119*$F119)</f>
        <v>0</v>
      </c>
      <c r="J119" s="19" t="str">
        <f aca="false">IF($B119="","",CONCATENATE("Borç: ",$B119," | Toplam: ",TEXT($H119,"#,##0")))</f>
        <v/>
      </c>
    </row>
    <row r="120" customFormat="false" ht="15" hidden="false" customHeight="false" outlineLevel="0" collapsed="false">
      <c r="A120" s="20"/>
      <c r="B120" s="20"/>
      <c r="C120" s="21"/>
      <c r="D120" s="21"/>
      <c r="E120" s="22"/>
      <c r="F120" s="23"/>
      <c r="G120" s="19" t="n">
        <f aca="false">IF($E120="",0,MAX(0,ROUNDDOWN((TecilRaporTarihi-$E120)/30,0)))</f>
        <v>0</v>
      </c>
      <c r="H120" s="19" t="n">
        <f aca="false">IF($C120="",0,$C120+$D120)</f>
        <v>0</v>
      </c>
      <c r="I120" s="19" t="n">
        <f aca="false">IF($C120="",0,$C120*$F120)</f>
        <v>0</v>
      </c>
      <c r="J120" s="19" t="str">
        <f aca="false">IF($B120="","",CONCATENATE("Borç: ",$B120," | Toplam: ",TEXT($H120,"#,##0")))</f>
        <v/>
      </c>
    </row>
    <row r="121" customFormat="false" ht="15" hidden="false" customHeight="false" outlineLevel="0" collapsed="false">
      <c r="A121" s="20"/>
      <c r="B121" s="20"/>
      <c r="C121" s="21"/>
      <c r="D121" s="21"/>
      <c r="E121" s="22"/>
      <c r="F121" s="23"/>
      <c r="G121" s="19" t="n">
        <f aca="false">IF($E121="",0,MAX(0,ROUNDDOWN((TecilRaporTarihi-$E121)/30,0)))</f>
        <v>0</v>
      </c>
      <c r="H121" s="19" t="n">
        <f aca="false">IF($C121="",0,$C121+$D121)</f>
        <v>0</v>
      </c>
      <c r="I121" s="19" t="n">
        <f aca="false">IF($C121="",0,$C121*$F121)</f>
        <v>0</v>
      </c>
      <c r="J121" s="19" t="str">
        <f aca="false">IF($B121="","",CONCATENATE("Borç: ",$B121," | Toplam: ",TEXT($H121,"#,##0")))</f>
        <v/>
      </c>
    </row>
    <row r="122" customFormat="false" ht="15" hidden="false" customHeight="false" outlineLevel="0" collapsed="false">
      <c r="A122" s="20"/>
      <c r="B122" s="20"/>
      <c r="C122" s="21"/>
      <c r="D122" s="21"/>
      <c r="E122" s="22"/>
      <c r="F122" s="23"/>
      <c r="G122" s="19" t="n">
        <f aca="false">IF($E122="",0,MAX(0,ROUNDDOWN((TecilRaporTarihi-$E122)/30,0)))</f>
        <v>0</v>
      </c>
      <c r="H122" s="19" t="n">
        <f aca="false">IF($C122="",0,$C122+$D122)</f>
        <v>0</v>
      </c>
      <c r="I122" s="19" t="n">
        <f aca="false">IF($C122="",0,$C122*$F122)</f>
        <v>0</v>
      </c>
      <c r="J122" s="19" t="str">
        <f aca="false">IF($B122="","",CONCATENATE("Borç: ",$B122," | Toplam: ",TEXT($H122,"#,##0")))</f>
        <v/>
      </c>
    </row>
    <row r="123" customFormat="false" ht="15" hidden="false" customHeight="false" outlineLevel="0" collapsed="false">
      <c r="A123" s="20"/>
      <c r="B123" s="20"/>
      <c r="C123" s="21"/>
      <c r="D123" s="21"/>
      <c r="E123" s="22"/>
      <c r="F123" s="23"/>
      <c r="G123" s="19" t="n">
        <f aca="false">IF($E123="",0,MAX(0,ROUNDDOWN((TecilRaporTarihi-$E123)/30,0)))</f>
        <v>0</v>
      </c>
      <c r="H123" s="19" t="n">
        <f aca="false">IF($C123="",0,$C123+$D123)</f>
        <v>0</v>
      </c>
      <c r="I123" s="19" t="n">
        <f aca="false">IF($C123="",0,$C123*$F123)</f>
        <v>0</v>
      </c>
      <c r="J123" s="19" t="str">
        <f aca="false">IF($B123="","",CONCATENATE("Borç: ",$B123," | Toplam: ",TEXT($H123,"#,##0")))</f>
        <v/>
      </c>
    </row>
    <row r="124" customFormat="false" ht="15" hidden="false" customHeight="false" outlineLevel="0" collapsed="false">
      <c r="A124" s="20"/>
      <c r="B124" s="20"/>
      <c r="C124" s="21"/>
      <c r="D124" s="21"/>
      <c r="E124" s="22"/>
      <c r="F124" s="23"/>
      <c r="G124" s="19" t="n">
        <f aca="false">IF($E124="",0,MAX(0,ROUNDDOWN((TecilRaporTarihi-$E124)/30,0)))</f>
        <v>0</v>
      </c>
      <c r="H124" s="19" t="n">
        <f aca="false">IF($C124="",0,$C124+$D124)</f>
        <v>0</v>
      </c>
      <c r="I124" s="19" t="n">
        <f aca="false">IF($C124="",0,$C124*$F124)</f>
        <v>0</v>
      </c>
      <c r="J124" s="19" t="str">
        <f aca="false">IF($B124="","",CONCATENATE("Borç: ",$B124," | Toplam: ",TEXT($H124,"#,##0")))</f>
        <v/>
      </c>
    </row>
    <row r="125" customFormat="false" ht="15" hidden="false" customHeight="false" outlineLevel="0" collapsed="false">
      <c r="A125" s="20"/>
      <c r="B125" s="20"/>
      <c r="C125" s="21"/>
      <c r="D125" s="21"/>
      <c r="E125" s="22"/>
      <c r="F125" s="23"/>
      <c r="G125" s="19" t="n">
        <f aca="false">IF($E125="",0,MAX(0,ROUNDDOWN((TecilRaporTarihi-$E125)/30,0)))</f>
        <v>0</v>
      </c>
      <c r="H125" s="19" t="n">
        <f aca="false">IF($C125="",0,$C125+$D125)</f>
        <v>0</v>
      </c>
      <c r="I125" s="19" t="n">
        <f aca="false">IF($C125="",0,$C125*$F125)</f>
        <v>0</v>
      </c>
      <c r="J125" s="19" t="str">
        <f aca="false">IF($B125="","",CONCATENATE("Borç: ",$B125," | Toplam: ",TEXT($H125,"#,##0")))</f>
        <v/>
      </c>
    </row>
    <row r="126" customFormat="false" ht="15" hidden="false" customHeight="false" outlineLevel="0" collapsed="false">
      <c r="A126" s="20"/>
      <c r="B126" s="20"/>
      <c r="C126" s="21"/>
      <c r="D126" s="21"/>
      <c r="E126" s="22"/>
      <c r="F126" s="23"/>
      <c r="G126" s="19" t="n">
        <f aca="false">IF($E126="",0,MAX(0,ROUNDDOWN((TecilRaporTarihi-$E126)/30,0)))</f>
        <v>0</v>
      </c>
      <c r="H126" s="19" t="n">
        <f aca="false">IF($C126="",0,$C126+$D126)</f>
        <v>0</v>
      </c>
      <c r="I126" s="19" t="n">
        <f aca="false">IF($C126="",0,$C126*$F126)</f>
        <v>0</v>
      </c>
      <c r="J126" s="19" t="str">
        <f aca="false">IF($B126="","",CONCATENATE("Borç: ",$B126," | Toplam: ",TEXT($H126,"#,##0")))</f>
        <v/>
      </c>
    </row>
    <row r="127" customFormat="false" ht="15" hidden="false" customHeight="false" outlineLevel="0" collapsed="false">
      <c r="A127" s="20"/>
      <c r="B127" s="20"/>
      <c r="C127" s="21"/>
      <c r="D127" s="21"/>
      <c r="E127" s="22"/>
      <c r="F127" s="23"/>
      <c r="G127" s="19" t="n">
        <f aca="false">IF($E127="",0,MAX(0,ROUNDDOWN((TecilRaporTarihi-$E127)/30,0)))</f>
        <v>0</v>
      </c>
      <c r="H127" s="19" t="n">
        <f aca="false">IF($C127="",0,$C127+$D127)</f>
        <v>0</v>
      </c>
      <c r="I127" s="19" t="n">
        <f aca="false">IF($C127="",0,$C127*$F127)</f>
        <v>0</v>
      </c>
      <c r="J127" s="19" t="str">
        <f aca="false">IF($B127="","",CONCATENATE("Borç: ",$B127," | Toplam: ",TEXT($H127,"#,##0")))</f>
        <v/>
      </c>
    </row>
    <row r="128" customFormat="false" ht="15" hidden="false" customHeight="false" outlineLevel="0" collapsed="false">
      <c r="A128" s="20"/>
      <c r="B128" s="20"/>
      <c r="C128" s="21"/>
      <c r="D128" s="21"/>
      <c r="E128" s="22"/>
      <c r="F128" s="23"/>
      <c r="G128" s="19" t="n">
        <f aca="false">IF($E128="",0,MAX(0,ROUNDDOWN((TecilRaporTarihi-$E128)/30,0)))</f>
        <v>0</v>
      </c>
      <c r="H128" s="19" t="n">
        <f aca="false">IF($C128="",0,$C128+$D128)</f>
        <v>0</v>
      </c>
      <c r="I128" s="19" t="n">
        <f aca="false">IF($C128="",0,$C128*$F128)</f>
        <v>0</v>
      </c>
      <c r="J128" s="19" t="str">
        <f aca="false">IF($B128="","",CONCATENATE("Borç: ",$B128," | Toplam: ",TEXT($H128,"#,##0")))</f>
        <v/>
      </c>
    </row>
    <row r="129" customFormat="false" ht="15" hidden="false" customHeight="false" outlineLevel="0" collapsed="false">
      <c r="A129" s="20"/>
      <c r="B129" s="20"/>
      <c r="C129" s="21"/>
      <c r="D129" s="21"/>
      <c r="E129" s="22"/>
      <c r="F129" s="23"/>
      <c r="G129" s="19" t="n">
        <f aca="false">IF($E129="",0,MAX(0,ROUNDDOWN((TecilRaporTarihi-$E129)/30,0)))</f>
        <v>0</v>
      </c>
      <c r="H129" s="19" t="n">
        <f aca="false">IF($C129="",0,$C129+$D129)</f>
        <v>0</v>
      </c>
      <c r="I129" s="19" t="n">
        <f aca="false">IF($C129="",0,$C129*$F129)</f>
        <v>0</v>
      </c>
      <c r="J129" s="19" t="str">
        <f aca="false">IF($B129="","",CONCATENATE("Borç: ",$B129," | Toplam: ",TEXT($H129,"#,##0")))</f>
        <v/>
      </c>
    </row>
    <row r="130" customFormat="false" ht="15" hidden="false" customHeight="false" outlineLevel="0" collapsed="false">
      <c r="A130" s="20"/>
      <c r="B130" s="20"/>
      <c r="C130" s="21"/>
      <c r="D130" s="21"/>
      <c r="E130" s="22"/>
      <c r="F130" s="23"/>
      <c r="G130" s="19" t="n">
        <f aca="false">IF($E130="",0,MAX(0,ROUNDDOWN((TecilRaporTarihi-$E130)/30,0)))</f>
        <v>0</v>
      </c>
      <c r="H130" s="19" t="n">
        <f aca="false">IF($C130="",0,$C130+$D130)</f>
        <v>0</v>
      </c>
      <c r="I130" s="19" t="n">
        <f aca="false">IF($C130="",0,$C130*$F130)</f>
        <v>0</v>
      </c>
      <c r="J130" s="19" t="str">
        <f aca="false">IF($B130="","",CONCATENATE("Borç: ",$B130," | Toplam: ",TEXT($H130,"#,##0")))</f>
        <v/>
      </c>
    </row>
    <row r="131" customFormat="false" ht="15" hidden="false" customHeight="false" outlineLevel="0" collapsed="false">
      <c r="A131" s="20"/>
      <c r="B131" s="20"/>
      <c r="C131" s="21"/>
      <c r="D131" s="21"/>
      <c r="E131" s="22"/>
      <c r="F131" s="23"/>
      <c r="G131" s="19" t="n">
        <f aca="false">IF($E131="",0,MAX(0,ROUNDDOWN((TecilRaporTarihi-$E131)/30,0)))</f>
        <v>0</v>
      </c>
      <c r="H131" s="19" t="n">
        <f aca="false">IF($C131="",0,$C131+$D131)</f>
        <v>0</v>
      </c>
      <c r="I131" s="19" t="n">
        <f aca="false">IF($C131="",0,$C131*$F131)</f>
        <v>0</v>
      </c>
      <c r="J131" s="19" t="str">
        <f aca="false">IF($B131="","",CONCATENATE("Borç: ",$B131," | Toplam: ",TEXT($H131,"#,##0")))</f>
        <v/>
      </c>
    </row>
    <row r="132" customFormat="false" ht="15" hidden="false" customHeight="false" outlineLevel="0" collapsed="false">
      <c r="A132" s="20"/>
      <c r="B132" s="20"/>
      <c r="C132" s="21"/>
      <c r="D132" s="21"/>
      <c r="E132" s="22"/>
      <c r="F132" s="23"/>
      <c r="G132" s="19" t="n">
        <f aca="false">IF($E132="",0,MAX(0,ROUNDDOWN((TecilRaporTarihi-$E132)/30,0)))</f>
        <v>0</v>
      </c>
      <c r="H132" s="19" t="n">
        <f aca="false">IF($C132="",0,$C132+$D132)</f>
        <v>0</v>
      </c>
      <c r="I132" s="19" t="n">
        <f aca="false">IF($C132="",0,$C132*$F132)</f>
        <v>0</v>
      </c>
      <c r="J132" s="19" t="str">
        <f aca="false">IF($B132="","",CONCATENATE("Borç: ",$B132," | Toplam: ",TEXT($H132,"#,##0")))</f>
        <v/>
      </c>
    </row>
    <row r="133" customFormat="false" ht="15" hidden="false" customHeight="false" outlineLevel="0" collapsed="false">
      <c r="A133" s="20"/>
      <c r="B133" s="20"/>
      <c r="C133" s="21"/>
      <c r="D133" s="21"/>
      <c r="E133" s="22"/>
      <c r="F133" s="23"/>
      <c r="G133" s="19" t="n">
        <f aca="false">IF($E133="",0,MAX(0,ROUNDDOWN((TecilRaporTarihi-$E133)/30,0)))</f>
        <v>0</v>
      </c>
      <c r="H133" s="19" t="n">
        <f aca="false">IF($C133="",0,$C133+$D133)</f>
        <v>0</v>
      </c>
      <c r="I133" s="19" t="n">
        <f aca="false">IF($C133="",0,$C133*$F133)</f>
        <v>0</v>
      </c>
      <c r="J133" s="19" t="str">
        <f aca="false">IF($B133="","",CONCATENATE("Borç: ",$B133," | Toplam: ",TEXT($H133,"#,##0")))</f>
        <v/>
      </c>
    </row>
    <row r="134" customFormat="false" ht="15" hidden="false" customHeight="false" outlineLevel="0" collapsed="false">
      <c r="A134" s="20"/>
      <c r="B134" s="20"/>
      <c r="C134" s="21"/>
      <c r="D134" s="21"/>
      <c r="E134" s="22"/>
      <c r="F134" s="23"/>
      <c r="G134" s="19" t="n">
        <f aca="false">IF($E134="",0,MAX(0,ROUNDDOWN((TecilRaporTarihi-$E134)/30,0)))</f>
        <v>0</v>
      </c>
      <c r="H134" s="19" t="n">
        <f aca="false">IF($C134="",0,$C134+$D134)</f>
        <v>0</v>
      </c>
      <c r="I134" s="19" t="n">
        <f aca="false">IF($C134="",0,$C134*$F134)</f>
        <v>0</v>
      </c>
      <c r="J134" s="19" t="str">
        <f aca="false">IF($B134="","",CONCATENATE("Borç: ",$B134," | Toplam: ",TEXT($H134,"#,##0")))</f>
        <v/>
      </c>
    </row>
    <row r="135" customFormat="false" ht="15" hidden="false" customHeight="false" outlineLevel="0" collapsed="false">
      <c r="A135" s="20"/>
      <c r="B135" s="20"/>
      <c r="C135" s="21"/>
      <c r="D135" s="21"/>
      <c r="E135" s="22"/>
      <c r="F135" s="23"/>
      <c r="G135" s="19" t="n">
        <f aca="false">IF($E135="",0,MAX(0,ROUNDDOWN((TecilRaporTarihi-$E135)/30,0)))</f>
        <v>0</v>
      </c>
      <c r="H135" s="19" t="n">
        <f aca="false">IF($C135="",0,$C135+$D135)</f>
        <v>0</v>
      </c>
      <c r="I135" s="19" t="n">
        <f aca="false">IF($C135="",0,$C135*$F135)</f>
        <v>0</v>
      </c>
      <c r="J135" s="19" t="str">
        <f aca="false">IF($B135="","",CONCATENATE("Borç: ",$B135," | Toplam: ",TEXT($H135,"#,##0")))</f>
        <v/>
      </c>
    </row>
    <row r="136" customFormat="false" ht="15" hidden="false" customHeight="false" outlineLevel="0" collapsed="false">
      <c r="A136" s="20"/>
      <c r="B136" s="20"/>
      <c r="C136" s="21"/>
      <c r="D136" s="21"/>
      <c r="E136" s="22"/>
      <c r="F136" s="23"/>
      <c r="G136" s="19" t="n">
        <f aca="false">IF($E136="",0,MAX(0,ROUNDDOWN((TecilRaporTarihi-$E136)/30,0)))</f>
        <v>0</v>
      </c>
      <c r="H136" s="19" t="n">
        <f aca="false">IF($C136="",0,$C136+$D136)</f>
        <v>0</v>
      </c>
      <c r="I136" s="19" t="n">
        <f aca="false">IF($C136="",0,$C136*$F136)</f>
        <v>0</v>
      </c>
      <c r="J136" s="19" t="str">
        <f aca="false">IF($B136="","",CONCATENATE("Borç: ",$B136," | Toplam: ",TEXT($H136,"#,##0")))</f>
        <v/>
      </c>
    </row>
    <row r="137" customFormat="false" ht="15" hidden="false" customHeight="false" outlineLevel="0" collapsed="false">
      <c r="A137" s="20"/>
      <c r="B137" s="20"/>
      <c r="C137" s="21"/>
      <c r="D137" s="21"/>
      <c r="E137" s="22"/>
      <c r="F137" s="23"/>
      <c r="G137" s="19" t="n">
        <f aca="false">IF($E137="",0,MAX(0,ROUNDDOWN((TecilRaporTarihi-$E137)/30,0)))</f>
        <v>0</v>
      </c>
      <c r="H137" s="19" t="n">
        <f aca="false">IF($C137="",0,$C137+$D137)</f>
        <v>0</v>
      </c>
      <c r="I137" s="19" t="n">
        <f aca="false">IF($C137="",0,$C137*$F137)</f>
        <v>0</v>
      </c>
      <c r="J137" s="19" t="str">
        <f aca="false">IF($B137="","",CONCATENATE("Borç: ",$B137," | Toplam: ",TEXT($H137,"#,##0")))</f>
        <v/>
      </c>
    </row>
    <row r="138" customFormat="false" ht="15" hidden="false" customHeight="false" outlineLevel="0" collapsed="false">
      <c r="A138" s="20"/>
      <c r="B138" s="20"/>
      <c r="C138" s="21"/>
      <c r="D138" s="21"/>
      <c r="E138" s="22"/>
      <c r="F138" s="23"/>
      <c r="G138" s="19" t="n">
        <f aca="false">IF($E138="",0,MAX(0,ROUNDDOWN((TecilRaporTarihi-$E138)/30,0)))</f>
        <v>0</v>
      </c>
      <c r="H138" s="19" t="n">
        <f aca="false">IF($C138="",0,$C138+$D138)</f>
        <v>0</v>
      </c>
      <c r="I138" s="19" t="n">
        <f aca="false">IF($C138="",0,$C138*$F138)</f>
        <v>0</v>
      </c>
      <c r="J138" s="19" t="str">
        <f aca="false">IF($B138="","",CONCATENATE("Borç: ",$B138," | Toplam: ",TEXT($H138,"#,##0")))</f>
        <v/>
      </c>
    </row>
    <row r="139" customFormat="false" ht="15" hidden="false" customHeight="false" outlineLevel="0" collapsed="false">
      <c r="A139" s="20"/>
      <c r="B139" s="20"/>
      <c r="C139" s="21"/>
      <c r="D139" s="21"/>
      <c r="E139" s="22"/>
      <c r="F139" s="23"/>
      <c r="G139" s="19" t="n">
        <f aca="false">IF($E139="",0,MAX(0,ROUNDDOWN((TecilRaporTarihi-$E139)/30,0)))</f>
        <v>0</v>
      </c>
      <c r="H139" s="19" t="n">
        <f aca="false">IF($C139="",0,$C139+$D139)</f>
        <v>0</v>
      </c>
      <c r="I139" s="19" t="n">
        <f aca="false">IF($C139="",0,$C139*$F139)</f>
        <v>0</v>
      </c>
      <c r="J139" s="19" t="str">
        <f aca="false">IF($B139="","",CONCATENATE("Borç: ",$B139," | Toplam: ",TEXT($H139,"#,##0")))</f>
        <v/>
      </c>
    </row>
    <row r="140" customFormat="false" ht="15" hidden="false" customHeight="false" outlineLevel="0" collapsed="false">
      <c r="A140" s="20"/>
      <c r="B140" s="20"/>
      <c r="C140" s="21"/>
      <c r="D140" s="21"/>
      <c r="E140" s="22"/>
      <c r="F140" s="23"/>
      <c r="G140" s="19" t="n">
        <f aca="false">IF($E140="",0,MAX(0,ROUNDDOWN((TecilRaporTarihi-$E140)/30,0)))</f>
        <v>0</v>
      </c>
      <c r="H140" s="19" t="n">
        <f aca="false">IF($C140="",0,$C140+$D140)</f>
        <v>0</v>
      </c>
      <c r="I140" s="19" t="n">
        <f aca="false">IF($C140="",0,$C140*$F140)</f>
        <v>0</v>
      </c>
      <c r="J140" s="19" t="str">
        <f aca="false">IF($B140="","",CONCATENATE("Borç: ",$B140," | Toplam: ",TEXT($H140,"#,##0")))</f>
        <v/>
      </c>
    </row>
    <row r="141" customFormat="false" ht="15" hidden="false" customHeight="false" outlineLevel="0" collapsed="false">
      <c r="A141" s="20"/>
      <c r="B141" s="20"/>
      <c r="C141" s="21"/>
      <c r="D141" s="21"/>
      <c r="E141" s="22"/>
      <c r="F141" s="23"/>
      <c r="G141" s="19" t="n">
        <f aca="false">IF($E141="",0,MAX(0,ROUNDDOWN((TecilRaporTarihi-$E141)/30,0)))</f>
        <v>0</v>
      </c>
      <c r="H141" s="19" t="n">
        <f aca="false">IF($C141="",0,$C141+$D141)</f>
        <v>0</v>
      </c>
      <c r="I141" s="19" t="n">
        <f aca="false">IF($C141="",0,$C141*$F141)</f>
        <v>0</v>
      </c>
      <c r="J141" s="19" t="str">
        <f aca="false">IF($B141="","",CONCATENATE("Borç: ",$B141," | Toplam: ",TEXT($H141,"#,##0")))</f>
        <v/>
      </c>
    </row>
    <row r="142" customFormat="false" ht="15" hidden="false" customHeight="false" outlineLevel="0" collapsed="false">
      <c r="A142" s="20"/>
      <c r="B142" s="20"/>
      <c r="C142" s="21"/>
      <c r="D142" s="21"/>
      <c r="E142" s="22"/>
      <c r="F142" s="23"/>
      <c r="G142" s="19" t="n">
        <f aca="false">IF($E142="",0,MAX(0,ROUNDDOWN((TecilRaporTarihi-$E142)/30,0)))</f>
        <v>0</v>
      </c>
      <c r="H142" s="19" t="n">
        <f aca="false">IF($C142="",0,$C142+$D142)</f>
        <v>0</v>
      </c>
      <c r="I142" s="19" t="n">
        <f aca="false">IF($C142="",0,$C142*$F142)</f>
        <v>0</v>
      </c>
      <c r="J142" s="19" t="str">
        <f aca="false">IF($B142="","",CONCATENATE("Borç: ",$B142," | Toplam: ",TEXT($H142,"#,##0")))</f>
        <v/>
      </c>
    </row>
    <row r="143" customFormat="false" ht="15" hidden="false" customHeight="false" outlineLevel="0" collapsed="false">
      <c r="A143" s="20"/>
      <c r="B143" s="20"/>
      <c r="C143" s="21"/>
      <c r="D143" s="21"/>
      <c r="E143" s="22"/>
      <c r="F143" s="23"/>
      <c r="G143" s="19" t="n">
        <f aca="false">IF($E143="",0,MAX(0,ROUNDDOWN((TecilRaporTarihi-$E143)/30,0)))</f>
        <v>0</v>
      </c>
      <c r="H143" s="19" t="n">
        <f aca="false">IF($C143="",0,$C143+$D143)</f>
        <v>0</v>
      </c>
      <c r="I143" s="19" t="n">
        <f aca="false">IF($C143="",0,$C143*$F143)</f>
        <v>0</v>
      </c>
      <c r="J143" s="19" t="str">
        <f aca="false">IF($B143="","",CONCATENATE("Borç: ",$B143," | Toplam: ",TEXT($H143,"#,##0")))</f>
        <v/>
      </c>
    </row>
    <row r="144" customFormat="false" ht="15" hidden="false" customHeight="false" outlineLevel="0" collapsed="false">
      <c r="A144" s="20"/>
      <c r="B144" s="20"/>
      <c r="C144" s="21"/>
      <c r="D144" s="21"/>
      <c r="E144" s="22"/>
      <c r="F144" s="23"/>
      <c r="G144" s="19" t="n">
        <f aca="false">IF($E144="",0,MAX(0,ROUNDDOWN((TecilRaporTarihi-$E144)/30,0)))</f>
        <v>0</v>
      </c>
      <c r="H144" s="19" t="n">
        <f aca="false">IF($C144="",0,$C144+$D144)</f>
        <v>0</v>
      </c>
      <c r="I144" s="19" t="n">
        <f aca="false">IF($C144="",0,$C144*$F144)</f>
        <v>0</v>
      </c>
      <c r="J144" s="19" t="str">
        <f aca="false">IF($B144="","",CONCATENATE("Borç: ",$B144," | Toplam: ",TEXT($H144,"#,##0")))</f>
        <v/>
      </c>
    </row>
    <row r="145" customFormat="false" ht="15" hidden="false" customHeight="false" outlineLevel="0" collapsed="false">
      <c r="A145" s="20"/>
      <c r="B145" s="20"/>
      <c r="C145" s="21"/>
      <c r="D145" s="21"/>
      <c r="E145" s="22"/>
      <c r="F145" s="23"/>
      <c r="G145" s="19" t="n">
        <f aca="false">IF($E145="",0,MAX(0,ROUNDDOWN((TecilRaporTarihi-$E145)/30,0)))</f>
        <v>0</v>
      </c>
      <c r="H145" s="19" t="n">
        <f aca="false">IF($C145="",0,$C145+$D145)</f>
        <v>0</v>
      </c>
      <c r="I145" s="19" t="n">
        <f aca="false">IF($C145="",0,$C145*$F145)</f>
        <v>0</v>
      </c>
      <c r="J145" s="19" t="str">
        <f aca="false">IF($B145="","",CONCATENATE("Borç: ",$B145," | Toplam: ",TEXT($H145,"#,##0")))</f>
        <v/>
      </c>
    </row>
    <row r="146" customFormat="false" ht="15" hidden="false" customHeight="false" outlineLevel="0" collapsed="false">
      <c r="A146" s="20"/>
      <c r="B146" s="20"/>
      <c r="C146" s="21"/>
      <c r="D146" s="21"/>
      <c r="E146" s="22"/>
      <c r="F146" s="23"/>
      <c r="G146" s="19" t="n">
        <f aca="false">IF($E146="",0,MAX(0,ROUNDDOWN((TecilRaporTarihi-$E146)/30,0)))</f>
        <v>0</v>
      </c>
      <c r="H146" s="19" t="n">
        <f aca="false">IF($C146="",0,$C146+$D146)</f>
        <v>0</v>
      </c>
      <c r="I146" s="19" t="n">
        <f aca="false">IF($C146="",0,$C146*$F146)</f>
        <v>0</v>
      </c>
      <c r="J146" s="19" t="str">
        <f aca="false">IF($B146="","",CONCATENATE("Borç: ",$B146," | Toplam: ",TEXT($H146,"#,##0")))</f>
        <v/>
      </c>
    </row>
    <row r="147" customFormat="false" ht="15" hidden="false" customHeight="false" outlineLevel="0" collapsed="false">
      <c r="A147" s="20"/>
      <c r="B147" s="20"/>
      <c r="C147" s="21"/>
      <c r="D147" s="21"/>
      <c r="E147" s="22"/>
      <c r="F147" s="23"/>
      <c r="G147" s="19" t="n">
        <f aca="false">IF($E147="",0,MAX(0,ROUNDDOWN((TecilRaporTarihi-$E147)/30,0)))</f>
        <v>0</v>
      </c>
      <c r="H147" s="19" t="n">
        <f aca="false">IF($C147="",0,$C147+$D147)</f>
        <v>0</v>
      </c>
      <c r="I147" s="19" t="n">
        <f aca="false">IF($C147="",0,$C147*$F147)</f>
        <v>0</v>
      </c>
      <c r="J147" s="19" t="str">
        <f aca="false">IF($B147="","",CONCATENATE("Borç: ",$B147," | Toplam: ",TEXT($H147,"#,##0")))</f>
        <v/>
      </c>
    </row>
    <row r="148" customFormat="false" ht="15" hidden="false" customHeight="false" outlineLevel="0" collapsed="false">
      <c r="A148" s="20"/>
      <c r="B148" s="20"/>
      <c r="C148" s="21"/>
      <c r="D148" s="21"/>
      <c r="E148" s="22"/>
      <c r="F148" s="23"/>
      <c r="G148" s="19" t="n">
        <f aca="false">IF($E148="",0,MAX(0,ROUNDDOWN((TecilRaporTarihi-$E148)/30,0)))</f>
        <v>0</v>
      </c>
      <c r="H148" s="19" t="n">
        <f aca="false">IF($C148="",0,$C148+$D148)</f>
        <v>0</v>
      </c>
      <c r="I148" s="19" t="n">
        <f aca="false">IF($C148="",0,$C148*$F148)</f>
        <v>0</v>
      </c>
      <c r="J148" s="19" t="str">
        <f aca="false">IF($B148="","",CONCATENATE("Borç: ",$B148," | Toplam: ",TEXT($H148,"#,##0")))</f>
        <v/>
      </c>
    </row>
    <row r="149" customFormat="false" ht="15" hidden="false" customHeight="false" outlineLevel="0" collapsed="false">
      <c r="A149" s="20"/>
      <c r="B149" s="20"/>
      <c r="C149" s="21"/>
      <c r="D149" s="21"/>
      <c r="E149" s="22"/>
      <c r="F149" s="23"/>
      <c r="G149" s="19" t="n">
        <f aca="false">IF($E149="",0,MAX(0,ROUNDDOWN((TecilRaporTarihi-$E149)/30,0)))</f>
        <v>0</v>
      </c>
      <c r="H149" s="19" t="n">
        <f aca="false">IF($C149="",0,$C149+$D149)</f>
        <v>0</v>
      </c>
      <c r="I149" s="19" t="n">
        <f aca="false">IF($C149="",0,$C149*$F149)</f>
        <v>0</v>
      </c>
      <c r="J149" s="19" t="str">
        <f aca="false">IF($B149="","",CONCATENATE("Borç: ",$B149," | Toplam: ",TEXT($H149,"#,##0")))</f>
        <v/>
      </c>
    </row>
    <row r="150" customFormat="false" ht="15" hidden="false" customHeight="false" outlineLevel="0" collapsed="false">
      <c r="A150" s="20"/>
      <c r="B150" s="20"/>
      <c r="C150" s="21"/>
      <c r="D150" s="21"/>
      <c r="E150" s="22"/>
      <c r="F150" s="23"/>
      <c r="G150" s="19" t="n">
        <f aca="false">IF($E150="",0,MAX(0,ROUNDDOWN((TecilRaporTarihi-$E150)/30,0)))</f>
        <v>0</v>
      </c>
      <c r="H150" s="19" t="n">
        <f aca="false">IF($C150="",0,$C150+$D150)</f>
        <v>0</v>
      </c>
      <c r="I150" s="19" t="n">
        <f aca="false">IF($C150="",0,$C150*$F150)</f>
        <v>0</v>
      </c>
      <c r="J150" s="19" t="str">
        <f aca="false">IF($B150="","",CONCATENATE("Borç: ",$B150," | Toplam: ",TEXT($H150,"#,##0")))</f>
        <v/>
      </c>
    </row>
    <row r="151" customFormat="false" ht="15" hidden="false" customHeight="false" outlineLevel="0" collapsed="false">
      <c r="A151" s="20"/>
      <c r="B151" s="20"/>
      <c r="C151" s="21"/>
      <c r="D151" s="21"/>
      <c r="E151" s="22"/>
      <c r="F151" s="23"/>
      <c r="G151" s="19" t="n">
        <f aca="false">IF($E151="",0,MAX(0,ROUNDDOWN((TecilRaporTarihi-$E151)/30,0)))</f>
        <v>0</v>
      </c>
      <c r="H151" s="19" t="n">
        <f aca="false">IF($C151="",0,$C151+$D151)</f>
        <v>0</v>
      </c>
      <c r="I151" s="19" t="n">
        <f aca="false">IF($C151="",0,$C151*$F151)</f>
        <v>0</v>
      </c>
      <c r="J151" s="19" t="str">
        <f aca="false">IF($B151="","",CONCATENATE("Borç: ",$B151," | Toplam: ",TEXT($H151,"#,##0")))</f>
        <v/>
      </c>
    </row>
    <row r="152" customFormat="false" ht="15" hidden="false" customHeight="false" outlineLevel="0" collapsed="false">
      <c r="A152" s="20"/>
      <c r="B152" s="20"/>
      <c r="C152" s="21"/>
      <c r="D152" s="21"/>
      <c r="E152" s="22"/>
      <c r="F152" s="23"/>
      <c r="G152" s="19" t="n">
        <f aca="false">IF($E152="",0,MAX(0,ROUNDDOWN((TecilRaporTarihi-$E152)/30,0)))</f>
        <v>0</v>
      </c>
      <c r="H152" s="19" t="n">
        <f aca="false">IF($C152="",0,$C152+$D152)</f>
        <v>0</v>
      </c>
      <c r="I152" s="19" t="n">
        <f aca="false">IF($C152="",0,$C152*$F152)</f>
        <v>0</v>
      </c>
      <c r="J152" s="19" t="str">
        <f aca="false">IF($B152="","",CONCATENATE("Borç: ",$B152," | Toplam: ",TEXT($H152,"#,##0")))</f>
        <v/>
      </c>
    </row>
    <row r="153" customFormat="false" ht="15" hidden="false" customHeight="false" outlineLevel="0" collapsed="false">
      <c r="A153" s="20"/>
      <c r="B153" s="20"/>
      <c r="C153" s="21"/>
      <c r="D153" s="21"/>
      <c r="E153" s="22"/>
      <c r="F153" s="23"/>
      <c r="G153" s="19" t="n">
        <f aca="false">IF($E153="",0,MAX(0,ROUNDDOWN((TecilRaporTarihi-$E153)/30,0)))</f>
        <v>0</v>
      </c>
      <c r="H153" s="19" t="n">
        <f aca="false">IF($C153="",0,$C153+$D153)</f>
        <v>0</v>
      </c>
      <c r="I153" s="19" t="n">
        <f aca="false">IF($C153="",0,$C153*$F153)</f>
        <v>0</v>
      </c>
      <c r="J153" s="19" t="str">
        <f aca="false">IF($B153="","",CONCATENATE("Borç: ",$B153," | Toplam: ",TEXT($H153,"#,##0")))</f>
        <v/>
      </c>
    </row>
    <row r="154" customFormat="false" ht="15" hidden="false" customHeight="false" outlineLevel="0" collapsed="false">
      <c r="A154" s="20"/>
      <c r="B154" s="20"/>
      <c r="C154" s="21"/>
      <c r="D154" s="21"/>
      <c r="E154" s="22"/>
      <c r="F154" s="23"/>
      <c r="G154" s="19" t="n">
        <f aca="false">IF($E154="",0,MAX(0,ROUNDDOWN((TecilRaporTarihi-$E154)/30,0)))</f>
        <v>0</v>
      </c>
      <c r="H154" s="19" t="n">
        <f aca="false">IF($C154="",0,$C154+$D154)</f>
        <v>0</v>
      </c>
      <c r="I154" s="19" t="n">
        <f aca="false">IF($C154="",0,$C154*$F154)</f>
        <v>0</v>
      </c>
      <c r="J154" s="19" t="str">
        <f aca="false">IF($B154="","",CONCATENATE("Borç: ",$B154," | Toplam: ",TEXT($H154,"#,##0")))</f>
        <v/>
      </c>
    </row>
    <row r="155" customFormat="false" ht="15" hidden="false" customHeight="false" outlineLevel="0" collapsed="false">
      <c r="A155" s="20"/>
      <c r="B155" s="20"/>
      <c r="C155" s="21"/>
      <c r="D155" s="21"/>
      <c r="E155" s="22"/>
      <c r="F155" s="23"/>
      <c r="G155" s="19" t="n">
        <f aca="false">IF($E155="",0,MAX(0,ROUNDDOWN((TecilRaporTarihi-$E155)/30,0)))</f>
        <v>0</v>
      </c>
      <c r="H155" s="19" t="n">
        <f aca="false">IF($C155="",0,$C155+$D155)</f>
        <v>0</v>
      </c>
      <c r="I155" s="19" t="n">
        <f aca="false">IF($C155="",0,$C155*$F155)</f>
        <v>0</v>
      </c>
      <c r="J155" s="19" t="str">
        <f aca="false">IF($B155="","",CONCATENATE("Borç: ",$B155," | Toplam: ",TEXT($H155,"#,##0")))</f>
        <v/>
      </c>
    </row>
    <row r="156" customFormat="false" ht="15" hidden="false" customHeight="false" outlineLevel="0" collapsed="false">
      <c r="A156" s="20"/>
      <c r="B156" s="20"/>
      <c r="C156" s="21"/>
      <c r="D156" s="21"/>
      <c r="E156" s="22"/>
      <c r="F156" s="23"/>
      <c r="G156" s="19" t="n">
        <f aca="false">IF($E156="",0,MAX(0,ROUNDDOWN((TecilRaporTarihi-$E156)/30,0)))</f>
        <v>0</v>
      </c>
      <c r="H156" s="19" t="n">
        <f aca="false">IF($C156="",0,$C156+$D156)</f>
        <v>0</v>
      </c>
      <c r="I156" s="19" t="n">
        <f aca="false">IF($C156="",0,$C156*$F156)</f>
        <v>0</v>
      </c>
      <c r="J156" s="19" t="str">
        <f aca="false">IF($B156="","",CONCATENATE("Borç: ",$B156," | Toplam: ",TEXT($H156,"#,##0")))</f>
        <v/>
      </c>
    </row>
    <row r="157" customFormat="false" ht="15" hidden="false" customHeight="false" outlineLevel="0" collapsed="false">
      <c r="A157" s="20"/>
      <c r="B157" s="20"/>
      <c r="C157" s="21"/>
      <c r="D157" s="21"/>
      <c r="E157" s="22"/>
      <c r="F157" s="23"/>
      <c r="G157" s="19" t="n">
        <f aca="false">IF($E157="",0,MAX(0,ROUNDDOWN((TecilRaporTarihi-$E157)/30,0)))</f>
        <v>0</v>
      </c>
      <c r="H157" s="19" t="n">
        <f aca="false">IF($C157="",0,$C157+$D157)</f>
        <v>0</v>
      </c>
      <c r="I157" s="19" t="n">
        <f aca="false">IF($C157="",0,$C157*$F157)</f>
        <v>0</v>
      </c>
      <c r="J157" s="19" t="str">
        <f aca="false">IF($B157="","",CONCATENATE("Borç: ",$B157," | Toplam: ",TEXT($H157,"#,##0")))</f>
        <v/>
      </c>
    </row>
    <row r="158" customFormat="false" ht="15" hidden="false" customHeight="false" outlineLevel="0" collapsed="false">
      <c r="A158" s="20"/>
      <c r="B158" s="20"/>
      <c r="C158" s="21"/>
      <c r="D158" s="21"/>
      <c r="E158" s="22"/>
      <c r="F158" s="23"/>
      <c r="G158" s="19" t="n">
        <f aca="false">IF($E158="",0,MAX(0,ROUNDDOWN((TecilRaporTarihi-$E158)/30,0)))</f>
        <v>0</v>
      </c>
      <c r="H158" s="19" t="n">
        <f aca="false">IF($C158="",0,$C158+$D158)</f>
        <v>0</v>
      </c>
      <c r="I158" s="19" t="n">
        <f aca="false">IF($C158="",0,$C158*$F158)</f>
        <v>0</v>
      </c>
      <c r="J158" s="19" t="str">
        <f aca="false">IF($B158="","",CONCATENATE("Borç: ",$B158," | Toplam: ",TEXT($H158,"#,##0")))</f>
        <v/>
      </c>
    </row>
    <row r="159" customFormat="false" ht="15" hidden="false" customHeight="false" outlineLevel="0" collapsed="false">
      <c r="A159" s="20"/>
      <c r="B159" s="20"/>
      <c r="C159" s="21"/>
      <c r="D159" s="21"/>
      <c r="E159" s="22"/>
      <c r="F159" s="23"/>
      <c r="G159" s="19" t="n">
        <f aca="false">IF($E159="",0,MAX(0,ROUNDDOWN((TecilRaporTarihi-$E159)/30,0)))</f>
        <v>0</v>
      </c>
      <c r="H159" s="19" t="n">
        <f aca="false">IF($C159="",0,$C159+$D159)</f>
        <v>0</v>
      </c>
      <c r="I159" s="19" t="n">
        <f aca="false">IF($C159="",0,$C159*$F159)</f>
        <v>0</v>
      </c>
      <c r="J159" s="19" t="str">
        <f aca="false">IF($B159="","",CONCATENATE("Borç: ",$B159," | Toplam: ",TEXT($H159,"#,##0")))</f>
        <v/>
      </c>
    </row>
    <row r="160" customFormat="false" ht="15" hidden="false" customHeight="false" outlineLevel="0" collapsed="false">
      <c r="A160" s="20"/>
      <c r="B160" s="20"/>
      <c r="C160" s="21"/>
      <c r="D160" s="21"/>
      <c r="E160" s="22"/>
      <c r="F160" s="23"/>
      <c r="G160" s="19" t="n">
        <f aca="false">IF($E160="",0,MAX(0,ROUNDDOWN((TecilRaporTarihi-$E160)/30,0)))</f>
        <v>0</v>
      </c>
      <c r="H160" s="19" t="n">
        <f aca="false">IF($C160="",0,$C160+$D160)</f>
        <v>0</v>
      </c>
      <c r="I160" s="19" t="n">
        <f aca="false">IF($C160="",0,$C160*$F160)</f>
        <v>0</v>
      </c>
      <c r="J160" s="19" t="str">
        <f aca="false">IF($B160="","",CONCATENATE("Borç: ",$B160," | Toplam: ",TEXT($H160,"#,##0")))</f>
        <v/>
      </c>
    </row>
    <row r="161" customFormat="false" ht="15" hidden="false" customHeight="false" outlineLevel="0" collapsed="false">
      <c r="A161" s="20"/>
      <c r="B161" s="20"/>
      <c r="C161" s="21"/>
      <c r="D161" s="21"/>
      <c r="E161" s="22"/>
      <c r="F161" s="23"/>
      <c r="G161" s="19" t="n">
        <f aca="false">IF($E161="",0,MAX(0,ROUNDDOWN((TecilRaporTarihi-$E161)/30,0)))</f>
        <v>0</v>
      </c>
      <c r="H161" s="19" t="n">
        <f aca="false">IF($C161="",0,$C161+$D161)</f>
        <v>0</v>
      </c>
      <c r="I161" s="19" t="n">
        <f aca="false">IF($C161="",0,$C161*$F161)</f>
        <v>0</v>
      </c>
      <c r="J161" s="19" t="str">
        <f aca="false">IF($B161="","",CONCATENATE("Borç: ",$B161," | Toplam: ",TEXT($H161,"#,##0")))</f>
        <v/>
      </c>
    </row>
    <row r="162" customFormat="false" ht="15" hidden="false" customHeight="false" outlineLevel="0" collapsed="false">
      <c r="A162" s="20"/>
      <c r="B162" s="20"/>
      <c r="C162" s="21"/>
      <c r="D162" s="21"/>
      <c r="E162" s="22"/>
      <c r="F162" s="23"/>
      <c r="G162" s="19" t="n">
        <f aca="false">IF($E162="",0,MAX(0,ROUNDDOWN((TecilRaporTarihi-$E162)/30,0)))</f>
        <v>0</v>
      </c>
      <c r="H162" s="19" t="n">
        <f aca="false">IF($C162="",0,$C162+$D162)</f>
        <v>0</v>
      </c>
      <c r="I162" s="19" t="n">
        <f aca="false">IF($C162="",0,$C162*$F162)</f>
        <v>0</v>
      </c>
      <c r="J162" s="19" t="str">
        <f aca="false">IF($B162="","",CONCATENATE("Borç: ",$B162," | Toplam: ",TEXT($H162,"#,##0")))</f>
        <v/>
      </c>
    </row>
    <row r="163" customFormat="false" ht="15" hidden="false" customHeight="false" outlineLevel="0" collapsed="false">
      <c r="A163" s="20"/>
      <c r="B163" s="20"/>
      <c r="C163" s="21"/>
      <c r="D163" s="21"/>
      <c r="E163" s="22"/>
      <c r="F163" s="23"/>
      <c r="G163" s="19" t="n">
        <f aca="false">IF($E163="",0,MAX(0,ROUNDDOWN((TecilRaporTarihi-$E163)/30,0)))</f>
        <v>0</v>
      </c>
      <c r="H163" s="19" t="n">
        <f aca="false">IF($C163="",0,$C163+$D163)</f>
        <v>0</v>
      </c>
      <c r="I163" s="19" t="n">
        <f aca="false">IF($C163="",0,$C163*$F163)</f>
        <v>0</v>
      </c>
      <c r="J163" s="19" t="str">
        <f aca="false">IF($B163="","",CONCATENATE("Borç: ",$B163," | Toplam: ",TEXT($H163,"#,##0")))</f>
        <v/>
      </c>
    </row>
    <row r="164" customFormat="false" ht="15" hidden="false" customHeight="false" outlineLevel="0" collapsed="false">
      <c r="A164" s="20"/>
      <c r="B164" s="20"/>
      <c r="C164" s="21"/>
      <c r="D164" s="21"/>
      <c r="E164" s="22"/>
      <c r="F164" s="23"/>
      <c r="G164" s="19" t="n">
        <f aca="false">IF($E164="",0,MAX(0,ROUNDDOWN((TecilRaporTarihi-$E164)/30,0)))</f>
        <v>0</v>
      </c>
      <c r="H164" s="19" t="n">
        <f aca="false">IF($C164="",0,$C164+$D164)</f>
        <v>0</v>
      </c>
      <c r="I164" s="19" t="n">
        <f aca="false">IF($C164="",0,$C164*$F164)</f>
        <v>0</v>
      </c>
      <c r="J164" s="19" t="str">
        <f aca="false">IF($B164="","",CONCATENATE("Borç: ",$B164," | Toplam: ",TEXT($H164,"#,##0")))</f>
        <v/>
      </c>
    </row>
    <row r="165" customFormat="false" ht="15" hidden="false" customHeight="false" outlineLevel="0" collapsed="false">
      <c r="A165" s="20"/>
      <c r="B165" s="20"/>
      <c r="C165" s="21"/>
      <c r="D165" s="21"/>
      <c r="E165" s="22"/>
      <c r="F165" s="23"/>
      <c r="G165" s="19" t="n">
        <f aca="false">IF($E165="",0,MAX(0,ROUNDDOWN((TecilRaporTarihi-$E165)/30,0)))</f>
        <v>0</v>
      </c>
      <c r="H165" s="19" t="n">
        <f aca="false">IF($C165="",0,$C165+$D165)</f>
        <v>0</v>
      </c>
      <c r="I165" s="19" t="n">
        <f aca="false">IF($C165="",0,$C165*$F165)</f>
        <v>0</v>
      </c>
      <c r="J165" s="19" t="str">
        <f aca="false">IF($B165="","",CONCATENATE("Borç: ",$B165," | Toplam: ",TEXT($H165,"#,##0")))</f>
        <v/>
      </c>
    </row>
    <row r="166" customFormat="false" ht="15" hidden="false" customHeight="false" outlineLevel="0" collapsed="false">
      <c r="A166" s="20"/>
      <c r="B166" s="20"/>
      <c r="C166" s="21"/>
      <c r="D166" s="21"/>
      <c r="E166" s="22"/>
      <c r="F166" s="23"/>
      <c r="G166" s="19" t="n">
        <f aca="false">IF($E166="",0,MAX(0,ROUNDDOWN((TecilRaporTarihi-$E166)/30,0)))</f>
        <v>0</v>
      </c>
      <c r="H166" s="19" t="n">
        <f aca="false">IF($C166="",0,$C166+$D166)</f>
        <v>0</v>
      </c>
      <c r="I166" s="19" t="n">
        <f aca="false">IF($C166="",0,$C166*$F166)</f>
        <v>0</v>
      </c>
      <c r="J166" s="19" t="str">
        <f aca="false">IF($B166="","",CONCATENATE("Borç: ",$B166," | Toplam: ",TEXT($H166,"#,##0")))</f>
        <v/>
      </c>
    </row>
    <row r="167" customFormat="false" ht="15" hidden="false" customHeight="false" outlineLevel="0" collapsed="false">
      <c r="A167" s="20"/>
      <c r="B167" s="20"/>
      <c r="C167" s="21"/>
      <c r="D167" s="21"/>
      <c r="E167" s="22"/>
      <c r="F167" s="23"/>
      <c r="G167" s="19" t="n">
        <f aca="false">IF($E167="",0,MAX(0,ROUNDDOWN((TecilRaporTarihi-$E167)/30,0)))</f>
        <v>0</v>
      </c>
      <c r="H167" s="19" t="n">
        <f aca="false">IF($C167="",0,$C167+$D167)</f>
        <v>0</v>
      </c>
      <c r="I167" s="19" t="n">
        <f aca="false">IF($C167="",0,$C167*$F167)</f>
        <v>0</v>
      </c>
      <c r="J167" s="19" t="str">
        <f aca="false">IF($B167="","",CONCATENATE("Borç: ",$B167," | Toplam: ",TEXT($H167,"#,##0")))</f>
        <v/>
      </c>
    </row>
    <row r="168" customFormat="false" ht="15" hidden="false" customHeight="false" outlineLevel="0" collapsed="false">
      <c r="A168" s="20"/>
      <c r="B168" s="20"/>
      <c r="C168" s="21"/>
      <c r="D168" s="21"/>
      <c r="E168" s="22"/>
      <c r="F168" s="23"/>
      <c r="G168" s="19" t="n">
        <f aca="false">IF($E168="",0,MAX(0,ROUNDDOWN((TecilRaporTarihi-$E168)/30,0)))</f>
        <v>0</v>
      </c>
      <c r="H168" s="19" t="n">
        <f aca="false">IF($C168="",0,$C168+$D168)</f>
        <v>0</v>
      </c>
      <c r="I168" s="19" t="n">
        <f aca="false">IF($C168="",0,$C168*$F168)</f>
        <v>0</v>
      </c>
      <c r="J168" s="19" t="str">
        <f aca="false">IF($B168="","",CONCATENATE("Borç: ",$B168," | Toplam: ",TEXT($H168,"#,##0")))</f>
        <v/>
      </c>
    </row>
    <row r="169" customFormat="false" ht="15" hidden="false" customHeight="false" outlineLevel="0" collapsed="false">
      <c r="A169" s="20"/>
      <c r="B169" s="20"/>
      <c r="C169" s="21"/>
      <c r="D169" s="21"/>
      <c r="E169" s="22"/>
      <c r="F169" s="23"/>
      <c r="G169" s="19" t="n">
        <f aca="false">IF($E169="",0,MAX(0,ROUNDDOWN((TecilRaporTarihi-$E169)/30,0)))</f>
        <v>0</v>
      </c>
      <c r="H169" s="19" t="n">
        <f aca="false">IF($C169="",0,$C169+$D169)</f>
        <v>0</v>
      </c>
      <c r="I169" s="19" t="n">
        <f aca="false">IF($C169="",0,$C169*$F169)</f>
        <v>0</v>
      </c>
      <c r="J169" s="19" t="str">
        <f aca="false">IF($B169="","",CONCATENATE("Borç: ",$B169," | Toplam: ",TEXT($H169,"#,##0")))</f>
        <v/>
      </c>
    </row>
    <row r="170" customFormat="false" ht="15" hidden="false" customHeight="false" outlineLevel="0" collapsed="false">
      <c r="A170" s="20"/>
      <c r="B170" s="20"/>
      <c r="C170" s="21"/>
      <c r="D170" s="21"/>
      <c r="E170" s="22"/>
      <c r="F170" s="23"/>
      <c r="G170" s="19" t="n">
        <f aca="false">IF($E170="",0,MAX(0,ROUNDDOWN((TecilRaporTarihi-$E170)/30,0)))</f>
        <v>0</v>
      </c>
      <c r="H170" s="19" t="n">
        <f aca="false">IF($C170="",0,$C170+$D170)</f>
        <v>0</v>
      </c>
      <c r="I170" s="19" t="n">
        <f aca="false">IF($C170="",0,$C170*$F170)</f>
        <v>0</v>
      </c>
      <c r="J170" s="19" t="str">
        <f aca="false">IF($B170="","",CONCATENATE("Borç: ",$B170," | Toplam: ",TEXT($H170,"#,##0")))</f>
        <v/>
      </c>
    </row>
    <row r="171" customFormat="false" ht="15" hidden="false" customHeight="false" outlineLevel="0" collapsed="false">
      <c r="A171" s="20"/>
      <c r="B171" s="20"/>
      <c r="C171" s="21"/>
      <c r="D171" s="21"/>
      <c r="E171" s="22"/>
      <c r="F171" s="23"/>
      <c r="G171" s="19" t="n">
        <f aca="false">IF($E171="",0,MAX(0,ROUNDDOWN((TecilRaporTarihi-$E171)/30,0)))</f>
        <v>0</v>
      </c>
      <c r="H171" s="19" t="n">
        <f aca="false">IF($C171="",0,$C171+$D171)</f>
        <v>0</v>
      </c>
      <c r="I171" s="19" t="n">
        <f aca="false">IF($C171="",0,$C171*$F171)</f>
        <v>0</v>
      </c>
      <c r="J171" s="19" t="str">
        <f aca="false">IF($B171="","",CONCATENATE("Borç: ",$B171," | Toplam: ",TEXT($H171,"#,##0")))</f>
        <v/>
      </c>
    </row>
    <row r="172" customFormat="false" ht="15" hidden="false" customHeight="false" outlineLevel="0" collapsed="false">
      <c r="A172" s="20"/>
      <c r="B172" s="20"/>
      <c r="C172" s="21"/>
      <c r="D172" s="21"/>
      <c r="E172" s="22"/>
      <c r="F172" s="23"/>
      <c r="G172" s="19" t="n">
        <f aca="false">IF($E172="",0,MAX(0,ROUNDDOWN((TecilRaporTarihi-$E172)/30,0)))</f>
        <v>0</v>
      </c>
      <c r="H172" s="19" t="n">
        <f aca="false">IF($C172="",0,$C172+$D172)</f>
        <v>0</v>
      </c>
      <c r="I172" s="19" t="n">
        <f aca="false">IF($C172="",0,$C172*$F172)</f>
        <v>0</v>
      </c>
      <c r="J172" s="19" t="str">
        <f aca="false">IF($B172="","",CONCATENATE("Borç: ",$B172," | Toplam: ",TEXT($H172,"#,##0")))</f>
        <v/>
      </c>
    </row>
    <row r="173" customFormat="false" ht="15" hidden="false" customHeight="false" outlineLevel="0" collapsed="false">
      <c r="A173" s="20"/>
      <c r="B173" s="20"/>
      <c r="C173" s="21"/>
      <c r="D173" s="21"/>
      <c r="E173" s="22"/>
      <c r="F173" s="23"/>
      <c r="G173" s="19" t="n">
        <f aca="false">IF($E173="",0,MAX(0,ROUNDDOWN((TecilRaporTarihi-$E173)/30,0)))</f>
        <v>0</v>
      </c>
      <c r="H173" s="19" t="n">
        <f aca="false">IF($C173="",0,$C173+$D173)</f>
        <v>0</v>
      </c>
      <c r="I173" s="19" t="n">
        <f aca="false">IF($C173="",0,$C173*$F173)</f>
        <v>0</v>
      </c>
      <c r="J173" s="19" t="str">
        <f aca="false">IF($B173="","",CONCATENATE("Borç: ",$B173," | Toplam: ",TEXT($H173,"#,##0")))</f>
        <v/>
      </c>
    </row>
    <row r="174" customFormat="false" ht="15" hidden="false" customHeight="false" outlineLevel="0" collapsed="false">
      <c r="A174" s="20"/>
      <c r="B174" s="20"/>
      <c r="C174" s="21"/>
      <c r="D174" s="21"/>
      <c r="E174" s="22"/>
      <c r="F174" s="23"/>
      <c r="G174" s="19" t="n">
        <f aca="false">IF($E174="",0,MAX(0,ROUNDDOWN((TecilRaporTarihi-$E174)/30,0)))</f>
        <v>0</v>
      </c>
      <c r="H174" s="19" t="n">
        <f aca="false">IF($C174="",0,$C174+$D174)</f>
        <v>0</v>
      </c>
      <c r="I174" s="19" t="n">
        <f aca="false">IF($C174="",0,$C174*$F174)</f>
        <v>0</v>
      </c>
      <c r="J174" s="19" t="str">
        <f aca="false">IF($B174="","",CONCATENATE("Borç: ",$B174," | Toplam: ",TEXT($H174,"#,##0")))</f>
        <v/>
      </c>
    </row>
    <row r="175" customFormat="false" ht="15" hidden="false" customHeight="false" outlineLevel="0" collapsed="false">
      <c r="A175" s="20"/>
      <c r="B175" s="20"/>
      <c r="C175" s="21"/>
      <c r="D175" s="21"/>
      <c r="E175" s="22"/>
      <c r="F175" s="23"/>
      <c r="G175" s="19" t="n">
        <f aca="false">IF($E175="",0,MAX(0,ROUNDDOWN((TecilRaporTarihi-$E175)/30,0)))</f>
        <v>0</v>
      </c>
      <c r="H175" s="19" t="n">
        <f aca="false">IF($C175="",0,$C175+$D175)</f>
        <v>0</v>
      </c>
      <c r="I175" s="19" t="n">
        <f aca="false">IF($C175="",0,$C175*$F175)</f>
        <v>0</v>
      </c>
      <c r="J175" s="19" t="str">
        <f aca="false">IF($B175="","",CONCATENATE("Borç: ",$B175," | Toplam: ",TEXT($H175,"#,##0")))</f>
        <v/>
      </c>
    </row>
    <row r="176" customFormat="false" ht="15" hidden="false" customHeight="false" outlineLevel="0" collapsed="false">
      <c r="A176" s="20"/>
      <c r="B176" s="20"/>
      <c r="C176" s="21"/>
      <c r="D176" s="21"/>
      <c r="E176" s="22"/>
      <c r="F176" s="23"/>
      <c r="G176" s="19" t="n">
        <f aca="false">IF($E176="",0,MAX(0,ROUNDDOWN((TecilRaporTarihi-$E176)/30,0)))</f>
        <v>0</v>
      </c>
      <c r="H176" s="19" t="n">
        <f aca="false">IF($C176="",0,$C176+$D176)</f>
        <v>0</v>
      </c>
      <c r="I176" s="19" t="n">
        <f aca="false">IF($C176="",0,$C176*$F176)</f>
        <v>0</v>
      </c>
      <c r="J176" s="19" t="str">
        <f aca="false">IF($B176="","",CONCATENATE("Borç: ",$B176," | Toplam: ",TEXT($H176,"#,##0")))</f>
        <v/>
      </c>
    </row>
    <row r="177" customFormat="false" ht="15" hidden="false" customHeight="false" outlineLevel="0" collapsed="false">
      <c r="A177" s="20"/>
      <c r="B177" s="20"/>
      <c r="C177" s="21"/>
      <c r="D177" s="21"/>
      <c r="E177" s="22"/>
      <c r="F177" s="23"/>
      <c r="G177" s="19" t="n">
        <f aca="false">IF($E177="",0,MAX(0,ROUNDDOWN((TecilRaporTarihi-$E177)/30,0)))</f>
        <v>0</v>
      </c>
      <c r="H177" s="19" t="n">
        <f aca="false">IF($C177="",0,$C177+$D177)</f>
        <v>0</v>
      </c>
      <c r="I177" s="19" t="n">
        <f aca="false">IF($C177="",0,$C177*$F177)</f>
        <v>0</v>
      </c>
      <c r="J177" s="19" t="str">
        <f aca="false">IF($B177="","",CONCATENATE("Borç: ",$B177," | Toplam: ",TEXT($H177,"#,##0")))</f>
        <v/>
      </c>
    </row>
    <row r="178" customFormat="false" ht="15" hidden="false" customHeight="false" outlineLevel="0" collapsed="false">
      <c r="A178" s="20"/>
      <c r="B178" s="20"/>
      <c r="C178" s="21"/>
      <c r="D178" s="21"/>
      <c r="E178" s="22"/>
      <c r="F178" s="23"/>
      <c r="G178" s="19" t="n">
        <f aca="false">IF($E178="",0,MAX(0,ROUNDDOWN((TecilRaporTarihi-$E178)/30,0)))</f>
        <v>0</v>
      </c>
      <c r="H178" s="19" t="n">
        <f aca="false">IF($C178="",0,$C178+$D178)</f>
        <v>0</v>
      </c>
      <c r="I178" s="19" t="n">
        <f aca="false">IF($C178="",0,$C178*$F178)</f>
        <v>0</v>
      </c>
      <c r="J178" s="19" t="str">
        <f aca="false">IF($B178="","",CONCATENATE("Borç: ",$B178," | Toplam: ",TEXT($H178,"#,##0")))</f>
        <v/>
      </c>
    </row>
    <row r="179" customFormat="false" ht="15" hidden="false" customHeight="false" outlineLevel="0" collapsed="false">
      <c r="A179" s="20"/>
      <c r="B179" s="20"/>
      <c r="C179" s="21"/>
      <c r="D179" s="21"/>
      <c r="E179" s="22"/>
      <c r="F179" s="23"/>
      <c r="G179" s="19" t="n">
        <f aca="false">IF($E179="",0,MAX(0,ROUNDDOWN((TecilRaporTarihi-$E179)/30,0)))</f>
        <v>0</v>
      </c>
      <c r="H179" s="19" t="n">
        <f aca="false">IF($C179="",0,$C179+$D179)</f>
        <v>0</v>
      </c>
      <c r="I179" s="19" t="n">
        <f aca="false">IF($C179="",0,$C179*$F179)</f>
        <v>0</v>
      </c>
      <c r="J179" s="19" t="str">
        <f aca="false">IF($B179="","",CONCATENATE("Borç: ",$B179," | Toplam: ",TEXT($H179,"#,##0")))</f>
        <v/>
      </c>
    </row>
    <row r="180" customFormat="false" ht="15" hidden="false" customHeight="false" outlineLevel="0" collapsed="false">
      <c r="A180" s="20"/>
      <c r="B180" s="20"/>
      <c r="C180" s="21"/>
      <c r="D180" s="21"/>
      <c r="E180" s="22"/>
      <c r="F180" s="23"/>
      <c r="G180" s="19" t="n">
        <f aca="false">IF($E180="",0,MAX(0,ROUNDDOWN((TecilRaporTarihi-$E180)/30,0)))</f>
        <v>0</v>
      </c>
      <c r="H180" s="19" t="n">
        <f aca="false">IF($C180="",0,$C180+$D180)</f>
        <v>0</v>
      </c>
      <c r="I180" s="19" t="n">
        <f aca="false">IF($C180="",0,$C180*$F180)</f>
        <v>0</v>
      </c>
      <c r="J180" s="19" t="str">
        <f aca="false">IF($B180="","",CONCATENATE("Borç: ",$B180," | Toplam: ",TEXT($H180,"#,##0")))</f>
        <v/>
      </c>
    </row>
    <row r="181" customFormat="false" ht="15" hidden="false" customHeight="false" outlineLevel="0" collapsed="false">
      <c r="A181" s="20"/>
      <c r="B181" s="20"/>
      <c r="C181" s="21"/>
      <c r="D181" s="21"/>
      <c r="E181" s="22"/>
      <c r="F181" s="23"/>
      <c r="G181" s="19" t="n">
        <f aca="false">IF($E181="",0,MAX(0,ROUNDDOWN((TecilRaporTarihi-$E181)/30,0)))</f>
        <v>0</v>
      </c>
      <c r="H181" s="19" t="n">
        <f aca="false">IF($C181="",0,$C181+$D181)</f>
        <v>0</v>
      </c>
      <c r="I181" s="19" t="n">
        <f aca="false">IF($C181="",0,$C181*$F181)</f>
        <v>0</v>
      </c>
      <c r="J181" s="19" t="str">
        <f aca="false">IF($B181="","",CONCATENATE("Borç: ",$B181," | Toplam: ",TEXT($H181,"#,##0")))</f>
        <v/>
      </c>
    </row>
    <row r="182" customFormat="false" ht="15" hidden="false" customHeight="false" outlineLevel="0" collapsed="false">
      <c r="A182" s="20"/>
      <c r="B182" s="20"/>
      <c r="C182" s="21"/>
      <c r="D182" s="21"/>
      <c r="E182" s="22"/>
      <c r="F182" s="23"/>
      <c r="G182" s="19" t="n">
        <f aca="false">IF($E182="",0,MAX(0,ROUNDDOWN((TecilRaporTarihi-$E182)/30,0)))</f>
        <v>0</v>
      </c>
      <c r="H182" s="19" t="n">
        <f aca="false">IF($C182="",0,$C182+$D182)</f>
        <v>0</v>
      </c>
      <c r="I182" s="19" t="n">
        <f aca="false">IF($C182="",0,$C182*$F182)</f>
        <v>0</v>
      </c>
      <c r="J182" s="19" t="str">
        <f aca="false">IF($B182="","",CONCATENATE("Borç: ",$B182," | Toplam: ",TEXT($H182,"#,##0")))</f>
        <v/>
      </c>
    </row>
    <row r="183" customFormat="false" ht="15" hidden="false" customHeight="false" outlineLevel="0" collapsed="false">
      <c r="A183" s="20"/>
      <c r="B183" s="20"/>
      <c r="C183" s="21"/>
      <c r="D183" s="21"/>
      <c r="E183" s="22"/>
      <c r="F183" s="23"/>
      <c r="G183" s="19" t="n">
        <f aca="false">IF($E183="",0,MAX(0,ROUNDDOWN((TecilRaporTarihi-$E183)/30,0)))</f>
        <v>0</v>
      </c>
      <c r="H183" s="19" t="n">
        <f aca="false">IF($C183="",0,$C183+$D183)</f>
        <v>0</v>
      </c>
      <c r="I183" s="19" t="n">
        <f aca="false">IF($C183="",0,$C183*$F183)</f>
        <v>0</v>
      </c>
      <c r="J183" s="19" t="str">
        <f aca="false">IF($B183="","",CONCATENATE("Borç: ",$B183," | Toplam: ",TEXT($H183,"#,##0")))</f>
        <v/>
      </c>
    </row>
    <row r="184" customFormat="false" ht="15" hidden="false" customHeight="false" outlineLevel="0" collapsed="false">
      <c r="A184" s="20"/>
      <c r="B184" s="20"/>
      <c r="C184" s="21"/>
      <c r="D184" s="21"/>
      <c r="E184" s="22"/>
      <c r="F184" s="23"/>
      <c r="G184" s="19" t="n">
        <f aca="false">IF($E184="",0,MAX(0,ROUNDDOWN((TecilRaporTarihi-$E184)/30,0)))</f>
        <v>0</v>
      </c>
      <c r="H184" s="19" t="n">
        <f aca="false">IF($C184="",0,$C184+$D184)</f>
        <v>0</v>
      </c>
      <c r="I184" s="19" t="n">
        <f aca="false">IF($C184="",0,$C184*$F184)</f>
        <v>0</v>
      </c>
      <c r="J184" s="19" t="str">
        <f aca="false">IF($B184="","",CONCATENATE("Borç: ",$B184," | Toplam: ",TEXT($H184,"#,##0")))</f>
        <v/>
      </c>
    </row>
    <row r="185" customFormat="false" ht="15" hidden="false" customHeight="false" outlineLevel="0" collapsed="false">
      <c r="A185" s="20"/>
      <c r="B185" s="20"/>
      <c r="C185" s="21"/>
      <c r="D185" s="21"/>
      <c r="E185" s="22"/>
      <c r="F185" s="23"/>
      <c r="G185" s="19" t="n">
        <f aca="false">IF($E185="",0,MAX(0,ROUNDDOWN((TecilRaporTarihi-$E185)/30,0)))</f>
        <v>0</v>
      </c>
      <c r="H185" s="19" t="n">
        <f aca="false">IF($C185="",0,$C185+$D185)</f>
        <v>0</v>
      </c>
      <c r="I185" s="19" t="n">
        <f aca="false">IF($C185="",0,$C185*$F185)</f>
        <v>0</v>
      </c>
      <c r="J185" s="19" t="str">
        <f aca="false">IF($B185="","",CONCATENATE("Borç: ",$B185," | Toplam: ",TEXT($H185,"#,##0")))</f>
        <v/>
      </c>
    </row>
    <row r="186" customFormat="false" ht="15" hidden="false" customHeight="false" outlineLevel="0" collapsed="false">
      <c r="A186" s="20"/>
      <c r="B186" s="20"/>
      <c r="C186" s="21"/>
      <c r="D186" s="21"/>
      <c r="E186" s="22"/>
      <c r="F186" s="23"/>
      <c r="G186" s="19" t="n">
        <f aca="false">IF($E186="",0,MAX(0,ROUNDDOWN((TecilRaporTarihi-$E186)/30,0)))</f>
        <v>0</v>
      </c>
      <c r="H186" s="19" t="n">
        <f aca="false">IF($C186="",0,$C186+$D186)</f>
        <v>0</v>
      </c>
      <c r="I186" s="19" t="n">
        <f aca="false">IF($C186="",0,$C186*$F186)</f>
        <v>0</v>
      </c>
      <c r="J186" s="19" t="str">
        <f aca="false">IF($B186="","",CONCATENATE("Borç: ",$B186," | Toplam: ",TEXT($H186,"#,##0")))</f>
        <v/>
      </c>
    </row>
    <row r="187" customFormat="false" ht="15" hidden="false" customHeight="false" outlineLevel="0" collapsed="false">
      <c r="A187" s="20"/>
      <c r="B187" s="20"/>
      <c r="C187" s="21"/>
      <c r="D187" s="21"/>
      <c r="E187" s="22"/>
      <c r="F187" s="23"/>
      <c r="G187" s="19" t="n">
        <f aca="false">IF($E187="",0,MAX(0,ROUNDDOWN((TecilRaporTarihi-$E187)/30,0)))</f>
        <v>0</v>
      </c>
      <c r="H187" s="19" t="n">
        <f aca="false">IF($C187="",0,$C187+$D187)</f>
        <v>0</v>
      </c>
      <c r="I187" s="19" t="n">
        <f aca="false">IF($C187="",0,$C187*$F187)</f>
        <v>0</v>
      </c>
      <c r="J187" s="19" t="str">
        <f aca="false">IF($B187="","",CONCATENATE("Borç: ",$B187," | Toplam: ",TEXT($H187,"#,##0")))</f>
        <v/>
      </c>
    </row>
    <row r="188" customFormat="false" ht="15" hidden="false" customHeight="false" outlineLevel="0" collapsed="false">
      <c r="A188" s="20"/>
      <c r="B188" s="20"/>
      <c r="C188" s="21"/>
      <c r="D188" s="21"/>
      <c r="E188" s="22"/>
      <c r="F188" s="23"/>
      <c r="G188" s="19" t="n">
        <f aca="false">IF($E188="",0,MAX(0,ROUNDDOWN((TecilRaporTarihi-$E188)/30,0)))</f>
        <v>0</v>
      </c>
      <c r="H188" s="19" t="n">
        <f aca="false">IF($C188="",0,$C188+$D188)</f>
        <v>0</v>
      </c>
      <c r="I188" s="19" t="n">
        <f aca="false">IF($C188="",0,$C188*$F188)</f>
        <v>0</v>
      </c>
      <c r="J188" s="19" t="str">
        <f aca="false">IF($B188="","",CONCATENATE("Borç: ",$B188," | Toplam: ",TEXT($H188,"#,##0")))</f>
        <v/>
      </c>
    </row>
    <row r="189" customFormat="false" ht="15" hidden="false" customHeight="false" outlineLevel="0" collapsed="false">
      <c r="A189" s="20"/>
      <c r="B189" s="20"/>
      <c r="C189" s="21"/>
      <c r="D189" s="21"/>
      <c r="E189" s="22"/>
      <c r="F189" s="23"/>
      <c r="G189" s="19" t="n">
        <f aca="false">IF($E189="",0,MAX(0,ROUNDDOWN((TecilRaporTarihi-$E189)/30,0)))</f>
        <v>0</v>
      </c>
      <c r="H189" s="19" t="n">
        <f aca="false">IF($C189="",0,$C189+$D189)</f>
        <v>0</v>
      </c>
      <c r="I189" s="19" t="n">
        <f aca="false">IF($C189="",0,$C189*$F189)</f>
        <v>0</v>
      </c>
      <c r="J189" s="19" t="str">
        <f aca="false">IF($B189="","",CONCATENATE("Borç: ",$B189," | Toplam: ",TEXT($H189,"#,##0")))</f>
        <v/>
      </c>
    </row>
    <row r="190" customFormat="false" ht="15" hidden="false" customHeight="false" outlineLevel="0" collapsed="false">
      <c r="A190" s="20"/>
      <c r="B190" s="20"/>
      <c r="C190" s="21"/>
      <c r="D190" s="21"/>
      <c r="E190" s="22"/>
      <c r="F190" s="23"/>
      <c r="G190" s="19" t="n">
        <f aca="false">IF($E190="",0,MAX(0,ROUNDDOWN((TecilRaporTarihi-$E190)/30,0)))</f>
        <v>0</v>
      </c>
      <c r="H190" s="19" t="n">
        <f aca="false">IF($C190="",0,$C190+$D190)</f>
        <v>0</v>
      </c>
      <c r="I190" s="19" t="n">
        <f aca="false">IF($C190="",0,$C190*$F190)</f>
        <v>0</v>
      </c>
      <c r="J190" s="19" t="str">
        <f aca="false">IF($B190="","",CONCATENATE("Borç: ",$B190," | Toplam: ",TEXT($H190,"#,##0")))</f>
        <v/>
      </c>
    </row>
    <row r="191" customFormat="false" ht="15" hidden="false" customHeight="false" outlineLevel="0" collapsed="false">
      <c r="A191" s="20"/>
      <c r="B191" s="20"/>
      <c r="C191" s="21"/>
      <c r="D191" s="21"/>
      <c r="E191" s="22"/>
      <c r="F191" s="23"/>
      <c r="G191" s="19" t="n">
        <f aca="false">IF($E191="",0,MAX(0,ROUNDDOWN((TecilRaporTarihi-$E191)/30,0)))</f>
        <v>0</v>
      </c>
      <c r="H191" s="19" t="n">
        <f aca="false">IF($C191="",0,$C191+$D191)</f>
        <v>0</v>
      </c>
      <c r="I191" s="19" t="n">
        <f aca="false">IF($C191="",0,$C191*$F191)</f>
        <v>0</v>
      </c>
      <c r="J191" s="19" t="str">
        <f aca="false">IF($B191="","",CONCATENATE("Borç: ",$B191," | Toplam: ",TEXT($H191,"#,##0")))</f>
        <v/>
      </c>
    </row>
    <row r="192" customFormat="false" ht="15" hidden="false" customHeight="false" outlineLevel="0" collapsed="false">
      <c r="A192" s="20"/>
      <c r="B192" s="20"/>
      <c r="C192" s="21"/>
      <c r="D192" s="21"/>
      <c r="E192" s="22"/>
      <c r="F192" s="23"/>
      <c r="G192" s="19" t="n">
        <f aca="false">IF($E192="",0,MAX(0,ROUNDDOWN((TecilRaporTarihi-$E192)/30,0)))</f>
        <v>0</v>
      </c>
      <c r="H192" s="19" t="n">
        <f aca="false">IF($C192="",0,$C192+$D192)</f>
        <v>0</v>
      </c>
      <c r="I192" s="19" t="n">
        <f aca="false">IF($C192="",0,$C192*$F192)</f>
        <v>0</v>
      </c>
      <c r="J192" s="19" t="str">
        <f aca="false">IF($B192="","",CONCATENATE("Borç: ",$B192," | Toplam: ",TEXT($H192,"#,##0")))</f>
        <v/>
      </c>
    </row>
    <row r="193" customFormat="false" ht="15" hidden="false" customHeight="false" outlineLevel="0" collapsed="false">
      <c r="A193" s="20"/>
      <c r="B193" s="20"/>
      <c r="C193" s="21"/>
      <c r="D193" s="21"/>
      <c r="E193" s="22"/>
      <c r="F193" s="23"/>
      <c r="G193" s="19" t="n">
        <f aca="false">IF($E193="",0,MAX(0,ROUNDDOWN((TecilRaporTarihi-$E193)/30,0)))</f>
        <v>0</v>
      </c>
      <c r="H193" s="19" t="n">
        <f aca="false">IF($C193="",0,$C193+$D193)</f>
        <v>0</v>
      </c>
      <c r="I193" s="19" t="n">
        <f aca="false">IF($C193="",0,$C193*$F193)</f>
        <v>0</v>
      </c>
      <c r="J193" s="19" t="str">
        <f aca="false">IF($B193="","",CONCATENATE("Borç: ",$B193," | Toplam: ",TEXT($H193,"#,##0")))</f>
        <v/>
      </c>
    </row>
    <row r="194" customFormat="false" ht="15" hidden="false" customHeight="false" outlineLevel="0" collapsed="false">
      <c r="A194" s="20"/>
      <c r="B194" s="20"/>
      <c r="C194" s="21"/>
      <c r="D194" s="21"/>
      <c r="E194" s="22"/>
      <c r="F194" s="23"/>
      <c r="G194" s="19" t="n">
        <f aca="false">IF($E194="",0,MAX(0,ROUNDDOWN((TecilRaporTarihi-$E194)/30,0)))</f>
        <v>0</v>
      </c>
      <c r="H194" s="19" t="n">
        <f aca="false">IF($C194="",0,$C194+$D194)</f>
        <v>0</v>
      </c>
      <c r="I194" s="19" t="n">
        <f aca="false">IF($C194="",0,$C194*$F194)</f>
        <v>0</v>
      </c>
      <c r="J194" s="19" t="str">
        <f aca="false">IF($B194="","",CONCATENATE("Borç: ",$B194," | Toplam: ",TEXT($H194,"#,##0")))</f>
        <v/>
      </c>
    </row>
    <row r="195" customFormat="false" ht="15" hidden="false" customHeight="false" outlineLevel="0" collapsed="false">
      <c r="A195" s="20"/>
      <c r="B195" s="20"/>
      <c r="C195" s="21"/>
      <c r="D195" s="21"/>
      <c r="E195" s="22"/>
      <c r="F195" s="23"/>
      <c r="G195" s="19" t="n">
        <f aca="false">IF($E195="",0,MAX(0,ROUNDDOWN((TecilRaporTarihi-$E195)/30,0)))</f>
        <v>0</v>
      </c>
      <c r="H195" s="19" t="n">
        <f aca="false">IF($C195="",0,$C195+$D195)</f>
        <v>0</v>
      </c>
      <c r="I195" s="19" t="n">
        <f aca="false">IF($C195="",0,$C195*$F195)</f>
        <v>0</v>
      </c>
      <c r="J195" s="19" t="str">
        <f aca="false">IF($B195="","",CONCATENATE("Borç: ",$B195," | Toplam: ",TEXT($H195,"#,##0")))</f>
        <v/>
      </c>
    </row>
    <row r="196" customFormat="false" ht="15" hidden="false" customHeight="false" outlineLevel="0" collapsed="false">
      <c r="A196" s="20"/>
      <c r="B196" s="20"/>
      <c r="C196" s="21"/>
      <c r="D196" s="21"/>
      <c r="E196" s="22"/>
      <c r="F196" s="23"/>
      <c r="G196" s="19" t="n">
        <f aca="false">IF($E196="",0,MAX(0,ROUNDDOWN((TecilRaporTarihi-$E196)/30,0)))</f>
        <v>0</v>
      </c>
      <c r="H196" s="19" t="n">
        <f aca="false">IF($C196="",0,$C196+$D196)</f>
        <v>0</v>
      </c>
      <c r="I196" s="19" t="n">
        <f aca="false">IF($C196="",0,$C196*$F196)</f>
        <v>0</v>
      </c>
      <c r="J196" s="19" t="str">
        <f aca="false">IF($B196="","",CONCATENATE("Borç: ",$B196," | Toplam: ",TEXT($H196,"#,##0")))</f>
        <v/>
      </c>
    </row>
    <row r="197" customFormat="false" ht="15" hidden="false" customHeight="false" outlineLevel="0" collapsed="false">
      <c r="A197" s="20"/>
      <c r="B197" s="20"/>
      <c r="C197" s="21"/>
      <c r="D197" s="21"/>
      <c r="E197" s="22"/>
      <c r="F197" s="23"/>
      <c r="G197" s="19" t="n">
        <f aca="false">IF($E197="",0,MAX(0,ROUNDDOWN((TecilRaporTarihi-$E197)/30,0)))</f>
        <v>0</v>
      </c>
      <c r="H197" s="19" t="n">
        <f aca="false">IF($C197="",0,$C197+$D197)</f>
        <v>0</v>
      </c>
      <c r="I197" s="19" t="n">
        <f aca="false">IF($C197="",0,$C197*$F197)</f>
        <v>0</v>
      </c>
      <c r="J197" s="19" t="str">
        <f aca="false">IF($B197="","",CONCATENATE("Borç: ",$B197," | Toplam: ",TEXT($H197,"#,##0")))</f>
        <v/>
      </c>
    </row>
    <row r="198" customFormat="false" ht="15" hidden="false" customHeight="false" outlineLevel="0" collapsed="false">
      <c r="A198" s="20"/>
      <c r="B198" s="20"/>
      <c r="C198" s="21"/>
      <c r="D198" s="21"/>
      <c r="E198" s="22"/>
      <c r="F198" s="23"/>
      <c r="G198" s="19" t="n">
        <f aca="false">IF($E198="",0,MAX(0,ROUNDDOWN((TecilRaporTarihi-$E198)/30,0)))</f>
        <v>0</v>
      </c>
      <c r="H198" s="19" t="n">
        <f aca="false">IF($C198="",0,$C198+$D198)</f>
        <v>0</v>
      </c>
      <c r="I198" s="19" t="n">
        <f aca="false">IF($C198="",0,$C198*$F198)</f>
        <v>0</v>
      </c>
      <c r="J198" s="19" t="str">
        <f aca="false">IF($B198="","",CONCATENATE("Borç: ",$B198," | Toplam: ",TEXT($H198,"#,##0")))</f>
        <v/>
      </c>
    </row>
    <row r="199" customFormat="false" ht="15" hidden="false" customHeight="false" outlineLevel="0" collapsed="false">
      <c r="A199" s="20"/>
      <c r="B199" s="20"/>
      <c r="C199" s="21"/>
      <c r="D199" s="21"/>
      <c r="E199" s="22"/>
      <c r="F199" s="23"/>
      <c r="G199" s="19" t="n">
        <f aca="false">IF($E199="",0,MAX(0,ROUNDDOWN((TecilRaporTarihi-$E199)/30,0)))</f>
        <v>0</v>
      </c>
      <c r="H199" s="19" t="n">
        <f aca="false">IF($C199="",0,$C199+$D199)</f>
        <v>0</v>
      </c>
      <c r="I199" s="19" t="n">
        <f aca="false">IF($C199="",0,$C199*$F199)</f>
        <v>0</v>
      </c>
      <c r="J199" s="19" t="str">
        <f aca="false">IF($B199="","",CONCATENATE("Borç: ",$B199," | Toplam: ",TEXT($H199,"#,##0")))</f>
        <v/>
      </c>
    </row>
    <row r="200" customFormat="false" ht="15" hidden="false" customHeight="false" outlineLevel="0" collapsed="false">
      <c r="A200" s="20"/>
      <c r="B200" s="20"/>
      <c r="C200" s="21"/>
      <c r="D200" s="21"/>
      <c r="E200" s="22"/>
      <c r="F200" s="23"/>
      <c r="G200" s="19" t="n">
        <f aca="false">IF($E200="",0,MAX(0,ROUNDDOWN((TecilRaporTarihi-$E200)/30,0)))</f>
        <v>0</v>
      </c>
      <c r="H200" s="19" t="n">
        <f aca="false">IF($C200="",0,$C200+$D200)</f>
        <v>0</v>
      </c>
      <c r="I200" s="19" t="n">
        <f aca="false">IF($C200="",0,$C200*$F200)</f>
        <v>0</v>
      </c>
      <c r="J200" s="19" t="str">
        <f aca="false">IF($B200="","",CONCATENATE("Borç: ",$B200," | Toplam: ",TEXT($H200,"#,##0")))</f>
        <v/>
      </c>
    </row>
    <row r="201" customFormat="false" ht="15" hidden="false" customHeight="false" outlineLevel="0" collapsed="false">
      <c r="A201" s="20"/>
      <c r="B201" s="20"/>
      <c r="C201" s="21"/>
      <c r="D201" s="21"/>
      <c r="E201" s="22"/>
      <c r="F201" s="23"/>
      <c r="G201" s="19" t="n">
        <f aca="false">IF($E201="",0,MAX(0,ROUNDDOWN((TecilRaporTarihi-$E201)/30,0)))</f>
        <v>0</v>
      </c>
      <c r="H201" s="19" t="n">
        <f aca="false">IF($C201="",0,$C201+$D201)</f>
        <v>0</v>
      </c>
      <c r="I201" s="19" t="n">
        <f aca="false">IF($C201="",0,$C201*$F201)</f>
        <v>0</v>
      </c>
      <c r="J201" s="19" t="str">
        <f aca="false">IF($B201="","",CONCATENATE("Borç: ",$B201," | Toplam: ",TEXT($H201,"#,##0")))</f>
        <v/>
      </c>
    </row>
    <row r="202" customFormat="false" ht="15" hidden="false" customHeight="false" outlineLevel="0" collapsed="false">
      <c r="A202" s="20"/>
      <c r="B202" s="20"/>
      <c r="C202" s="21"/>
      <c r="D202" s="21"/>
      <c r="E202" s="22"/>
      <c r="F202" s="23"/>
      <c r="G202" s="19" t="n">
        <f aca="false">IF($E202="",0,MAX(0,ROUNDDOWN((TecilRaporTarihi-$E202)/30,0)))</f>
        <v>0</v>
      </c>
      <c r="H202" s="19" t="n">
        <f aca="false">IF($C202="",0,$C202+$D202)</f>
        <v>0</v>
      </c>
      <c r="I202" s="19" t="n">
        <f aca="false">IF($C202="",0,$C202*$F202)</f>
        <v>0</v>
      </c>
      <c r="J202" s="19" t="str">
        <f aca="false">IF($B202="","",CONCATENATE("Borç: ",$B202," | Toplam: ",TEXT($H202,"#,##0")))</f>
        <v/>
      </c>
    </row>
    <row r="203" customFormat="false" ht="15" hidden="false" customHeight="false" outlineLevel="0" collapsed="false">
      <c r="A203" s="20"/>
      <c r="B203" s="20"/>
      <c r="C203" s="21"/>
      <c r="D203" s="21"/>
      <c r="E203" s="22"/>
      <c r="F203" s="23"/>
      <c r="G203" s="19" t="n">
        <f aca="false">IF($E203="",0,MAX(0,ROUNDDOWN((TecilRaporTarihi-$E203)/30,0)))</f>
        <v>0</v>
      </c>
      <c r="H203" s="19" t="n">
        <f aca="false">IF($C203="",0,$C203+$D203)</f>
        <v>0</v>
      </c>
      <c r="I203" s="19" t="n">
        <f aca="false">IF($C203="",0,$C203*$F203)</f>
        <v>0</v>
      </c>
      <c r="J203" s="19" t="str">
        <f aca="false">IF($B203="","",CONCATENATE("Borç: ",$B203," | Toplam: ",TEXT($H203,"#,##0")))</f>
        <v/>
      </c>
    </row>
    <row r="204" customFormat="false" ht="15" hidden="false" customHeight="false" outlineLevel="0" collapsed="false">
      <c r="A204" s="20"/>
      <c r="B204" s="20"/>
      <c r="C204" s="21"/>
      <c r="D204" s="21"/>
      <c r="E204" s="22"/>
      <c r="F204" s="23"/>
      <c r="G204" s="19" t="n">
        <f aca="false">IF($E204="",0,MAX(0,ROUNDDOWN((TecilRaporTarihi-$E204)/30,0)))</f>
        <v>0</v>
      </c>
      <c r="H204" s="19" t="n">
        <f aca="false">IF($C204="",0,$C204+$D204)</f>
        <v>0</v>
      </c>
      <c r="I204" s="19" t="n">
        <f aca="false">IF($C204="",0,$C204*$F204)</f>
        <v>0</v>
      </c>
      <c r="J204" s="19" t="str">
        <f aca="false">IF($B204="","",CONCATENATE("Borç: ",$B204," | Toplam: ",TEXT($H204,"#,##0")))</f>
        <v/>
      </c>
    </row>
    <row r="205" customFormat="false" ht="15" hidden="false" customHeight="false" outlineLevel="0" collapsed="false">
      <c r="A205" s="20"/>
      <c r="B205" s="20"/>
      <c r="C205" s="21"/>
      <c r="D205" s="21"/>
      <c r="E205" s="22"/>
      <c r="F205" s="23"/>
      <c r="G205" s="19" t="n">
        <f aca="false">IF($E205="",0,MAX(0,ROUNDDOWN((TecilRaporTarihi-$E205)/30,0)))</f>
        <v>0</v>
      </c>
      <c r="H205" s="19" t="n">
        <f aca="false">IF($C205="",0,$C205+$D205)</f>
        <v>0</v>
      </c>
      <c r="I205" s="19" t="n">
        <f aca="false">IF($C205="",0,$C205*$F205)</f>
        <v>0</v>
      </c>
      <c r="J205" s="19" t="str">
        <f aca="false">IF($B205="","",CONCATENATE("Borç: ",$B205," | Toplam: ",TEXT($H205,"#,##0")))</f>
        <v/>
      </c>
    </row>
    <row r="206" customFormat="false" ht="15" hidden="false" customHeight="false" outlineLevel="0" collapsed="false">
      <c r="A206" s="20"/>
      <c r="B206" s="20"/>
      <c r="C206" s="21"/>
      <c r="D206" s="21"/>
      <c r="E206" s="22"/>
      <c r="F206" s="23"/>
      <c r="G206" s="19" t="n">
        <f aca="false">IF($E206="",0,MAX(0,ROUNDDOWN((TecilRaporTarihi-$E206)/30,0)))</f>
        <v>0</v>
      </c>
      <c r="H206" s="19" t="n">
        <f aca="false">IF($C206="",0,$C206+$D206)</f>
        <v>0</v>
      </c>
      <c r="I206" s="19" t="n">
        <f aca="false">IF($C206="",0,$C206*$F206)</f>
        <v>0</v>
      </c>
      <c r="J206" s="19" t="str">
        <f aca="false">IF($B206="","",CONCATENATE("Borç: ",$B206," | Toplam: ",TEXT($H206,"#,##0")))</f>
        <v/>
      </c>
    </row>
    <row r="207" customFormat="false" ht="15" hidden="false" customHeight="false" outlineLevel="0" collapsed="false">
      <c r="A207" s="20"/>
      <c r="B207" s="20"/>
      <c r="C207" s="21"/>
      <c r="D207" s="21"/>
      <c r="E207" s="22"/>
      <c r="F207" s="23"/>
      <c r="G207" s="19" t="n">
        <f aca="false">IF($E207="",0,MAX(0,ROUNDDOWN((TecilRaporTarihi-$E207)/30,0)))</f>
        <v>0</v>
      </c>
      <c r="H207" s="19" t="n">
        <f aca="false">IF($C207="",0,$C207+$D207)</f>
        <v>0</v>
      </c>
      <c r="I207" s="19" t="n">
        <f aca="false">IF($C207="",0,$C207*$F207)</f>
        <v>0</v>
      </c>
      <c r="J207" s="19" t="str">
        <f aca="false">IF($B207="","",CONCATENATE("Borç: ",$B207," | Toplam: ",TEXT($H207,"#,##0")))</f>
        <v/>
      </c>
    </row>
    <row r="208" customFormat="false" ht="15" hidden="false" customHeight="false" outlineLevel="0" collapsed="false">
      <c r="A208" s="20"/>
      <c r="B208" s="20"/>
      <c r="C208" s="21"/>
      <c r="D208" s="21"/>
      <c r="E208" s="22"/>
      <c r="F208" s="23"/>
      <c r="G208" s="19" t="n">
        <f aca="false">IF($E208="",0,MAX(0,ROUNDDOWN((TecilRaporTarihi-$E208)/30,0)))</f>
        <v>0</v>
      </c>
      <c r="H208" s="19" t="n">
        <f aca="false">IF($C208="",0,$C208+$D208)</f>
        <v>0</v>
      </c>
      <c r="I208" s="19" t="n">
        <f aca="false">IF($C208="",0,$C208*$F208)</f>
        <v>0</v>
      </c>
      <c r="J208" s="19" t="str">
        <f aca="false">IF($B208="","",CONCATENATE("Borç: ",$B208," | Toplam: ",TEXT($H208,"#,##0")))</f>
        <v/>
      </c>
    </row>
    <row r="209" customFormat="false" ht="15" hidden="false" customHeight="false" outlineLevel="0" collapsed="false">
      <c r="A209" s="20"/>
      <c r="B209" s="20"/>
      <c r="C209" s="21"/>
      <c r="D209" s="21"/>
      <c r="E209" s="22"/>
      <c r="F209" s="23"/>
      <c r="G209" s="19" t="n">
        <f aca="false">IF($E209="",0,MAX(0,ROUNDDOWN((TecilRaporTarihi-$E209)/30,0)))</f>
        <v>0</v>
      </c>
      <c r="H209" s="19" t="n">
        <f aca="false">IF($C209="",0,$C209+$D209)</f>
        <v>0</v>
      </c>
      <c r="I209" s="19" t="n">
        <f aca="false">IF($C209="",0,$C209*$F209)</f>
        <v>0</v>
      </c>
      <c r="J209" s="19" t="str">
        <f aca="false">IF($B209="","",CONCATENATE("Borç: ",$B209," | Toplam: ",TEXT($H209,"#,##0")))</f>
        <v/>
      </c>
    </row>
    <row r="210" customFormat="false" ht="15" hidden="false" customHeight="false" outlineLevel="0" collapsed="false">
      <c r="A210" s="20"/>
      <c r="B210" s="20"/>
      <c r="C210" s="21"/>
      <c r="D210" s="21"/>
      <c r="E210" s="22"/>
      <c r="F210" s="23"/>
      <c r="G210" s="19" t="n">
        <f aca="false">IF($E210="",0,MAX(0,ROUNDDOWN((TecilRaporTarihi-$E210)/30,0)))</f>
        <v>0</v>
      </c>
      <c r="H210" s="19" t="n">
        <f aca="false">IF($C210="",0,$C210+$D210)</f>
        <v>0</v>
      </c>
      <c r="I210" s="19" t="n">
        <f aca="false">IF($C210="",0,$C210*$F210)</f>
        <v>0</v>
      </c>
      <c r="J210" s="19" t="str">
        <f aca="false">IF($B210="","",CONCATENATE("Borç: ",$B210," | Toplam: ",TEXT($H210,"#,##0")))</f>
        <v/>
      </c>
    </row>
    <row r="211" customFormat="false" ht="15" hidden="false" customHeight="false" outlineLevel="0" collapsed="false">
      <c r="A211" s="20"/>
      <c r="B211" s="20"/>
      <c r="C211" s="21"/>
      <c r="D211" s="21"/>
      <c r="E211" s="22"/>
      <c r="F211" s="23"/>
      <c r="G211" s="19" t="n">
        <f aca="false">IF($E211="",0,MAX(0,ROUNDDOWN((TecilRaporTarihi-$E211)/30,0)))</f>
        <v>0</v>
      </c>
      <c r="H211" s="19" t="n">
        <f aca="false">IF($C211="",0,$C211+$D211)</f>
        <v>0</v>
      </c>
      <c r="I211" s="19" t="n">
        <f aca="false">IF($C211="",0,$C211*$F211)</f>
        <v>0</v>
      </c>
      <c r="J211" s="19" t="str">
        <f aca="false">IF($B211="","",CONCATENATE("Borç: ",$B211," | Toplam: ",TEXT($H211,"#,##0")))</f>
        <v/>
      </c>
    </row>
    <row r="212" customFormat="false" ht="15" hidden="false" customHeight="false" outlineLevel="0" collapsed="false">
      <c r="A212" s="20"/>
      <c r="B212" s="20"/>
      <c r="C212" s="21"/>
      <c r="D212" s="21"/>
      <c r="E212" s="22"/>
      <c r="F212" s="23"/>
      <c r="G212" s="19" t="n">
        <f aca="false">IF($E212="",0,MAX(0,ROUNDDOWN((TecilRaporTarihi-$E212)/30,0)))</f>
        <v>0</v>
      </c>
      <c r="H212" s="19" t="n">
        <f aca="false">IF($C212="",0,$C212+$D212)</f>
        <v>0</v>
      </c>
      <c r="I212" s="19" t="n">
        <f aca="false">IF($C212="",0,$C212*$F212)</f>
        <v>0</v>
      </c>
      <c r="J212" s="19" t="str">
        <f aca="false">IF($B212="","",CONCATENATE("Borç: ",$B212," | Toplam: ",TEXT($H212,"#,##0")))</f>
        <v/>
      </c>
    </row>
    <row r="213" customFormat="false" ht="15" hidden="false" customHeight="false" outlineLevel="0" collapsed="false">
      <c r="A213" s="20"/>
      <c r="B213" s="20"/>
      <c r="C213" s="21"/>
      <c r="D213" s="21"/>
      <c r="E213" s="22"/>
      <c r="F213" s="23"/>
      <c r="G213" s="19" t="n">
        <f aca="false">IF($E213="",0,MAX(0,ROUNDDOWN((TecilRaporTarihi-$E213)/30,0)))</f>
        <v>0</v>
      </c>
      <c r="H213" s="19" t="n">
        <f aca="false">IF($C213="",0,$C213+$D213)</f>
        <v>0</v>
      </c>
      <c r="I213" s="19" t="n">
        <f aca="false">IF($C213="",0,$C213*$F213)</f>
        <v>0</v>
      </c>
      <c r="J213" s="19" t="str">
        <f aca="false">IF($B213="","",CONCATENATE("Borç: ",$B213," | Toplam: ",TEXT($H213,"#,##0")))</f>
        <v/>
      </c>
    </row>
    <row r="214" customFormat="false" ht="15" hidden="false" customHeight="false" outlineLevel="0" collapsed="false">
      <c r="A214" s="20"/>
      <c r="B214" s="20"/>
      <c r="C214" s="21"/>
      <c r="D214" s="21"/>
      <c r="E214" s="22"/>
      <c r="F214" s="23"/>
      <c r="G214" s="19" t="n">
        <f aca="false">IF($E214="",0,MAX(0,ROUNDDOWN((TecilRaporTarihi-$E214)/30,0)))</f>
        <v>0</v>
      </c>
      <c r="H214" s="19" t="n">
        <f aca="false">IF($C214="",0,$C214+$D214)</f>
        <v>0</v>
      </c>
      <c r="I214" s="19" t="n">
        <f aca="false">IF($C214="",0,$C214*$F214)</f>
        <v>0</v>
      </c>
      <c r="J214" s="19" t="str">
        <f aca="false">IF($B214="","",CONCATENATE("Borç: ",$B214," | Toplam: ",TEXT($H214,"#,##0")))</f>
        <v/>
      </c>
    </row>
    <row r="215" customFormat="false" ht="15" hidden="false" customHeight="false" outlineLevel="0" collapsed="false">
      <c r="A215" s="20"/>
      <c r="B215" s="20"/>
      <c r="C215" s="21"/>
      <c r="D215" s="21"/>
      <c r="E215" s="22"/>
      <c r="F215" s="23"/>
      <c r="G215" s="19" t="n">
        <f aca="false">IF($E215="",0,MAX(0,ROUNDDOWN((TecilRaporTarihi-$E215)/30,0)))</f>
        <v>0</v>
      </c>
      <c r="H215" s="19" t="n">
        <f aca="false">IF($C215="",0,$C215+$D215)</f>
        <v>0</v>
      </c>
      <c r="I215" s="19" t="n">
        <f aca="false">IF($C215="",0,$C215*$F215)</f>
        <v>0</v>
      </c>
      <c r="J215" s="19" t="str">
        <f aca="false">IF($B215="","",CONCATENATE("Borç: ",$B215," | Toplam: ",TEXT($H215,"#,##0")))</f>
        <v/>
      </c>
    </row>
    <row r="216" customFormat="false" ht="15" hidden="false" customHeight="false" outlineLevel="0" collapsed="false">
      <c r="A216" s="20"/>
      <c r="B216" s="20"/>
      <c r="C216" s="21"/>
      <c r="D216" s="21"/>
      <c r="E216" s="22"/>
      <c r="F216" s="23"/>
      <c r="G216" s="19" t="n">
        <f aca="false">IF($E216="",0,MAX(0,ROUNDDOWN((TecilRaporTarihi-$E216)/30,0)))</f>
        <v>0</v>
      </c>
      <c r="H216" s="19" t="n">
        <f aca="false">IF($C216="",0,$C216+$D216)</f>
        <v>0</v>
      </c>
      <c r="I216" s="19" t="n">
        <f aca="false">IF($C216="",0,$C216*$F216)</f>
        <v>0</v>
      </c>
      <c r="J216" s="19" t="str">
        <f aca="false">IF($B216="","",CONCATENATE("Borç: ",$B216," | Toplam: ",TEXT($H216,"#,##0")))</f>
        <v/>
      </c>
    </row>
    <row r="217" customFormat="false" ht="15" hidden="false" customHeight="false" outlineLevel="0" collapsed="false">
      <c r="A217" s="20"/>
      <c r="B217" s="20"/>
      <c r="C217" s="21"/>
      <c r="D217" s="21"/>
      <c r="E217" s="22"/>
      <c r="F217" s="23"/>
      <c r="G217" s="19" t="n">
        <f aca="false">IF($E217="",0,MAX(0,ROUNDDOWN((TecilRaporTarihi-$E217)/30,0)))</f>
        <v>0</v>
      </c>
      <c r="H217" s="19" t="n">
        <f aca="false">IF($C217="",0,$C217+$D217)</f>
        <v>0</v>
      </c>
      <c r="I217" s="19" t="n">
        <f aca="false">IF($C217="",0,$C217*$F217)</f>
        <v>0</v>
      </c>
      <c r="J217" s="19" t="str">
        <f aca="false">IF($B217="","",CONCATENATE("Borç: ",$B217," | Toplam: ",TEXT($H217,"#,##0")))</f>
        <v/>
      </c>
    </row>
    <row r="218" customFormat="false" ht="15" hidden="false" customHeight="false" outlineLevel="0" collapsed="false">
      <c r="A218" s="20"/>
      <c r="B218" s="20"/>
      <c r="C218" s="21"/>
      <c r="D218" s="21"/>
      <c r="E218" s="22"/>
      <c r="F218" s="23"/>
      <c r="G218" s="19" t="n">
        <f aca="false">IF($E218="",0,MAX(0,ROUNDDOWN((TecilRaporTarihi-$E218)/30,0)))</f>
        <v>0</v>
      </c>
      <c r="H218" s="19" t="n">
        <f aca="false">IF($C218="",0,$C218+$D218)</f>
        <v>0</v>
      </c>
      <c r="I218" s="19" t="n">
        <f aca="false">IF($C218="",0,$C218*$F218)</f>
        <v>0</v>
      </c>
      <c r="J218" s="19" t="str">
        <f aca="false">IF($B218="","",CONCATENATE("Borç: ",$B218," | Toplam: ",TEXT($H218,"#,##0")))</f>
        <v/>
      </c>
    </row>
    <row r="219" customFormat="false" ht="15" hidden="false" customHeight="false" outlineLevel="0" collapsed="false">
      <c r="A219" s="20"/>
      <c r="B219" s="20"/>
      <c r="C219" s="21"/>
      <c r="D219" s="21"/>
      <c r="E219" s="22"/>
      <c r="F219" s="23"/>
      <c r="G219" s="19" t="n">
        <f aca="false">IF($E219="",0,MAX(0,ROUNDDOWN((TecilRaporTarihi-$E219)/30,0)))</f>
        <v>0</v>
      </c>
      <c r="H219" s="19" t="n">
        <f aca="false">IF($C219="",0,$C219+$D219)</f>
        <v>0</v>
      </c>
      <c r="I219" s="19" t="n">
        <f aca="false">IF($C219="",0,$C219*$F219)</f>
        <v>0</v>
      </c>
      <c r="J219" s="19" t="str">
        <f aca="false">IF($B219="","",CONCATENATE("Borç: ",$B219," | Toplam: ",TEXT($H219,"#,##0")))</f>
        <v/>
      </c>
    </row>
    <row r="220" customFormat="false" ht="15" hidden="false" customHeight="false" outlineLevel="0" collapsed="false">
      <c r="A220" s="20"/>
      <c r="B220" s="20"/>
      <c r="C220" s="21"/>
      <c r="D220" s="21"/>
      <c r="E220" s="22"/>
      <c r="F220" s="23"/>
      <c r="G220" s="19" t="n">
        <f aca="false">IF($E220="",0,MAX(0,ROUNDDOWN((TecilRaporTarihi-$E220)/30,0)))</f>
        <v>0</v>
      </c>
      <c r="H220" s="19" t="n">
        <f aca="false">IF($C220="",0,$C220+$D220)</f>
        <v>0</v>
      </c>
      <c r="I220" s="19" t="n">
        <f aca="false">IF($C220="",0,$C220*$F220)</f>
        <v>0</v>
      </c>
      <c r="J220" s="19" t="str">
        <f aca="false">IF($B220="","",CONCATENATE("Borç: ",$B220," | Toplam: ",TEXT($H220,"#,##0")))</f>
        <v/>
      </c>
    </row>
    <row r="221" customFormat="false" ht="15" hidden="false" customHeight="false" outlineLevel="0" collapsed="false">
      <c r="A221" s="20"/>
      <c r="B221" s="20"/>
      <c r="C221" s="21"/>
      <c r="D221" s="21"/>
      <c r="E221" s="22"/>
      <c r="F221" s="23"/>
      <c r="G221" s="19" t="n">
        <f aca="false">IF($E221="",0,MAX(0,ROUNDDOWN((TecilRaporTarihi-$E221)/30,0)))</f>
        <v>0</v>
      </c>
      <c r="H221" s="19" t="n">
        <f aca="false">IF($C221="",0,$C221+$D221)</f>
        <v>0</v>
      </c>
      <c r="I221" s="19" t="n">
        <f aca="false">IF($C221="",0,$C221*$F221)</f>
        <v>0</v>
      </c>
      <c r="J221" s="19" t="str">
        <f aca="false">IF($B221="","",CONCATENATE("Borç: ",$B221," | Toplam: ",TEXT($H221,"#,##0")))</f>
        <v/>
      </c>
    </row>
    <row r="222" customFormat="false" ht="15" hidden="false" customHeight="false" outlineLevel="0" collapsed="false">
      <c r="A222" s="20"/>
      <c r="B222" s="20"/>
      <c r="C222" s="21"/>
      <c r="D222" s="21"/>
      <c r="E222" s="22"/>
      <c r="F222" s="23"/>
      <c r="G222" s="19" t="n">
        <f aca="false">IF($E222="",0,MAX(0,ROUNDDOWN((TecilRaporTarihi-$E222)/30,0)))</f>
        <v>0</v>
      </c>
      <c r="H222" s="19" t="n">
        <f aca="false">IF($C222="",0,$C222+$D222)</f>
        <v>0</v>
      </c>
      <c r="I222" s="19" t="n">
        <f aca="false">IF($C222="",0,$C222*$F222)</f>
        <v>0</v>
      </c>
      <c r="J222" s="19" t="str">
        <f aca="false">IF($B222="","",CONCATENATE("Borç: ",$B222," | Toplam: ",TEXT($H222,"#,##0")))</f>
        <v/>
      </c>
    </row>
    <row r="223" customFormat="false" ht="15" hidden="false" customHeight="false" outlineLevel="0" collapsed="false">
      <c r="A223" s="20"/>
      <c r="B223" s="20"/>
      <c r="C223" s="21"/>
      <c r="D223" s="21"/>
      <c r="E223" s="22"/>
      <c r="F223" s="23"/>
      <c r="G223" s="19" t="n">
        <f aca="false">IF($E223="",0,MAX(0,ROUNDDOWN((TecilRaporTarihi-$E223)/30,0)))</f>
        <v>0</v>
      </c>
      <c r="H223" s="19" t="n">
        <f aca="false">IF($C223="",0,$C223+$D223)</f>
        <v>0</v>
      </c>
      <c r="I223" s="19" t="n">
        <f aca="false">IF($C223="",0,$C223*$F223)</f>
        <v>0</v>
      </c>
      <c r="J223" s="19" t="str">
        <f aca="false">IF($B223="","",CONCATENATE("Borç: ",$B223," | Toplam: ",TEXT($H223,"#,##0")))</f>
        <v/>
      </c>
    </row>
    <row r="224" customFormat="false" ht="15" hidden="false" customHeight="false" outlineLevel="0" collapsed="false">
      <c r="A224" s="20"/>
      <c r="B224" s="20"/>
      <c r="C224" s="21"/>
      <c r="D224" s="21"/>
      <c r="E224" s="22"/>
      <c r="F224" s="23"/>
      <c r="G224" s="19" t="n">
        <f aca="false">IF($E224="",0,MAX(0,ROUNDDOWN((TecilRaporTarihi-$E224)/30,0)))</f>
        <v>0</v>
      </c>
      <c r="H224" s="19" t="n">
        <f aca="false">IF($C224="",0,$C224+$D224)</f>
        <v>0</v>
      </c>
      <c r="I224" s="19" t="n">
        <f aca="false">IF($C224="",0,$C224*$F224)</f>
        <v>0</v>
      </c>
      <c r="J224" s="19" t="str">
        <f aca="false">IF($B224="","",CONCATENATE("Borç: ",$B224," | Toplam: ",TEXT($H224,"#,##0")))</f>
        <v/>
      </c>
    </row>
    <row r="225" customFormat="false" ht="15" hidden="false" customHeight="false" outlineLevel="0" collapsed="false">
      <c r="A225" s="20"/>
      <c r="B225" s="20"/>
      <c r="C225" s="21"/>
      <c r="D225" s="21"/>
      <c r="E225" s="22"/>
      <c r="F225" s="23"/>
      <c r="G225" s="19" t="n">
        <f aca="false">IF($E225="",0,MAX(0,ROUNDDOWN((TecilRaporTarihi-$E225)/30,0)))</f>
        <v>0</v>
      </c>
      <c r="H225" s="19" t="n">
        <f aca="false">IF($C225="",0,$C225+$D225)</f>
        <v>0</v>
      </c>
      <c r="I225" s="19" t="n">
        <f aca="false">IF($C225="",0,$C225*$F225)</f>
        <v>0</v>
      </c>
      <c r="J225" s="19" t="str">
        <f aca="false">IF($B225="","",CONCATENATE("Borç: ",$B225," | Toplam: ",TEXT($H225,"#,##0")))</f>
        <v/>
      </c>
    </row>
    <row r="226" customFormat="false" ht="15" hidden="false" customHeight="false" outlineLevel="0" collapsed="false">
      <c r="A226" s="20"/>
      <c r="B226" s="20"/>
      <c r="C226" s="21"/>
      <c r="D226" s="21"/>
      <c r="E226" s="22"/>
      <c r="F226" s="23"/>
      <c r="G226" s="19" t="n">
        <f aca="false">IF($E226="",0,MAX(0,ROUNDDOWN((TecilRaporTarihi-$E226)/30,0)))</f>
        <v>0</v>
      </c>
      <c r="H226" s="19" t="n">
        <f aca="false">IF($C226="",0,$C226+$D226)</f>
        <v>0</v>
      </c>
      <c r="I226" s="19" t="n">
        <f aca="false">IF($C226="",0,$C226*$F226)</f>
        <v>0</v>
      </c>
      <c r="J226" s="19" t="str">
        <f aca="false">IF($B226="","",CONCATENATE("Borç: ",$B226," | Toplam: ",TEXT($H226,"#,##0")))</f>
        <v/>
      </c>
    </row>
    <row r="227" customFormat="false" ht="15" hidden="false" customHeight="false" outlineLevel="0" collapsed="false">
      <c r="A227" s="20"/>
      <c r="B227" s="20"/>
      <c r="C227" s="21"/>
      <c r="D227" s="21"/>
      <c r="E227" s="22"/>
      <c r="F227" s="23"/>
      <c r="G227" s="19" t="n">
        <f aca="false">IF($E227="",0,MAX(0,ROUNDDOWN((TecilRaporTarihi-$E227)/30,0)))</f>
        <v>0</v>
      </c>
      <c r="H227" s="19" t="n">
        <f aca="false">IF($C227="",0,$C227+$D227)</f>
        <v>0</v>
      </c>
      <c r="I227" s="19" t="n">
        <f aca="false">IF($C227="",0,$C227*$F227)</f>
        <v>0</v>
      </c>
      <c r="J227" s="19" t="str">
        <f aca="false">IF($B227="","",CONCATENATE("Borç: ",$B227," | Toplam: ",TEXT($H227,"#,##0")))</f>
        <v/>
      </c>
    </row>
    <row r="228" customFormat="false" ht="15" hidden="false" customHeight="false" outlineLevel="0" collapsed="false">
      <c r="A228" s="20"/>
      <c r="B228" s="20"/>
      <c r="C228" s="21"/>
      <c r="D228" s="21"/>
      <c r="E228" s="22"/>
      <c r="F228" s="23"/>
      <c r="G228" s="19" t="n">
        <f aca="false">IF($E228="",0,MAX(0,ROUNDDOWN((TecilRaporTarihi-$E228)/30,0)))</f>
        <v>0</v>
      </c>
      <c r="H228" s="19" t="n">
        <f aca="false">IF($C228="",0,$C228+$D228)</f>
        <v>0</v>
      </c>
      <c r="I228" s="19" t="n">
        <f aca="false">IF($C228="",0,$C228*$F228)</f>
        <v>0</v>
      </c>
      <c r="J228" s="19" t="str">
        <f aca="false">IF($B228="","",CONCATENATE("Borç: ",$B228," | Toplam: ",TEXT($H228,"#,##0")))</f>
        <v/>
      </c>
    </row>
    <row r="229" customFormat="false" ht="15" hidden="false" customHeight="false" outlineLevel="0" collapsed="false">
      <c r="A229" s="20"/>
      <c r="B229" s="20"/>
      <c r="C229" s="21"/>
      <c r="D229" s="21"/>
      <c r="E229" s="22"/>
      <c r="F229" s="23"/>
      <c r="G229" s="19" t="n">
        <f aca="false">IF($E229="",0,MAX(0,ROUNDDOWN((TecilRaporTarihi-$E229)/30,0)))</f>
        <v>0</v>
      </c>
      <c r="H229" s="19" t="n">
        <f aca="false">IF($C229="",0,$C229+$D229)</f>
        <v>0</v>
      </c>
      <c r="I229" s="19" t="n">
        <f aca="false">IF($C229="",0,$C229*$F229)</f>
        <v>0</v>
      </c>
      <c r="J229" s="19" t="str">
        <f aca="false">IF($B229="","",CONCATENATE("Borç: ",$B229," | Toplam: ",TEXT($H229,"#,##0")))</f>
        <v/>
      </c>
    </row>
    <row r="230" customFormat="false" ht="15" hidden="false" customHeight="false" outlineLevel="0" collapsed="false">
      <c r="A230" s="20"/>
      <c r="B230" s="20"/>
      <c r="C230" s="21"/>
      <c r="D230" s="21"/>
      <c r="E230" s="22"/>
      <c r="F230" s="23"/>
      <c r="G230" s="19" t="n">
        <f aca="false">IF($E230="",0,MAX(0,ROUNDDOWN((TecilRaporTarihi-$E230)/30,0)))</f>
        <v>0</v>
      </c>
      <c r="H230" s="19" t="n">
        <f aca="false">IF($C230="",0,$C230+$D230)</f>
        <v>0</v>
      </c>
      <c r="I230" s="19" t="n">
        <f aca="false">IF($C230="",0,$C230*$F230)</f>
        <v>0</v>
      </c>
      <c r="J230" s="19" t="str">
        <f aca="false">IF($B230="","",CONCATENATE("Borç: ",$B230," | Toplam: ",TEXT($H230,"#,##0")))</f>
        <v/>
      </c>
    </row>
    <row r="231" customFormat="false" ht="15" hidden="false" customHeight="false" outlineLevel="0" collapsed="false">
      <c r="A231" s="20"/>
      <c r="B231" s="20"/>
      <c r="C231" s="21"/>
      <c r="D231" s="21"/>
      <c r="E231" s="22"/>
      <c r="F231" s="23"/>
      <c r="G231" s="19" t="n">
        <f aca="false">IF($E231="",0,MAX(0,ROUNDDOWN((TecilRaporTarihi-$E231)/30,0)))</f>
        <v>0</v>
      </c>
      <c r="H231" s="19" t="n">
        <f aca="false">IF($C231="",0,$C231+$D231)</f>
        <v>0</v>
      </c>
      <c r="I231" s="19" t="n">
        <f aca="false">IF($C231="",0,$C231*$F231)</f>
        <v>0</v>
      </c>
      <c r="J231" s="19" t="str">
        <f aca="false">IF($B231="","",CONCATENATE("Borç: ",$B231," | Toplam: ",TEXT($H231,"#,##0")))</f>
        <v/>
      </c>
    </row>
    <row r="232" customFormat="false" ht="15" hidden="false" customHeight="false" outlineLevel="0" collapsed="false">
      <c r="A232" s="20"/>
      <c r="B232" s="20"/>
      <c r="C232" s="21"/>
      <c r="D232" s="21"/>
      <c r="E232" s="22"/>
      <c r="F232" s="23"/>
      <c r="G232" s="19" t="n">
        <f aca="false">IF($E232="",0,MAX(0,ROUNDDOWN((TecilRaporTarihi-$E232)/30,0)))</f>
        <v>0</v>
      </c>
      <c r="H232" s="19" t="n">
        <f aca="false">IF($C232="",0,$C232+$D232)</f>
        <v>0</v>
      </c>
      <c r="I232" s="19" t="n">
        <f aca="false">IF($C232="",0,$C232*$F232)</f>
        <v>0</v>
      </c>
      <c r="J232" s="19" t="str">
        <f aca="false">IF($B232="","",CONCATENATE("Borç: ",$B232," | Toplam: ",TEXT($H232,"#,##0")))</f>
        <v/>
      </c>
    </row>
    <row r="233" customFormat="false" ht="15" hidden="false" customHeight="false" outlineLevel="0" collapsed="false">
      <c r="A233" s="20"/>
      <c r="B233" s="20"/>
      <c r="C233" s="21"/>
      <c r="D233" s="21"/>
      <c r="E233" s="22"/>
      <c r="F233" s="23"/>
      <c r="G233" s="19" t="n">
        <f aca="false">IF($E233="",0,MAX(0,ROUNDDOWN((TecilRaporTarihi-$E233)/30,0)))</f>
        <v>0</v>
      </c>
      <c r="H233" s="19" t="n">
        <f aca="false">IF($C233="",0,$C233+$D233)</f>
        <v>0</v>
      </c>
      <c r="I233" s="19" t="n">
        <f aca="false">IF($C233="",0,$C233*$F233)</f>
        <v>0</v>
      </c>
      <c r="J233" s="19" t="str">
        <f aca="false">IF($B233="","",CONCATENATE("Borç: ",$B233," | Toplam: ",TEXT($H233,"#,##0")))</f>
        <v/>
      </c>
    </row>
    <row r="234" customFormat="false" ht="15" hidden="false" customHeight="false" outlineLevel="0" collapsed="false">
      <c r="A234" s="20"/>
      <c r="B234" s="20"/>
      <c r="C234" s="21"/>
      <c r="D234" s="21"/>
      <c r="E234" s="22"/>
      <c r="F234" s="23"/>
      <c r="G234" s="19" t="n">
        <f aca="false">IF($E234="",0,MAX(0,ROUNDDOWN((TecilRaporTarihi-$E234)/30,0)))</f>
        <v>0</v>
      </c>
      <c r="H234" s="19" t="n">
        <f aca="false">IF($C234="",0,$C234+$D234)</f>
        <v>0</v>
      </c>
      <c r="I234" s="19" t="n">
        <f aca="false">IF($C234="",0,$C234*$F234)</f>
        <v>0</v>
      </c>
      <c r="J234" s="19" t="str">
        <f aca="false">IF($B234="","",CONCATENATE("Borç: ",$B234," | Toplam: ",TEXT($H234,"#,##0")))</f>
        <v/>
      </c>
    </row>
    <row r="235" customFormat="false" ht="15" hidden="false" customHeight="false" outlineLevel="0" collapsed="false">
      <c r="A235" s="20"/>
      <c r="B235" s="20"/>
      <c r="C235" s="21"/>
      <c r="D235" s="21"/>
      <c r="E235" s="22"/>
      <c r="F235" s="23"/>
      <c r="G235" s="19" t="n">
        <f aca="false">IF($E235="",0,MAX(0,ROUNDDOWN((TecilRaporTarihi-$E235)/30,0)))</f>
        <v>0</v>
      </c>
      <c r="H235" s="19" t="n">
        <f aca="false">IF($C235="",0,$C235+$D235)</f>
        <v>0</v>
      </c>
      <c r="I235" s="19" t="n">
        <f aca="false">IF($C235="",0,$C235*$F235)</f>
        <v>0</v>
      </c>
      <c r="J235" s="19" t="str">
        <f aca="false">IF($B235="","",CONCATENATE("Borç: ",$B235," | Toplam: ",TEXT($H235,"#,##0")))</f>
        <v/>
      </c>
    </row>
    <row r="236" customFormat="false" ht="15" hidden="false" customHeight="false" outlineLevel="0" collapsed="false">
      <c r="A236" s="20"/>
      <c r="B236" s="20"/>
      <c r="C236" s="21"/>
      <c r="D236" s="21"/>
      <c r="E236" s="22"/>
      <c r="F236" s="23"/>
      <c r="G236" s="19" t="n">
        <f aca="false">IF($E236="",0,MAX(0,ROUNDDOWN((TecilRaporTarihi-$E236)/30,0)))</f>
        <v>0</v>
      </c>
      <c r="H236" s="19" t="n">
        <f aca="false">IF($C236="",0,$C236+$D236)</f>
        <v>0</v>
      </c>
      <c r="I236" s="19" t="n">
        <f aca="false">IF($C236="",0,$C236*$F236)</f>
        <v>0</v>
      </c>
      <c r="J236" s="19" t="str">
        <f aca="false">IF($B236="","",CONCATENATE("Borç: ",$B236," | Toplam: ",TEXT($H236,"#,##0")))</f>
        <v/>
      </c>
    </row>
    <row r="237" customFormat="false" ht="15" hidden="false" customHeight="false" outlineLevel="0" collapsed="false">
      <c r="A237" s="20"/>
      <c r="B237" s="20"/>
      <c r="C237" s="21"/>
      <c r="D237" s="21"/>
      <c r="E237" s="22"/>
      <c r="F237" s="23"/>
      <c r="G237" s="19" t="n">
        <f aca="false">IF($E237="",0,MAX(0,ROUNDDOWN((TecilRaporTarihi-$E237)/30,0)))</f>
        <v>0</v>
      </c>
      <c r="H237" s="19" t="n">
        <f aca="false">IF($C237="",0,$C237+$D237)</f>
        <v>0</v>
      </c>
      <c r="I237" s="19" t="n">
        <f aca="false">IF($C237="",0,$C237*$F237)</f>
        <v>0</v>
      </c>
      <c r="J237" s="19" t="str">
        <f aca="false">IF($B237="","",CONCATENATE("Borç: ",$B237," | Toplam: ",TEXT($H237,"#,##0")))</f>
        <v/>
      </c>
    </row>
    <row r="238" customFormat="false" ht="15" hidden="false" customHeight="false" outlineLevel="0" collapsed="false">
      <c r="A238" s="20"/>
      <c r="B238" s="20"/>
      <c r="C238" s="21"/>
      <c r="D238" s="21"/>
      <c r="E238" s="22"/>
      <c r="F238" s="23"/>
      <c r="G238" s="19" t="n">
        <f aca="false">IF($E238="",0,MAX(0,ROUNDDOWN((TecilRaporTarihi-$E238)/30,0)))</f>
        <v>0</v>
      </c>
      <c r="H238" s="19" t="n">
        <f aca="false">IF($C238="",0,$C238+$D238)</f>
        <v>0</v>
      </c>
      <c r="I238" s="19" t="n">
        <f aca="false">IF($C238="",0,$C238*$F238)</f>
        <v>0</v>
      </c>
      <c r="J238" s="19" t="str">
        <f aca="false">IF($B238="","",CONCATENATE("Borç: ",$B238," | Toplam: ",TEXT($H238,"#,##0")))</f>
        <v/>
      </c>
    </row>
    <row r="239" customFormat="false" ht="15" hidden="false" customHeight="false" outlineLevel="0" collapsed="false">
      <c r="A239" s="20"/>
      <c r="B239" s="20"/>
      <c r="C239" s="21"/>
      <c r="D239" s="21"/>
      <c r="E239" s="22"/>
      <c r="F239" s="23"/>
      <c r="G239" s="19" t="n">
        <f aca="false">IF($E239="",0,MAX(0,ROUNDDOWN((TecilRaporTarihi-$E239)/30,0)))</f>
        <v>0</v>
      </c>
      <c r="H239" s="19" t="n">
        <f aca="false">IF($C239="",0,$C239+$D239)</f>
        <v>0</v>
      </c>
      <c r="I239" s="19" t="n">
        <f aca="false">IF($C239="",0,$C239*$F239)</f>
        <v>0</v>
      </c>
      <c r="J239" s="19" t="str">
        <f aca="false">IF($B239="","",CONCATENATE("Borç: ",$B239," | Toplam: ",TEXT($H239,"#,##0")))</f>
        <v/>
      </c>
    </row>
    <row r="240" customFormat="false" ht="15" hidden="false" customHeight="false" outlineLevel="0" collapsed="false">
      <c r="A240" s="20"/>
      <c r="B240" s="20"/>
      <c r="C240" s="21"/>
      <c r="D240" s="21"/>
      <c r="E240" s="22"/>
      <c r="F240" s="23"/>
      <c r="G240" s="19" t="n">
        <f aca="false">IF($E240="",0,MAX(0,ROUNDDOWN((TecilRaporTarihi-$E240)/30,0)))</f>
        <v>0</v>
      </c>
      <c r="H240" s="19" t="n">
        <f aca="false">IF($C240="",0,$C240+$D240)</f>
        <v>0</v>
      </c>
      <c r="I240" s="19" t="n">
        <f aca="false">IF($C240="",0,$C240*$F240)</f>
        <v>0</v>
      </c>
      <c r="J240" s="19" t="str">
        <f aca="false">IF($B240="","",CONCATENATE("Borç: ",$B240," | Toplam: ",TEXT($H240,"#,##0")))</f>
        <v/>
      </c>
    </row>
    <row r="241" customFormat="false" ht="15" hidden="false" customHeight="false" outlineLevel="0" collapsed="false">
      <c r="A241" s="20"/>
      <c r="B241" s="20"/>
      <c r="C241" s="21"/>
      <c r="D241" s="21"/>
      <c r="E241" s="22"/>
      <c r="F241" s="23"/>
      <c r="G241" s="19" t="n">
        <f aca="false">IF($E241="",0,MAX(0,ROUNDDOWN((TecilRaporTarihi-$E241)/30,0)))</f>
        <v>0</v>
      </c>
      <c r="H241" s="19" t="n">
        <f aca="false">IF($C241="",0,$C241+$D241)</f>
        <v>0</v>
      </c>
      <c r="I241" s="19" t="n">
        <f aca="false">IF($C241="",0,$C241*$F241)</f>
        <v>0</v>
      </c>
      <c r="J241" s="19" t="str">
        <f aca="false">IF($B241="","",CONCATENATE("Borç: ",$B241," | Toplam: ",TEXT($H241,"#,##0")))</f>
        <v/>
      </c>
    </row>
    <row r="242" customFormat="false" ht="15" hidden="false" customHeight="false" outlineLevel="0" collapsed="false">
      <c r="A242" s="20"/>
      <c r="B242" s="20"/>
      <c r="C242" s="21"/>
      <c r="D242" s="21"/>
      <c r="E242" s="22"/>
      <c r="F242" s="23"/>
      <c r="G242" s="19" t="n">
        <f aca="false">IF($E242="",0,MAX(0,ROUNDDOWN((TecilRaporTarihi-$E242)/30,0)))</f>
        <v>0</v>
      </c>
      <c r="H242" s="19" t="n">
        <f aca="false">IF($C242="",0,$C242+$D242)</f>
        <v>0</v>
      </c>
      <c r="I242" s="19" t="n">
        <f aca="false">IF($C242="",0,$C242*$F242)</f>
        <v>0</v>
      </c>
      <c r="J242" s="19" t="str">
        <f aca="false">IF($B242="","",CONCATENATE("Borç: ",$B242," | Toplam: ",TEXT($H242,"#,##0")))</f>
        <v/>
      </c>
    </row>
    <row r="243" customFormat="false" ht="15" hidden="false" customHeight="false" outlineLevel="0" collapsed="false">
      <c r="A243" s="20"/>
      <c r="B243" s="20"/>
      <c r="C243" s="21"/>
      <c r="D243" s="21"/>
      <c r="E243" s="22"/>
      <c r="F243" s="23"/>
      <c r="G243" s="19" t="n">
        <f aca="false">IF($E243="",0,MAX(0,ROUNDDOWN((TecilRaporTarihi-$E243)/30,0)))</f>
        <v>0</v>
      </c>
      <c r="H243" s="19" t="n">
        <f aca="false">IF($C243="",0,$C243+$D243)</f>
        <v>0</v>
      </c>
      <c r="I243" s="19" t="n">
        <f aca="false">IF($C243="",0,$C243*$F243)</f>
        <v>0</v>
      </c>
      <c r="J243" s="19" t="str">
        <f aca="false">IF($B243="","",CONCATENATE("Borç: ",$B243," | Toplam: ",TEXT($H243,"#,##0")))</f>
        <v/>
      </c>
    </row>
    <row r="244" customFormat="false" ht="15" hidden="false" customHeight="false" outlineLevel="0" collapsed="false">
      <c r="A244" s="20"/>
      <c r="B244" s="20"/>
      <c r="C244" s="21"/>
      <c r="D244" s="21"/>
      <c r="E244" s="22"/>
      <c r="F244" s="23"/>
      <c r="G244" s="19" t="n">
        <f aca="false">IF($E244="",0,MAX(0,ROUNDDOWN((TecilRaporTarihi-$E244)/30,0)))</f>
        <v>0</v>
      </c>
      <c r="H244" s="19" t="n">
        <f aca="false">IF($C244="",0,$C244+$D244)</f>
        <v>0</v>
      </c>
      <c r="I244" s="19" t="n">
        <f aca="false">IF($C244="",0,$C244*$F244)</f>
        <v>0</v>
      </c>
      <c r="J244" s="19" t="str">
        <f aca="false">IF($B244="","",CONCATENATE("Borç: ",$B244," | Toplam: ",TEXT($H244,"#,##0")))</f>
        <v/>
      </c>
    </row>
    <row r="245" customFormat="false" ht="15" hidden="false" customHeight="false" outlineLevel="0" collapsed="false">
      <c r="A245" s="20"/>
      <c r="B245" s="20"/>
      <c r="C245" s="21"/>
      <c r="D245" s="21"/>
      <c r="E245" s="22"/>
      <c r="F245" s="23"/>
      <c r="G245" s="19" t="n">
        <f aca="false">IF($E245="",0,MAX(0,ROUNDDOWN((TecilRaporTarihi-$E245)/30,0)))</f>
        <v>0</v>
      </c>
      <c r="H245" s="19" t="n">
        <f aca="false">IF($C245="",0,$C245+$D245)</f>
        <v>0</v>
      </c>
      <c r="I245" s="19" t="n">
        <f aca="false">IF($C245="",0,$C245*$F245)</f>
        <v>0</v>
      </c>
      <c r="J245" s="19" t="str">
        <f aca="false">IF($B245="","",CONCATENATE("Borç: ",$B245," | Toplam: ",TEXT($H245,"#,##0")))</f>
        <v/>
      </c>
    </row>
    <row r="246" customFormat="false" ht="15" hidden="false" customHeight="false" outlineLevel="0" collapsed="false">
      <c r="A246" s="20"/>
      <c r="B246" s="20"/>
      <c r="C246" s="21"/>
      <c r="D246" s="21"/>
      <c r="E246" s="22"/>
      <c r="F246" s="23"/>
      <c r="G246" s="19" t="n">
        <f aca="false">IF($E246="",0,MAX(0,ROUNDDOWN((TecilRaporTarihi-$E246)/30,0)))</f>
        <v>0</v>
      </c>
      <c r="H246" s="19" t="n">
        <f aca="false">IF($C246="",0,$C246+$D246)</f>
        <v>0</v>
      </c>
      <c r="I246" s="19" t="n">
        <f aca="false">IF($C246="",0,$C246*$F246)</f>
        <v>0</v>
      </c>
      <c r="J246" s="19" t="str">
        <f aca="false">IF($B246="","",CONCATENATE("Borç: ",$B246," | Toplam: ",TEXT($H246,"#,##0")))</f>
        <v/>
      </c>
    </row>
    <row r="247" customFormat="false" ht="15" hidden="false" customHeight="false" outlineLevel="0" collapsed="false">
      <c r="A247" s="20"/>
      <c r="B247" s="20"/>
      <c r="C247" s="21"/>
      <c r="D247" s="21"/>
      <c r="E247" s="22"/>
      <c r="F247" s="23"/>
      <c r="G247" s="19" t="n">
        <f aca="false">IF($E247="",0,MAX(0,ROUNDDOWN((TecilRaporTarihi-$E247)/30,0)))</f>
        <v>0</v>
      </c>
      <c r="H247" s="19" t="n">
        <f aca="false">IF($C247="",0,$C247+$D247)</f>
        <v>0</v>
      </c>
      <c r="I247" s="19" t="n">
        <f aca="false">IF($C247="",0,$C247*$F247)</f>
        <v>0</v>
      </c>
      <c r="J247" s="19" t="str">
        <f aca="false">IF($B247="","",CONCATENATE("Borç: ",$B247," | Toplam: ",TEXT($H247,"#,##0")))</f>
        <v/>
      </c>
    </row>
    <row r="248" customFormat="false" ht="15" hidden="false" customHeight="false" outlineLevel="0" collapsed="false">
      <c r="A248" s="20"/>
      <c r="B248" s="20"/>
      <c r="C248" s="21"/>
      <c r="D248" s="21"/>
      <c r="E248" s="22"/>
      <c r="F248" s="23"/>
      <c r="G248" s="19" t="n">
        <f aca="false">IF($E248="",0,MAX(0,ROUNDDOWN((TecilRaporTarihi-$E248)/30,0)))</f>
        <v>0</v>
      </c>
      <c r="H248" s="19" t="n">
        <f aca="false">IF($C248="",0,$C248+$D248)</f>
        <v>0</v>
      </c>
      <c r="I248" s="19" t="n">
        <f aca="false">IF($C248="",0,$C248*$F248)</f>
        <v>0</v>
      </c>
      <c r="J248" s="19" t="str">
        <f aca="false">IF($B248="","",CONCATENATE("Borç: ",$B248," | Toplam: ",TEXT($H248,"#,##0")))</f>
        <v/>
      </c>
    </row>
    <row r="249" customFormat="false" ht="15" hidden="false" customHeight="false" outlineLevel="0" collapsed="false">
      <c r="A249" s="20"/>
      <c r="B249" s="20"/>
      <c r="C249" s="21"/>
      <c r="D249" s="21"/>
      <c r="E249" s="22"/>
      <c r="F249" s="23"/>
      <c r="G249" s="19" t="n">
        <f aca="false">IF($E249="",0,MAX(0,ROUNDDOWN((TecilRaporTarihi-$E249)/30,0)))</f>
        <v>0</v>
      </c>
      <c r="H249" s="19" t="n">
        <f aca="false">IF($C249="",0,$C249+$D249)</f>
        <v>0</v>
      </c>
      <c r="I249" s="19" t="n">
        <f aca="false">IF($C249="",0,$C249*$F249)</f>
        <v>0</v>
      </c>
      <c r="J249" s="19" t="str">
        <f aca="false">IF($B249="","",CONCATENATE("Borç: ",$B249," | Toplam: ",TEXT($H249,"#,##0")))</f>
        <v/>
      </c>
    </row>
    <row r="250" customFormat="false" ht="15" hidden="false" customHeight="false" outlineLevel="0" collapsed="false">
      <c r="A250" s="20"/>
      <c r="B250" s="20"/>
      <c r="C250" s="21"/>
      <c r="D250" s="21"/>
      <c r="E250" s="22"/>
      <c r="F250" s="23"/>
      <c r="G250" s="19" t="n">
        <f aca="false">IF($E250="",0,MAX(0,ROUNDDOWN((TecilRaporTarihi-$E250)/30,0)))</f>
        <v>0</v>
      </c>
      <c r="H250" s="19" t="n">
        <f aca="false">IF($C250="",0,$C250+$D250)</f>
        <v>0</v>
      </c>
      <c r="I250" s="19" t="n">
        <f aca="false">IF($C250="",0,$C250*$F250)</f>
        <v>0</v>
      </c>
      <c r="J250" s="19" t="str">
        <f aca="false">IF($B250="","",CONCATENATE("Borç: ",$B250," | Toplam: ",TEXT($H250,"#,##0")))</f>
        <v/>
      </c>
    </row>
    <row r="251" customFormat="false" ht="15" hidden="false" customHeight="false" outlineLevel="0" collapsed="false">
      <c r="A251" s="20"/>
      <c r="B251" s="20"/>
      <c r="C251" s="21"/>
      <c r="D251" s="21"/>
      <c r="E251" s="22"/>
      <c r="F251" s="23"/>
      <c r="G251" s="19" t="n">
        <f aca="false">IF($E251="",0,MAX(0,ROUNDDOWN((TecilRaporTarihi-$E251)/30,0)))</f>
        <v>0</v>
      </c>
      <c r="H251" s="19" t="n">
        <f aca="false">IF($C251="",0,$C251+$D251)</f>
        <v>0</v>
      </c>
      <c r="I251" s="19" t="n">
        <f aca="false">IF($C251="",0,$C251*$F251)</f>
        <v>0</v>
      </c>
      <c r="J251" s="19" t="str">
        <f aca="false">IF($B251="","",CONCATENATE("Borç: ",$B251," | Toplam: ",TEXT($H251,"#,##0")))</f>
        <v/>
      </c>
    </row>
    <row r="252" customFormat="false" ht="15" hidden="false" customHeight="false" outlineLevel="0" collapsed="false">
      <c r="A252" s="20"/>
      <c r="B252" s="20"/>
      <c r="C252" s="21"/>
      <c r="D252" s="21"/>
      <c r="E252" s="22"/>
      <c r="F252" s="23"/>
      <c r="G252" s="19" t="n">
        <f aca="false">IF($E252="",0,MAX(0,ROUNDDOWN((TecilRaporTarihi-$E252)/30,0)))</f>
        <v>0</v>
      </c>
      <c r="H252" s="19" t="n">
        <f aca="false">IF($C252="",0,$C252+$D252)</f>
        <v>0</v>
      </c>
      <c r="I252" s="19" t="n">
        <f aca="false">IF($C252="",0,$C252*$F252)</f>
        <v>0</v>
      </c>
      <c r="J252" s="19" t="str">
        <f aca="false">IF($B252="","",CONCATENATE("Borç: ",$B252," | Toplam: ",TEXT($H252,"#,##0")))</f>
        <v/>
      </c>
    </row>
    <row r="253" customFormat="false" ht="15" hidden="false" customHeight="false" outlineLevel="0" collapsed="false">
      <c r="A253" s="20"/>
      <c r="B253" s="20"/>
      <c r="C253" s="21"/>
      <c r="D253" s="21"/>
      <c r="E253" s="22"/>
      <c r="F253" s="23"/>
      <c r="G253" s="19" t="n">
        <f aca="false">IF($E253="",0,MAX(0,ROUNDDOWN((TecilRaporTarihi-$E253)/30,0)))</f>
        <v>0</v>
      </c>
      <c r="H253" s="19" t="n">
        <f aca="false">IF($C253="",0,$C253+$D253)</f>
        <v>0</v>
      </c>
      <c r="I253" s="19" t="n">
        <f aca="false">IF($C253="",0,$C253*$F253)</f>
        <v>0</v>
      </c>
      <c r="J253" s="19" t="str">
        <f aca="false">IF($B253="","",CONCATENATE("Borç: ",$B253," | Toplam: ",TEXT($H253,"#,##0")))</f>
        <v/>
      </c>
    </row>
    <row r="254" customFormat="false" ht="15" hidden="false" customHeight="false" outlineLevel="0" collapsed="false">
      <c r="A254" s="20"/>
      <c r="B254" s="20"/>
      <c r="C254" s="21"/>
      <c r="D254" s="21"/>
      <c r="E254" s="22"/>
      <c r="F254" s="23"/>
      <c r="G254" s="19" t="n">
        <f aca="false">IF($E254="",0,MAX(0,ROUNDDOWN((TecilRaporTarihi-$E254)/30,0)))</f>
        <v>0</v>
      </c>
      <c r="H254" s="19" t="n">
        <f aca="false">IF($C254="",0,$C254+$D254)</f>
        <v>0</v>
      </c>
      <c r="I254" s="19" t="n">
        <f aca="false">IF($C254="",0,$C254*$F254)</f>
        <v>0</v>
      </c>
      <c r="J254" s="19" t="str">
        <f aca="false">IF($B254="","",CONCATENATE("Borç: ",$B254," | Toplam: ",TEXT($H254,"#,##0")))</f>
        <v/>
      </c>
    </row>
    <row r="255" customFormat="false" ht="15" hidden="false" customHeight="false" outlineLevel="0" collapsed="false">
      <c r="A255" s="20"/>
      <c r="B255" s="20"/>
      <c r="C255" s="21"/>
      <c r="D255" s="21"/>
      <c r="E255" s="22"/>
      <c r="F255" s="23"/>
      <c r="G255" s="19" t="n">
        <f aca="false">IF($E255="",0,MAX(0,ROUNDDOWN((TecilRaporTarihi-$E255)/30,0)))</f>
        <v>0</v>
      </c>
      <c r="H255" s="19" t="n">
        <f aca="false">IF($C255="",0,$C255+$D255)</f>
        <v>0</v>
      </c>
      <c r="I255" s="19" t="n">
        <f aca="false">IF($C255="",0,$C255*$F255)</f>
        <v>0</v>
      </c>
      <c r="J255" s="19" t="str">
        <f aca="false">IF($B255="","",CONCATENATE("Borç: ",$B255," | Toplam: ",TEXT($H255,"#,##0")))</f>
        <v/>
      </c>
    </row>
    <row r="256" customFormat="false" ht="15" hidden="false" customHeight="false" outlineLevel="0" collapsed="false">
      <c r="A256" s="20"/>
      <c r="B256" s="20"/>
      <c r="C256" s="21"/>
      <c r="D256" s="21"/>
      <c r="E256" s="22"/>
      <c r="F256" s="23"/>
      <c r="G256" s="19" t="n">
        <f aca="false">IF($E256="",0,MAX(0,ROUNDDOWN((TecilRaporTarihi-$E256)/30,0)))</f>
        <v>0</v>
      </c>
      <c r="H256" s="19" t="n">
        <f aca="false">IF($C256="",0,$C256+$D256)</f>
        <v>0</v>
      </c>
      <c r="I256" s="19" t="n">
        <f aca="false">IF($C256="",0,$C256*$F256)</f>
        <v>0</v>
      </c>
      <c r="J256" s="19" t="str">
        <f aca="false">IF($B256="","",CONCATENATE("Borç: ",$B256," | Toplam: ",TEXT($H256,"#,##0")))</f>
        <v/>
      </c>
    </row>
    <row r="257" customFormat="false" ht="15" hidden="false" customHeight="false" outlineLevel="0" collapsed="false">
      <c r="A257" s="20"/>
      <c r="B257" s="20"/>
      <c r="C257" s="21"/>
      <c r="D257" s="21"/>
      <c r="E257" s="22"/>
      <c r="F257" s="23"/>
      <c r="G257" s="19" t="n">
        <f aca="false">IF($E257="",0,MAX(0,ROUNDDOWN((TecilRaporTarihi-$E257)/30,0)))</f>
        <v>0</v>
      </c>
      <c r="H257" s="19" t="n">
        <f aca="false">IF($C257="",0,$C257+$D257)</f>
        <v>0</v>
      </c>
      <c r="I257" s="19" t="n">
        <f aca="false">IF($C257="",0,$C257*$F257)</f>
        <v>0</v>
      </c>
      <c r="J257" s="19" t="str">
        <f aca="false">IF($B257="","",CONCATENATE("Borç: ",$B257," | Toplam: ",TEXT($H257,"#,##0")))</f>
        <v/>
      </c>
    </row>
    <row r="258" customFormat="false" ht="15" hidden="false" customHeight="false" outlineLevel="0" collapsed="false">
      <c r="A258" s="20"/>
      <c r="B258" s="20"/>
      <c r="C258" s="21"/>
      <c r="D258" s="21"/>
      <c r="E258" s="22"/>
      <c r="F258" s="23"/>
      <c r="G258" s="19" t="n">
        <f aca="false">IF($E258="",0,MAX(0,ROUNDDOWN((TecilRaporTarihi-$E258)/30,0)))</f>
        <v>0</v>
      </c>
      <c r="H258" s="19" t="n">
        <f aca="false">IF($C258="",0,$C258+$D258)</f>
        <v>0</v>
      </c>
      <c r="I258" s="19" t="n">
        <f aca="false">IF($C258="",0,$C258*$F258)</f>
        <v>0</v>
      </c>
      <c r="J258" s="19" t="str">
        <f aca="false">IF($B258="","",CONCATENATE("Borç: ",$B258," | Toplam: ",TEXT($H258,"#,##0")))</f>
        <v/>
      </c>
    </row>
    <row r="259" customFormat="false" ht="15" hidden="false" customHeight="false" outlineLevel="0" collapsed="false">
      <c r="A259" s="20"/>
      <c r="B259" s="20"/>
      <c r="C259" s="21"/>
      <c r="D259" s="21"/>
      <c r="E259" s="22"/>
      <c r="F259" s="23"/>
      <c r="G259" s="19" t="n">
        <f aca="false">IF($E259="",0,MAX(0,ROUNDDOWN((TecilRaporTarihi-$E259)/30,0)))</f>
        <v>0</v>
      </c>
      <c r="H259" s="19" t="n">
        <f aca="false">IF($C259="",0,$C259+$D259)</f>
        <v>0</v>
      </c>
      <c r="I259" s="19" t="n">
        <f aca="false">IF($C259="",0,$C259*$F259)</f>
        <v>0</v>
      </c>
      <c r="J259" s="19" t="str">
        <f aca="false">IF($B259="","",CONCATENATE("Borç: ",$B259," | Toplam: ",TEXT($H259,"#,##0")))</f>
        <v/>
      </c>
    </row>
    <row r="260" customFormat="false" ht="15" hidden="false" customHeight="false" outlineLevel="0" collapsed="false">
      <c r="A260" s="20"/>
      <c r="B260" s="20"/>
      <c r="C260" s="21"/>
      <c r="D260" s="21"/>
      <c r="E260" s="22"/>
      <c r="F260" s="23"/>
      <c r="G260" s="19" t="n">
        <f aca="false">IF($E260="",0,MAX(0,ROUNDDOWN((TecilRaporTarihi-$E260)/30,0)))</f>
        <v>0</v>
      </c>
      <c r="H260" s="19" t="n">
        <f aca="false">IF($C260="",0,$C260+$D260)</f>
        <v>0</v>
      </c>
      <c r="I260" s="19" t="n">
        <f aca="false">IF($C260="",0,$C260*$F260)</f>
        <v>0</v>
      </c>
      <c r="J260" s="19" t="str">
        <f aca="false">IF($B260="","",CONCATENATE("Borç: ",$B260," | Toplam: ",TEXT($H260,"#,##0")))</f>
        <v/>
      </c>
    </row>
    <row r="261" customFormat="false" ht="15" hidden="false" customHeight="false" outlineLevel="0" collapsed="false">
      <c r="A261" s="20"/>
      <c r="B261" s="20"/>
      <c r="C261" s="21"/>
      <c r="D261" s="21"/>
      <c r="E261" s="22"/>
      <c r="F261" s="23"/>
      <c r="G261" s="19" t="n">
        <f aca="false">IF($E261="",0,MAX(0,ROUNDDOWN((TecilRaporTarihi-$E261)/30,0)))</f>
        <v>0</v>
      </c>
      <c r="H261" s="19" t="n">
        <f aca="false">IF($C261="",0,$C261+$D261)</f>
        <v>0</v>
      </c>
      <c r="I261" s="19" t="n">
        <f aca="false">IF($C261="",0,$C261*$F261)</f>
        <v>0</v>
      </c>
      <c r="J261" s="19" t="str">
        <f aca="false">IF($B261="","",CONCATENATE("Borç: ",$B261," | Toplam: ",TEXT($H261,"#,##0")))</f>
        <v/>
      </c>
    </row>
    <row r="262" customFormat="false" ht="15" hidden="false" customHeight="false" outlineLevel="0" collapsed="false">
      <c r="A262" s="20"/>
      <c r="B262" s="20"/>
      <c r="C262" s="21"/>
      <c r="D262" s="21"/>
      <c r="E262" s="22"/>
      <c r="F262" s="23"/>
      <c r="G262" s="19" t="n">
        <f aca="false">IF($E262="",0,MAX(0,ROUNDDOWN((TecilRaporTarihi-$E262)/30,0)))</f>
        <v>0</v>
      </c>
      <c r="H262" s="19" t="n">
        <f aca="false">IF($C262="",0,$C262+$D262)</f>
        <v>0</v>
      </c>
      <c r="I262" s="19" t="n">
        <f aca="false">IF($C262="",0,$C262*$F262)</f>
        <v>0</v>
      </c>
      <c r="J262" s="19" t="str">
        <f aca="false">IF($B262="","",CONCATENATE("Borç: ",$B262," | Toplam: ",TEXT($H262,"#,##0")))</f>
        <v/>
      </c>
    </row>
    <row r="263" customFormat="false" ht="15" hidden="false" customHeight="false" outlineLevel="0" collapsed="false">
      <c r="A263" s="20"/>
      <c r="B263" s="20"/>
      <c r="C263" s="21"/>
      <c r="D263" s="21"/>
      <c r="E263" s="22"/>
      <c r="F263" s="23"/>
      <c r="G263" s="19" t="n">
        <f aca="false">IF($E263="",0,MAX(0,ROUNDDOWN((TecilRaporTarihi-$E263)/30,0)))</f>
        <v>0</v>
      </c>
      <c r="H263" s="19" t="n">
        <f aca="false">IF($C263="",0,$C263+$D263)</f>
        <v>0</v>
      </c>
      <c r="I263" s="19" t="n">
        <f aca="false">IF($C263="",0,$C263*$F263)</f>
        <v>0</v>
      </c>
      <c r="J263" s="19" t="str">
        <f aca="false">IF($B263="","",CONCATENATE("Borç: ",$B263," | Toplam: ",TEXT($H263,"#,##0")))</f>
        <v/>
      </c>
    </row>
    <row r="264" customFormat="false" ht="15" hidden="false" customHeight="false" outlineLevel="0" collapsed="false">
      <c r="A264" s="20"/>
      <c r="B264" s="20"/>
      <c r="C264" s="21"/>
      <c r="D264" s="21"/>
      <c r="E264" s="22"/>
      <c r="F264" s="23"/>
      <c r="G264" s="19" t="n">
        <f aca="false">IF($E264="",0,MAX(0,ROUNDDOWN((TecilRaporTarihi-$E264)/30,0)))</f>
        <v>0</v>
      </c>
      <c r="H264" s="19" t="n">
        <f aca="false">IF($C264="",0,$C264+$D264)</f>
        <v>0</v>
      </c>
      <c r="I264" s="19" t="n">
        <f aca="false">IF($C264="",0,$C264*$F264)</f>
        <v>0</v>
      </c>
      <c r="J264" s="19" t="str">
        <f aca="false">IF($B264="","",CONCATENATE("Borç: ",$B264," | Toplam: ",TEXT($H264,"#,##0")))</f>
        <v/>
      </c>
    </row>
    <row r="265" customFormat="false" ht="15" hidden="false" customHeight="false" outlineLevel="0" collapsed="false">
      <c r="A265" s="20"/>
      <c r="B265" s="20"/>
      <c r="C265" s="21"/>
      <c r="D265" s="21"/>
      <c r="E265" s="22"/>
      <c r="F265" s="23"/>
      <c r="G265" s="19" t="n">
        <f aca="false">IF($E265="",0,MAX(0,ROUNDDOWN((TecilRaporTarihi-$E265)/30,0)))</f>
        <v>0</v>
      </c>
      <c r="H265" s="19" t="n">
        <f aca="false">IF($C265="",0,$C265+$D265)</f>
        <v>0</v>
      </c>
      <c r="I265" s="19" t="n">
        <f aca="false">IF($C265="",0,$C265*$F265)</f>
        <v>0</v>
      </c>
      <c r="J265" s="19" t="str">
        <f aca="false">IF($B265="","",CONCATENATE("Borç: ",$B265," | Toplam: ",TEXT($H265,"#,##0")))</f>
        <v/>
      </c>
    </row>
    <row r="266" customFormat="false" ht="15" hidden="false" customHeight="false" outlineLevel="0" collapsed="false">
      <c r="A266" s="20"/>
      <c r="B266" s="20"/>
      <c r="C266" s="21"/>
      <c r="D266" s="21"/>
      <c r="E266" s="22"/>
      <c r="F266" s="23"/>
      <c r="G266" s="19" t="n">
        <f aca="false">IF($E266="",0,MAX(0,ROUNDDOWN((TecilRaporTarihi-$E266)/30,0)))</f>
        <v>0</v>
      </c>
      <c r="H266" s="19" t="n">
        <f aca="false">IF($C266="",0,$C266+$D266)</f>
        <v>0</v>
      </c>
      <c r="I266" s="19" t="n">
        <f aca="false">IF($C266="",0,$C266*$F266)</f>
        <v>0</v>
      </c>
      <c r="J266" s="19" t="str">
        <f aca="false">IF($B266="","",CONCATENATE("Borç: ",$B266," | Toplam: ",TEXT($H266,"#,##0")))</f>
        <v/>
      </c>
    </row>
    <row r="267" customFormat="false" ht="15" hidden="false" customHeight="false" outlineLevel="0" collapsed="false">
      <c r="A267" s="20"/>
      <c r="B267" s="20"/>
      <c r="C267" s="21"/>
      <c r="D267" s="21"/>
      <c r="E267" s="22"/>
      <c r="F267" s="23"/>
      <c r="G267" s="19" t="n">
        <f aca="false">IF($E267="",0,MAX(0,ROUNDDOWN((TecilRaporTarihi-$E267)/30,0)))</f>
        <v>0</v>
      </c>
      <c r="H267" s="19" t="n">
        <f aca="false">IF($C267="",0,$C267+$D267)</f>
        <v>0</v>
      </c>
      <c r="I267" s="19" t="n">
        <f aca="false">IF($C267="",0,$C267*$F267)</f>
        <v>0</v>
      </c>
      <c r="J267" s="19" t="str">
        <f aca="false">IF($B267="","",CONCATENATE("Borç: ",$B267," | Toplam: ",TEXT($H267,"#,##0")))</f>
        <v/>
      </c>
    </row>
    <row r="268" customFormat="false" ht="15" hidden="false" customHeight="false" outlineLevel="0" collapsed="false">
      <c r="A268" s="20"/>
      <c r="B268" s="20"/>
      <c r="C268" s="21"/>
      <c r="D268" s="21"/>
      <c r="E268" s="22"/>
      <c r="F268" s="23"/>
      <c r="G268" s="19" t="n">
        <f aca="false">IF($E268="",0,MAX(0,ROUNDDOWN((TecilRaporTarihi-$E268)/30,0)))</f>
        <v>0</v>
      </c>
      <c r="H268" s="19" t="n">
        <f aca="false">IF($C268="",0,$C268+$D268)</f>
        <v>0</v>
      </c>
      <c r="I268" s="19" t="n">
        <f aca="false">IF($C268="",0,$C268*$F268)</f>
        <v>0</v>
      </c>
      <c r="J268" s="19" t="str">
        <f aca="false">IF($B268="","",CONCATENATE("Borç: ",$B268," | Toplam: ",TEXT($H268,"#,##0")))</f>
        <v/>
      </c>
    </row>
    <row r="269" customFormat="false" ht="15" hidden="false" customHeight="false" outlineLevel="0" collapsed="false">
      <c r="A269" s="20"/>
      <c r="B269" s="20"/>
      <c r="C269" s="21"/>
      <c r="D269" s="21"/>
      <c r="E269" s="22"/>
      <c r="F269" s="23"/>
      <c r="G269" s="19" t="n">
        <f aca="false">IF($E269="",0,MAX(0,ROUNDDOWN((TecilRaporTarihi-$E269)/30,0)))</f>
        <v>0</v>
      </c>
      <c r="H269" s="19" t="n">
        <f aca="false">IF($C269="",0,$C269+$D269)</f>
        <v>0</v>
      </c>
      <c r="I269" s="19" t="n">
        <f aca="false">IF($C269="",0,$C269*$F269)</f>
        <v>0</v>
      </c>
      <c r="J269" s="19" t="str">
        <f aca="false">IF($B269="","",CONCATENATE("Borç: ",$B269," | Toplam: ",TEXT($H269,"#,##0")))</f>
        <v/>
      </c>
    </row>
    <row r="270" customFormat="false" ht="15" hidden="false" customHeight="false" outlineLevel="0" collapsed="false">
      <c r="A270" s="20"/>
      <c r="B270" s="20"/>
      <c r="C270" s="21"/>
      <c r="D270" s="21"/>
      <c r="E270" s="22"/>
      <c r="F270" s="23"/>
      <c r="G270" s="19" t="n">
        <f aca="false">IF($E270="",0,MAX(0,ROUNDDOWN((TecilRaporTarihi-$E270)/30,0)))</f>
        <v>0</v>
      </c>
      <c r="H270" s="19" t="n">
        <f aca="false">IF($C270="",0,$C270+$D270)</f>
        <v>0</v>
      </c>
      <c r="I270" s="19" t="n">
        <f aca="false">IF($C270="",0,$C270*$F270)</f>
        <v>0</v>
      </c>
      <c r="J270" s="19" t="str">
        <f aca="false">IF($B270="","",CONCATENATE("Borç: ",$B270," | Toplam: ",TEXT($H270,"#,##0")))</f>
        <v/>
      </c>
    </row>
    <row r="271" customFormat="false" ht="15" hidden="false" customHeight="false" outlineLevel="0" collapsed="false">
      <c r="A271" s="20"/>
      <c r="B271" s="20"/>
      <c r="C271" s="21"/>
      <c r="D271" s="21"/>
      <c r="E271" s="22"/>
      <c r="F271" s="23"/>
      <c r="G271" s="19" t="n">
        <f aca="false">IF($E271="",0,MAX(0,ROUNDDOWN((TecilRaporTarihi-$E271)/30,0)))</f>
        <v>0</v>
      </c>
      <c r="H271" s="19" t="n">
        <f aca="false">IF($C271="",0,$C271+$D271)</f>
        <v>0</v>
      </c>
      <c r="I271" s="19" t="n">
        <f aca="false">IF($C271="",0,$C271*$F271)</f>
        <v>0</v>
      </c>
      <c r="J271" s="19" t="str">
        <f aca="false">IF($B271="","",CONCATENATE("Borç: ",$B271," | Toplam: ",TEXT($H271,"#,##0")))</f>
        <v/>
      </c>
    </row>
    <row r="272" customFormat="false" ht="15" hidden="false" customHeight="false" outlineLevel="0" collapsed="false">
      <c r="A272" s="20"/>
      <c r="B272" s="20"/>
      <c r="C272" s="21"/>
      <c r="D272" s="21"/>
      <c r="E272" s="22"/>
      <c r="F272" s="23"/>
      <c r="G272" s="19" t="n">
        <f aca="false">IF($E272="",0,MAX(0,ROUNDDOWN((TecilRaporTarihi-$E272)/30,0)))</f>
        <v>0</v>
      </c>
      <c r="H272" s="19" t="n">
        <f aca="false">IF($C272="",0,$C272+$D272)</f>
        <v>0</v>
      </c>
      <c r="I272" s="19" t="n">
        <f aca="false">IF($C272="",0,$C272*$F272)</f>
        <v>0</v>
      </c>
      <c r="J272" s="19" t="str">
        <f aca="false">IF($B272="","",CONCATENATE("Borç: ",$B272," | Toplam: ",TEXT($H272,"#,##0")))</f>
        <v/>
      </c>
    </row>
    <row r="273" customFormat="false" ht="15" hidden="false" customHeight="false" outlineLevel="0" collapsed="false">
      <c r="A273" s="20"/>
      <c r="B273" s="20"/>
      <c r="C273" s="21"/>
      <c r="D273" s="21"/>
      <c r="E273" s="22"/>
      <c r="F273" s="23"/>
      <c r="G273" s="19" t="n">
        <f aca="false">IF($E273="",0,MAX(0,ROUNDDOWN((TecilRaporTarihi-$E273)/30,0)))</f>
        <v>0</v>
      </c>
      <c r="H273" s="19" t="n">
        <f aca="false">IF($C273="",0,$C273+$D273)</f>
        <v>0</v>
      </c>
      <c r="I273" s="19" t="n">
        <f aca="false">IF($C273="",0,$C273*$F273)</f>
        <v>0</v>
      </c>
      <c r="J273" s="19" t="str">
        <f aca="false">IF($B273="","",CONCATENATE("Borç: ",$B273," | Toplam: ",TEXT($H273,"#,##0")))</f>
        <v/>
      </c>
    </row>
    <row r="274" customFormat="false" ht="15" hidden="false" customHeight="false" outlineLevel="0" collapsed="false">
      <c r="A274" s="20"/>
      <c r="B274" s="20"/>
      <c r="C274" s="21"/>
      <c r="D274" s="21"/>
      <c r="E274" s="22"/>
      <c r="F274" s="23"/>
      <c r="G274" s="19" t="n">
        <f aca="false">IF($E274="",0,MAX(0,ROUNDDOWN((TecilRaporTarihi-$E274)/30,0)))</f>
        <v>0</v>
      </c>
      <c r="H274" s="19" t="n">
        <f aca="false">IF($C274="",0,$C274+$D274)</f>
        <v>0</v>
      </c>
      <c r="I274" s="19" t="n">
        <f aca="false">IF($C274="",0,$C274*$F274)</f>
        <v>0</v>
      </c>
      <c r="J274" s="19" t="str">
        <f aca="false">IF($B274="","",CONCATENATE("Borç: ",$B274," | Toplam: ",TEXT($H274,"#,##0")))</f>
        <v/>
      </c>
    </row>
    <row r="275" customFormat="false" ht="15" hidden="false" customHeight="false" outlineLevel="0" collapsed="false">
      <c r="A275" s="20"/>
      <c r="B275" s="20"/>
      <c r="C275" s="21"/>
      <c r="D275" s="21"/>
      <c r="E275" s="22"/>
      <c r="F275" s="23"/>
      <c r="G275" s="19" t="n">
        <f aca="false">IF($E275="",0,MAX(0,ROUNDDOWN((TecilRaporTarihi-$E275)/30,0)))</f>
        <v>0</v>
      </c>
      <c r="H275" s="19" t="n">
        <f aca="false">IF($C275="",0,$C275+$D275)</f>
        <v>0</v>
      </c>
      <c r="I275" s="19" t="n">
        <f aca="false">IF($C275="",0,$C275*$F275)</f>
        <v>0</v>
      </c>
      <c r="J275" s="19" t="str">
        <f aca="false">IF($B275="","",CONCATENATE("Borç: ",$B275," | Toplam: ",TEXT($H275,"#,##0")))</f>
        <v/>
      </c>
    </row>
    <row r="276" customFormat="false" ht="15" hidden="false" customHeight="false" outlineLevel="0" collapsed="false">
      <c r="A276" s="20"/>
      <c r="B276" s="20"/>
      <c r="C276" s="21"/>
      <c r="D276" s="21"/>
      <c r="E276" s="22"/>
      <c r="F276" s="23"/>
      <c r="G276" s="19" t="n">
        <f aca="false">IF($E276="",0,MAX(0,ROUNDDOWN((TecilRaporTarihi-$E276)/30,0)))</f>
        <v>0</v>
      </c>
      <c r="H276" s="19" t="n">
        <f aca="false">IF($C276="",0,$C276+$D276)</f>
        <v>0</v>
      </c>
      <c r="I276" s="19" t="n">
        <f aca="false">IF($C276="",0,$C276*$F276)</f>
        <v>0</v>
      </c>
      <c r="J276" s="19" t="str">
        <f aca="false">IF($B276="","",CONCATENATE("Borç: ",$B276," | Toplam: ",TEXT($H276,"#,##0")))</f>
        <v/>
      </c>
    </row>
    <row r="277" customFormat="false" ht="15" hidden="false" customHeight="false" outlineLevel="0" collapsed="false">
      <c r="A277" s="20"/>
      <c r="B277" s="20"/>
      <c r="C277" s="21"/>
      <c r="D277" s="21"/>
      <c r="E277" s="22"/>
      <c r="F277" s="23"/>
      <c r="G277" s="19" t="n">
        <f aca="false">IF($E277="",0,MAX(0,ROUNDDOWN((TecilRaporTarihi-$E277)/30,0)))</f>
        <v>0</v>
      </c>
      <c r="H277" s="19" t="n">
        <f aca="false">IF($C277="",0,$C277+$D277)</f>
        <v>0</v>
      </c>
      <c r="I277" s="19" t="n">
        <f aca="false">IF($C277="",0,$C277*$F277)</f>
        <v>0</v>
      </c>
      <c r="J277" s="19" t="str">
        <f aca="false">IF($B277="","",CONCATENATE("Borç: ",$B277," | Toplam: ",TEXT($H277,"#,##0")))</f>
        <v/>
      </c>
    </row>
    <row r="278" customFormat="false" ht="15" hidden="false" customHeight="false" outlineLevel="0" collapsed="false">
      <c r="A278" s="20"/>
      <c r="B278" s="20"/>
      <c r="C278" s="21"/>
      <c r="D278" s="21"/>
      <c r="E278" s="22"/>
      <c r="F278" s="23"/>
      <c r="G278" s="19" t="n">
        <f aca="false">IF($E278="",0,MAX(0,ROUNDDOWN((TecilRaporTarihi-$E278)/30,0)))</f>
        <v>0</v>
      </c>
      <c r="H278" s="19" t="n">
        <f aca="false">IF($C278="",0,$C278+$D278)</f>
        <v>0</v>
      </c>
      <c r="I278" s="19" t="n">
        <f aca="false">IF($C278="",0,$C278*$F278)</f>
        <v>0</v>
      </c>
      <c r="J278" s="19" t="str">
        <f aca="false">IF($B278="","",CONCATENATE("Borç: ",$B278," | Toplam: ",TEXT($H278,"#,##0")))</f>
        <v/>
      </c>
    </row>
    <row r="279" customFormat="false" ht="15" hidden="false" customHeight="false" outlineLevel="0" collapsed="false">
      <c r="A279" s="20"/>
      <c r="B279" s="20"/>
      <c r="C279" s="21"/>
      <c r="D279" s="21"/>
      <c r="E279" s="22"/>
      <c r="F279" s="23"/>
      <c r="G279" s="19" t="n">
        <f aca="false">IF($E279="",0,MAX(0,ROUNDDOWN((TecilRaporTarihi-$E279)/30,0)))</f>
        <v>0</v>
      </c>
      <c r="H279" s="19" t="n">
        <f aca="false">IF($C279="",0,$C279+$D279)</f>
        <v>0</v>
      </c>
      <c r="I279" s="19" t="n">
        <f aca="false">IF($C279="",0,$C279*$F279)</f>
        <v>0</v>
      </c>
      <c r="J279" s="19" t="str">
        <f aca="false">IF($B279="","",CONCATENATE("Borç: ",$B279," | Toplam: ",TEXT($H279,"#,##0")))</f>
        <v/>
      </c>
    </row>
    <row r="280" customFormat="false" ht="15" hidden="false" customHeight="false" outlineLevel="0" collapsed="false">
      <c r="A280" s="20"/>
      <c r="B280" s="20"/>
      <c r="C280" s="21"/>
      <c r="D280" s="21"/>
      <c r="E280" s="22"/>
      <c r="F280" s="23"/>
      <c r="G280" s="19" t="n">
        <f aca="false">IF($E280="",0,MAX(0,ROUNDDOWN((TecilRaporTarihi-$E280)/30,0)))</f>
        <v>0</v>
      </c>
      <c r="H280" s="19" t="n">
        <f aca="false">IF($C280="",0,$C280+$D280)</f>
        <v>0</v>
      </c>
      <c r="I280" s="19" t="n">
        <f aca="false">IF($C280="",0,$C280*$F280)</f>
        <v>0</v>
      </c>
      <c r="J280" s="19" t="str">
        <f aca="false">IF($B280="","",CONCATENATE("Borç: ",$B280," | Toplam: ",TEXT($H280,"#,##0")))</f>
        <v/>
      </c>
    </row>
    <row r="281" customFormat="false" ht="15" hidden="false" customHeight="false" outlineLevel="0" collapsed="false">
      <c r="A281" s="20"/>
      <c r="B281" s="20"/>
      <c r="C281" s="21"/>
      <c r="D281" s="21"/>
      <c r="E281" s="22"/>
      <c r="F281" s="23"/>
      <c r="G281" s="19" t="n">
        <f aca="false">IF($E281="",0,MAX(0,ROUNDDOWN((TecilRaporTarihi-$E281)/30,0)))</f>
        <v>0</v>
      </c>
      <c r="H281" s="19" t="n">
        <f aca="false">IF($C281="",0,$C281+$D281)</f>
        <v>0</v>
      </c>
      <c r="I281" s="19" t="n">
        <f aca="false">IF($C281="",0,$C281*$F281)</f>
        <v>0</v>
      </c>
      <c r="J281" s="19" t="str">
        <f aca="false">IF($B281="","",CONCATENATE("Borç: ",$B281," | Toplam: ",TEXT($H281,"#,##0")))</f>
        <v/>
      </c>
    </row>
    <row r="282" customFormat="false" ht="15" hidden="false" customHeight="false" outlineLevel="0" collapsed="false">
      <c r="A282" s="20"/>
      <c r="B282" s="20"/>
      <c r="C282" s="21"/>
      <c r="D282" s="21"/>
      <c r="E282" s="22"/>
      <c r="F282" s="23"/>
      <c r="G282" s="19" t="n">
        <f aca="false">IF($E282="",0,MAX(0,ROUNDDOWN((TecilRaporTarihi-$E282)/30,0)))</f>
        <v>0</v>
      </c>
      <c r="H282" s="19" t="n">
        <f aca="false">IF($C282="",0,$C282+$D282)</f>
        <v>0</v>
      </c>
      <c r="I282" s="19" t="n">
        <f aca="false">IF($C282="",0,$C282*$F282)</f>
        <v>0</v>
      </c>
      <c r="J282" s="19" t="str">
        <f aca="false">IF($B282="","",CONCATENATE("Borç: ",$B282," | Toplam: ",TEXT($H282,"#,##0")))</f>
        <v/>
      </c>
    </row>
    <row r="283" customFormat="false" ht="15" hidden="false" customHeight="false" outlineLevel="0" collapsed="false">
      <c r="A283" s="20"/>
      <c r="B283" s="20"/>
      <c r="C283" s="21"/>
      <c r="D283" s="21"/>
      <c r="E283" s="22"/>
      <c r="F283" s="23"/>
      <c r="G283" s="19" t="n">
        <f aca="false">IF($E283="",0,MAX(0,ROUNDDOWN((TecilRaporTarihi-$E283)/30,0)))</f>
        <v>0</v>
      </c>
      <c r="H283" s="19" t="n">
        <f aca="false">IF($C283="",0,$C283+$D283)</f>
        <v>0</v>
      </c>
      <c r="I283" s="19" t="n">
        <f aca="false">IF($C283="",0,$C283*$F283)</f>
        <v>0</v>
      </c>
      <c r="J283" s="19" t="str">
        <f aca="false">IF($B283="","",CONCATENATE("Borç: ",$B283," | Toplam: ",TEXT($H283,"#,##0")))</f>
        <v/>
      </c>
    </row>
    <row r="284" customFormat="false" ht="15" hidden="false" customHeight="false" outlineLevel="0" collapsed="false">
      <c r="A284" s="20"/>
      <c r="B284" s="20"/>
      <c r="C284" s="21"/>
      <c r="D284" s="21"/>
      <c r="E284" s="22"/>
      <c r="F284" s="23"/>
      <c r="G284" s="19" t="n">
        <f aca="false">IF($E284="",0,MAX(0,ROUNDDOWN((TecilRaporTarihi-$E284)/30,0)))</f>
        <v>0</v>
      </c>
      <c r="H284" s="19" t="n">
        <f aca="false">IF($C284="",0,$C284+$D284)</f>
        <v>0</v>
      </c>
      <c r="I284" s="19" t="n">
        <f aca="false">IF($C284="",0,$C284*$F284)</f>
        <v>0</v>
      </c>
      <c r="J284" s="19" t="str">
        <f aca="false">IF($B284="","",CONCATENATE("Borç: ",$B284," | Toplam: ",TEXT($H284,"#,##0")))</f>
        <v/>
      </c>
    </row>
    <row r="285" customFormat="false" ht="15" hidden="false" customHeight="false" outlineLevel="0" collapsed="false">
      <c r="A285" s="20"/>
      <c r="B285" s="20"/>
      <c r="C285" s="21"/>
      <c r="D285" s="21"/>
      <c r="E285" s="22"/>
      <c r="F285" s="23"/>
      <c r="G285" s="19" t="n">
        <f aca="false">IF($E285="",0,MAX(0,ROUNDDOWN((TecilRaporTarihi-$E285)/30,0)))</f>
        <v>0</v>
      </c>
      <c r="H285" s="19" t="n">
        <f aca="false">IF($C285="",0,$C285+$D285)</f>
        <v>0</v>
      </c>
      <c r="I285" s="19" t="n">
        <f aca="false">IF($C285="",0,$C285*$F285)</f>
        <v>0</v>
      </c>
      <c r="J285" s="19" t="str">
        <f aca="false">IF($B285="","",CONCATENATE("Borç: ",$B285," | Toplam: ",TEXT($H285,"#,##0")))</f>
        <v/>
      </c>
    </row>
    <row r="286" customFormat="false" ht="15" hidden="false" customHeight="false" outlineLevel="0" collapsed="false">
      <c r="A286" s="20"/>
      <c r="B286" s="20"/>
      <c r="C286" s="21"/>
      <c r="D286" s="21"/>
      <c r="E286" s="22"/>
      <c r="F286" s="23"/>
      <c r="G286" s="19" t="n">
        <f aca="false">IF($E286="",0,MAX(0,ROUNDDOWN((TecilRaporTarihi-$E286)/30,0)))</f>
        <v>0</v>
      </c>
      <c r="H286" s="19" t="n">
        <f aca="false">IF($C286="",0,$C286+$D286)</f>
        <v>0</v>
      </c>
      <c r="I286" s="19" t="n">
        <f aca="false">IF($C286="",0,$C286*$F286)</f>
        <v>0</v>
      </c>
      <c r="J286" s="19" t="str">
        <f aca="false">IF($B286="","",CONCATENATE("Borç: ",$B286," | Toplam: ",TEXT($H286,"#,##0")))</f>
        <v/>
      </c>
    </row>
    <row r="287" customFormat="false" ht="15" hidden="false" customHeight="false" outlineLevel="0" collapsed="false">
      <c r="A287" s="20"/>
      <c r="B287" s="20"/>
      <c r="C287" s="21"/>
      <c r="D287" s="21"/>
      <c r="E287" s="22"/>
      <c r="F287" s="23"/>
      <c r="G287" s="19" t="n">
        <f aca="false">IF($E287="",0,MAX(0,ROUNDDOWN((TecilRaporTarihi-$E287)/30,0)))</f>
        <v>0</v>
      </c>
      <c r="H287" s="19" t="n">
        <f aca="false">IF($C287="",0,$C287+$D287)</f>
        <v>0</v>
      </c>
      <c r="I287" s="19" t="n">
        <f aca="false">IF($C287="",0,$C287*$F287)</f>
        <v>0</v>
      </c>
      <c r="J287" s="19" t="str">
        <f aca="false">IF($B287="","",CONCATENATE("Borç: ",$B287," | Toplam: ",TEXT($H287,"#,##0")))</f>
        <v/>
      </c>
    </row>
    <row r="288" customFormat="false" ht="15" hidden="false" customHeight="false" outlineLevel="0" collapsed="false">
      <c r="A288" s="20"/>
      <c r="B288" s="20"/>
      <c r="C288" s="21"/>
      <c r="D288" s="21"/>
      <c r="E288" s="22"/>
      <c r="F288" s="23"/>
      <c r="G288" s="19" t="n">
        <f aca="false">IF($E288="",0,MAX(0,ROUNDDOWN((TecilRaporTarihi-$E288)/30,0)))</f>
        <v>0</v>
      </c>
      <c r="H288" s="19" t="n">
        <f aca="false">IF($C288="",0,$C288+$D288)</f>
        <v>0</v>
      </c>
      <c r="I288" s="19" t="n">
        <f aca="false">IF($C288="",0,$C288*$F288)</f>
        <v>0</v>
      </c>
      <c r="J288" s="19" t="str">
        <f aca="false">IF($B288="","",CONCATENATE("Borç: ",$B288," | Toplam: ",TEXT($H288,"#,##0")))</f>
        <v/>
      </c>
    </row>
    <row r="289" customFormat="false" ht="15" hidden="false" customHeight="false" outlineLevel="0" collapsed="false">
      <c r="A289" s="20"/>
      <c r="B289" s="20"/>
      <c r="C289" s="21"/>
      <c r="D289" s="21"/>
      <c r="E289" s="22"/>
      <c r="F289" s="23"/>
      <c r="G289" s="19" t="n">
        <f aca="false">IF($E289="",0,MAX(0,ROUNDDOWN((TecilRaporTarihi-$E289)/30,0)))</f>
        <v>0</v>
      </c>
      <c r="H289" s="19" t="n">
        <f aca="false">IF($C289="",0,$C289+$D289)</f>
        <v>0</v>
      </c>
      <c r="I289" s="19" t="n">
        <f aca="false">IF($C289="",0,$C289*$F289)</f>
        <v>0</v>
      </c>
      <c r="J289" s="19" t="str">
        <f aca="false">IF($B289="","",CONCATENATE("Borç: ",$B289," | Toplam: ",TEXT($H289,"#,##0")))</f>
        <v/>
      </c>
    </row>
    <row r="290" customFormat="false" ht="15" hidden="false" customHeight="false" outlineLevel="0" collapsed="false">
      <c r="A290" s="20"/>
      <c r="B290" s="20"/>
      <c r="C290" s="21"/>
      <c r="D290" s="21"/>
      <c r="E290" s="22"/>
      <c r="F290" s="23"/>
      <c r="G290" s="19" t="n">
        <f aca="false">IF($E290="",0,MAX(0,ROUNDDOWN((TecilRaporTarihi-$E290)/30,0)))</f>
        <v>0</v>
      </c>
      <c r="H290" s="19" t="n">
        <f aca="false">IF($C290="",0,$C290+$D290)</f>
        <v>0</v>
      </c>
      <c r="I290" s="19" t="n">
        <f aca="false">IF($C290="",0,$C290*$F290)</f>
        <v>0</v>
      </c>
      <c r="J290" s="19" t="str">
        <f aca="false">IF($B290="","",CONCATENATE("Borç: ",$B290," | Toplam: ",TEXT($H290,"#,##0")))</f>
        <v/>
      </c>
    </row>
    <row r="291" customFormat="false" ht="15" hidden="false" customHeight="false" outlineLevel="0" collapsed="false">
      <c r="A291" s="20"/>
      <c r="B291" s="20"/>
      <c r="C291" s="21"/>
      <c r="D291" s="21"/>
      <c r="E291" s="22"/>
      <c r="F291" s="23"/>
      <c r="G291" s="19" t="n">
        <f aca="false">IF($E291="",0,MAX(0,ROUNDDOWN((TecilRaporTarihi-$E291)/30,0)))</f>
        <v>0</v>
      </c>
      <c r="H291" s="19" t="n">
        <f aca="false">IF($C291="",0,$C291+$D291)</f>
        <v>0</v>
      </c>
      <c r="I291" s="19" t="n">
        <f aca="false">IF($C291="",0,$C291*$F291)</f>
        <v>0</v>
      </c>
      <c r="J291" s="19" t="str">
        <f aca="false">IF($B291="","",CONCATENATE("Borç: ",$B291," | Toplam: ",TEXT($H291,"#,##0")))</f>
        <v/>
      </c>
    </row>
    <row r="292" customFormat="false" ht="15" hidden="false" customHeight="false" outlineLevel="0" collapsed="false">
      <c r="A292" s="20"/>
      <c r="B292" s="20"/>
      <c r="C292" s="21"/>
      <c r="D292" s="21"/>
      <c r="E292" s="22"/>
      <c r="F292" s="23"/>
      <c r="G292" s="19" t="n">
        <f aca="false">IF($E292="",0,MAX(0,ROUNDDOWN((TecilRaporTarihi-$E292)/30,0)))</f>
        <v>0</v>
      </c>
      <c r="H292" s="19" t="n">
        <f aca="false">IF($C292="",0,$C292+$D292)</f>
        <v>0</v>
      </c>
      <c r="I292" s="19" t="n">
        <f aca="false">IF($C292="",0,$C292*$F292)</f>
        <v>0</v>
      </c>
      <c r="J292" s="19" t="str">
        <f aca="false">IF($B292="","",CONCATENATE("Borç: ",$B292," | Toplam: ",TEXT($H292,"#,##0")))</f>
        <v/>
      </c>
    </row>
    <row r="293" customFormat="false" ht="15" hidden="false" customHeight="false" outlineLevel="0" collapsed="false">
      <c r="A293" s="20"/>
      <c r="B293" s="20"/>
      <c r="C293" s="21"/>
      <c r="D293" s="21"/>
      <c r="E293" s="22"/>
      <c r="F293" s="23"/>
      <c r="G293" s="19" t="n">
        <f aca="false">IF($E293="",0,MAX(0,ROUNDDOWN((TecilRaporTarihi-$E293)/30,0)))</f>
        <v>0</v>
      </c>
      <c r="H293" s="19" t="n">
        <f aca="false">IF($C293="",0,$C293+$D293)</f>
        <v>0</v>
      </c>
      <c r="I293" s="19" t="n">
        <f aca="false">IF($C293="",0,$C293*$F293)</f>
        <v>0</v>
      </c>
      <c r="J293" s="19" t="str">
        <f aca="false">IF($B293="","",CONCATENATE("Borç: ",$B293," | Toplam: ",TEXT($H293,"#,##0")))</f>
        <v/>
      </c>
    </row>
    <row r="294" customFormat="false" ht="15" hidden="false" customHeight="false" outlineLevel="0" collapsed="false">
      <c r="A294" s="20"/>
      <c r="B294" s="20"/>
      <c r="C294" s="21"/>
      <c r="D294" s="21"/>
      <c r="E294" s="22"/>
      <c r="F294" s="23"/>
      <c r="G294" s="19" t="n">
        <f aca="false">IF($E294="",0,MAX(0,ROUNDDOWN((TecilRaporTarihi-$E294)/30,0)))</f>
        <v>0</v>
      </c>
      <c r="H294" s="19" t="n">
        <f aca="false">IF($C294="",0,$C294+$D294)</f>
        <v>0</v>
      </c>
      <c r="I294" s="19" t="n">
        <f aca="false">IF($C294="",0,$C294*$F294)</f>
        <v>0</v>
      </c>
      <c r="J294" s="19" t="str">
        <f aca="false">IF($B294="","",CONCATENATE("Borç: ",$B294," | Toplam: ",TEXT($H294,"#,##0")))</f>
        <v/>
      </c>
    </row>
    <row r="295" customFormat="false" ht="15" hidden="false" customHeight="false" outlineLevel="0" collapsed="false">
      <c r="A295" s="20"/>
      <c r="B295" s="20"/>
      <c r="C295" s="21"/>
      <c r="D295" s="21"/>
      <c r="E295" s="22"/>
      <c r="F295" s="23"/>
      <c r="G295" s="19" t="n">
        <f aca="false">IF($E295="",0,MAX(0,ROUNDDOWN((TecilRaporTarihi-$E295)/30,0)))</f>
        <v>0</v>
      </c>
      <c r="H295" s="19" t="n">
        <f aca="false">IF($C295="",0,$C295+$D295)</f>
        <v>0</v>
      </c>
      <c r="I295" s="19" t="n">
        <f aca="false">IF($C295="",0,$C295*$F295)</f>
        <v>0</v>
      </c>
      <c r="J295" s="19" t="str">
        <f aca="false">IF($B295="","",CONCATENATE("Borç: ",$B295," | Toplam: ",TEXT($H295,"#,##0")))</f>
        <v/>
      </c>
    </row>
    <row r="296" customFormat="false" ht="15" hidden="false" customHeight="false" outlineLevel="0" collapsed="false">
      <c r="A296" s="20"/>
      <c r="B296" s="20"/>
      <c r="C296" s="21"/>
      <c r="D296" s="21"/>
      <c r="E296" s="22"/>
      <c r="F296" s="23"/>
      <c r="G296" s="19" t="n">
        <f aca="false">IF($E296="",0,MAX(0,ROUNDDOWN((TecilRaporTarihi-$E296)/30,0)))</f>
        <v>0</v>
      </c>
      <c r="H296" s="19" t="n">
        <f aca="false">IF($C296="",0,$C296+$D296)</f>
        <v>0</v>
      </c>
      <c r="I296" s="19" t="n">
        <f aca="false">IF($C296="",0,$C296*$F296)</f>
        <v>0</v>
      </c>
      <c r="J296" s="19" t="str">
        <f aca="false">IF($B296="","",CONCATENATE("Borç: ",$B296," | Toplam: ",TEXT($H296,"#,##0")))</f>
        <v/>
      </c>
    </row>
    <row r="297" customFormat="false" ht="15" hidden="false" customHeight="false" outlineLevel="0" collapsed="false">
      <c r="A297" s="20"/>
      <c r="B297" s="20"/>
      <c r="C297" s="21"/>
      <c r="D297" s="21"/>
      <c r="E297" s="22"/>
      <c r="F297" s="23"/>
      <c r="G297" s="19" t="n">
        <f aca="false">IF($E297="",0,MAX(0,ROUNDDOWN((TecilRaporTarihi-$E297)/30,0)))</f>
        <v>0</v>
      </c>
      <c r="H297" s="19" t="n">
        <f aca="false">IF($C297="",0,$C297+$D297)</f>
        <v>0</v>
      </c>
      <c r="I297" s="19" t="n">
        <f aca="false">IF($C297="",0,$C297*$F297)</f>
        <v>0</v>
      </c>
      <c r="J297" s="19" t="str">
        <f aca="false">IF($B297="","",CONCATENATE("Borç: ",$B297," | Toplam: ",TEXT($H297,"#,##0")))</f>
        <v/>
      </c>
    </row>
    <row r="298" customFormat="false" ht="15" hidden="false" customHeight="false" outlineLevel="0" collapsed="false">
      <c r="A298" s="20"/>
      <c r="B298" s="20"/>
      <c r="C298" s="21"/>
      <c r="D298" s="21"/>
      <c r="E298" s="22"/>
      <c r="F298" s="23"/>
      <c r="G298" s="19" t="n">
        <f aca="false">IF($E298="",0,MAX(0,ROUNDDOWN((TecilRaporTarihi-$E298)/30,0)))</f>
        <v>0</v>
      </c>
      <c r="H298" s="19" t="n">
        <f aca="false">IF($C298="",0,$C298+$D298)</f>
        <v>0</v>
      </c>
      <c r="I298" s="19" t="n">
        <f aca="false">IF($C298="",0,$C298*$F298)</f>
        <v>0</v>
      </c>
      <c r="J298" s="19" t="str">
        <f aca="false">IF($B298="","",CONCATENATE("Borç: ",$B298," | Toplam: ",TEXT($H298,"#,##0")))</f>
        <v/>
      </c>
    </row>
    <row r="299" customFormat="false" ht="15" hidden="false" customHeight="false" outlineLevel="0" collapsed="false">
      <c r="A299" s="20"/>
      <c r="B299" s="20"/>
      <c r="C299" s="21"/>
      <c r="D299" s="21"/>
      <c r="E299" s="22"/>
      <c r="F299" s="23"/>
      <c r="G299" s="19" t="n">
        <f aca="false">IF($E299="",0,MAX(0,ROUNDDOWN((TecilRaporTarihi-$E299)/30,0)))</f>
        <v>0</v>
      </c>
      <c r="H299" s="19" t="n">
        <f aca="false">IF($C299="",0,$C299+$D299)</f>
        <v>0</v>
      </c>
      <c r="I299" s="19" t="n">
        <f aca="false">IF($C299="",0,$C299*$F299)</f>
        <v>0</v>
      </c>
      <c r="J299" s="19" t="str">
        <f aca="false">IF($B299="","",CONCATENATE("Borç: ",$B299," | Toplam: ",TEXT($H299,"#,##0")))</f>
        <v/>
      </c>
    </row>
    <row r="300" customFormat="false" ht="15" hidden="false" customHeight="false" outlineLevel="0" collapsed="false">
      <c r="A300" s="20"/>
      <c r="B300" s="20"/>
      <c r="C300" s="21"/>
      <c r="D300" s="21"/>
      <c r="E300" s="22"/>
      <c r="F300" s="23"/>
      <c r="G300" s="19" t="n">
        <f aca="false">IF($E300="",0,MAX(0,ROUNDDOWN((TecilRaporTarihi-$E300)/30,0)))</f>
        <v>0</v>
      </c>
      <c r="H300" s="19" t="n">
        <f aca="false">IF($C300="",0,$C300+$D300)</f>
        <v>0</v>
      </c>
      <c r="I300" s="19" t="n">
        <f aca="false">IF($C300="",0,$C300*$F300)</f>
        <v>0</v>
      </c>
      <c r="J300" s="19" t="str">
        <f aca="false">IF($B300="","",CONCATENATE("Borç: ",$B300," | Toplam: ",TEXT($H300,"#,##0")))</f>
        <v/>
      </c>
    </row>
    <row r="301" customFormat="false" ht="15" hidden="false" customHeight="false" outlineLevel="0" collapsed="false">
      <c r="A301" s="20"/>
      <c r="B301" s="20"/>
      <c r="C301" s="21"/>
      <c r="D301" s="21"/>
      <c r="E301" s="22"/>
      <c r="F301" s="23"/>
      <c r="G301" s="19" t="n">
        <f aca="false">IF($E301="",0,MAX(0,ROUNDDOWN((TecilRaporTarihi-$E301)/30,0)))</f>
        <v>0</v>
      </c>
      <c r="H301" s="19" t="n">
        <f aca="false">IF($C301="",0,$C301+$D301)</f>
        <v>0</v>
      </c>
      <c r="I301" s="19" t="n">
        <f aca="false">IF($C301="",0,$C301*$F301)</f>
        <v>0</v>
      </c>
      <c r="J301" s="19" t="str">
        <f aca="false">IF($B301="","",CONCATENATE("Borç: ",$B301," | Toplam: ",TEXT($H301,"#,##0")))</f>
        <v/>
      </c>
    </row>
    <row r="302" customFormat="false" ht="15" hidden="false" customHeight="false" outlineLevel="0" collapsed="false">
      <c r="A302" s="20"/>
      <c r="B302" s="20"/>
      <c r="C302" s="21"/>
      <c r="D302" s="21"/>
      <c r="E302" s="22"/>
      <c r="F302" s="23"/>
      <c r="G302" s="19" t="n">
        <f aca="false">IF($E302="",0,MAX(0,ROUNDDOWN((TecilRaporTarihi-$E302)/30,0)))</f>
        <v>0</v>
      </c>
      <c r="H302" s="19" t="n">
        <f aca="false">IF($C302="",0,$C302+$D302)</f>
        <v>0</v>
      </c>
      <c r="I302" s="19" t="n">
        <f aca="false">IF($C302="",0,$C302*$F302)</f>
        <v>0</v>
      </c>
      <c r="J302" s="19" t="str">
        <f aca="false">IF($B302="","",CONCATENATE("Borç: ",$B302," | Toplam: ",TEXT($H302,"#,##0")))</f>
        <v/>
      </c>
    </row>
    <row r="303" customFormat="false" ht="15" hidden="false" customHeight="false" outlineLevel="0" collapsed="false">
      <c r="A303" s="20"/>
      <c r="B303" s="20"/>
      <c r="C303" s="21"/>
      <c r="D303" s="21"/>
      <c r="E303" s="22"/>
      <c r="F303" s="23"/>
      <c r="G303" s="19" t="n">
        <f aca="false">IF($E303="",0,MAX(0,ROUNDDOWN((TecilRaporTarihi-$E303)/30,0)))</f>
        <v>0</v>
      </c>
      <c r="H303" s="19" t="n">
        <f aca="false">IF($C303="",0,$C303+$D303)</f>
        <v>0</v>
      </c>
      <c r="I303" s="19" t="n">
        <f aca="false">IF($C303="",0,$C303*$F303)</f>
        <v>0</v>
      </c>
      <c r="J303" s="19" t="str">
        <f aca="false">IF($B303="","",CONCATENATE("Borç: ",$B303," | Toplam: ",TEXT($H303,"#,##0")))</f>
        <v/>
      </c>
    </row>
    <row r="304" customFormat="false" ht="15" hidden="false" customHeight="false" outlineLevel="0" collapsed="false">
      <c r="A304" s="20"/>
      <c r="B304" s="20"/>
      <c r="C304" s="21"/>
      <c r="D304" s="21"/>
      <c r="E304" s="22"/>
      <c r="F304" s="23"/>
      <c r="G304" s="19" t="n">
        <f aca="false">IF($E304="",0,MAX(0,ROUNDDOWN((TecilRaporTarihi-$E304)/30,0)))</f>
        <v>0</v>
      </c>
      <c r="H304" s="19" t="n">
        <f aca="false">IF($C304="",0,$C304+$D304)</f>
        <v>0</v>
      </c>
      <c r="I304" s="19" t="n">
        <f aca="false">IF($C304="",0,$C304*$F304)</f>
        <v>0</v>
      </c>
      <c r="J304" s="19" t="str">
        <f aca="false">IF($B304="","",CONCATENATE("Borç: ",$B304," | Toplam: ",TEXT($H304,"#,##0")))</f>
        <v/>
      </c>
    </row>
    <row r="305" customFormat="false" ht="15" hidden="false" customHeight="false" outlineLevel="0" collapsed="false">
      <c r="A305" s="20"/>
      <c r="B305" s="20"/>
      <c r="C305" s="21"/>
      <c r="D305" s="21"/>
      <c r="E305" s="22"/>
      <c r="F305" s="23"/>
      <c r="G305" s="19" t="n">
        <f aca="false">IF($E305="",0,MAX(0,ROUNDDOWN((TecilRaporTarihi-$E305)/30,0)))</f>
        <v>0</v>
      </c>
      <c r="H305" s="19" t="n">
        <f aca="false">IF($C305="",0,$C305+$D305)</f>
        <v>0</v>
      </c>
      <c r="I305" s="19" t="n">
        <f aca="false">IF($C305="",0,$C305*$F305)</f>
        <v>0</v>
      </c>
      <c r="J305" s="19" t="str">
        <f aca="false">IF($B305="","",CONCATENATE("Borç: ",$B305," | Toplam: ",TEXT($H305,"#,##0")))</f>
        <v/>
      </c>
    </row>
    <row r="306" customFormat="false" ht="15" hidden="false" customHeight="false" outlineLevel="0" collapsed="false">
      <c r="A306" s="20"/>
      <c r="B306" s="20"/>
      <c r="C306" s="21"/>
      <c r="D306" s="21"/>
      <c r="E306" s="22"/>
      <c r="F306" s="23"/>
      <c r="G306" s="19" t="n">
        <f aca="false">IF($E306="",0,MAX(0,ROUNDDOWN((TecilRaporTarihi-$E306)/30,0)))</f>
        <v>0</v>
      </c>
      <c r="H306" s="19" t="n">
        <f aca="false">IF($C306="",0,$C306+$D306)</f>
        <v>0</v>
      </c>
      <c r="I306" s="19" t="n">
        <f aca="false">IF($C306="",0,$C306*$F306)</f>
        <v>0</v>
      </c>
      <c r="J306" s="19" t="str">
        <f aca="false">IF($B306="","",CONCATENATE("Borç: ",$B306," | Toplam: ",TEXT($H306,"#,##0")))</f>
        <v/>
      </c>
    </row>
    <row r="307" customFormat="false" ht="15" hidden="false" customHeight="false" outlineLevel="0" collapsed="false">
      <c r="A307" s="20"/>
      <c r="B307" s="20"/>
      <c r="C307" s="21"/>
      <c r="D307" s="21"/>
      <c r="E307" s="22"/>
      <c r="F307" s="23"/>
      <c r="G307" s="19" t="n">
        <f aca="false">IF($E307="",0,MAX(0,ROUNDDOWN((TecilRaporTarihi-$E307)/30,0)))</f>
        <v>0</v>
      </c>
      <c r="H307" s="19" t="n">
        <f aca="false">IF($C307="",0,$C307+$D307)</f>
        <v>0</v>
      </c>
      <c r="I307" s="19" t="n">
        <f aca="false">IF($C307="",0,$C307*$F307)</f>
        <v>0</v>
      </c>
      <c r="J307" s="19" t="str">
        <f aca="false">IF($B307="","",CONCATENATE("Borç: ",$B307," | Toplam: ",TEXT($H307,"#,##0")))</f>
        <v/>
      </c>
    </row>
    <row r="308" customFormat="false" ht="15" hidden="false" customHeight="false" outlineLevel="0" collapsed="false">
      <c r="A308" s="20"/>
      <c r="B308" s="20"/>
      <c r="C308" s="21"/>
      <c r="D308" s="21"/>
      <c r="E308" s="22"/>
      <c r="F308" s="23"/>
      <c r="G308" s="19" t="n">
        <f aca="false">IF($E308="",0,MAX(0,ROUNDDOWN((TecilRaporTarihi-$E308)/30,0)))</f>
        <v>0</v>
      </c>
      <c r="H308" s="19" t="n">
        <f aca="false">IF($C308="",0,$C308+$D308)</f>
        <v>0</v>
      </c>
      <c r="I308" s="19" t="n">
        <f aca="false">IF($C308="",0,$C308*$F308)</f>
        <v>0</v>
      </c>
      <c r="J308" s="19" t="str">
        <f aca="false">IF($B308="","",CONCATENATE("Borç: ",$B308," | Toplam: ",TEXT($H308,"#,##0")))</f>
        <v/>
      </c>
    </row>
    <row r="309" customFormat="false" ht="15" hidden="false" customHeight="false" outlineLevel="0" collapsed="false">
      <c r="A309" s="20"/>
      <c r="B309" s="20"/>
      <c r="C309" s="21"/>
      <c r="D309" s="21"/>
      <c r="E309" s="22"/>
      <c r="F309" s="23"/>
      <c r="G309" s="19" t="n">
        <f aca="false">IF($E309="",0,MAX(0,ROUNDDOWN((TecilRaporTarihi-$E309)/30,0)))</f>
        <v>0</v>
      </c>
      <c r="H309" s="19" t="n">
        <f aca="false">IF($C309="",0,$C309+$D309)</f>
        <v>0</v>
      </c>
      <c r="I309" s="19" t="n">
        <f aca="false">IF($C309="",0,$C309*$F309)</f>
        <v>0</v>
      </c>
      <c r="J309" s="19" t="str">
        <f aca="false">IF($B309="","",CONCATENATE("Borç: ",$B309," | Toplam: ",TEXT($H309,"#,##0")))</f>
        <v/>
      </c>
    </row>
    <row r="310" customFormat="false" ht="15" hidden="false" customHeight="false" outlineLevel="0" collapsed="false">
      <c r="A310" s="20"/>
      <c r="B310" s="20"/>
      <c r="C310" s="21"/>
      <c r="D310" s="21"/>
      <c r="E310" s="22"/>
      <c r="F310" s="23"/>
      <c r="G310" s="19" t="n">
        <f aca="false">IF($E310="",0,MAX(0,ROUNDDOWN((TecilRaporTarihi-$E310)/30,0)))</f>
        <v>0</v>
      </c>
      <c r="H310" s="19" t="n">
        <f aca="false">IF($C310="",0,$C310+$D310)</f>
        <v>0</v>
      </c>
      <c r="I310" s="19" t="n">
        <f aca="false">IF($C310="",0,$C310*$F310)</f>
        <v>0</v>
      </c>
      <c r="J310" s="19" t="str">
        <f aca="false">IF($B310="","",CONCATENATE("Borç: ",$B310," | Toplam: ",TEXT($H310,"#,##0")))</f>
        <v/>
      </c>
    </row>
    <row r="311" customFormat="false" ht="15" hidden="false" customHeight="false" outlineLevel="0" collapsed="false">
      <c r="A311" s="20"/>
      <c r="B311" s="20"/>
      <c r="C311" s="21"/>
      <c r="D311" s="21"/>
      <c r="E311" s="22"/>
      <c r="F311" s="23"/>
      <c r="G311" s="19" t="n">
        <f aca="false">IF($E311="",0,MAX(0,ROUNDDOWN((TecilRaporTarihi-$E311)/30,0)))</f>
        <v>0</v>
      </c>
      <c r="H311" s="19" t="n">
        <f aca="false">IF($C311="",0,$C311+$D311)</f>
        <v>0</v>
      </c>
      <c r="I311" s="19" t="n">
        <f aca="false">IF($C311="",0,$C311*$F311)</f>
        <v>0</v>
      </c>
      <c r="J311" s="19" t="str">
        <f aca="false">IF($B311="","",CONCATENATE("Borç: ",$B311," | Toplam: ",TEXT($H311,"#,##0")))</f>
        <v/>
      </c>
    </row>
    <row r="312" customFormat="false" ht="15" hidden="false" customHeight="false" outlineLevel="0" collapsed="false">
      <c r="A312" s="20"/>
      <c r="B312" s="20"/>
      <c r="C312" s="21"/>
      <c r="D312" s="21"/>
      <c r="E312" s="22"/>
      <c r="F312" s="23"/>
      <c r="G312" s="19" t="n">
        <f aca="false">IF($E312="",0,MAX(0,ROUNDDOWN((TecilRaporTarihi-$E312)/30,0)))</f>
        <v>0</v>
      </c>
      <c r="H312" s="19" t="n">
        <f aca="false">IF($C312="",0,$C312+$D312)</f>
        <v>0</v>
      </c>
      <c r="I312" s="19" t="n">
        <f aca="false">IF($C312="",0,$C312*$F312)</f>
        <v>0</v>
      </c>
      <c r="J312" s="19" t="str">
        <f aca="false">IF($B312="","",CONCATENATE("Borç: ",$B312," | Toplam: ",TEXT($H312,"#,##0")))</f>
        <v/>
      </c>
    </row>
    <row r="313" customFormat="false" ht="15" hidden="false" customHeight="false" outlineLevel="0" collapsed="false">
      <c r="A313" s="20"/>
      <c r="B313" s="20"/>
      <c r="C313" s="21"/>
      <c r="D313" s="21"/>
      <c r="E313" s="22"/>
      <c r="F313" s="23"/>
      <c r="G313" s="19" t="n">
        <f aca="false">IF($E313="",0,MAX(0,ROUNDDOWN((TecilRaporTarihi-$E313)/30,0)))</f>
        <v>0</v>
      </c>
      <c r="H313" s="19" t="n">
        <f aca="false">IF($C313="",0,$C313+$D313)</f>
        <v>0</v>
      </c>
      <c r="I313" s="19" t="n">
        <f aca="false">IF($C313="",0,$C313*$F313)</f>
        <v>0</v>
      </c>
      <c r="J313" s="19" t="str">
        <f aca="false">IF($B313="","",CONCATENATE("Borç: ",$B313," | Toplam: ",TEXT($H313,"#,##0")))</f>
        <v/>
      </c>
    </row>
    <row r="314" customFormat="false" ht="15" hidden="false" customHeight="false" outlineLevel="0" collapsed="false">
      <c r="A314" s="20"/>
      <c r="B314" s="20"/>
      <c r="C314" s="21"/>
      <c r="D314" s="21"/>
      <c r="E314" s="22"/>
      <c r="F314" s="23"/>
      <c r="G314" s="19" t="n">
        <f aca="false">IF($E314="",0,MAX(0,ROUNDDOWN((TecilRaporTarihi-$E314)/30,0)))</f>
        <v>0</v>
      </c>
      <c r="H314" s="19" t="n">
        <f aca="false">IF($C314="",0,$C314+$D314)</f>
        <v>0</v>
      </c>
      <c r="I314" s="19" t="n">
        <f aca="false">IF($C314="",0,$C314*$F314)</f>
        <v>0</v>
      </c>
      <c r="J314" s="19" t="str">
        <f aca="false">IF($B314="","",CONCATENATE("Borç: ",$B314," | Toplam: ",TEXT($H314,"#,##0")))</f>
        <v/>
      </c>
    </row>
    <row r="315" customFormat="false" ht="15" hidden="false" customHeight="false" outlineLevel="0" collapsed="false">
      <c r="A315" s="20"/>
      <c r="B315" s="20"/>
      <c r="C315" s="21"/>
      <c r="D315" s="21"/>
      <c r="E315" s="22"/>
      <c r="F315" s="23"/>
      <c r="G315" s="19" t="n">
        <f aca="false">IF($E315="",0,MAX(0,ROUNDDOWN((TecilRaporTarihi-$E315)/30,0)))</f>
        <v>0</v>
      </c>
      <c r="H315" s="19" t="n">
        <f aca="false">IF($C315="",0,$C315+$D315)</f>
        <v>0</v>
      </c>
      <c r="I315" s="19" t="n">
        <f aca="false">IF($C315="",0,$C315*$F315)</f>
        <v>0</v>
      </c>
      <c r="J315" s="19" t="str">
        <f aca="false">IF($B315="","",CONCATENATE("Borç: ",$B315," | Toplam: ",TEXT($H315,"#,##0")))</f>
        <v/>
      </c>
    </row>
    <row r="316" customFormat="false" ht="15" hidden="false" customHeight="false" outlineLevel="0" collapsed="false">
      <c r="A316" s="20"/>
      <c r="B316" s="20"/>
      <c r="C316" s="21"/>
      <c r="D316" s="21"/>
      <c r="E316" s="22"/>
      <c r="F316" s="23"/>
      <c r="G316" s="19" t="n">
        <f aca="false">IF($E316="",0,MAX(0,ROUNDDOWN((TecilRaporTarihi-$E316)/30,0)))</f>
        <v>0</v>
      </c>
      <c r="H316" s="19" t="n">
        <f aca="false">IF($C316="",0,$C316+$D316)</f>
        <v>0</v>
      </c>
      <c r="I316" s="19" t="n">
        <f aca="false">IF($C316="",0,$C316*$F316)</f>
        <v>0</v>
      </c>
      <c r="J316" s="19" t="str">
        <f aca="false">IF($B316="","",CONCATENATE("Borç: ",$B316," | Toplam: ",TEXT($H316,"#,##0")))</f>
        <v/>
      </c>
    </row>
    <row r="317" customFormat="false" ht="15" hidden="false" customHeight="false" outlineLevel="0" collapsed="false">
      <c r="A317" s="20"/>
      <c r="B317" s="20"/>
      <c r="C317" s="21"/>
      <c r="D317" s="21"/>
      <c r="E317" s="22"/>
      <c r="F317" s="23"/>
      <c r="G317" s="19" t="n">
        <f aca="false">IF($E317="",0,MAX(0,ROUNDDOWN((TecilRaporTarihi-$E317)/30,0)))</f>
        <v>0</v>
      </c>
      <c r="H317" s="19" t="n">
        <f aca="false">IF($C317="",0,$C317+$D317)</f>
        <v>0</v>
      </c>
      <c r="I317" s="19" t="n">
        <f aca="false">IF($C317="",0,$C317*$F317)</f>
        <v>0</v>
      </c>
      <c r="J317" s="19" t="str">
        <f aca="false">IF($B317="","",CONCATENATE("Borç: ",$B317," | Toplam: ",TEXT($H317,"#,##0")))</f>
        <v/>
      </c>
    </row>
    <row r="318" customFormat="false" ht="15" hidden="false" customHeight="false" outlineLevel="0" collapsed="false">
      <c r="A318" s="20"/>
      <c r="B318" s="20"/>
      <c r="C318" s="21"/>
      <c r="D318" s="21"/>
      <c r="E318" s="22"/>
      <c r="F318" s="23"/>
      <c r="G318" s="19" t="n">
        <f aca="false">IF($E318="",0,MAX(0,ROUNDDOWN((TecilRaporTarihi-$E318)/30,0)))</f>
        <v>0</v>
      </c>
      <c r="H318" s="19" t="n">
        <f aca="false">IF($C318="",0,$C318+$D318)</f>
        <v>0</v>
      </c>
      <c r="I318" s="19" t="n">
        <f aca="false">IF($C318="",0,$C318*$F318)</f>
        <v>0</v>
      </c>
      <c r="J318" s="19" t="str">
        <f aca="false">IF($B318="","",CONCATENATE("Borç: ",$B318," | Toplam: ",TEXT($H318,"#,##0")))</f>
        <v/>
      </c>
    </row>
    <row r="319" customFormat="false" ht="15" hidden="false" customHeight="false" outlineLevel="0" collapsed="false">
      <c r="A319" s="20"/>
      <c r="B319" s="20"/>
      <c r="C319" s="21"/>
      <c r="D319" s="21"/>
      <c r="E319" s="22"/>
      <c r="F319" s="23"/>
      <c r="G319" s="19" t="n">
        <f aca="false">IF($E319="",0,MAX(0,ROUNDDOWN((TecilRaporTarihi-$E319)/30,0)))</f>
        <v>0</v>
      </c>
      <c r="H319" s="19" t="n">
        <f aca="false">IF($C319="",0,$C319+$D319)</f>
        <v>0</v>
      </c>
      <c r="I319" s="19" t="n">
        <f aca="false">IF($C319="",0,$C319*$F319)</f>
        <v>0</v>
      </c>
      <c r="J319" s="19" t="str">
        <f aca="false">IF($B319="","",CONCATENATE("Borç: ",$B319," | Toplam: ",TEXT($H319,"#,##0")))</f>
        <v/>
      </c>
    </row>
    <row r="320" customFormat="false" ht="15" hidden="false" customHeight="false" outlineLevel="0" collapsed="false">
      <c r="A320" s="20"/>
      <c r="B320" s="20"/>
      <c r="C320" s="21"/>
      <c r="D320" s="21"/>
      <c r="E320" s="22"/>
      <c r="F320" s="23"/>
      <c r="G320" s="19" t="n">
        <f aca="false">IF($E320="",0,MAX(0,ROUNDDOWN((TecilRaporTarihi-$E320)/30,0)))</f>
        <v>0</v>
      </c>
      <c r="H320" s="19" t="n">
        <f aca="false">IF($C320="",0,$C320+$D320)</f>
        <v>0</v>
      </c>
      <c r="I320" s="19" t="n">
        <f aca="false">IF($C320="",0,$C320*$F320)</f>
        <v>0</v>
      </c>
      <c r="J320" s="19" t="str">
        <f aca="false">IF($B320="","",CONCATENATE("Borç: ",$B320," | Toplam: ",TEXT($H320,"#,##0")))</f>
        <v/>
      </c>
    </row>
    <row r="321" customFormat="false" ht="15" hidden="false" customHeight="false" outlineLevel="0" collapsed="false">
      <c r="A321" s="20"/>
      <c r="B321" s="20"/>
      <c r="C321" s="21"/>
      <c r="D321" s="21"/>
      <c r="E321" s="22"/>
      <c r="F321" s="23"/>
      <c r="G321" s="19" t="n">
        <f aca="false">IF($E321="",0,MAX(0,ROUNDDOWN((TecilRaporTarihi-$E321)/30,0)))</f>
        <v>0</v>
      </c>
      <c r="H321" s="19" t="n">
        <f aca="false">IF($C321="",0,$C321+$D321)</f>
        <v>0</v>
      </c>
      <c r="I321" s="19" t="n">
        <f aca="false">IF($C321="",0,$C321*$F321)</f>
        <v>0</v>
      </c>
      <c r="J321" s="19" t="str">
        <f aca="false">IF($B321="","",CONCATENATE("Borç: ",$B321," | Toplam: ",TEXT($H321,"#,##0")))</f>
        <v/>
      </c>
    </row>
    <row r="322" customFormat="false" ht="15" hidden="false" customHeight="false" outlineLevel="0" collapsed="false">
      <c r="A322" s="20"/>
      <c r="B322" s="20"/>
      <c r="C322" s="21"/>
      <c r="D322" s="21"/>
      <c r="E322" s="22"/>
      <c r="F322" s="23"/>
      <c r="G322" s="19" t="n">
        <f aca="false">IF($E322="",0,MAX(0,ROUNDDOWN((TecilRaporTarihi-$E322)/30,0)))</f>
        <v>0</v>
      </c>
      <c r="H322" s="19" t="n">
        <f aca="false">IF($C322="",0,$C322+$D322)</f>
        <v>0</v>
      </c>
      <c r="I322" s="19" t="n">
        <f aca="false">IF($C322="",0,$C322*$F322)</f>
        <v>0</v>
      </c>
      <c r="J322" s="19" t="str">
        <f aca="false">IF($B322="","",CONCATENATE("Borç: ",$B322," | Toplam: ",TEXT($H322,"#,##0")))</f>
        <v/>
      </c>
    </row>
    <row r="323" customFormat="false" ht="15" hidden="false" customHeight="false" outlineLevel="0" collapsed="false">
      <c r="A323" s="20"/>
      <c r="B323" s="20"/>
      <c r="C323" s="21"/>
      <c r="D323" s="21"/>
      <c r="E323" s="22"/>
      <c r="F323" s="23"/>
      <c r="G323" s="19" t="n">
        <f aca="false">IF($E323="",0,MAX(0,ROUNDDOWN((TecilRaporTarihi-$E323)/30,0)))</f>
        <v>0</v>
      </c>
      <c r="H323" s="19" t="n">
        <f aca="false">IF($C323="",0,$C323+$D323)</f>
        <v>0</v>
      </c>
      <c r="I323" s="19" t="n">
        <f aca="false">IF($C323="",0,$C323*$F323)</f>
        <v>0</v>
      </c>
      <c r="J323" s="19" t="str">
        <f aca="false">IF($B323="","",CONCATENATE("Borç: ",$B323," | Toplam: ",TEXT($H323,"#,##0")))</f>
        <v/>
      </c>
    </row>
    <row r="324" customFormat="false" ht="15" hidden="false" customHeight="false" outlineLevel="0" collapsed="false">
      <c r="A324" s="20"/>
      <c r="B324" s="20"/>
      <c r="C324" s="21"/>
      <c r="D324" s="21"/>
      <c r="E324" s="22"/>
      <c r="F324" s="23"/>
      <c r="G324" s="19" t="n">
        <f aca="false">IF($E324="",0,MAX(0,ROUNDDOWN((TecilRaporTarihi-$E324)/30,0)))</f>
        <v>0</v>
      </c>
      <c r="H324" s="19" t="n">
        <f aca="false">IF($C324="",0,$C324+$D324)</f>
        <v>0</v>
      </c>
      <c r="I324" s="19" t="n">
        <f aca="false">IF($C324="",0,$C324*$F324)</f>
        <v>0</v>
      </c>
      <c r="J324" s="19" t="str">
        <f aca="false">IF($B324="","",CONCATENATE("Borç: ",$B324," | Toplam: ",TEXT($H324,"#,##0")))</f>
        <v/>
      </c>
    </row>
    <row r="325" customFormat="false" ht="15" hidden="false" customHeight="false" outlineLevel="0" collapsed="false">
      <c r="A325" s="20"/>
      <c r="B325" s="20"/>
      <c r="C325" s="21"/>
      <c r="D325" s="21"/>
      <c r="E325" s="22"/>
      <c r="F325" s="23"/>
      <c r="G325" s="19" t="n">
        <f aca="false">IF($E325="",0,MAX(0,ROUNDDOWN((TecilRaporTarihi-$E325)/30,0)))</f>
        <v>0</v>
      </c>
      <c r="H325" s="19" t="n">
        <f aca="false">IF($C325="",0,$C325+$D325)</f>
        <v>0</v>
      </c>
      <c r="I325" s="19" t="n">
        <f aca="false">IF($C325="",0,$C325*$F325)</f>
        <v>0</v>
      </c>
      <c r="J325" s="19" t="str">
        <f aca="false">IF($B325="","",CONCATENATE("Borç: ",$B325," | Toplam: ",TEXT($H325,"#,##0")))</f>
        <v/>
      </c>
    </row>
    <row r="326" customFormat="false" ht="15" hidden="false" customHeight="false" outlineLevel="0" collapsed="false">
      <c r="A326" s="20"/>
      <c r="B326" s="20"/>
      <c r="C326" s="21"/>
      <c r="D326" s="21"/>
      <c r="E326" s="22"/>
      <c r="F326" s="23"/>
      <c r="G326" s="19" t="n">
        <f aca="false">IF($E326="",0,MAX(0,ROUNDDOWN((TecilRaporTarihi-$E326)/30,0)))</f>
        <v>0</v>
      </c>
      <c r="H326" s="19" t="n">
        <f aca="false">IF($C326="",0,$C326+$D326)</f>
        <v>0</v>
      </c>
      <c r="I326" s="19" t="n">
        <f aca="false">IF($C326="",0,$C326*$F326)</f>
        <v>0</v>
      </c>
      <c r="J326" s="19" t="str">
        <f aca="false">IF($B326="","",CONCATENATE("Borç: ",$B326," | Toplam: ",TEXT($H326,"#,##0")))</f>
        <v/>
      </c>
    </row>
    <row r="327" customFormat="false" ht="15" hidden="false" customHeight="false" outlineLevel="0" collapsed="false">
      <c r="A327" s="20"/>
      <c r="B327" s="20"/>
      <c r="C327" s="21"/>
      <c r="D327" s="21"/>
      <c r="E327" s="22"/>
      <c r="F327" s="23"/>
      <c r="G327" s="19" t="n">
        <f aca="false">IF($E327="",0,MAX(0,ROUNDDOWN((TecilRaporTarihi-$E327)/30,0)))</f>
        <v>0</v>
      </c>
      <c r="H327" s="19" t="n">
        <f aca="false">IF($C327="",0,$C327+$D327)</f>
        <v>0</v>
      </c>
      <c r="I327" s="19" t="n">
        <f aca="false">IF($C327="",0,$C327*$F327)</f>
        <v>0</v>
      </c>
      <c r="J327" s="19" t="str">
        <f aca="false">IF($B327="","",CONCATENATE("Borç: ",$B327," | Toplam: ",TEXT($H327,"#,##0")))</f>
        <v/>
      </c>
    </row>
    <row r="328" customFormat="false" ht="15" hidden="false" customHeight="false" outlineLevel="0" collapsed="false">
      <c r="A328" s="20"/>
      <c r="B328" s="20"/>
      <c r="C328" s="21"/>
      <c r="D328" s="21"/>
      <c r="E328" s="22"/>
      <c r="F328" s="23"/>
      <c r="G328" s="19" t="n">
        <f aca="false">IF($E328="",0,MAX(0,ROUNDDOWN((TecilRaporTarihi-$E328)/30,0)))</f>
        <v>0</v>
      </c>
      <c r="H328" s="19" t="n">
        <f aca="false">IF($C328="",0,$C328+$D328)</f>
        <v>0</v>
      </c>
      <c r="I328" s="19" t="n">
        <f aca="false">IF($C328="",0,$C328*$F328)</f>
        <v>0</v>
      </c>
      <c r="J328" s="19" t="str">
        <f aca="false">IF($B328="","",CONCATENATE("Borç: ",$B328," | Toplam: ",TEXT($H328,"#,##0")))</f>
        <v/>
      </c>
    </row>
    <row r="329" customFormat="false" ht="15" hidden="false" customHeight="false" outlineLevel="0" collapsed="false">
      <c r="A329" s="20"/>
      <c r="B329" s="20"/>
      <c r="C329" s="21"/>
      <c r="D329" s="21"/>
      <c r="E329" s="22"/>
      <c r="F329" s="23"/>
      <c r="G329" s="19" t="n">
        <f aca="false">IF($E329="",0,MAX(0,ROUNDDOWN((TecilRaporTarihi-$E329)/30,0)))</f>
        <v>0</v>
      </c>
      <c r="H329" s="19" t="n">
        <f aca="false">IF($C329="",0,$C329+$D329)</f>
        <v>0</v>
      </c>
      <c r="I329" s="19" t="n">
        <f aca="false">IF($C329="",0,$C329*$F329)</f>
        <v>0</v>
      </c>
      <c r="J329" s="19" t="str">
        <f aca="false">IF($B329="","",CONCATENATE("Borç: ",$B329," | Toplam: ",TEXT($H329,"#,##0")))</f>
        <v/>
      </c>
    </row>
    <row r="330" customFormat="false" ht="15" hidden="false" customHeight="false" outlineLevel="0" collapsed="false">
      <c r="A330" s="20"/>
      <c r="B330" s="20"/>
      <c r="C330" s="21"/>
      <c r="D330" s="21"/>
      <c r="E330" s="22"/>
      <c r="F330" s="23"/>
      <c r="G330" s="19" t="n">
        <f aca="false">IF($E330="",0,MAX(0,ROUNDDOWN((TecilRaporTarihi-$E330)/30,0)))</f>
        <v>0</v>
      </c>
      <c r="H330" s="19" t="n">
        <f aca="false">IF($C330="",0,$C330+$D330)</f>
        <v>0</v>
      </c>
      <c r="I330" s="19" t="n">
        <f aca="false">IF($C330="",0,$C330*$F330)</f>
        <v>0</v>
      </c>
      <c r="J330" s="19" t="str">
        <f aca="false">IF($B330="","",CONCATENATE("Borç: ",$B330," | Toplam: ",TEXT($H330,"#,##0")))</f>
        <v/>
      </c>
    </row>
    <row r="331" customFormat="false" ht="15" hidden="false" customHeight="false" outlineLevel="0" collapsed="false">
      <c r="A331" s="20"/>
      <c r="B331" s="20"/>
      <c r="C331" s="21"/>
      <c r="D331" s="21"/>
      <c r="E331" s="22"/>
      <c r="F331" s="23"/>
      <c r="G331" s="19" t="n">
        <f aca="false">IF($E331="",0,MAX(0,ROUNDDOWN((TecilRaporTarihi-$E331)/30,0)))</f>
        <v>0</v>
      </c>
      <c r="H331" s="19" t="n">
        <f aca="false">IF($C331="",0,$C331+$D331)</f>
        <v>0</v>
      </c>
      <c r="I331" s="19" t="n">
        <f aca="false">IF($C331="",0,$C331*$F331)</f>
        <v>0</v>
      </c>
      <c r="J331" s="19" t="str">
        <f aca="false">IF($B331="","",CONCATENATE("Borç: ",$B331," | Toplam: ",TEXT($H331,"#,##0")))</f>
        <v/>
      </c>
    </row>
    <row r="332" customFormat="false" ht="15" hidden="false" customHeight="false" outlineLevel="0" collapsed="false">
      <c r="A332" s="20"/>
      <c r="B332" s="20"/>
      <c r="C332" s="21"/>
      <c r="D332" s="21"/>
      <c r="E332" s="22"/>
      <c r="F332" s="23"/>
      <c r="G332" s="19" t="n">
        <f aca="false">IF($E332="",0,MAX(0,ROUNDDOWN((TecilRaporTarihi-$E332)/30,0)))</f>
        <v>0</v>
      </c>
      <c r="H332" s="19" t="n">
        <f aca="false">IF($C332="",0,$C332+$D332)</f>
        <v>0</v>
      </c>
      <c r="I332" s="19" t="n">
        <f aca="false">IF($C332="",0,$C332*$F332)</f>
        <v>0</v>
      </c>
      <c r="J332" s="19" t="str">
        <f aca="false">IF($B332="","",CONCATENATE("Borç: ",$B332," | Toplam: ",TEXT($H332,"#,##0")))</f>
        <v/>
      </c>
    </row>
    <row r="333" customFormat="false" ht="15" hidden="false" customHeight="false" outlineLevel="0" collapsed="false">
      <c r="A333" s="20"/>
      <c r="B333" s="20"/>
      <c r="C333" s="21"/>
      <c r="D333" s="21"/>
      <c r="E333" s="22"/>
      <c r="F333" s="23"/>
      <c r="G333" s="19" t="n">
        <f aca="false">IF($E333="",0,MAX(0,ROUNDDOWN((TecilRaporTarihi-$E333)/30,0)))</f>
        <v>0</v>
      </c>
      <c r="H333" s="19" t="n">
        <f aca="false">IF($C333="",0,$C333+$D333)</f>
        <v>0</v>
      </c>
      <c r="I333" s="19" t="n">
        <f aca="false">IF($C333="",0,$C333*$F333)</f>
        <v>0</v>
      </c>
      <c r="J333" s="19" t="str">
        <f aca="false">IF($B333="","",CONCATENATE("Borç: ",$B333," | Toplam: ",TEXT($H333,"#,##0")))</f>
        <v/>
      </c>
    </row>
    <row r="334" customFormat="false" ht="15" hidden="false" customHeight="false" outlineLevel="0" collapsed="false">
      <c r="A334" s="20"/>
      <c r="B334" s="20"/>
      <c r="C334" s="21"/>
      <c r="D334" s="21"/>
      <c r="E334" s="22"/>
      <c r="F334" s="23"/>
      <c r="G334" s="19" t="n">
        <f aca="false">IF($E334="",0,MAX(0,ROUNDDOWN((TecilRaporTarihi-$E334)/30,0)))</f>
        <v>0</v>
      </c>
      <c r="H334" s="19" t="n">
        <f aca="false">IF($C334="",0,$C334+$D334)</f>
        <v>0</v>
      </c>
      <c r="I334" s="19" t="n">
        <f aca="false">IF($C334="",0,$C334*$F334)</f>
        <v>0</v>
      </c>
      <c r="J334" s="19" t="str">
        <f aca="false">IF($B334="","",CONCATENATE("Borç: ",$B334," | Toplam: ",TEXT($H334,"#,##0")))</f>
        <v/>
      </c>
    </row>
    <row r="335" customFormat="false" ht="15" hidden="false" customHeight="false" outlineLevel="0" collapsed="false">
      <c r="A335" s="20"/>
      <c r="B335" s="20"/>
      <c r="C335" s="21"/>
      <c r="D335" s="21"/>
      <c r="E335" s="22"/>
      <c r="F335" s="23"/>
      <c r="G335" s="19" t="n">
        <f aca="false">IF($E335="",0,MAX(0,ROUNDDOWN((TecilRaporTarihi-$E335)/30,0)))</f>
        <v>0</v>
      </c>
      <c r="H335" s="19" t="n">
        <f aca="false">IF($C335="",0,$C335+$D335)</f>
        <v>0</v>
      </c>
      <c r="I335" s="19" t="n">
        <f aca="false">IF($C335="",0,$C335*$F335)</f>
        <v>0</v>
      </c>
      <c r="J335" s="19" t="str">
        <f aca="false">IF($B335="","",CONCATENATE("Borç: ",$B335," | Toplam: ",TEXT($H335,"#,##0")))</f>
        <v/>
      </c>
    </row>
    <row r="336" customFormat="false" ht="15" hidden="false" customHeight="false" outlineLevel="0" collapsed="false">
      <c r="A336" s="20"/>
      <c r="B336" s="20"/>
      <c r="C336" s="21"/>
      <c r="D336" s="21"/>
      <c r="E336" s="22"/>
      <c r="F336" s="23"/>
      <c r="G336" s="19" t="n">
        <f aca="false">IF($E336="",0,MAX(0,ROUNDDOWN((TecilRaporTarihi-$E336)/30,0)))</f>
        <v>0</v>
      </c>
      <c r="H336" s="19" t="n">
        <f aca="false">IF($C336="",0,$C336+$D336)</f>
        <v>0</v>
      </c>
      <c r="I336" s="19" t="n">
        <f aca="false">IF($C336="",0,$C336*$F336)</f>
        <v>0</v>
      </c>
      <c r="J336" s="19" t="str">
        <f aca="false">IF($B336="","",CONCATENATE("Borç: ",$B336," | Toplam: ",TEXT($H336,"#,##0")))</f>
        <v/>
      </c>
    </row>
    <row r="337" customFormat="false" ht="15" hidden="false" customHeight="false" outlineLevel="0" collapsed="false">
      <c r="A337" s="20"/>
      <c r="B337" s="20"/>
      <c r="C337" s="21"/>
      <c r="D337" s="21"/>
      <c r="E337" s="22"/>
      <c r="F337" s="23"/>
      <c r="G337" s="19" t="n">
        <f aca="false">IF($E337="",0,MAX(0,ROUNDDOWN((TecilRaporTarihi-$E337)/30,0)))</f>
        <v>0</v>
      </c>
      <c r="H337" s="19" t="n">
        <f aca="false">IF($C337="",0,$C337+$D337)</f>
        <v>0</v>
      </c>
      <c r="I337" s="19" t="n">
        <f aca="false">IF($C337="",0,$C337*$F337)</f>
        <v>0</v>
      </c>
      <c r="J337" s="19" t="str">
        <f aca="false">IF($B337="","",CONCATENATE("Borç: ",$B337," | Toplam: ",TEXT($H337,"#,##0")))</f>
        <v/>
      </c>
    </row>
    <row r="338" customFormat="false" ht="15" hidden="false" customHeight="false" outlineLevel="0" collapsed="false">
      <c r="A338" s="20"/>
      <c r="B338" s="20"/>
      <c r="C338" s="21"/>
      <c r="D338" s="21"/>
      <c r="E338" s="22"/>
      <c r="F338" s="23"/>
      <c r="G338" s="19" t="n">
        <f aca="false">IF($E338="",0,MAX(0,ROUNDDOWN((TecilRaporTarihi-$E338)/30,0)))</f>
        <v>0</v>
      </c>
      <c r="H338" s="19" t="n">
        <f aca="false">IF($C338="",0,$C338+$D338)</f>
        <v>0</v>
      </c>
      <c r="I338" s="19" t="n">
        <f aca="false">IF($C338="",0,$C338*$F338)</f>
        <v>0</v>
      </c>
      <c r="J338" s="19" t="str">
        <f aca="false">IF($B338="","",CONCATENATE("Borç: ",$B338," | Toplam: ",TEXT($H338,"#,##0")))</f>
        <v/>
      </c>
    </row>
    <row r="339" customFormat="false" ht="15" hidden="false" customHeight="false" outlineLevel="0" collapsed="false">
      <c r="A339" s="20"/>
      <c r="B339" s="20"/>
      <c r="C339" s="21"/>
      <c r="D339" s="21"/>
      <c r="E339" s="22"/>
      <c r="F339" s="23"/>
      <c r="G339" s="19" t="n">
        <f aca="false">IF($E339="",0,MAX(0,ROUNDDOWN((TecilRaporTarihi-$E339)/30,0)))</f>
        <v>0</v>
      </c>
      <c r="H339" s="19" t="n">
        <f aca="false">IF($C339="",0,$C339+$D339)</f>
        <v>0</v>
      </c>
      <c r="I339" s="19" t="n">
        <f aca="false">IF($C339="",0,$C339*$F339)</f>
        <v>0</v>
      </c>
      <c r="J339" s="19" t="str">
        <f aca="false">IF($B339="","",CONCATENATE("Borç: ",$B339," | Toplam: ",TEXT($H339,"#,##0")))</f>
        <v/>
      </c>
    </row>
    <row r="340" customFormat="false" ht="15" hidden="false" customHeight="false" outlineLevel="0" collapsed="false">
      <c r="A340" s="20"/>
      <c r="B340" s="20"/>
      <c r="C340" s="21"/>
      <c r="D340" s="21"/>
      <c r="E340" s="22"/>
      <c r="F340" s="23"/>
      <c r="G340" s="19" t="n">
        <f aca="false">IF($E340="",0,MAX(0,ROUNDDOWN((TecilRaporTarihi-$E340)/30,0)))</f>
        <v>0</v>
      </c>
      <c r="H340" s="19" t="n">
        <f aca="false">IF($C340="",0,$C340+$D340)</f>
        <v>0</v>
      </c>
      <c r="I340" s="19" t="n">
        <f aca="false">IF($C340="",0,$C340*$F340)</f>
        <v>0</v>
      </c>
      <c r="J340" s="19" t="str">
        <f aca="false">IF($B340="","",CONCATENATE("Borç: ",$B340," | Toplam: ",TEXT($H340,"#,##0")))</f>
        <v/>
      </c>
    </row>
    <row r="341" customFormat="false" ht="15" hidden="false" customHeight="false" outlineLevel="0" collapsed="false">
      <c r="A341" s="20"/>
      <c r="B341" s="20"/>
      <c r="C341" s="21"/>
      <c r="D341" s="21"/>
      <c r="E341" s="22"/>
      <c r="F341" s="23"/>
      <c r="G341" s="19" t="n">
        <f aca="false">IF($E341="",0,MAX(0,ROUNDDOWN((TecilRaporTarihi-$E341)/30,0)))</f>
        <v>0</v>
      </c>
      <c r="H341" s="19" t="n">
        <f aca="false">IF($C341="",0,$C341+$D341)</f>
        <v>0</v>
      </c>
      <c r="I341" s="19" t="n">
        <f aca="false">IF($C341="",0,$C341*$F341)</f>
        <v>0</v>
      </c>
      <c r="J341" s="19" t="str">
        <f aca="false">IF($B341="","",CONCATENATE("Borç: ",$B341," | Toplam: ",TEXT($H341,"#,##0")))</f>
        <v/>
      </c>
    </row>
    <row r="342" customFormat="false" ht="15" hidden="false" customHeight="false" outlineLevel="0" collapsed="false">
      <c r="A342" s="20"/>
      <c r="B342" s="20"/>
      <c r="C342" s="21"/>
      <c r="D342" s="21"/>
      <c r="E342" s="22"/>
      <c r="F342" s="23"/>
      <c r="G342" s="19" t="n">
        <f aca="false">IF($E342="",0,MAX(0,ROUNDDOWN((TecilRaporTarihi-$E342)/30,0)))</f>
        <v>0</v>
      </c>
      <c r="H342" s="19" t="n">
        <f aca="false">IF($C342="",0,$C342+$D342)</f>
        <v>0</v>
      </c>
      <c r="I342" s="19" t="n">
        <f aca="false">IF($C342="",0,$C342*$F342)</f>
        <v>0</v>
      </c>
      <c r="J342" s="19" t="str">
        <f aca="false">IF($B342="","",CONCATENATE("Borç: ",$B342," | Toplam: ",TEXT($H342,"#,##0")))</f>
        <v/>
      </c>
    </row>
    <row r="343" customFormat="false" ht="15" hidden="false" customHeight="false" outlineLevel="0" collapsed="false">
      <c r="A343" s="20"/>
      <c r="B343" s="20"/>
      <c r="C343" s="21"/>
      <c r="D343" s="21"/>
      <c r="E343" s="22"/>
      <c r="F343" s="23"/>
      <c r="G343" s="19" t="n">
        <f aca="false">IF($E343="",0,MAX(0,ROUNDDOWN((TecilRaporTarihi-$E343)/30,0)))</f>
        <v>0</v>
      </c>
      <c r="H343" s="19" t="n">
        <f aca="false">IF($C343="",0,$C343+$D343)</f>
        <v>0</v>
      </c>
      <c r="I343" s="19" t="n">
        <f aca="false">IF($C343="",0,$C343*$F343)</f>
        <v>0</v>
      </c>
      <c r="J343" s="19" t="str">
        <f aca="false">IF($B343="","",CONCATENATE("Borç: ",$B343," | Toplam: ",TEXT($H343,"#,##0")))</f>
        <v/>
      </c>
    </row>
    <row r="344" customFormat="false" ht="15" hidden="false" customHeight="false" outlineLevel="0" collapsed="false">
      <c r="A344" s="20"/>
      <c r="B344" s="20"/>
      <c r="C344" s="21"/>
      <c r="D344" s="21"/>
      <c r="E344" s="22"/>
      <c r="F344" s="23"/>
      <c r="G344" s="19" t="n">
        <f aca="false">IF($E344="",0,MAX(0,ROUNDDOWN((TecilRaporTarihi-$E344)/30,0)))</f>
        <v>0</v>
      </c>
      <c r="H344" s="19" t="n">
        <f aca="false">IF($C344="",0,$C344+$D344)</f>
        <v>0</v>
      </c>
      <c r="I344" s="19" t="n">
        <f aca="false">IF($C344="",0,$C344*$F344)</f>
        <v>0</v>
      </c>
      <c r="J344" s="19" t="str">
        <f aca="false">IF($B344="","",CONCATENATE("Borç: ",$B344," | Toplam: ",TEXT($H344,"#,##0")))</f>
        <v/>
      </c>
    </row>
    <row r="345" customFormat="false" ht="15" hidden="false" customHeight="false" outlineLevel="0" collapsed="false">
      <c r="A345" s="20"/>
      <c r="B345" s="20"/>
      <c r="C345" s="21"/>
      <c r="D345" s="21"/>
      <c r="E345" s="22"/>
      <c r="F345" s="23"/>
      <c r="G345" s="19" t="n">
        <f aca="false">IF($E345="",0,MAX(0,ROUNDDOWN((TecilRaporTarihi-$E345)/30,0)))</f>
        <v>0</v>
      </c>
      <c r="H345" s="19" t="n">
        <f aca="false">IF($C345="",0,$C345+$D345)</f>
        <v>0</v>
      </c>
      <c r="I345" s="19" t="n">
        <f aca="false">IF($C345="",0,$C345*$F345)</f>
        <v>0</v>
      </c>
      <c r="J345" s="19" t="str">
        <f aca="false">IF($B345="","",CONCATENATE("Borç: ",$B345," | Toplam: ",TEXT($H345,"#,##0")))</f>
        <v/>
      </c>
    </row>
    <row r="346" customFormat="false" ht="15" hidden="false" customHeight="false" outlineLevel="0" collapsed="false">
      <c r="A346" s="20"/>
      <c r="B346" s="20"/>
      <c r="C346" s="21"/>
      <c r="D346" s="21"/>
      <c r="E346" s="22"/>
      <c r="F346" s="23"/>
      <c r="G346" s="19" t="n">
        <f aca="false">IF($E346="",0,MAX(0,ROUNDDOWN((TecilRaporTarihi-$E346)/30,0)))</f>
        <v>0</v>
      </c>
      <c r="H346" s="19" t="n">
        <f aca="false">IF($C346="",0,$C346+$D346)</f>
        <v>0</v>
      </c>
      <c r="I346" s="19" t="n">
        <f aca="false">IF($C346="",0,$C346*$F346)</f>
        <v>0</v>
      </c>
      <c r="J346" s="19" t="str">
        <f aca="false">IF($B346="","",CONCATENATE("Borç: ",$B346," | Toplam: ",TEXT($H346,"#,##0")))</f>
        <v/>
      </c>
    </row>
    <row r="347" customFormat="false" ht="15" hidden="false" customHeight="false" outlineLevel="0" collapsed="false">
      <c r="A347" s="20"/>
      <c r="B347" s="20"/>
      <c r="C347" s="21"/>
      <c r="D347" s="21"/>
      <c r="E347" s="22"/>
      <c r="F347" s="23"/>
      <c r="G347" s="19" t="n">
        <f aca="false">IF($E347="",0,MAX(0,ROUNDDOWN((TecilRaporTarihi-$E347)/30,0)))</f>
        <v>0</v>
      </c>
      <c r="H347" s="19" t="n">
        <f aca="false">IF($C347="",0,$C347+$D347)</f>
        <v>0</v>
      </c>
      <c r="I347" s="19" t="n">
        <f aca="false">IF($C347="",0,$C347*$F347)</f>
        <v>0</v>
      </c>
      <c r="J347" s="19" t="str">
        <f aca="false">IF($B347="","",CONCATENATE("Borç: ",$B347," | Toplam: ",TEXT($H347,"#,##0")))</f>
        <v/>
      </c>
    </row>
    <row r="348" customFormat="false" ht="15" hidden="false" customHeight="false" outlineLevel="0" collapsed="false">
      <c r="A348" s="20"/>
      <c r="B348" s="20"/>
      <c r="C348" s="21"/>
      <c r="D348" s="21"/>
      <c r="E348" s="22"/>
      <c r="F348" s="23"/>
      <c r="G348" s="19" t="n">
        <f aca="false">IF($E348="",0,MAX(0,ROUNDDOWN((TecilRaporTarihi-$E348)/30,0)))</f>
        <v>0</v>
      </c>
      <c r="H348" s="19" t="n">
        <f aca="false">IF($C348="",0,$C348+$D348)</f>
        <v>0</v>
      </c>
      <c r="I348" s="19" t="n">
        <f aca="false">IF($C348="",0,$C348*$F348)</f>
        <v>0</v>
      </c>
      <c r="J348" s="19" t="str">
        <f aca="false">IF($B348="","",CONCATENATE("Borç: ",$B348," | Toplam: ",TEXT($H348,"#,##0")))</f>
        <v/>
      </c>
    </row>
    <row r="349" customFormat="false" ht="15" hidden="false" customHeight="false" outlineLevel="0" collapsed="false">
      <c r="A349" s="20"/>
      <c r="B349" s="20"/>
      <c r="C349" s="21"/>
      <c r="D349" s="21"/>
      <c r="E349" s="22"/>
      <c r="F349" s="23"/>
      <c r="G349" s="19" t="n">
        <f aca="false">IF($E349="",0,MAX(0,ROUNDDOWN((TecilRaporTarihi-$E349)/30,0)))</f>
        <v>0</v>
      </c>
      <c r="H349" s="19" t="n">
        <f aca="false">IF($C349="",0,$C349+$D349)</f>
        <v>0</v>
      </c>
      <c r="I349" s="19" t="n">
        <f aca="false">IF($C349="",0,$C349*$F349)</f>
        <v>0</v>
      </c>
      <c r="J349" s="19" t="str">
        <f aca="false">IF($B349="","",CONCATENATE("Borç: ",$B349," | Toplam: ",TEXT($H349,"#,##0")))</f>
        <v/>
      </c>
    </row>
    <row r="350" customFormat="false" ht="15" hidden="false" customHeight="false" outlineLevel="0" collapsed="false">
      <c r="A350" s="20"/>
      <c r="B350" s="20"/>
      <c r="C350" s="21"/>
      <c r="D350" s="21"/>
      <c r="E350" s="22"/>
      <c r="F350" s="23"/>
      <c r="G350" s="19" t="n">
        <f aca="false">IF($E350="",0,MAX(0,ROUNDDOWN((TecilRaporTarihi-$E350)/30,0)))</f>
        <v>0</v>
      </c>
      <c r="H350" s="19" t="n">
        <f aca="false">IF($C350="",0,$C350+$D350)</f>
        <v>0</v>
      </c>
      <c r="I350" s="19" t="n">
        <f aca="false">IF($C350="",0,$C350*$F350)</f>
        <v>0</v>
      </c>
      <c r="J350" s="19" t="str">
        <f aca="false">IF($B350="","",CONCATENATE("Borç: ",$B350," | Toplam: ",TEXT($H350,"#,##0")))</f>
        <v/>
      </c>
    </row>
    <row r="351" customFormat="false" ht="15" hidden="false" customHeight="false" outlineLevel="0" collapsed="false">
      <c r="A351" s="20"/>
      <c r="B351" s="20"/>
      <c r="C351" s="21"/>
      <c r="D351" s="21"/>
      <c r="E351" s="22"/>
      <c r="F351" s="23"/>
      <c r="G351" s="19" t="n">
        <f aca="false">IF($E351="",0,MAX(0,ROUNDDOWN((TecilRaporTarihi-$E351)/30,0)))</f>
        <v>0</v>
      </c>
      <c r="H351" s="19" t="n">
        <f aca="false">IF($C351="",0,$C351+$D351)</f>
        <v>0</v>
      </c>
      <c r="I351" s="19" t="n">
        <f aca="false">IF($C351="",0,$C351*$F351)</f>
        <v>0</v>
      </c>
      <c r="J351" s="19" t="str">
        <f aca="false">IF($B351="","",CONCATENATE("Borç: ",$B351," | Toplam: ",TEXT($H351,"#,##0")))</f>
        <v/>
      </c>
    </row>
    <row r="352" customFormat="false" ht="15" hidden="false" customHeight="false" outlineLevel="0" collapsed="false">
      <c r="A352" s="20"/>
      <c r="B352" s="20"/>
      <c r="C352" s="21"/>
      <c r="D352" s="21"/>
      <c r="E352" s="22"/>
      <c r="F352" s="23"/>
      <c r="G352" s="19" t="n">
        <f aca="false">IF($E352="",0,MAX(0,ROUNDDOWN((TecilRaporTarihi-$E352)/30,0)))</f>
        <v>0</v>
      </c>
      <c r="H352" s="19" t="n">
        <f aca="false">IF($C352="",0,$C352+$D352)</f>
        <v>0</v>
      </c>
      <c r="I352" s="19" t="n">
        <f aca="false">IF($C352="",0,$C352*$F352)</f>
        <v>0</v>
      </c>
      <c r="J352" s="19" t="str">
        <f aca="false">IF($B352="","",CONCATENATE("Borç: ",$B352," | Toplam: ",TEXT($H352,"#,##0")))</f>
        <v/>
      </c>
    </row>
    <row r="353" customFormat="false" ht="15" hidden="false" customHeight="false" outlineLevel="0" collapsed="false">
      <c r="A353" s="20"/>
      <c r="B353" s="20"/>
      <c r="C353" s="21"/>
      <c r="D353" s="21"/>
      <c r="E353" s="22"/>
      <c r="F353" s="23"/>
      <c r="G353" s="19" t="n">
        <f aca="false">IF($E353="",0,MAX(0,ROUNDDOWN((TecilRaporTarihi-$E353)/30,0)))</f>
        <v>0</v>
      </c>
      <c r="H353" s="19" t="n">
        <f aca="false">IF($C353="",0,$C353+$D353)</f>
        <v>0</v>
      </c>
      <c r="I353" s="19" t="n">
        <f aca="false">IF($C353="",0,$C353*$F353)</f>
        <v>0</v>
      </c>
      <c r="J353" s="19" t="str">
        <f aca="false">IF($B353="","",CONCATENATE("Borç: ",$B353," | Toplam: ",TEXT($H353,"#,##0")))</f>
        <v/>
      </c>
    </row>
    <row r="354" customFormat="false" ht="15" hidden="false" customHeight="false" outlineLevel="0" collapsed="false">
      <c r="A354" s="20"/>
      <c r="B354" s="20"/>
      <c r="C354" s="21"/>
      <c r="D354" s="21"/>
      <c r="E354" s="22"/>
      <c r="F354" s="23"/>
      <c r="G354" s="19" t="n">
        <f aca="false">IF($E354="",0,MAX(0,ROUNDDOWN((TecilRaporTarihi-$E354)/30,0)))</f>
        <v>0</v>
      </c>
      <c r="H354" s="19" t="n">
        <f aca="false">IF($C354="",0,$C354+$D354)</f>
        <v>0</v>
      </c>
      <c r="I354" s="19" t="n">
        <f aca="false">IF($C354="",0,$C354*$F354)</f>
        <v>0</v>
      </c>
      <c r="J354" s="19" t="str">
        <f aca="false">IF($B354="","",CONCATENATE("Borç: ",$B354," | Toplam: ",TEXT($H354,"#,##0")))</f>
        <v/>
      </c>
    </row>
    <row r="355" customFormat="false" ht="15" hidden="false" customHeight="false" outlineLevel="0" collapsed="false">
      <c r="A355" s="20"/>
      <c r="B355" s="20"/>
      <c r="C355" s="21"/>
      <c r="D355" s="21"/>
      <c r="E355" s="22"/>
      <c r="F355" s="23"/>
      <c r="G355" s="19" t="n">
        <f aca="false">IF($E355="",0,MAX(0,ROUNDDOWN((TecilRaporTarihi-$E355)/30,0)))</f>
        <v>0</v>
      </c>
      <c r="H355" s="19" t="n">
        <f aca="false">IF($C355="",0,$C355+$D355)</f>
        <v>0</v>
      </c>
      <c r="I355" s="19" t="n">
        <f aca="false">IF($C355="",0,$C355*$F355)</f>
        <v>0</v>
      </c>
      <c r="J355" s="19" t="str">
        <f aca="false">IF($B355="","",CONCATENATE("Borç: ",$B355," | Toplam: ",TEXT($H355,"#,##0")))</f>
        <v/>
      </c>
    </row>
    <row r="356" customFormat="false" ht="15" hidden="false" customHeight="false" outlineLevel="0" collapsed="false">
      <c r="A356" s="20"/>
      <c r="B356" s="20"/>
      <c r="C356" s="21"/>
      <c r="D356" s="21"/>
      <c r="E356" s="22"/>
      <c r="F356" s="23"/>
      <c r="G356" s="19" t="n">
        <f aca="false">IF($E356="",0,MAX(0,ROUNDDOWN((TecilRaporTarihi-$E356)/30,0)))</f>
        <v>0</v>
      </c>
      <c r="H356" s="19" t="n">
        <f aca="false">IF($C356="",0,$C356+$D356)</f>
        <v>0</v>
      </c>
      <c r="I356" s="19" t="n">
        <f aca="false">IF($C356="",0,$C356*$F356)</f>
        <v>0</v>
      </c>
      <c r="J356" s="19" t="str">
        <f aca="false">IF($B356="","",CONCATENATE("Borç: ",$B356," | Toplam: ",TEXT($H356,"#,##0")))</f>
        <v/>
      </c>
    </row>
    <row r="357" customFormat="false" ht="15" hidden="false" customHeight="false" outlineLevel="0" collapsed="false">
      <c r="A357" s="20"/>
      <c r="B357" s="20"/>
      <c r="C357" s="21"/>
      <c r="D357" s="21"/>
      <c r="E357" s="22"/>
      <c r="F357" s="23"/>
      <c r="G357" s="19" t="n">
        <f aca="false">IF($E357="",0,MAX(0,ROUNDDOWN((TecilRaporTarihi-$E357)/30,0)))</f>
        <v>0</v>
      </c>
      <c r="H357" s="19" t="n">
        <f aca="false">IF($C357="",0,$C357+$D357)</f>
        <v>0</v>
      </c>
      <c r="I357" s="19" t="n">
        <f aca="false">IF($C357="",0,$C357*$F357)</f>
        <v>0</v>
      </c>
      <c r="J357" s="19" t="str">
        <f aca="false">IF($B357="","",CONCATENATE("Borç: ",$B357," | Toplam: ",TEXT($H357,"#,##0")))</f>
        <v/>
      </c>
    </row>
    <row r="358" customFormat="false" ht="15" hidden="false" customHeight="false" outlineLevel="0" collapsed="false">
      <c r="A358" s="20"/>
      <c r="B358" s="20"/>
      <c r="C358" s="21"/>
      <c r="D358" s="21"/>
      <c r="E358" s="22"/>
      <c r="F358" s="23"/>
      <c r="G358" s="19" t="n">
        <f aca="false">IF($E358="",0,MAX(0,ROUNDDOWN((TecilRaporTarihi-$E358)/30,0)))</f>
        <v>0</v>
      </c>
      <c r="H358" s="19" t="n">
        <f aca="false">IF($C358="",0,$C358+$D358)</f>
        <v>0</v>
      </c>
      <c r="I358" s="19" t="n">
        <f aca="false">IF($C358="",0,$C358*$F358)</f>
        <v>0</v>
      </c>
      <c r="J358" s="19" t="str">
        <f aca="false">IF($B358="","",CONCATENATE("Borç: ",$B358," | Toplam: ",TEXT($H358,"#,##0")))</f>
        <v/>
      </c>
    </row>
    <row r="359" customFormat="false" ht="15" hidden="false" customHeight="false" outlineLevel="0" collapsed="false">
      <c r="A359" s="20"/>
      <c r="B359" s="20"/>
      <c r="C359" s="21"/>
      <c r="D359" s="21"/>
      <c r="E359" s="22"/>
      <c r="F359" s="23"/>
      <c r="G359" s="19" t="n">
        <f aca="false">IF($E359="",0,MAX(0,ROUNDDOWN((TecilRaporTarihi-$E359)/30,0)))</f>
        <v>0</v>
      </c>
      <c r="H359" s="19" t="n">
        <f aca="false">IF($C359="",0,$C359+$D359)</f>
        <v>0</v>
      </c>
      <c r="I359" s="19" t="n">
        <f aca="false">IF($C359="",0,$C359*$F359)</f>
        <v>0</v>
      </c>
      <c r="J359" s="19" t="str">
        <f aca="false">IF($B359="","",CONCATENATE("Borç: ",$B359," | Toplam: ",TEXT($H359,"#,##0")))</f>
        <v/>
      </c>
    </row>
    <row r="360" customFormat="false" ht="15" hidden="false" customHeight="false" outlineLevel="0" collapsed="false">
      <c r="A360" s="20"/>
      <c r="B360" s="20"/>
      <c r="C360" s="21"/>
      <c r="D360" s="21"/>
      <c r="E360" s="22"/>
      <c r="F360" s="23"/>
      <c r="G360" s="19" t="n">
        <f aca="false">IF($E360="",0,MAX(0,ROUNDDOWN((TecilRaporTarihi-$E360)/30,0)))</f>
        <v>0</v>
      </c>
      <c r="H360" s="19" t="n">
        <f aca="false">IF($C360="",0,$C360+$D360)</f>
        <v>0</v>
      </c>
      <c r="I360" s="19" t="n">
        <f aca="false">IF($C360="",0,$C360*$F360)</f>
        <v>0</v>
      </c>
      <c r="J360" s="19" t="str">
        <f aca="false">IF($B360="","",CONCATENATE("Borç: ",$B360," | Toplam: ",TEXT($H360,"#,##0")))</f>
        <v/>
      </c>
    </row>
    <row r="361" customFormat="false" ht="15" hidden="false" customHeight="false" outlineLevel="0" collapsed="false">
      <c r="A361" s="20"/>
      <c r="B361" s="20"/>
      <c r="C361" s="21"/>
      <c r="D361" s="21"/>
      <c r="E361" s="22"/>
      <c r="F361" s="23"/>
      <c r="G361" s="19" t="n">
        <f aca="false">IF($E361="",0,MAX(0,ROUNDDOWN((TecilRaporTarihi-$E361)/30,0)))</f>
        <v>0</v>
      </c>
      <c r="H361" s="19" t="n">
        <f aca="false">IF($C361="",0,$C361+$D361)</f>
        <v>0</v>
      </c>
      <c r="I361" s="19" t="n">
        <f aca="false">IF($C361="",0,$C361*$F361)</f>
        <v>0</v>
      </c>
      <c r="J361" s="19" t="str">
        <f aca="false">IF($B361="","",CONCATENATE("Borç: ",$B361," | Toplam: ",TEXT($H361,"#,##0")))</f>
        <v/>
      </c>
    </row>
    <row r="362" customFormat="false" ht="15" hidden="false" customHeight="false" outlineLevel="0" collapsed="false">
      <c r="A362" s="20"/>
      <c r="B362" s="20"/>
      <c r="C362" s="21"/>
      <c r="D362" s="21"/>
      <c r="E362" s="22"/>
      <c r="F362" s="23"/>
      <c r="G362" s="19" t="n">
        <f aca="false">IF($E362="",0,MAX(0,ROUNDDOWN((TecilRaporTarihi-$E362)/30,0)))</f>
        <v>0</v>
      </c>
      <c r="H362" s="19" t="n">
        <f aca="false">IF($C362="",0,$C362+$D362)</f>
        <v>0</v>
      </c>
      <c r="I362" s="19" t="n">
        <f aca="false">IF($C362="",0,$C362*$F362)</f>
        <v>0</v>
      </c>
      <c r="J362" s="19" t="str">
        <f aca="false">IF($B362="","",CONCATENATE("Borç: ",$B362," | Toplam: ",TEXT($H362,"#,##0")))</f>
        <v/>
      </c>
    </row>
    <row r="363" customFormat="false" ht="15" hidden="false" customHeight="false" outlineLevel="0" collapsed="false">
      <c r="A363" s="20"/>
      <c r="B363" s="20"/>
      <c r="C363" s="21"/>
      <c r="D363" s="21"/>
      <c r="E363" s="22"/>
      <c r="F363" s="23"/>
      <c r="G363" s="19" t="n">
        <f aca="false">IF($E363="",0,MAX(0,ROUNDDOWN((TecilRaporTarihi-$E363)/30,0)))</f>
        <v>0</v>
      </c>
      <c r="H363" s="19" t="n">
        <f aca="false">IF($C363="",0,$C363+$D363)</f>
        <v>0</v>
      </c>
      <c r="I363" s="19" t="n">
        <f aca="false">IF($C363="",0,$C363*$F363)</f>
        <v>0</v>
      </c>
      <c r="J363" s="19" t="str">
        <f aca="false">IF($B363="","",CONCATENATE("Borç: ",$B363," | Toplam: ",TEXT($H363,"#,##0")))</f>
        <v/>
      </c>
    </row>
    <row r="364" customFormat="false" ht="15" hidden="false" customHeight="false" outlineLevel="0" collapsed="false">
      <c r="A364" s="20"/>
      <c r="B364" s="20"/>
      <c r="C364" s="21"/>
      <c r="D364" s="21"/>
      <c r="E364" s="22"/>
      <c r="F364" s="23"/>
      <c r="G364" s="19" t="n">
        <f aca="false">IF($E364="",0,MAX(0,ROUNDDOWN((TecilRaporTarihi-$E364)/30,0)))</f>
        <v>0</v>
      </c>
      <c r="H364" s="19" t="n">
        <f aca="false">IF($C364="",0,$C364+$D364)</f>
        <v>0</v>
      </c>
      <c r="I364" s="19" t="n">
        <f aca="false">IF($C364="",0,$C364*$F364)</f>
        <v>0</v>
      </c>
      <c r="J364" s="19" t="str">
        <f aca="false">IF($B364="","",CONCATENATE("Borç: ",$B364," | Toplam: ",TEXT($H364,"#,##0")))</f>
        <v/>
      </c>
    </row>
    <row r="365" customFormat="false" ht="15" hidden="false" customHeight="false" outlineLevel="0" collapsed="false">
      <c r="A365" s="20"/>
      <c r="B365" s="20"/>
      <c r="C365" s="21"/>
      <c r="D365" s="21"/>
      <c r="E365" s="22"/>
      <c r="F365" s="23"/>
      <c r="G365" s="19" t="n">
        <f aca="false">IF($E365="",0,MAX(0,ROUNDDOWN((TecilRaporTarihi-$E365)/30,0)))</f>
        <v>0</v>
      </c>
      <c r="H365" s="19" t="n">
        <f aca="false">IF($C365="",0,$C365+$D365)</f>
        <v>0</v>
      </c>
      <c r="I365" s="19" t="n">
        <f aca="false">IF($C365="",0,$C365*$F365)</f>
        <v>0</v>
      </c>
      <c r="J365" s="19" t="str">
        <f aca="false">IF($B365="","",CONCATENATE("Borç: ",$B365," | Toplam: ",TEXT($H365,"#,##0")))</f>
        <v/>
      </c>
    </row>
    <row r="366" customFormat="false" ht="15" hidden="false" customHeight="false" outlineLevel="0" collapsed="false">
      <c r="A366" s="20"/>
      <c r="B366" s="20"/>
      <c r="C366" s="21"/>
      <c r="D366" s="21"/>
      <c r="E366" s="22"/>
      <c r="F366" s="23"/>
      <c r="G366" s="19" t="n">
        <f aca="false">IF($E366="",0,MAX(0,ROUNDDOWN((TecilRaporTarihi-$E366)/30,0)))</f>
        <v>0</v>
      </c>
      <c r="H366" s="19" t="n">
        <f aca="false">IF($C366="",0,$C366+$D366)</f>
        <v>0</v>
      </c>
      <c r="I366" s="19" t="n">
        <f aca="false">IF($C366="",0,$C366*$F366)</f>
        <v>0</v>
      </c>
      <c r="J366" s="19" t="str">
        <f aca="false">IF($B366="","",CONCATENATE("Borç: ",$B366," | Toplam: ",TEXT($H366,"#,##0")))</f>
        <v/>
      </c>
    </row>
    <row r="367" customFormat="false" ht="15" hidden="false" customHeight="false" outlineLevel="0" collapsed="false">
      <c r="A367" s="20"/>
      <c r="B367" s="20"/>
      <c r="C367" s="21"/>
      <c r="D367" s="21"/>
      <c r="E367" s="22"/>
      <c r="F367" s="23"/>
      <c r="G367" s="19" t="n">
        <f aca="false">IF($E367="",0,MAX(0,ROUNDDOWN((TecilRaporTarihi-$E367)/30,0)))</f>
        <v>0</v>
      </c>
      <c r="H367" s="19" t="n">
        <f aca="false">IF($C367="",0,$C367+$D367)</f>
        <v>0</v>
      </c>
      <c r="I367" s="19" t="n">
        <f aca="false">IF($C367="",0,$C367*$F367)</f>
        <v>0</v>
      </c>
      <c r="J367" s="19" t="str">
        <f aca="false">IF($B367="","",CONCATENATE("Borç: ",$B367," | Toplam: ",TEXT($H367,"#,##0")))</f>
        <v/>
      </c>
    </row>
    <row r="368" customFormat="false" ht="15" hidden="false" customHeight="false" outlineLevel="0" collapsed="false">
      <c r="A368" s="20"/>
      <c r="B368" s="20"/>
      <c r="C368" s="21"/>
      <c r="D368" s="21"/>
      <c r="E368" s="22"/>
      <c r="F368" s="23"/>
      <c r="G368" s="19" t="n">
        <f aca="false">IF($E368="",0,MAX(0,ROUNDDOWN((TecilRaporTarihi-$E368)/30,0)))</f>
        <v>0</v>
      </c>
      <c r="H368" s="19" t="n">
        <f aca="false">IF($C368="",0,$C368+$D368)</f>
        <v>0</v>
      </c>
      <c r="I368" s="19" t="n">
        <f aca="false">IF($C368="",0,$C368*$F368)</f>
        <v>0</v>
      </c>
      <c r="J368" s="19" t="str">
        <f aca="false">IF($B368="","",CONCATENATE("Borç: ",$B368," | Toplam: ",TEXT($H368,"#,##0")))</f>
        <v/>
      </c>
    </row>
    <row r="369" customFormat="false" ht="15" hidden="false" customHeight="false" outlineLevel="0" collapsed="false">
      <c r="A369" s="20"/>
      <c r="B369" s="20"/>
      <c r="C369" s="21"/>
      <c r="D369" s="21"/>
      <c r="E369" s="22"/>
      <c r="F369" s="23"/>
      <c r="G369" s="19" t="n">
        <f aca="false">IF($E369="",0,MAX(0,ROUNDDOWN((TecilRaporTarihi-$E369)/30,0)))</f>
        <v>0</v>
      </c>
      <c r="H369" s="19" t="n">
        <f aca="false">IF($C369="",0,$C369+$D369)</f>
        <v>0</v>
      </c>
      <c r="I369" s="19" t="n">
        <f aca="false">IF($C369="",0,$C369*$F369)</f>
        <v>0</v>
      </c>
      <c r="J369" s="19" t="str">
        <f aca="false">IF($B369="","",CONCATENATE("Borç: ",$B369," | Toplam: ",TEXT($H369,"#,##0")))</f>
        <v/>
      </c>
    </row>
    <row r="370" customFormat="false" ht="15" hidden="false" customHeight="false" outlineLevel="0" collapsed="false">
      <c r="A370" s="20"/>
      <c r="B370" s="20"/>
      <c r="C370" s="21"/>
      <c r="D370" s="21"/>
      <c r="E370" s="22"/>
      <c r="F370" s="23"/>
      <c r="G370" s="19" t="n">
        <f aca="false">IF($E370="",0,MAX(0,ROUNDDOWN((TecilRaporTarihi-$E370)/30,0)))</f>
        <v>0</v>
      </c>
      <c r="H370" s="19" t="n">
        <f aca="false">IF($C370="",0,$C370+$D370)</f>
        <v>0</v>
      </c>
      <c r="I370" s="19" t="n">
        <f aca="false">IF($C370="",0,$C370*$F370)</f>
        <v>0</v>
      </c>
      <c r="J370" s="19" t="str">
        <f aca="false">IF($B370="","",CONCATENATE("Borç: ",$B370," | Toplam: ",TEXT($H370,"#,##0")))</f>
        <v/>
      </c>
    </row>
    <row r="371" customFormat="false" ht="15" hidden="false" customHeight="false" outlineLevel="0" collapsed="false">
      <c r="A371" s="20"/>
      <c r="B371" s="20"/>
      <c r="C371" s="21"/>
      <c r="D371" s="21"/>
      <c r="E371" s="22"/>
      <c r="F371" s="23"/>
      <c r="G371" s="19" t="n">
        <f aca="false">IF($E371="",0,MAX(0,ROUNDDOWN((TecilRaporTarihi-$E371)/30,0)))</f>
        <v>0</v>
      </c>
      <c r="H371" s="19" t="n">
        <f aca="false">IF($C371="",0,$C371+$D371)</f>
        <v>0</v>
      </c>
      <c r="I371" s="19" t="n">
        <f aca="false">IF($C371="",0,$C371*$F371)</f>
        <v>0</v>
      </c>
      <c r="J371" s="19" t="str">
        <f aca="false">IF($B371="","",CONCATENATE("Borç: ",$B371," | Toplam: ",TEXT($H371,"#,##0")))</f>
        <v/>
      </c>
    </row>
    <row r="372" customFormat="false" ht="15" hidden="false" customHeight="false" outlineLevel="0" collapsed="false">
      <c r="A372" s="20"/>
      <c r="B372" s="20"/>
      <c r="C372" s="21"/>
      <c r="D372" s="21"/>
      <c r="E372" s="22"/>
      <c r="F372" s="23"/>
      <c r="G372" s="19" t="n">
        <f aca="false">IF($E372="",0,MAX(0,ROUNDDOWN((TecilRaporTarihi-$E372)/30,0)))</f>
        <v>0</v>
      </c>
      <c r="H372" s="19" t="n">
        <f aca="false">IF($C372="",0,$C372+$D372)</f>
        <v>0</v>
      </c>
      <c r="I372" s="19" t="n">
        <f aca="false">IF($C372="",0,$C372*$F372)</f>
        <v>0</v>
      </c>
      <c r="J372" s="19" t="str">
        <f aca="false">IF($B372="","",CONCATENATE("Borç: ",$B372," | Toplam: ",TEXT($H372,"#,##0")))</f>
        <v/>
      </c>
    </row>
    <row r="373" customFormat="false" ht="15" hidden="false" customHeight="false" outlineLevel="0" collapsed="false">
      <c r="A373" s="20"/>
      <c r="B373" s="20"/>
      <c r="C373" s="21"/>
      <c r="D373" s="21"/>
      <c r="E373" s="22"/>
      <c r="F373" s="23"/>
      <c r="G373" s="19" t="n">
        <f aca="false">IF($E373="",0,MAX(0,ROUNDDOWN((TecilRaporTarihi-$E373)/30,0)))</f>
        <v>0</v>
      </c>
      <c r="H373" s="19" t="n">
        <f aca="false">IF($C373="",0,$C373+$D373)</f>
        <v>0</v>
      </c>
      <c r="I373" s="19" t="n">
        <f aca="false">IF($C373="",0,$C373*$F373)</f>
        <v>0</v>
      </c>
      <c r="J373" s="19" t="str">
        <f aca="false">IF($B373="","",CONCATENATE("Borç: ",$B373," | Toplam: ",TEXT($H373,"#,##0")))</f>
        <v/>
      </c>
    </row>
    <row r="374" customFormat="false" ht="15" hidden="false" customHeight="false" outlineLevel="0" collapsed="false">
      <c r="A374" s="20"/>
      <c r="B374" s="20"/>
      <c r="C374" s="21"/>
      <c r="D374" s="21"/>
      <c r="E374" s="22"/>
      <c r="F374" s="23"/>
      <c r="G374" s="19" t="n">
        <f aca="false">IF($E374="",0,MAX(0,ROUNDDOWN((TecilRaporTarihi-$E374)/30,0)))</f>
        <v>0</v>
      </c>
      <c r="H374" s="19" t="n">
        <f aca="false">IF($C374="",0,$C374+$D374)</f>
        <v>0</v>
      </c>
      <c r="I374" s="19" t="n">
        <f aca="false">IF($C374="",0,$C374*$F374)</f>
        <v>0</v>
      </c>
      <c r="J374" s="19" t="str">
        <f aca="false">IF($B374="","",CONCATENATE("Borç: ",$B374," | Toplam: ",TEXT($H374,"#,##0")))</f>
        <v/>
      </c>
    </row>
    <row r="375" customFormat="false" ht="15" hidden="false" customHeight="false" outlineLevel="0" collapsed="false">
      <c r="A375" s="20"/>
      <c r="B375" s="20"/>
      <c r="C375" s="21"/>
      <c r="D375" s="21"/>
      <c r="E375" s="22"/>
      <c r="F375" s="23"/>
      <c r="G375" s="19" t="n">
        <f aca="false">IF($E375="",0,MAX(0,ROUNDDOWN((TecilRaporTarihi-$E375)/30,0)))</f>
        <v>0</v>
      </c>
      <c r="H375" s="19" t="n">
        <f aca="false">IF($C375="",0,$C375+$D375)</f>
        <v>0</v>
      </c>
      <c r="I375" s="19" t="n">
        <f aca="false">IF($C375="",0,$C375*$F375)</f>
        <v>0</v>
      </c>
      <c r="J375" s="19" t="str">
        <f aca="false">IF($B375="","",CONCATENATE("Borç: ",$B375," | Toplam: ",TEXT($H375,"#,##0")))</f>
        <v/>
      </c>
    </row>
    <row r="376" customFormat="false" ht="15" hidden="false" customHeight="false" outlineLevel="0" collapsed="false">
      <c r="A376" s="20"/>
      <c r="B376" s="20"/>
      <c r="C376" s="21"/>
      <c r="D376" s="21"/>
      <c r="E376" s="22"/>
      <c r="F376" s="23"/>
      <c r="G376" s="19" t="n">
        <f aca="false">IF($E376="",0,MAX(0,ROUNDDOWN((TecilRaporTarihi-$E376)/30,0)))</f>
        <v>0</v>
      </c>
      <c r="H376" s="19" t="n">
        <f aca="false">IF($C376="",0,$C376+$D376)</f>
        <v>0</v>
      </c>
      <c r="I376" s="19" t="n">
        <f aca="false">IF($C376="",0,$C376*$F376)</f>
        <v>0</v>
      </c>
      <c r="J376" s="19" t="str">
        <f aca="false">IF($B376="","",CONCATENATE("Borç: ",$B376," | Toplam: ",TEXT($H376,"#,##0")))</f>
        <v/>
      </c>
    </row>
    <row r="377" customFormat="false" ht="15" hidden="false" customHeight="false" outlineLevel="0" collapsed="false">
      <c r="A377" s="20"/>
      <c r="B377" s="20"/>
      <c r="C377" s="21"/>
      <c r="D377" s="21"/>
      <c r="E377" s="22"/>
      <c r="F377" s="23"/>
      <c r="G377" s="19" t="n">
        <f aca="false">IF($E377="",0,MAX(0,ROUNDDOWN((TecilRaporTarihi-$E377)/30,0)))</f>
        <v>0</v>
      </c>
      <c r="H377" s="19" t="n">
        <f aca="false">IF($C377="",0,$C377+$D377)</f>
        <v>0</v>
      </c>
      <c r="I377" s="19" t="n">
        <f aca="false">IF($C377="",0,$C377*$F377)</f>
        <v>0</v>
      </c>
      <c r="J377" s="19" t="str">
        <f aca="false">IF($B377="","",CONCATENATE("Borç: ",$B377," | Toplam: ",TEXT($H377,"#,##0")))</f>
        <v/>
      </c>
    </row>
    <row r="378" customFormat="false" ht="15" hidden="false" customHeight="false" outlineLevel="0" collapsed="false">
      <c r="A378" s="20"/>
      <c r="B378" s="20"/>
      <c r="C378" s="21"/>
      <c r="D378" s="21"/>
      <c r="E378" s="22"/>
      <c r="F378" s="23"/>
      <c r="G378" s="19" t="n">
        <f aca="false">IF($E378="",0,MAX(0,ROUNDDOWN((TecilRaporTarihi-$E378)/30,0)))</f>
        <v>0</v>
      </c>
      <c r="H378" s="19" t="n">
        <f aca="false">IF($C378="",0,$C378+$D378)</f>
        <v>0</v>
      </c>
      <c r="I378" s="19" t="n">
        <f aca="false">IF($C378="",0,$C378*$F378)</f>
        <v>0</v>
      </c>
      <c r="J378" s="19" t="str">
        <f aca="false">IF($B378="","",CONCATENATE("Borç: ",$B378," | Toplam: ",TEXT($H378,"#,##0")))</f>
        <v/>
      </c>
    </row>
    <row r="379" customFormat="false" ht="15" hidden="false" customHeight="false" outlineLevel="0" collapsed="false">
      <c r="A379" s="20"/>
      <c r="B379" s="20"/>
      <c r="C379" s="21"/>
      <c r="D379" s="21"/>
      <c r="E379" s="22"/>
      <c r="F379" s="23"/>
      <c r="G379" s="19" t="n">
        <f aca="false">IF($E379="",0,MAX(0,ROUNDDOWN((TecilRaporTarihi-$E379)/30,0)))</f>
        <v>0</v>
      </c>
      <c r="H379" s="19" t="n">
        <f aca="false">IF($C379="",0,$C379+$D379)</f>
        <v>0</v>
      </c>
      <c r="I379" s="19" t="n">
        <f aca="false">IF($C379="",0,$C379*$F379)</f>
        <v>0</v>
      </c>
      <c r="J379" s="19" t="str">
        <f aca="false">IF($B379="","",CONCATENATE("Borç: ",$B379," | Toplam: ",TEXT($H379,"#,##0")))</f>
        <v/>
      </c>
    </row>
    <row r="380" customFormat="false" ht="15" hidden="false" customHeight="false" outlineLevel="0" collapsed="false">
      <c r="A380" s="20"/>
      <c r="B380" s="20"/>
      <c r="C380" s="21"/>
      <c r="D380" s="21"/>
      <c r="E380" s="22"/>
      <c r="F380" s="23"/>
      <c r="G380" s="19" t="n">
        <f aca="false">IF($E380="",0,MAX(0,ROUNDDOWN((TecilRaporTarihi-$E380)/30,0)))</f>
        <v>0</v>
      </c>
      <c r="H380" s="19" t="n">
        <f aca="false">IF($C380="",0,$C380+$D380)</f>
        <v>0</v>
      </c>
      <c r="I380" s="19" t="n">
        <f aca="false">IF($C380="",0,$C380*$F380)</f>
        <v>0</v>
      </c>
      <c r="J380" s="19" t="str">
        <f aca="false">IF($B380="","",CONCATENATE("Borç: ",$B380," | Toplam: ",TEXT($H380,"#,##0")))</f>
        <v/>
      </c>
    </row>
    <row r="381" customFormat="false" ht="15" hidden="false" customHeight="false" outlineLevel="0" collapsed="false">
      <c r="A381" s="20"/>
      <c r="B381" s="20"/>
      <c r="C381" s="21"/>
      <c r="D381" s="21"/>
      <c r="E381" s="22"/>
      <c r="F381" s="23"/>
      <c r="G381" s="19" t="n">
        <f aca="false">IF($E381="",0,MAX(0,ROUNDDOWN((TecilRaporTarihi-$E381)/30,0)))</f>
        <v>0</v>
      </c>
      <c r="H381" s="19" t="n">
        <f aca="false">IF($C381="",0,$C381+$D381)</f>
        <v>0</v>
      </c>
      <c r="I381" s="19" t="n">
        <f aca="false">IF($C381="",0,$C381*$F381)</f>
        <v>0</v>
      </c>
      <c r="J381" s="19" t="str">
        <f aca="false">IF($B381="","",CONCATENATE("Borç: ",$B381," | Toplam: ",TEXT($H381,"#,##0")))</f>
        <v/>
      </c>
    </row>
    <row r="382" customFormat="false" ht="15" hidden="false" customHeight="false" outlineLevel="0" collapsed="false">
      <c r="A382" s="20"/>
      <c r="B382" s="20"/>
      <c r="C382" s="21"/>
      <c r="D382" s="21"/>
      <c r="E382" s="22"/>
      <c r="F382" s="23"/>
      <c r="G382" s="19" t="n">
        <f aca="false">IF($E382="",0,MAX(0,ROUNDDOWN((TecilRaporTarihi-$E382)/30,0)))</f>
        <v>0</v>
      </c>
      <c r="H382" s="19" t="n">
        <f aca="false">IF($C382="",0,$C382+$D382)</f>
        <v>0</v>
      </c>
      <c r="I382" s="19" t="n">
        <f aca="false">IF($C382="",0,$C382*$F382)</f>
        <v>0</v>
      </c>
      <c r="J382" s="19" t="str">
        <f aca="false">IF($B382="","",CONCATENATE("Borç: ",$B382," | Toplam: ",TEXT($H382,"#,##0")))</f>
        <v/>
      </c>
    </row>
    <row r="383" customFormat="false" ht="15" hidden="false" customHeight="false" outlineLevel="0" collapsed="false">
      <c r="A383" s="20"/>
      <c r="B383" s="20"/>
      <c r="C383" s="21"/>
      <c r="D383" s="21"/>
      <c r="E383" s="22"/>
      <c r="F383" s="23"/>
      <c r="G383" s="19" t="n">
        <f aca="false">IF($E383="",0,MAX(0,ROUNDDOWN((TecilRaporTarihi-$E383)/30,0)))</f>
        <v>0</v>
      </c>
      <c r="H383" s="19" t="n">
        <f aca="false">IF($C383="",0,$C383+$D383)</f>
        <v>0</v>
      </c>
      <c r="I383" s="19" t="n">
        <f aca="false">IF($C383="",0,$C383*$F383)</f>
        <v>0</v>
      </c>
      <c r="J383" s="19" t="str">
        <f aca="false">IF($B383="","",CONCATENATE("Borç: ",$B383," | Toplam: ",TEXT($H383,"#,##0")))</f>
        <v/>
      </c>
    </row>
    <row r="384" customFormat="false" ht="15" hidden="false" customHeight="false" outlineLevel="0" collapsed="false">
      <c r="A384" s="20"/>
      <c r="B384" s="20"/>
      <c r="C384" s="21"/>
      <c r="D384" s="21"/>
      <c r="E384" s="22"/>
      <c r="F384" s="23"/>
      <c r="G384" s="19" t="n">
        <f aca="false">IF($E384="",0,MAX(0,ROUNDDOWN((TecilRaporTarihi-$E384)/30,0)))</f>
        <v>0</v>
      </c>
      <c r="H384" s="19" t="n">
        <f aca="false">IF($C384="",0,$C384+$D384)</f>
        <v>0</v>
      </c>
      <c r="I384" s="19" t="n">
        <f aca="false">IF($C384="",0,$C384*$F384)</f>
        <v>0</v>
      </c>
      <c r="J384" s="19" t="str">
        <f aca="false">IF($B384="","",CONCATENATE("Borç: ",$B384," | Toplam: ",TEXT($H384,"#,##0")))</f>
        <v/>
      </c>
    </row>
    <row r="385" customFormat="false" ht="15" hidden="false" customHeight="false" outlineLevel="0" collapsed="false">
      <c r="A385" s="20"/>
      <c r="B385" s="20"/>
      <c r="C385" s="21"/>
      <c r="D385" s="21"/>
      <c r="E385" s="22"/>
      <c r="F385" s="23"/>
      <c r="G385" s="19" t="n">
        <f aca="false">IF($E385="",0,MAX(0,ROUNDDOWN((TecilRaporTarihi-$E385)/30,0)))</f>
        <v>0</v>
      </c>
      <c r="H385" s="19" t="n">
        <f aca="false">IF($C385="",0,$C385+$D385)</f>
        <v>0</v>
      </c>
      <c r="I385" s="19" t="n">
        <f aca="false">IF($C385="",0,$C385*$F385)</f>
        <v>0</v>
      </c>
      <c r="J385" s="19" t="str">
        <f aca="false">IF($B385="","",CONCATENATE("Borç: ",$B385," | Toplam: ",TEXT($H385,"#,##0")))</f>
        <v/>
      </c>
    </row>
    <row r="386" customFormat="false" ht="15" hidden="false" customHeight="false" outlineLevel="0" collapsed="false">
      <c r="A386" s="20"/>
      <c r="B386" s="20"/>
      <c r="C386" s="21"/>
      <c r="D386" s="21"/>
      <c r="E386" s="22"/>
      <c r="F386" s="23"/>
      <c r="G386" s="19" t="n">
        <f aca="false">IF($E386="",0,MAX(0,ROUNDDOWN((TecilRaporTarihi-$E386)/30,0)))</f>
        <v>0</v>
      </c>
      <c r="H386" s="19" t="n">
        <f aca="false">IF($C386="",0,$C386+$D386)</f>
        <v>0</v>
      </c>
      <c r="I386" s="19" t="n">
        <f aca="false">IF($C386="",0,$C386*$F386)</f>
        <v>0</v>
      </c>
      <c r="J386" s="19" t="str">
        <f aca="false">IF($B386="","",CONCATENATE("Borç: ",$B386," | Toplam: ",TEXT($H386,"#,##0")))</f>
        <v/>
      </c>
    </row>
    <row r="387" customFormat="false" ht="15" hidden="false" customHeight="false" outlineLevel="0" collapsed="false">
      <c r="A387" s="20"/>
      <c r="B387" s="20"/>
      <c r="C387" s="21"/>
      <c r="D387" s="21"/>
      <c r="E387" s="22"/>
      <c r="F387" s="23"/>
      <c r="G387" s="19" t="n">
        <f aca="false">IF($E387="",0,MAX(0,ROUNDDOWN((TecilRaporTarihi-$E387)/30,0)))</f>
        <v>0</v>
      </c>
      <c r="H387" s="19" t="n">
        <f aca="false">IF($C387="",0,$C387+$D387)</f>
        <v>0</v>
      </c>
      <c r="I387" s="19" t="n">
        <f aca="false">IF($C387="",0,$C387*$F387)</f>
        <v>0</v>
      </c>
      <c r="J387" s="19" t="str">
        <f aca="false">IF($B387="","",CONCATENATE("Borç: ",$B387," | Toplam: ",TEXT($H387,"#,##0")))</f>
        <v/>
      </c>
    </row>
    <row r="388" customFormat="false" ht="15" hidden="false" customHeight="false" outlineLevel="0" collapsed="false">
      <c r="A388" s="20"/>
      <c r="B388" s="20"/>
      <c r="C388" s="21"/>
      <c r="D388" s="21"/>
      <c r="E388" s="22"/>
      <c r="F388" s="23"/>
      <c r="G388" s="19" t="n">
        <f aca="false">IF($E388="",0,MAX(0,ROUNDDOWN((TecilRaporTarihi-$E388)/30,0)))</f>
        <v>0</v>
      </c>
      <c r="H388" s="19" t="n">
        <f aca="false">IF($C388="",0,$C388+$D388)</f>
        <v>0</v>
      </c>
      <c r="I388" s="19" t="n">
        <f aca="false">IF($C388="",0,$C388*$F388)</f>
        <v>0</v>
      </c>
      <c r="J388" s="19" t="str">
        <f aca="false">IF($B388="","",CONCATENATE("Borç: ",$B388," | Toplam: ",TEXT($H388,"#,##0")))</f>
        <v/>
      </c>
    </row>
    <row r="389" customFormat="false" ht="15" hidden="false" customHeight="false" outlineLevel="0" collapsed="false">
      <c r="A389" s="20"/>
      <c r="B389" s="20"/>
      <c r="C389" s="21"/>
      <c r="D389" s="21"/>
      <c r="E389" s="22"/>
      <c r="F389" s="23"/>
      <c r="G389" s="19" t="n">
        <f aca="false">IF($E389="",0,MAX(0,ROUNDDOWN((TecilRaporTarihi-$E389)/30,0)))</f>
        <v>0</v>
      </c>
      <c r="H389" s="19" t="n">
        <f aca="false">IF($C389="",0,$C389+$D389)</f>
        <v>0</v>
      </c>
      <c r="I389" s="19" t="n">
        <f aca="false">IF($C389="",0,$C389*$F389)</f>
        <v>0</v>
      </c>
      <c r="J389" s="19" t="str">
        <f aca="false">IF($B389="","",CONCATENATE("Borç: ",$B389," | Toplam: ",TEXT($H389,"#,##0")))</f>
        <v/>
      </c>
    </row>
    <row r="390" customFormat="false" ht="15" hidden="false" customHeight="false" outlineLevel="0" collapsed="false">
      <c r="A390" s="20"/>
      <c r="B390" s="20"/>
      <c r="C390" s="21"/>
      <c r="D390" s="21"/>
      <c r="E390" s="22"/>
      <c r="F390" s="23"/>
      <c r="G390" s="19" t="n">
        <f aca="false">IF($E390="",0,MAX(0,ROUNDDOWN((TecilRaporTarihi-$E390)/30,0)))</f>
        <v>0</v>
      </c>
      <c r="H390" s="19" t="n">
        <f aca="false">IF($C390="",0,$C390+$D390)</f>
        <v>0</v>
      </c>
      <c r="I390" s="19" t="n">
        <f aca="false">IF($C390="",0,$C390*$F390)</f>
        <v>0</v>
      </c>
      <c r="J390" s="19" t="str">
        <f aca="false">IF($B390="","",CONCATENATE("Borç: ",$B390," | Toplam: ",TEXT($H390,"#,##0")))</f>
        <v/>
      </c>
    </row>
    <row r="391" customFormat="false" ht="15" hidden="false" customHeight="false" outlineLevel="0" collapsed="false">
      <c r="A391" s="20"/>
      <c r="B391" s="20"/>
      <c r="C391" s="21"/>
      <c r="D391" s="21"/>
      <c r="E391" s="22"/>
      <c r="F391" s="23"/>
      <c r="G391" s="19" t="n">
        <f aca="false">IF($E391="",0,MAX(0,ROUNDDOWN((TecilRaporTarihi-$E391)/30,0)))</f>
        <v>0</v>
      </c>
      <c r="H391" s="19" t="n">
        <f aca="false">IF($C391="",0,$C391+$D391)</f>
        <v>0</v>
      </c>
      <c r="I391" s="19" t="n">
        <f aca="false">IF($C391="",0,$C391*$F391)</f>
        <v>0</v>
      </c>
      <c r="J391" s="19" t="str">
        <f aca="false">IF($B391="","",CONCATENATE("Borç: ",$B391," | Toplam: ",TEXT($H391,"#,##0")))</f>
        <v/>
      </c>
    </row>
    <row r="392" customFormat="false" ht="15" hidden="false" customHeight="false" outlineLevel="0" collapsed="false">
      <c r="A392" s="20"/>
      <c r="B392" s="20"/>
      <c r="C392" s="21"/>
      <c r="D392" s="21"/>
      <c r="E392" s="22"/>
      <c r="F392" s="23"/>
      <c r="G392" s="19" t="n">
        <f aca="false">IF($E392="",0,MAX(0,ROUNDDOWN((TecilRaporTarihi-$E392)/30,0)))</f>
        <v>0</v>
      </c>
      <c r="H392" s="19" t="n">
        <f aca="false">IF($C392="",0,$C392+$D392)</f>
        <v>0</v>
      </c>
      <c r="I392" s="19" t="n">
        <f aca="false">IF($C392="",0,$C392*$F392)</f>
        <v>0</v>
      </c>
      <c r="J392" s="19" t="str">
        <f aca="false">IF($B392="","",CONCATENATE("Borç: ",$B392," | Toplam: ",TEXT($H392,"#,##0")))</f>
        <v/>
      </c>
    </row>
    <row r="393" customFormat="false" ht="15" hidden="false" customHeight="false" outlineLevel="0" collapsed="false">
      <c r="A393" s="20"/>
      <c r="B393" s="20"/>
      <c r="C393" s="21"/>
      <c r="D393" s="21"/>
      <c r="E393" s="22"/>
      <c r="F393" s="23"/>
      <c r="G393" s="19" t="n">
        <f aca="false">IF($E393="",0,MAX(0,ROUNDDOWN((TecilRaporTarihi-$E393)/30,0)))</f>
        <v>0</v>
      </c>
      <c r="H393" s="19" t="n">
        <f aca="false">IF($C393="",0,$C393+$D393)</f>
        <v>0</v>
      </c>
      <c r="I393" s="19" t="n">
        <f aca="false">IF($C393="",0,$C393*$F393)</f>
        <v>0</v>
      </c>
      <c r="J393" s="19" t="str">
        <f aca="false">IF($B393="","",CONCATENATE("Borç: ",$B393," | Toplam: ",TEXT($H393,"#,##0")))</f>
        <v/>
      </c>
    </row>
    <row r="394" customFormat="false" ht="15" hidden="false" customHeight="false" outlineLevel="0" collapsed="false">
      <c r="A394" s="20"/>
      <c r="B394" s="20"/>
      <c r="C394" s="21"/>
      <c r="D394" s="21"/>
      <c r="E394" s="22"/>
      <c r="F394" s="23"/>
      <c r="G394" s="19" t="n">
        <f aca="false">IF($E394="",0,MAX(0,ROUNDDOWN((TecilRaporTarihi-$E394)/30,0)))</f>
        <v>0</v>
      </c>
      <c r="H394" s="19" t="n">
        <f aca="false">IF($C394="",0,$C394+$D394)</f>
        <v>0</v>
      </c>
      <c r="I394" s="19" t="n">
        <f aca="false">IF($C394="",0,$C394*$F394)</f>
        <v>0</v>
      </c>
      <c r="J394" s="19" t="str">
        <f aca="false">IF($B394="","",CONCATENATE("Borç: ",$B394," | Toplam: ",TEXT($H394,"#,##0")))</f>
        <v/>
      </c>
    </row>
    <row r="395" customFormat="false" ht="15" hidden="false" customHeight="false" outlineLevel="0" collapsed="false">
      <c r="A395" s="20"/>
      <c r="B395" s="20"/>
      <c r="C395" s="21"/>
      <c r="D395" s="21"/>
      <c r="E395" s="22"/>
      <c r="F395" s="23"/>
      <c r="G395" s="19" t="n">
        <f aca="false">IF($E395="",0,MAX(0,ROUNDDOWN((TecilRaporTarihi-$E395)/30,0)))</f>
        <v>0</v>
      </c>
      <c r="H395" s="19" t="n">
        <f aca="false">IF($C395="",0,$C395+$D395)</f>
        <v>0</v>
      </c>
      <c r="I395" s="19" t="n">
        <f aca="false">IF($C395="",0,$C395*$F395)</f>
        <v>0</v>
      </c>
      <c r="J395" s="19" t="str">
        <f aca="false">IF($B395="","",CONCATENATE("Borç: ",$B395," | Toplam: ",TEXT($H395,"#,##0")))</f>
        <v/>
      </c>
    </row>
    <row r="396" customFormat="false" ht="15" hidden="false" customHeight="false" outlineLevel="0" collapsed="false">
      <c r="A396" s="20"/>
      <c r="B396" s="20"/>
      <c r="C396" s="21"/>
      <c r="D396" s="21"/>
      <c r="E396" s="22"/>
      <c r="F396" s="23"/>
      <c r="G396" s="19" t="n">
        <f aca="false">IF($E396="",0,MAX(0,ROUNDDOWN((TecilRaporTarihi-$E396)/30,0)))</f>
        <v>0</v>
      </c>
      <c r="H396" s="19" t="n">
        <f aca="false">IF($C396="",0,$C396+$D396)</f>
        <v>0</v>
      </c>
      <c r="I396" s="19" t="n">
        <f aca="false">IF($C396="",0,$C396*$F396)</f>
        <v>0</v>
      </c>
      <c r="J396" s="19" t="str">
        <f aca="false">IF($B396="","",CONCATENATE("Borç: ",$B396," | Toplam: ",TEXT($H396,"#,##0")))</f>
        <v/>
      </c>
    </row>
    <row r="397" customFormat="false" ht="15" hidden="false" customHeight="false" outlineLevel="0" collapsed="false">
      <c r="A397" s="20"/>
      <c r="B397" s="20"/>
      <c r="C397" s="21"/>
      <c r="D397" s="21"/>
      <c r="E397" s="22"/>
      <c r="F397" s="23"/>
      <c r="G397" s="19" t="n">
        <f aca="false">IF($E397="",0,MAX(0,ROUNDDOWN((TecilRaporTarihi-$E397)/30,0)))</f>
        <v>0</v>
      </c>
      <c r="H397" s="19" t="n">
        <f aca="false">IF($C397="",0,$C397+$D397)</f>
        <v>0</v>
      </c>
      <c r="I397" s="19" t="n">
        <f aca="false">IF($C397="",0,$C397*$F397)</f>
        <v>0</v>
      </c>
      <c r="J397" s="19" t="str">
        <f aca="false">IF($B397="","",CONCATENATE("Borç: ",$B397," | Toplam: ",TEXT($H397,"#,##0")))</f>
        <v/>
      </c>
    </row>
    <row r="398" customFormat="false" ht="15" hidden="false" customHeight="false" outlineLevel="0" collapsed="false">
      <c r="A398" s="20"/>
      <c r="B398" s="20"/>
      <c r="C398" s="21"/>
      <c r="D398" s="21"/>
      <c r="E398" s="22"/>
      <c r="F398" s="23"/>
      <c r="G398" s="19" t="n">
        <f aca="false">IF($E398="",0,MAX(0,ROUNDDOWN((TecilRaporTarihi-$E398)/30,0)))</f>
        <v>0</v>
      </c>
      <c r="H398" s="19" t="n">
        <f aca="false">IF($C398="",0,$C398+$D398)</f>
        <v>0</v>
      </c>
      <c r="I398" s="19" t="n">
        <f aca="false">IF($C398="",0,$C398*$F398)</f>
        <v>0</v>
      </c>
      <c r="J398" s="19" t="str">
        <f aca="false">IF($B398="","",CONCATENATE("Borç: ",$B398," | Toplam: ",TEXT($H398,"#,##0")))</f>
        <v/>
      </c>
    </row>
    <row r="399" customFormat="false" ht="15" hidden="false" customHeight="false" outlineLevel="0" collapsed="false">
      <c r="A399" s="20"/>
      <c r="B399" s="20"/>
      <c r="C399" s="21"/>
      <c r="D399" s="21"/>
      <c r="E399" s="22"/>
      <c r="F399" s="23"/>
      <c r="G399" s="19" t="n">
        <f aca="false">IF($E399="",0,MAX(0,ROUNDDOWN((TecilRaporTarihi-$E399)/30,0)))</f>
        <v>0</v>
      </c>
      <c r="H399" s="19" t="n">
        <f aca="false">IF($C399="",0,$C399+$D399)</f>
        <v>0</v>
      </c>
      <c r="I399" s="19" t="n">
        <f aca="false">IF($C399="",0,$C399*$F399)</f>
        <v>0</v>
      </c>
      <c r="J399" s="19" t="str">
        <f aca="false">IF($B399="","",CONCATENATE("Borç: ",$B399," | Toplam: ",TEXT($H399,"#,##0")))</f>
        <v/>
      </c>
    </row>
    <row r="400" customFormat="false" ht="15" hidden="false" customHeight="false" outlineLevel="0" collapsed="false">
      <c r="A400" s="20"/>
      <c r="B400" s="20"/>
      <c r="C400" s="21"/>
      <c r="D400" s="21"/>
      <c r="E400" s="22"/>
      <c r="F400" s="23"/>
      <c r="G400" s="19" t="n">
        <f aca="false">IF($E400="",0,MAX(0,ROUNDDOWN((TecilRaporTarihi-$E400)/30,0)))</f>
        <v>0</v>
      </c>
      <c r="H400" s="19" t="n">
        <f aca="false">IF($C400="",0,$C400+$D400)</f>
        <v>0</v>
      </c>
      <c r="I400" s="19" t="n">
        <f aca="false">IF($C400="",0,$C400*$F400)</f>
        <v>0</v>
      </c>
      <c r="J400" s="19" t="str">
        <f aca="false">IF($B400="","",CONCATENATE("Borç: ",$B400," | Toplam: ",TEXT($H400,"#,##0")))</f>
        <v/>
      </c>
    </row>
    <row r="401" customFormat="false" ht="15" hidden="false" customHeight="false" outlineLevel="0" collapsed="false">
      <c r="A401" s="20"/>
      <c r="B401" s="20"/>
      <c r="C401" s="21"/>
      <c r="D401" s="21"/>
      <c r="E401" s="22"/>
      <c r="F401" s="23"/>
      <c r="G401" s="19" t="n">
        <f aca="false">IF($E401="",0,MAX(0,ROUNDDOWN((TecilRaporTarihi-$E401)/30,0)))</f>
        <v>0</v>
      </c>
      <c r="H401" s="19" t="n">
        <f aca="false">IF($C401="",0,$C401+$D401)</f>
        <v>0</v>
      </c>
      <c r="I401" s="19" t="n">
        <f aca="false">IF($C401="",0,$C401*$F401)</f>
        <v>0</v>
      </c>
      <c r="J401" s="19" t="str">
        <f aca="false">IF($B401="","",CONCATENATE("Borç: ",$B401," | Toplam: ",TEXT($H401,"#,##0")))</f>
        <v/>
      </c>
    </row>
    <row r="402" customFormat="false" ht="15" hidden="false" customHeight="false" outlineLevel="0" collapsed="false">
      <c r="A402" s="20"/>
      <c r="B402" s="20"/>
      <c r="C402" s="21"/>
      <c r="D402" s="21"/>
      <c r="E402" s="22"/>
      <c r="F402" s="23"/>
      <c r="G402" s="19" t="n">
        <f aca="false">IF($E402="",0,MAX(0,ROUNDDOWN((TecilRaporTarihi-$E402)/30,0)))</f>
        <v>0</v>
      </c>
      <c r="H402" s="19" t="n">
        <f aca="false">IF($C402="",0,$C402+$D402)</f>
        <v>0</v>
      </c>
      <c r="I402" s="19" t="n">
        <f aca="false">IF($C402="",0,$C402*$F402)</f>
        <v>0</v>
      </c>
      <c r="J402" s="19" t="str">
        <f aca="false">IF($B402="","",CONCATENATE("Borç: ",$B402," | Toplam: ",TEXT($H402,"#,##0")))</f>
        <v/>
      </c>
    </row>
    <row r="403" customFormat="false" ht="15" hidden="false" customHeight="false" outlineLevel="0" collapsed="false">
      <c r="A403" s="20"/>
      <c r="B403" s="20"/>
      <c r="C403" s="21"/>
      <c r="D403" s="21"/>
      <c r="E403" s="22"/>
      <c r="F403" s="23"/>
      <c r="G403" s="19" t="n">
        <f aca="false">IF($E403="",0,MAX(0,ROUNDDOWN((TecilRaporTarihi-$E403)/30,0)))</f>
        <v>0</v>
      </c>
      <c r="H403" s="19" t="n">
        <f aca="false">IF($C403="",0,$C403+$D403)</f>
        <v>0</v>
      </c>
      <c r="I403" s="19" t="n">
        <f aca="false">IF($C403="",0,$C403*$F403)</f>
        <v>0</v>
      </c>
      <c r="J403" s="19" t="str">
        <f aca="false">IF($B403="","",CONCATENATE("Borç: ",$B403," | Toplam: ",TEXT($H403,"#,##0")))</f>
        <v/>
      </c>
    </row>
    <row r="404" customFormat="false" ht="15" hidden="false" customHeight="false" outlineLevel="0" collapsed="false">
      <c r="A404" s="20"/>
      <c r="B404" s="20"/>
      <c r="C404" s="21"/>
      <c r="D404" s="21"/>
      <c r="E404" s="22"/>
      <c r="F404" s="23"/>
      <c r="G404" s="19" t="n">
        <f aca="false">IF($E404="",0,MAX(0,ROUNDDOWN((TecilRaporTarihi-$E404)/30,0)))</f>
        <v>0</v>
      </c>
      <c r="H404" s="19" t="n">
        <f aca="false">IF($C404="",0,$C404+$D404)</f>
        <v>0</v>
      </c>
      <c r="I404" s="19" t="n">
        <f aca="false">IF($C404="",0,$C404*$F404)</f>
        <v>0</v>
      </c>
      <c r="J404" s="19" t="str">
        <f aca="false">IF($B404="","",CONCATENATE("Borç: ",$B404," | Toplam: ",TEXT($H404,"#,##0")))</f>
        <v/>
      </c>
    </row>
    <row r="405" customFormat="false" ht="15" hidden="false" customHeight="false" outlineLevel="0" collapsed="false">
      <c r="A405" s="20"/>
      <c r="B405" s="20"/>
      <c r="C405" s="21"/>
      <c r="D405" s="21"/>
      <c r="E405" s="22"/>
      <c r="F405" s="23"/>
      <c r="G405" s="19" t="n">
        <f aca="false">IF($E405="",0,MAX(0,ROUNDDOWN((TecilRaporTarihi-$E405)/30,0)))</f>
        <v>0</v>
      </c>
      <c r="H405" s="19" t="n">
        <f aca="false">IF($C405="",0,$C405+$D405)</f>
        <v>0</v>
      </c>
      <c r="I405" s="19" t="n">
        <f aca="false">IF($C405="",0,$C405*$F405)</f>
        <v>0</v>
      </c>
      <c r="J405" s="19" t="str">
        <f aca="false">IF($B405="","",CONCATENATE("Borç: ",$B405," | Toplam: ",TEXT($H405,"#,##0")))</f>
        <v/>
      </c>
    </row>
    <row r="406" customFormat="false" ht="15" hidden="false" customHeight="false" outlineLevel="0" collapsed="false">
      <c r="A406" s="20"/>
      <c r="B406" s="20"/>
      <c r="C406" s="21"/>
      <c r="D406" s="21"/>
      <c r="E406" s="22"/>
      <c r="F406" s="23"/>
      <c r="G406" s="19" t="n">
        <f aca="false">IF($E406="",0,MAX(0,ROUNDDOWN((TecilRaporTarihi-$E406)/30,0)))</f>
        <v>0</v>
      </c>
      <c r="H406" s="19" t="n">
        <f aca="false">IF($C406="",0,$C406+$D406)</f>
        <v>0</v>
      </c>
      <c r="I406" s="19" t="n">
        <f aca="false">IF($C406="",0,$C406*$F406)</f>
        <v>0</v>
      </c>
      <c r="J406" s="19" t="str">
        <f aca="false">IF($B406="","",CONCATENATE("Borç: ",$B406," | Toplam: ",TEXT($H406,"#,##0")))</f>
        <v/>
      </c>
    </row>
    <row r="407" customFormat="false" ht="15" hidden="false" customHeight="false" outlineLevel="0" collapsed="false">
      <c r="A407" s="20"/>
      <c r="B407" s="20"/>
      <c r="C407" s="21"/>
      <c r="D407" s="21"/>
      <c r="E407" s="22"/>
      <c r="F407" s="23"/>
      <c r="G407" s="19" t="n">
        <f aca="false">IF($E407="",0,MAX(0,ROUNDDOWN((TecilRaporTarihi-$E407)/30,0)))</f>
        <v>0</v>
      </c>
      <c r="H407" s="19" t="n">
        <f aca="false">IF($C407="",0,$C407+$D407)</f>
        <v>0</v>
      </c>
      <c r="I407" s="19" t="n">
        <f aca="false">IF($C407="",0,$C407*$F407)</f>
        <v>0</v>
      </c>
      <c r="J407" s="19" t="str">
        <f aca="false">IF($B407="","",CONCATENATE("Borç: ",$B407," | Toplam: ",TEXT($H407,"#,##0")))</f>
        <v/>
      </c>
    </row>
    <row r="408" customFormat="false" ht="15" hidden="false" customHeight="false" outlineLevel="0" collapsed="false">
      <c r="A408" s="20"/>
      <c r="B408" s="20"/>
      <c r="C408" s="21"/>
      <c r="D408" s="21"/>
      <c r="E408" s="22"/>
      <c r="F408" s="23"/>
      <c r="G408" s="19" t="n">
        <f aca="false">IF($E408="",0,MAX(0,ROUNDDOWN((TecilRaporTarihi-$E408)/30,0)))</f>
        <v>0</v>
      </c>
      <c r="H408" s="19" t="n">
        <f aca="false">IF($C408="",0,$C408+$D408)</f>
        <v>0</v>
      </c>
      <c r="I408" s="19" t="n">
        <f aca="false">IF($C408="",0,$C408*$F408)</f>
        <v>0</v>
      </c>
      <c r="J408" s="19" t="str">
        <f aca="false">IF($B408="","",CONCATENATE("Borç: ",$B408," | Toplam: ",TEXT($H408,"#,##0")))</f>
        <v/>
      </c>
    </row>
    <row r="409" customFormat="false" ht="15" hidden="false" customHeight="false" outlineLevel="0" collapsed="false">
      <c r="A409" s="20"/>
      <c r="B409" s="20"/>
      <c r="C409" s="21"/>
      <c r="D409" s="21"/>
      <c r="E409" s="22"/>
      <c r="F409" s="23"/>
      <c r="G409" s="19" t="n">
        <f aca="false">IF($E409="",0,MAX(0,ROUNDDOWN((TecilRaporTarihi-$E409)/30,0)))</f>
        <v>0</v>
      </c>
      <c r="H409" s="19" t="n">
        <f aca="false">IF($C409="",0,$C409+$D409)</f>
        <v>0</v>
      </c>
      <c r="I409" s="19" t="n">
        <f aca="false">IF($C409="",0,$C409*$F409)</f>
        <v>0</v>
      </c>
      <c r="J409" s="19" t="str">
        <f aca="false">IF($B409="","",CONCATENATE("Borç: ",$B409," | Toplam: ",TEXT($H409,"#,##0")))</f>
        <v/>
      </c>
    </row>
    <row r="410" customFormat="false" ht="15" hidden="false" customHeight="false" outlineLevel="0" collapsed="false">
      <c r="A410" s="20"/>
      <c r="B410" s="20"/>
      <c r="C410" s="21"/>
      <c r="D410" s="21"/>
      <c r="E410" s="22"/>
      <c r="F410" s="23"/>
      <c r="G410" s="19" t="n">
        <f aca="false">IF($E410="",0,MAX(0,ROUNDDOWN((TecilRaporTarihi-$E410)/30,0)))</f>
        <v>0</v>
      </c>
      <c r="H410" s="19" t="n">
        <f aca="false">IF($C410="",0,$C410+$D410)</f>
        <v>0</v>
      </c>
      <c r="I410" s="19" t="n">
        <f aca="false">IF($C410="",0,$C410*$F410)</f>
        <v>0</v>
      </c>
      <c r="J410" s="19" t="str">
        <f aca="false">IF($B410="","",CONCATENATE("Borç: ",$B410," | Toplam: ",TEXT($H410,"#,##0")))</f>
        <v/>
      </c>
    </row>
    <row r="411" customFormat="false" ht="15" hidden="false" customHeight="false" outlineLevel="0" collapsed="false">
      <c r="A411" s="20"/>
      <c r="B411" s="20"/>
      <c r="C411" s="21"/>
      <c r="D411" s="21"/>
      <c r="E411" s="22"/>
      <c r="F411" s="23"/>
      <c r="G411" s="19" t="n">
        <f aca="false">IF($E411="",0,MAX(0,ROUNDDOWN((TecilRaporTarihi-$E411)/30,0)))</f>
        <v>0</v>
      </c>
      <c r="H411" s="19" t="n">
        <f aca="false">IF($C411="",0,$C411+$D411)</f>
        <v>0</v>
      </c>
      <c r="I411" s="19" t="n">
        <f aca="false">IF($C411="",0,$C411*$F411)</f>
        <v>0</v>
      </c>
      <c r="J411" s="19" t="str">
        <f aca="false">IF($B411="","",CONCATENATE("Borç: ",$B411," | Toplam: ",TEXT($H411,"#,##0")))</f>
        <v/>
      </c>
    </row>
    <row r="412" customFormat="false" ht="15" hidden="false" customHeight="false" outlineLevel="0" collapsed="false">
      <c r="A412" s="20"/>
      <c r="B412" s="20"/>
      <c r="C412" s="21"/>
      <c r="D412" s="21"/>
      <c r="E412" s="22"/>
      <c r="F412" s="23"/>
      <c r="G412" s="19" t="n">
        <f aca="false">IF($E412="",0,MAX(0,ROUNDDOWN((TecilRaporTarihi-$E412)/30,0)))</f>
        <v>0</v>
      </c>
      <c r="H412" s="19" t="n">
        <f aca="false">IF($C412="",0,$C412+$D412)</f>
        <v>0</v>
      </c>
      <c r="I412" s="19" t="n">
        <f aca="false">IF($C412="",0,$C412*$F412)</f>
        <v>0</v>
      </c>
      <c r="J412" s="19" t="str">
        <f aca="false">IF($B412="","",CONCATENATE("Borç: ",$B412," | Toplam: ",TEXT($H412,"#,##0")))</f>
        <v/>
      </c>
    </row>
    <row r="413" customFormat="false" ht="15" hidden="false" customHeight="false" outlineLevel="0" collapsed="false">
      <c r="A413" s="20"/>
      <c r="B413" s="20"/>
      <c r="C413" s="21"/>
      <c r="D413" s="21"/>
      <c r="E413" s="22"/>
      <c r="F413" s="23"/>
      <c r="G413" s="19" t="n">
        <f aca="false">IF($E413="",0,MAX(0,ROUNDDOWN((TecilRaporTarihi-$E413)/30,0)))</f>
        <v>0</v>
      </c>
      <c r="H413" s="19" t="n">
        <f aca="false">IF($C413="",0,$C413+$D413)</f>
        <v>0</v>
      </c>
      <c r="I413" s="19" t="n">
        <f aca="false">IF($C413="",0,$C413*$F413)</f>
        <v>0</v>
      </c>
      <c r="J413" s="19" t="str">
        <f aca="false">IF($B413="","",CONCATENATE("Borç: ",$B413," | Toplam: ",TEXT($H413,"#,##0")))</f>
        <v/>
      </c>
    </row>
    <row r="414" customFormat="false" ht="15" hidden="false" customHeight="false" outlineLevel="0" collapsed="false">
      <c r="A414" s="20"/>
      <c r="B414" s="20"/>
      <c r="C414" s="21"/>
      <c r="D414" s="21"/>
      <c r="E414" s="22"/>
      <c r="F414" s="23"/>
      <c r="G414" s="19" t="n">
        <f aca="false">IF($E414="",0,MAX(0,ROUNDDOWN((TecilRaporTarihi-$E414)/30,0)))</f>
        <v>0</v>
      </c>
      <c r="H414" s="19" t="n">
        <f aca="false">IF($C414="",0,$C414+$D414)</f>
        <v>0</v>
      </c>
      <c r="I414" s="19" t="n">
        <f aca="false">IF($C414="",0,$C414*$F414)</f>
        <v>0</v>
      </c>
      <c r="J414" s="19" t="str">
        <f aca="false">IF($B414="","",CONCATENATE("Borç: ",$B414," | Toplam: ",TEXT($H414,"#,##0")))</f>
        <v/>
      </c>
    </row>
    <row r="415" customFormat="false" ht="15" hidden="false" customHeight="false" outlineLevel="0" collapsed="false">
      <c r="A415" s="20"/>
      <c r="B415" s="20"/>
      <c r="C415" s="21"/>
      <c r="D415" s="21"/>
      <c r="E415" s="22"/>
      <c r="F415" s="23"/>
      <c r="G415" s="19" t="n">
        <f aca="false">IF($E415="",0,MAX(0,ROUNDDOWN((TecilRaporTarihi-$E415)/30,0)))</f>
        <v>0</v>
      </c>
      <c r="H415" s="19" t="n">
        <f aca="false">IF($C415="",0,$C415+$D415)</f>
        <v>0</v>
      </c>
      <c r="I415" s="19" t="n">
        <f aca="false">IF($C415="",0,$C415*$F415)</f>
        <v>0</v>
      </c>
      <c r="J415" s="19" t="str">
        <f aca="false">IF($B415="","",CONCATENATE("Borç: ",$B415," | Toplam: ",TEXT($H415,"#,##0")))</f>
        <v/>
      </c>
    </row>
    <row r="416" customFormat="false" ht="15" hidden="false" customHeight="false" outlineLevel="0" collapsed="false">
      <c r="A416" s="20"/>
      <c r="B416" s="20"/>
      <c r="C416" s="21"/>
      <c r="D416" s="21"/>
      <c r="E416" s="22"/>
      <c r="F416" s="23"/>
      <c r="G416" s="19" t="n">
        <f aca="false">IF($E416="",0,MAX(0,ROUNDDOWN((TecilRaporTarihi-$E416)/30,0)))</f>
        <v>0</v>
      </c>
      <c r="H416" s="19" t="n">
        <f aca="false">IF($C416="",0,$C416+$D416)</f>
        <v>0</v>
      </c>
      <c r="I416" s="19" t="n">
        <f aca="false">IF($C416="",0,$C416*$F416)</f>
        <v>0</v>
      </c>
      <c r="J416" s="19" t="str">
        <f aca="false">IF($B416="","",CONCATENATE("Borç: ",$B416," | Toplam: ",TEXT($H416,"#,##0")))</f>
        <v/>
      </c>
    </row>
    <row r="417" customFormat="false" ht="15" hidden="false" customHeight="false" outlineLevel="0" collapsed="false">
      <c r="A417" s="20"/>
      <c r="B417" s="20"/>
      <c r="C417" s="21"/>
      <c r="D417" s="21"/>
      <c r="E417" s="22"/>
      <c r="F417" s="23"/>
      <c r="G417" s="19" t="n">
        <f aca="false">IF($E417="",0,MAX(0,ROUNDDOWN((TecilRaporTarihi-$E417)/30,0)))</f>
        <v>0</v>
      </c>
      <c r="H417" s="19" t="n">
        <f aca="false">IF($C417="",0,$C417+$D417)</f>
        <v>0</v>
      </c>
      <c r="I417" s="19" t="n">
        <f aca="false">IF($C417="",0,$C417*$F417)</f>
        <v>0</v>
      </c>
      <c r="J417" s="19" t="str">
        <f aca="false">IF($B417="","",CONCATENATE("Borç: ",$B417," | Toplam: ",TEXT($H417,"#,##0")))</f>
        <v/>
      </c>
    </row>
    <row r="418" customFormat="false" ht="15" hidden="false" customHeight="false" outlineLevel="0" collapsed="false">
      <c r="A418" s="20"/>
      <c r="B418" s="20"/>
      <c r="C418" s="21"/>
      <c r="D418" s="21"/>
      <c r="E418" s="22"/>
      <c r="F418" s="23"/>
      <c r="G418" s="19" t="n">
        <f aca="false">IF($E418="",0,MAX(0,ROUNDDOWN((TecilRaporTarihi-$E418)/30,0)))</f>
        <v>0</v>
      </c>
      <c r="H418" s="19" t="n">
        <f aca="false">IF($C418="",0,$C418+$D418)</f>
        <v>0</v>
      </c>
      <c r="I418" s="19" t="n">
        <f aca="false">IF($C418="",0,$C418*$F418)</f>
        <v>0</v>
      </c>
      <c r="J418" s="19" t="str">
        <f aca="false">IF($B418="","",CONCATENATE("Borç: ",$B418," | Toplam: ",TEXT($H418,"#,##0")))</f>
        <v/>
      </c>
    </row>
    <row r="419" customFormat="false" ht="15" hidden="false" customHeight="false" outlineLevel="0" collapsed="false">
      <c r="A419" s="20"/>
      <c r="B419" s="20"/>
      <c r="C419" s="21"/>
      <c r="D419" s="21"/>
      <c r="E419" s="22"/>
      <c r="F419" s="23"/>
      <c r="G419" s="19" t="n">
        <f aca="false">IF($E419="",0,MAX(0,ROUNDDOWN((TecilRaporTarihi-$E419)/30,0)))</f>
        <v>0</v>
      </c>
      <c r="H419" s="19" t="n">
        <f aca="false">IF($C419="",0,$C419+$D419)</f>
        <v>0</v>
      </c>
      <c r="I419" s="19" t="n">
        <f aca="false">IF($C419="",0,$C419*$F419)</f>
        <v>0</v>
      </c>
      <c r="J419" s="19" t="str">
        <f aca="false">IF($B419="","",CONCATENATE("Borç: ",$B419," | Toplam: ",TEXT($H419,"#,##0")))</f>
        <v/>
      </c>
    </row>
    <row r="420" customFormat="false" ht="15" hidden="false" customHeight="false" outlineLevel="0" collapsed="false">
      <c r="A420" s="20"/>
      <c r="B420" s="20"/>
      <c r="C420" s="21"/>
      <c r="D420" s="21"/>
      <c r="E420" s="22"/>
      <c r="F420" s="23"/>
      <c r="G420" s="19" t="n">
        <f aca="false">IF($E420="",0,MAX(0,ROUNDDOWN((TecilRaporTarihi-$E420)/30,0)))</f>
        <v>0</v>
      </c>
      <c r="H420" s="19" t="n">
        <f aca="false">IF($C420="",0,$C420+$D420)</f>
        <v>0</v>
      </c>
      <c r="I420" s="19" t="n">
        <f aca="false">IF($C420="",0,$C420*$F420)</f>
        <v>0</v>
      </c>
      <c r="J420" s="19" t="str">
        <f aca="false">IF($B420="","",CONCATENATE("Borç: ",$B420," | Toplam: ",TEXT($H420,"#,##0")))</f>
        <v/>
      </c>
    </row>
    <row r="421" customFormat="false" ht="15" hidden="false" customHeight="false" outlineLevel="0" collapsed="false">
      <c r="A421" s="20"/>
      <c r="B421" s="20"/>
      <c r="C421" s="21"/>
      <c r="D421" s="21"/>
      <c r="E421" s="22"/>
      <c r="F421" s="23"/>
      <c r="G421" s="19" t="n">
        <f aca="false">IF($E421="",0,MAX(0,ROUNDDOWN((TecilRaporTarihi-$E421)/30,0)))</f>
        <v>0</v>
      </c>
      <c r="H421" s="19" t="n">
        <f aca="false">IF($C421="",0,$C421+$D421)</f>
        <v>0</v>
      </c>
      <c r="I421" s="19" t="n">
        <f aca="false">IF($C421="",0,$C421*$F421)</f>
        <v>0</v>
      </c>
      <c r="J421" s="19" t="str">
        <f aca="false">IF($B421="","",CONCATENATE("Borç: ",$B421," | Toplam: ",TEXT($H421,"#,##0")))</f>
        <v/>
      </c>
    </row>
    <row r="422" customFormat="false" ht="15" hidden="false" customHeight="false" outlineLevel="0" collapsed="false">
      <c r="A422" s="20"/>
      <c r="B422" s="20"/>
      <c r="C422" s="21"/>
      <c r="D422" s="21"/>
      <c r="E422" s="22"/>
      <c r="F422" s="23"/>
      <c r="G422" s="19" t="n">
        <f aca="false">IF($E422="",0,MAX(0,ROUNDDOWN((TecilRaporTarihi-$E422)/30,0)))</f>
        <v>0</v>
      </c>
      <c r="H422" s="19" t="n">
        <f aca="false">IF($C422="",0,$C422+$D422)</f>
        <v>0</v>
      </c>
      <c r="I422" s="19" t="n">
        <f aca="false">IF($C422="",0,$C422*$F422)</f>
        <v>0</v>
      </c>
      <c r="J422" s="19" t="str">
        <f aca="false">IF($B422="","",CONCATENATE("Borç: ",$B422," | Toplam: ",TEXT($H422,"#,##0")))</f>
        <v/>
      </c>
    </row>
    <row r="423" customFormat="false" ht="15" hidden="false" customHeight="false" outlineLevel="0" collapsed="false">
      <c r="A423" s="20"/>
      <c r="B423" s="20"/>
      <c r="C423" s="21"/>
      <c r="D423" s="21"/>
      <c r="E423" s="22"/>
      <c r="F423" s="23"/>
      <c r="G423" s="19" t="n">
        <f aca="false">IF($E423="",0,MAX(0,ROUNDDOWN((TecilRaporTarihi-$E423)/30,0)))</f>
        <v>0</v>
      </c>
      <c r="H423" s="19" t="n">
        <f aca="false">IF($C423="",0,$C423+$D423)</f>
        <v>0</v>
      </c>
      <c r="I423" s="19" t="n">
        <f aca="false">IF($C423="",0,$C423*$F423)</f>
        <v>0</v>
      </c>
      <c r="J423" s="19" t="str">
        <f aca="false">IF($B423="","",CONCATENATE("Borç: ",$B423," | Toplam: ",TEXT($H423,"#,##0")))</f>
        <v/>
      </c>
    </row>
    <row r="424" customFormat="false" ht="15" hidden="false" customHeight="false" outlineLevel="0" collapsed="false">
      <c r="A424" s="20"/>
      <c r="B424" s="20"/>
      <c r="C424" s="21"/>
      <c r="D424" s="21"/>
      <c r="E424" s="22"/>
      <c r="F424" s="23"/>
      <c r="G424" s="19" t="n">
        <f aca="false">IF($E424="",0,MAX(0,ROUNDDOWN((TecilRaporTarihi-$E424)/30,0)))</f>
        <v>0</v>
      </c>
      <c r="H424" s="19" t="n">
        <f aca="false">IF($C424="",0,$C424+$D424)</f>
        <v>0</v>
      </c>
      <c r="I424" s="19" t="n">
        <f aca="false">IF($C424="",0,$C424*$F424)</f>
        <v>0</v>
      </c>
      <c r="J424" s="19" t="str">
        <f aca="false">IF($B424="","",CONCATENATE("Borç: ",$B424," | Toplam: ",TEXT($H424,"#,##0")))</f>
        <v/>
      </c>
    </row>
    <row r="425" customFormat="false" ht="15" hidden="false" customHeight="false" outlineLevel="0" collapsed="false">
      <c r="A425" s="20"/>
      <c r="B425" s="20"/>
      <c r="C425" s="21"/>
      <c r="D425" s="21"/>
      <c r="E425" s="22"/>
      <c r="F425" s="23"/>
      <c r="G425" s="19" t="n">
        <f aca="false">IF($E425="",0,MAX(0,ROUNDDOWN((TecilRaporTarihi-$E425)/30,0)))</f>
        <v>0</v>
      </c>
      <c r="H425" s="19" t="n">
        <f aca="false">IF($C425="",0,$C425+$D425)</f>
        <v>0</v>
      </c>
      <c r="I425" s="19" t="n">
        <f aca="false">IF($C425="",0,$C425*$F425)</f>
        <v>0</v>
      </c>
      <c r="J425" s="19" t="str">
        <f aca="false">IF($B425="","",CONCATENATE("Borç: ",$B425," | Toplam: ",TEXT($H425,"#,##0")))</f>
        <v/>
      </c>
    </row>
    <row r="426" customFormat="false" ht="15" hidden="false" customHeight="false" outlineLevel="0" collapsed="false">
      <c r="A426" s="20"/>
      <c r="B426" s="20"/>
      <c r="C426" s="21"/>
      <c r="D426" s="21"/>
      <c r="E426" s="22"/>
      <c r="F426" s="23"/>
      <c r="G426" s="19" t="n">
        <f aca="false">IF($E426="",0,MAX(0,ROUNDDOWN((TecilRaporTarihi-$E426)/30,0)))</f>
        <v>0</v>
      </c>
      <c r="H426" s="19" t="n">
        <f aca="false">IF($C426="",0,$C426+$D426)</f>
        <v>0</v>
      </c>
      <c r="I426" s="19" t="n">
        <f aca="false">IF($C426="",0,$C426*$F426)</f>
        <v>0</v>
      </c>
      <c r="J426" s="19" t="str">
        <f aca="false">IF($B426="","",CONCATENATE("Borç: ",$B426," | Toplam: ",TEXT($H426,"#,##0")))</f>
        <v/>
      </c>
    </row>
    <row r="427" customFormat="false" ht="15" hidden="false" customHeight="false" outlineLevel="0" collapsed="false">
      <c r="A427" s="20"/>
      <c r="B427" s="20"/>
      <c r="C427" s="21"/>
      <c r="D427" s="21"/>
      <c r="E427" s="22"/>
      <c r="F427" s="23"/>
      <c r="G427" s="19" t="n">
        <f aca="false">IF($E427="",0,MAX(0,ROUNDDOWN((TecilRaporTarihi-$E427)/30,0)))</f>
        <v>0</v>
      </c>
      <c r="H427" s="19" t="n">
        <f aca="false">IF($C427="",0,$C427+$D427)</f>
        <v>0</v>
      </c>
      <c r="I427" s="19" t="n">
        <f aca="false">IF($C427="",0,$C427*$F427)</f>
        <v>0</v>
      </c>
      <c r="J427" s="19" t="str">
        <f aca="false">IF($B427="","",CONCATENATE("Borç: ",$B427," | Toplam: ",TEXT($H427,"#,##0")))</f>
        <v/>
      </c>
    </row>
    <row r="428" customFormat="false" ht="15" hidden="false" customHeight="false" outlineLevel="0" collapsed="false">
      <c r="A428" s="20"/>
      <c r="B428" s="20"/>
      <c r="C428" s="21"/>
      <c r="D428" s="21"/>
      <c r="E428" s="22"/>
      <c r="F428" s="23"/>
      <c r="G428" s="19" t="n">
        <f aca="false">IF($E428="",0,MAX(0,ROUNDDOWN((TecilRaporTarihi-$E428)/30,0)))</f>
        <v>0</v>
      </c>
      <c r="H428" s="19" t="n">
        <f aca="false">IF($C428="",0,$C428+$D428)</f>
        <v>0</v>
      </c>
      <c r="I428" s="19" t="n">
        <f aca="false">IF($C428="",0,$C428*$F428)</f>
        <v>0</v>
      </c>
      <c r="J428" s="19" t="str">
        <f aca="false">IF($B428="","",CONCATENATE("Borç: ",$B428," | Toplam: ",TEXT($H428,"#,##0")))</f>
        <v/>
      </c>
    </row>
    <row r="429" customFormat="false" ht="15" hidden="false" customHeight="false" outlineLevel="0" collapsed="false">
      <c r="A429" s="20"/>
      <c r="B429" s="20"/>
      <c r="C429" s="21"/>
      <c r="D429" s="21"/>
      <c r="E429" s="22"/>
      <c r="F429" s="23"/>
      <c r="G429" s="19" t="n">
        <f aca="false">IF($E429="",0,MAX(0,ROUNDDOWN((TecilRaporTarihi-$E429)/30,0)))</f>
        <v>0</v>
      </c>
      <c r="H429" s="19" t="n">
        <f aca="false">IF($C429="",0,$C429+$D429)</f>
        <v>0</v>
      </c>
      <c r="I429" s="19" t="n">
        <f aca="false">IF($C429="",0,$C429*$F429)</f>
        <v>0</v>
      </c>
      <c r="J429" s="19" t="str">
        <f aca="false">IF($B429="","",CONCATENATE("Borç: ",$B429," | Toplam: ",TEXT($H429,"#,##0")))</f>
        <v/>
      </c>
    </row>
    <row r="430" customFormat="false" ht="15" hidden="false" customHeight="false" outlineLevel="0" collapsed="false">
      <c r="A430" s="20"/>
      <c r="B430" s="20"/>
      <c r="C430" s="21"/>
      <c r="D430" s="21"/>
      <c r="E430" s="22"/>
      <c r="F430" s="23"/>
      <c r="G430" s="19" t="n">
        <f aca="false">IF($E430="",0,MAX(0,ROUNDDOWN((TecilRaporTarihi-$E430)/30,0)))</f>
        <v>0</v>
      </c>
      <c r="H430" s="19" t="n">
        <f aca="false">IF($C430="",0,$C430+$D430)</f>
        <v>0</v>
      </c>
      <c r="I430" s="19" t="n">
        <f aca="false">IF($C430="",0,$C430*$F430)</f>
        <v>0</v>
      </c>
      <c r="J430" s="19" t="str">
        <f aca="false">IF($B430="","",CONCATENATE("Borç: ",$B430," | Toplam: ",TEXT($H430,"#,##0")))</f>
        <v/>
      </c>
    </row>
    <row r="431" customFormat="false" ht="15" hidden="false" customHeight="false" outlineLevel="0" collapsed="false">
      <c r="A431" s="20"/>
      <c r="B431" s="20"/>
      <c r="C431" s="21"/>
      <c r="D431" s="21"/>
      <c r="E431" s="22"/>
      <c r="F431" s="23"/>
      <c r="G431" s="19" t="n">
        <f aca="false">IF($E431="",0,MAX(0,ROUNDDOWN((TecilRaporTarihi-$E431)/30,0)))</f>
        <v>0</v>
      </c>
      <c r="H431" s="19" t="n">
        <f aca="false">IF($C431="",0,$C431+$D431)</f>
        <v>0</v>
      </c>
      <c r="I431" s="19" t="n">
        <f aca="false">IF($C431="",0,$C431*$F431)</f>
        <v>0</v>
      </c>
      <c r="J431" s="19" t="str">
        <f aca="false">IF($B431="","",CONCATENATE("Borç: ",$B431," | Toplam: ",TEXT($H431,"#,##0")))</f>
        <v/>
      </c>
    </row>
    <row r="432" customFormat="false" ht="15" hidden="false" customHeight="false" outlineLevel="0" collapsed="false">
      <c r="A432" s="20"/>
      <c r="B432" s="20"/>
      <c r="C432" s="21"/>
      <c r="D432" s="21"/>
      <c r="E432" s="22"/>
      <c r="F432" s="23"/>
      <c r="G432" s="19" t="n">
        <f aca="false">IF($E432="",0,MAX(0,ROUNDDOWN((TecilRaporTarihi-$E432)/30,0)))</f>
        <v>0</v>
      </c>
      <c r="H432" s="19" t="n">
        <f aca="false">IF($C432="",0,$C432+$D432)</f>
        <v>0</v>
      </c>
      <c r="I432" s="19" t="n">
        <f aca="false">IF($C432="",0,$C432*$F432)</f>
        <v>0</v>
      </c>
      <c r="J432" s="19" t="str">
        <f aca="false">IF($B432="","",CONCATENATE("Borç: ",$B432," | Toplam: ",TEXT($H432,"#,##0")))</f>
        <v/>
      </c>
    </row>
    <row r="433" customFormat="false" ht="15" hidden="false" customHeight="false" outlineLevel="0" collapsed="false">
      <c r="A433" s="20"/>
      <c r="B433" s="20"/>
      <c r="C433" s="21"/>
      <c r="D433" s="21"/>
      <c r="E433" s="22"/>
      <c r="F433" s="23"/>
      <c r="G433" s="19" t="n">
        <f aca="false">IF($E433="",0,MAX(0,ROUNDDOWN((TecilRaporTarihi-$E433)/30,0)))</f>
        <v>0</v>
      </c>
      <c r="H433" s="19" t="n">
        <f aca="false">IF($C433="",0,$C433+$D433)</f>
        <v>0</v>
      </c>
      <c r="I433" s="19" t="n">
        <f aca="false">IF($C433="",0,$C433*$F433)</f>
        <v>0</v>
      </c>
      <c r="J433" s="19" t="str">
        <f aca="false">IF($B433="","",CONCATENATE("Borç: ",$B433," | Toplam: ",TEXT($H433,"#,##0")))</f>
        <v/>
      </c>
    </row>
    <row r="434" customFormat="false" ht="15" hidden="false" customHeight="false" outlineLevel="0" collapsed="false">
      <c r="A434" s="20"/>
      <c r="B434" s="20"/>
      <c r="C434" s="21"/>
      <c r="D434" s="21"/>
      <c r="E434" s="22"/>
      <c r="F434" s="23"/>
      <c r="G434" s="19" t="n">
        <f aca="false">IF($E434="",0,MAX(0,ROUNDDOWN((TecilRaporTarihi-$E434)/30,0)))</f>
        <v>0</v>
      </c>
      <c r="H434" s="19" t="n">
        <f aca="false">IF($C434="",0,$C434+$D434)</f>
        <v>0</v>
      </c>
      <c r="I434" s="19" t="n">
        <f aca="false">IF($C434="",0,$C434*$F434)</f>
        <v>0</v>
      </c>
      <c r="J434" s="19" t="str">
        <f aca="false">IF($B434="","",CONCATENATE("Borç: ",$B434," | Toplam: ",TEXT($H434,"#,##0")))</f>
        <v/>
      </c>
    </row>
    <row r="435" customFormat="false" ht="15" hidden="false" customHeight="false" outlineLevel="0" collapsed="false">
      <c r="A435" s="20"/>
      <c r="B435" s="20"/>
      <c r="C435" s="21"/>
      <c r="D435" s="21"/>
      <c r="E435" s="22"/>
      <c r="F435" s="23"/>
      <c r="G435" s="19" t="n">
        <f aca="false">IF($E435="",0,MAX(0,ROUNDDOWN((TecilRaporTarihi-$E435)/30,0)))</f>
        <v>0</v>
      </c>
      <c r="H435" s="19" t="n">
        <f aca="false">IF($C435="",0,$C435+$D435)</f>
        <v>0</v>
      </c>
      <c r="I435" s="19" t="n">
        <f aca="false">IF($C435="",0,$C435*$F435)</f>
        <v>0</v>
      </c>
      <c r="J435" s="19" t="str">
        <f aca="false">IF($B435="","",CONCATENATE("Borç: ",$B435," | Toplam: ",TEXT($H435,"#,##0")))</f>
        <v/>
      </c>
    </row>
    <row r="436" customFormat="false" ht="15" hidden="false" customHeight="false" outlineLevel="0" collapsed="false">
      <c r="A436" s="20"/>
      <c r="B436" s="20"/>
      <c r="C436" s="21"/>
      <c r="D436" s="21"/>
      <c r="E436" s="22"/>
      <c r="F436" s="23"/>
      <c r="G436" s="19" t="n">
        <f aca="false">IF($E436="",0,MAX(0,ROUNDDOWN((TecilRaporTarihi-$E436)/30,0)))</f>
        <v>0</v>
      </c>
      <c r="H436" s="19" t="n">
        <f aca="false">IF($C436="",0,$C436+$D436)</f>
        <v>0</v>
      </c>
      <c r="I436" s="19" t="n">
        <f aca="false">IF($C436="",0,$C436*$F436)</f>
        <v>0</v>
      </c>
      <c r="J436" s="19" t="str">
        <f aca="false">IF($B436="","",CONCATENATE("Borç: ",$B436," | Toplam: ",TEXT($H436,"#,##0")))</f>
        <v/>
      </c>
    </row>
    <row r="437" customFormat="false" ht="15" hidden="false" customHeight="false" outlineLevel="0" collapsed="false">
      <c r="A437" s="20"/>
      <c r="B437" s="20"/>
      <c r="C437" s="21"/>
      <c r="D437" s="21"/>
      <c r="E437" s="22"/>
      <c r="F437" s="23"/>
      <c r="G437" s="19" t="n">
        <f aca="false">IF($E437="",0,MAX(0,ROUNDDOWN((TecilRaporTarihi-$E437)/30,0)))</f>
        <v>0</v>
      </c>
      <c r="H437" s="19" t="n">
        <f aca="false">IF($C437="",0,$C437+$D437)</f>
        <v>0</v>
      </c>
      <c r="I437" s="19" t="n">
        <f aca="false">IF($C437="",0,$C437*$F437)</f>
        <v>0</v>
      </c>
      <c r="J437" s="19" t="str">
        <f aca="false">IF($B437="","",CONCATENATE("Borç: ",$B437," | Toplam: ",TEXT($H437,"#,##0")))</f>
        <v/>
      </c>
    </row>
    <row r="438" customFormat="false" ht="15" hidden="false" customHeight="false" outlineLevel="0" collapsed="false">
      <c r="A438" s="20"/>
      <c r="B438" s="20"/>
      <c r="C438" s="21"/>
      <c r="D438" s="21"/>
      <c r="E438" s="22"/>
      <c r="F438" s="23"/>
      <c r="G438" s="19" t="n">
        <f aca="false">IF($E438="",0,MAX(0,ROUNDDOWN((TecilRaporTarihi-$E438)/30,0)))</f>
        <v>0</v>
      </c>
      <c r="H438" s="19" t="n">
        <f aca="false">IF($C438="",0,$C438+$D438)</f>
        <v>0</v>
      </c>
      <c r="I438" s="19" t="n">
        <f aca="false">IF($C438="",0,$C438*$F438)</f>
        <v>0</v>
      </c>
      <c r="J438" s="19" t="str">
        <f aca="false">IF($B438="","",CONCATENATE("Borç: ",$B438," | Toplam: ",TEXT($H438,"#,##0")))</f>
        <v/>
      </c>
    </row>
    <row r="439" customFormat="false" ht="15" hidden="false" customHeight="false" outlineLevel="0" collapsed="false">
      <c r="A439" s="20"/>
      <c r="B439" s="20"/>
      <c r="C439" s="21"/>
      <c r="D439" s="21"/>
      <c r="E439" s="22"/>
      <c r="F439" s="23"/>
      <c r="G439" s="19" t="n">
        <f aca="false">IF($E439="",0,MAX(0,ROUNDDOWN((TecilRaporTarihi-$E439)/30,0)))</f>
        <v>0</v>
      </c>
      <c r="H439" s="19" t="n">
        <f aca="false">IF($C439="",0,$C439+$D439)</f>
        <v>0</v>
      </c>
      <c r="I439" s="19" t="n">
        <f aca="false">IF($C439="",0,$C439*$F439)</f>
        <v>0</v>
      </c>
      <c r="J439" s="19" t="str">
        <f aca="false">IF($B439="","",CONCATENATE("Borç: ",$B439," | Toplam: ",TEXT($H439,"#,##0")))</f>
        <v/>
      </c>
    </row>
    <row r="440" customFormat="false" ht="15" hidden="false" customHeight="false" outlineLevel="0" collapsed="false">
      <c r="A440" s="20"/>
      <c r="B440" s="20"/>
      <c r="C440" s="21"/>
      <c r="D440" s="21"/>
      <c r="E440" s="22"/>
      <c r="F440" s="23"/>
      <c r="G440" s="19" t="n">
        <f aca="false">IF($E440="",0,MAX(0,ROUNDDOWN((TecilRaporTarihi-$E440)/30,0)))</f>
        <v>0</v>
      </c>
      <c r="H440" s="19" t="n">
        <f aca="false">IF($C440="",0,$C440+$D440)</f>
        <v>0</v>
      </c>
      <c r="I440" s="19" t="n">
        <f aca="false">IF($C440="",0,$C440*$F440)</f>
        <v>0</v>
      </c>
      <c r="J440" s="19" t="str">
        <f aca="false">IF($B440="","",CONCATENATE("Borç: ",$B440," | Toplam: ",TEXT($H440,"#,##0")))</f>
        <v/>
      </c>
    </row>
    <row r="441" customFormat="false" ht="15" hidden="false" customHeight="false" outlineLevel="0" collapsed="false">
      <c r="A441" s="20"/>
      <c r="B441" s="20"/>
      <c r="C441" s="21"/>
      <c r="D441" s="21"/>
      <c r="E441" s="22"/>
      <c r="F441" s="23"/>
      <c r="G441" s="19" t="n">
        <f aca="false">IF($E441="",0,MAX(0,ROUNDDOWN((TecilRaporTarihi-$E441)/30,0)))</f>
        <v>0</v>
      </c>
      <c r="H441" s="19" t="n">
        <f aca="false">IF($C441="",0,$C441+$D441)</f>
        <v>0</v>
      </c>
      <c r="I441" s="19" t="n">
        <f aca="false">IF($C441="",0,$C441*$F441)</f>
        <v>0</v>
      </c>
      <c r="J441" s="19" t="str">
        <f aca="false">IF($B441="","",CONCATENATE("Borç: ",$B441," | Toplam: ",TEXT($H441,"#,##0")))</f>
        <v/>
      </c>
    </row>
    <row r="442" customFormat="false" ht="15" hidden="false" customHeight="false" outlineLevel="0" collapsed="false">
      <c r="A442" s="20"/>
      <c r="B442" s="20"/>
      <c r="C442" s="21"/>
      <c r="D442" s="21"/>
      <c r="E442" s="22"/>
      <c r="F442" s="23"/>
      <c r="G442" s="19" t="n">
        <f aca="false">IF($E442="",0,MAX(0,ROUNDDOWN((TecilRaporTarihi-$E442)/30,0)))</f>
        <v>0</v>
      </c>
      <c r="H442" s="19" t="n">
        <f aca="false">IF($C442="",0,$C442+$D442)</f>
        <v>0</v>
      </c>
      <c r="I442" s="19" t="n">
        <f aca="false">IF($C442="",0,$C442*$F442)</f>
        <v>0</v>
      </c>
      <c r="J442" s="19" t="str">
        <f aca="false">IF($B442="","",CONCATENATE("Borç: ",$B442," | Toplam: ",TEXT($H442,"#,##0")))</f>
        <v/>
      </c>
    </row>
    <row r="443" customFormat="false" ht="15" hidden="false" customHeight="false" outlineLevel="0" collapsed="false">
      <c r="A443" s="20"/>
      <c r="B443" s="20"/>
      <c r="C443" s="21"/>
      <c r="D443" s="21"/>
      <c r="E443" s="22"/>
      <c r="F443" s="23"/>
      <c r="G443" s="19" t="n">
        <f aca="false">IF($E443="",0,MAX(0,ROUNDDOWN((TecilRaporTarihi-$E443)/30,0)))</f>
        <v>0</v>
      </c>
      <c r="H443" s="19" t="n">
        <f aca="false">IF($C443="",0,$C443+$D443)</f>
        <v>0</v>
      </c>
      <c r="I443" s="19" t="n">
        <f aca="false">IF($C443="",0,$C443*$F443)</f>
        <v>0</v>
      </c>
      <c r="J443" s="19" t="str">
        <f aca="false">IF($B443="","",CONCATENATE("Borç: ",$B443," | Toplam: ",TEXT($H443,"#,##0")))</f>
        <v/>
      </c>
    </row>
    <row r="444" customFormat="false" ht="15" hidden="false" customHeight="false" outlineLevel="0" collapsed="false">
      <c r="A444" s="20"/>
      <c r="B444" s="20"/>
      <c r="C444" s="21"/>
      <c r="D444" s="21"/>
      <c r="E444" s="22"/>
      <c r="F444" s="23"/>
      <c r="G444" s="19" t="n">
        <f aca="false">IF($E444="",0,MAX(0,ROUNDDOWN((TecilRaporTarihi-$E444)/30,0)))</f>
        <v>0</v>
      </c>
      <c r="H444" s="19" t="n">
        <f aca="false">IF($C444="",0,$C444+$D444)</f>
        <v>0</v>
      </c>
      <c r="I444" s="19" t="n">
        <f aca="false">IF($C444="",0,$C444*$F444)</f>
        <v>0</v>
      </c>
      <c r="J444" s="19" t="str">
        <f aca="false">IF($B444="","",CONCATENATE("Borç: ",$B444," | Toplam: ",TEXT($H444,"#,##0")))</f>
        <v/>
      </c>
    </row>
    <row r="445" customFormat="false" ht="15" hidden="false" customHeight="false" outlineLevel="0" collapsed="false">
      <c r="A445" s="20"/>
      <c r="B445" s="20"/>
      <c r="C445" s="21"/>
      <c r="D445" s="21"/>
      <c r="E445" s="22"/>
      <c r="F445" s="23"/>
      <c r="G445" s="19" t="n">
        <f aca="false">IF($E445="",0,MAX(0,ROUNDDOWN((TecilRaporTarihi-$E445)/30,0)))</f>
        <v>0</v>
      </c>
      <c r="H445" s="19" t="n">
        <f aca="false">IF($C445="",0,$C445+$D445)</f>
        <v>0</v>
      </c>
      <c r="I445" s="19" t="n">
        <f aca="false">IF($C445="",0,$C445*$F445)</f>
        <v>0</v>
      </c>
      <c r="J445" s="19" t="str">
        <f aca="false">IF($B445="","",CONCATENATE("Borç: ",$B445," | Toplam: ",TEXT($H445,"#,##0")))</f>
        <v/>
      </c>
    </row>
    <row r="446" customFormat="false" ht="15" hidden="false" customHeight="false" outlineLevel="0" collapsed="false">
      <c r="A446" s="20"/>
      <c r="B446" s="20"/>
      <c r="C446" s="21"/>
      <c r="D446" s="21"/>
      <c r="E446" s="22"/>
      <c r="F446" s="23"/>
      <c r="G446" s="19" t="n">
        <f aca="false">IF($E446="",0,MAX(0,ROUNDDOWN((TecilRaporTarihi-$E446)/30,0)))</f>
        <v>0</v>
      </c>
      <c r="H446" s="19" t="n">
        <f aca="false">IF($C446="",0,$C446+$D446)</f>
        <v>0</v>
      </c>
      <c r="I446" s="19" t="n">
        <f aca="false">IF($C446="",0,$C446*$F446)</f>
        <v>0</v>
      </c>
      <c r="J446" s="19" t="str">
        <f aca="false">IF($B446="","",CONCATENATE("Borç: ",$B446," | Toplam: ",TEXT($H446,"#,##0")))</f>
        <v/>
      </c>
    </row>
    <row r="447" customFormat="false" ht="15" hidden="false" customHeight="false" outlineLevel="0" collapsed="false">
      <c r="A447" s="20"/>
      <c r="B447" s="20"/>
      <c r="C447" s="21"/>
      <c r="D447" s="21"/>
      <c r="E447" s="22"/>
      <c r="F447" s="23"/>
      <c r="G447" s="19" t="n">
        <f aca="false">IF($E447="",0,MAX(0,ROUNDDOWN((TecilRaporTarihi-$E447)/30,0)))</f>
        <v>0</v>
      </c>
      <c r="H447" s="19" t="n">
        <f aca="false">IF($C447="",0,$C447+$D447)</f>
        <v>0</v>
      </c>
      <c r="I447" s="19" t="n">
        <f aca="false">IF($C447="",0,$C447*$F447)</f>
        <v>0</v>
      </c>
      <c r="J447" s="19" t="str">
        <f aca="false">IF($B447="","",CONCATENATE("Borç: ",$B447," | Toplam: ",TEXT($H447,"#,##0")))</f>
        <v/>
      </c>
    </row>
    <row r="448" customFormat="false" ht="15" hidden="false" customHeight="false" outlineLevel="0" collapsed="false">
      <c r="A448" s="20"/>
      <c r="B448" s="20"/>
      <c r="C448" s="21"/>
      <c r="D448" s="21"/>
      <c r="E448" s="22"/>
      <c r="F448" s="23"/>
      <c r="G448" s="19" t="n">
        <f aca="false">IF($E448="",0,MAX(0,ROUNDDOWN((TecilRaporTarihi-$E448)/30,0)))</f>
        <v>0</v>
      </c>
      <c r="H448" s="19" t="n">
        <f aca="false">IF($C448="",0,$C448+$D448)</f>
        <v>0</v>
      </c>
      <c r="I448" s="19" t="n">
        <f aca="false">IF($C448="",0,$C448*$F448)</f>
        <v>0</v>
      </c>
      <c r="J448" s="19" t="str">
        <f aca="false">IF($B448="","",CONCATENATE("Borç: ",$B448," | Toplam: ",TEXT($H448,"#,##0")))</f>
        <v/>
      </c>
    </row>
    <row r="449" customFormat="false" ht="15" hidden="false" customHeight="false" outlineLevel="0" collapsed="false">
      <c r="A449" s="20"/>
      <c r="B449" s="20"/>
      <c r="C449" s="21"/>
      <c r="D449" s="21"/>
      <c r="E449" s="22"/>
      <c r="F449" s="23"/>
      <c r="G449" s="19" t="n">
        <f aca="false">IF($E449="",0,MAX(0,ROUNDDOWN((TecilRaporTarihi-$E449)/30,0)))</f>
        <v>0</v>
      </c>
      <c r="H449" s="19" t="n">
        <f aca="false">IF($C449="",0,$C449+$D449)</f>
        <v>0</v>
      </c>
      <c r="I449" s="19" t="n">
        <f aca="false">IF($C449="",0,$C449*$F449)</f>
        <v>0</v>
      </c>
      <c r="J449" s="19" t="str">
        <f aca="false">IF($B449="","",CONCATENATE("Borç: ",$B449," | Toplam: ",TEXT($H449,"#,##0")))</f>
        <v/>
      </c>
    </row>
    <row r="450" customFormat="false" ht="15" hidden="false" customHeight="false" outlineLevel="0" collapsed="false">
      <c r="A450" s="20"/>
      <c r="B450" s="20"/>
      <c r="C450" s="21"/>
      <c r="D450" s="21"/>
      <c r="E450" s="22"/>
      <c r="F450" s="23"/>
      <c r="G450" s="19" t="n">
        <f aca="false">IF($E450="",0,MAX(0,ROUNDDOWN((TecilRaporTarihi-$E450)/30,0)))</f>
        <v>0</v>
      </c>
      <c r="H450" s="19" t="n">
        <f aca="false">IF($C450="",0,$C450+$D450)</f>
        <v>0</v>
      </c>
      <c r="I450" s="19" t="n">
        <f aca="false">IF($C450="",0,$C450*$F450)</f>
        <v>0</v>
      </c>
      <c r="J450" s="19" t="str">
        <f aca="false">IF($B450="","",CONCATENATE("Borç: ",$B450," | Toplam: ",TEXT($H450,"#,##0")))</f>
        <v/>
      </c>
    </row>
    <row r="451" customFormat="false" ht="15" hidden="false" customHeight="false" outlineLevel="0" collapsed="false">
      <c r="A451" s="20"/>
      <c r="B451" s="20"/>
      <c r="C451" s="21"/>
      <c r="D451" s="21"/>
      <c r="E451" s="22"/>
      <c r="F451" s="23"/>
      <c r="G451" s="19" t="n">
        <f aca="false">IF($E451="",0,MAX(0,ROUNDDOWN((TecilRaporTarihi-$E451)/30,0)))</f>
        <v>0</v>
      </c>
      <c r="H451" s="19" t="n">
        <f aca="false">IF($C451="",0,$C451+$D451)</f>
        <v>0</v>
      </c>
      <c r="I451" s="19" t="n">
        <f aca="false">IF($C451="",0,$C451*$F451)</f>
        <v>0</v>
      </c>
      <c r="J451" s="19" t="str">
        <f aca="false">IF($B451="","",CONCATENATE("Borç: ",$B451," | Toplam: ",TEXT($H451,"#,##0")))</f>
        <v/>
      </c>
    </row>
    <row r="452" customFormat="false" ht="15" hidden="false" customHeight="false" outlineLevel="0" collapsed="false">
      <c r="A452" s="20"/>
      <c r="B452" s="20"/>
      <c r="C452" s="21"/>
      <c r="D452" s="21"/>
      <c r="E452" s="22"/>
      <c r="F452" s="23"/>
      <c r="G452" s="19" t="n">
        <f aca="false">IF($E452="",0,MAX(0,ROUNDDOWN((TecilRaporTarihi-$E452)/30,0)))</f>
        <v>0</v>
      </c>
      <c r="H452" s="19" t="n">
        <f aca="false">IF($C452="",0,$C452+$D452)</f>
        <v>0</v>
      </c>
      <c r="I452" s="19" t="n">
        <f aca="false">IF($C452="",0,$C452*$F452)</f>
        <v>0</v>
      </c>
      <c r="J452" s="19" t="str">
        <f aca="false">IF($B452="","",CONCATENATE("Borç: ",$B452," | Toplam: ",TEXT($H452,"#,##0")))</f>
        <v/>
      </c>
    </row>
    <row r="453" customFormat="false" ht="15" hidden="false" customHeight="false" outlineLevel="0" collapsed="false">
      <c r="A453" s="20"/>
      <c r="B453" s="20"/>
      <c r="C453" s="21"/>
      <c r="D453" s="21"/>
      <c r="E453" s="22"/>
      <c r="F453" s="23"/>
      <c r="G453" s="19" t="n">
        <f aca="false">IF($E453="",0,MAX(0,ROUNDDOWN((TecilRaporTarihi-$E453)/30,0)))</f>
        <v>0</v>
      </c>
      <c r="H453" s="19" t="n">
        <f aca="false">IF($C453="",0,$C453+$D453)</f>
        <v>0</v>
      </c>
      <c r="I453" s="19" t="n">
        <f aca="false">IF($C453="",0,$C453*$F453)</f>
        <v>0</v>
      </c>
      <c r="J453" s="19" t="str">
        <f aca="false">IF($B453="","",CONCATENATE("Borç: ",$B453," | Toplam: ",TEXT($H453,"#,##0")))</f>
        <v/>
      </c>
    </row>
    <row r="454" customFormat="false" ht="15" hidden="false" customHeight="false" outlineLevel="0" collapsed="false">
      <c r="A454" s="20"/>
      <c r="B454" s="20"/>
      <c r="C454" s="21"/>
      <c r="D454" s="21"/>
      <c r="E454" s="22"/>
      <c r="F454" s="23"/>
      <c r="G454" s="19" t="n">
        <f aca="false">IF($E454="",0,MAX(0,ROUNDDOWN((TecilRaporTarihi-$E454)/30,0)))</f>
        <v>0</v>
      </c>
      <c r="H454" s="19" t="n">
        <f aca="false">IF($C454="",0,$C454+$D454)</f>
        <v>0</v>
      </c>
      <c r="I454" s="19" t="n">
        <f aca="false">IF($C454="",0,$C454*$F454)</f>
        <v>0</v>
      </c>
      <c r="J454" s="19" t="str">
        <f aca="false">IF($B454="","",CONCATENATE("Borç: ",$B454," | Toplam: ",TEXT($H454,"#,##0")))</f>
        <v/>
      </c>
    </row>
    <row r="455" customFormat="false" ht="15" hidden="false" customHeight="false" outlineLevel="0" collapsed="false">
      <c r="A455" s="20"/>
      <c r="B455" s="20"/>
      <c r="C455" s="21"/>
      <c r="D455" s="21"/>
      <c r="E455" s="22"/>
      <c r="F455" s="23"/>
      <c r="G455" s="19" t="n">
        <f aca="false">IF($E455="",0,MAX(0,ROUNDDOWN((TecilRaporTarihi-$E455)/30,0)))</f>
        <v>0</v>
      </c>
      <c r="H455" s="19" t="n">
        <f aca="false">IF($C455="",0,$C455+$D455)</f>
        <v>0</v>
      </c>
      <c r="I455" s="19" t="n">
        <f aca="false">IF($C455="",0,$C455*$F455)</f>
        <v>0</v>
      </c>
      <c r="J455" s="19" t="str">
        <f aca="false">IF($B455="","",CONCATENATE("Borç: ",$B455," | Toplam: ",TEXT($H455,"#,##0")))</f>
        <v/>
      </c>
    </row>
    <row r="456" customFormat="false" ht="15" hidden="false" customHeight="false" outlineLevel="0" collapsed="false">
      <c r="A456" s="20"/>
      <c r="B456" s="20"/>
      <c r="C456" s="21"/>
      <c r="D456" s="21"/>
      <c r="E456" s="22"/>
      <c r="F456" s="23"/>
      <c r="G456" s="19" t="n">
        <f aca="false">IF($E456="",0,MAX(0,ROUNDDOWN((TecilRaporTarihi-$E456)/30,0)))</f>
        <v>0</v>
      </c>
      <c r="H456" s="19" t="n">
        <f aca="false">IF($C456="",0,$C456+$D456)</f>
        <v>0</v>
      </c>
      <c r="I456" s="19" t="n">
        <f aca="false">IF($C456="",0,$C456*$F456)</f>
        <v>0</v>
      </c>
      <c r="J456" s="19" t="str">
        <f aca="false">IF($B456="","",CONCATENATE("Borç: ",$B456," | Toplam: ",TEXT($H456,"#,##0")))</f>
        <v/>
      </c>
    </row>
    <row r="457" customFormat="false" ht="15" hidden="false" customHeight="false" outlineLevel="0" collapsed="false">
      <c r="A457" s="20"/>
      <c r="B457" s="20"/>
      <c r="C457" s="21"/>
      <c r="D457" s="21"/>
      <c r="E457" s="22"/>
      <c r="F457" s="23"/>
      <c r="G457" s="19" t="n">
        <f aca="false">IF($E457="",0,MAX(0,ROUNDDOWN((TecilRaporTarihi-$E457)/30,0)))</f>
        <v>0</v>
      </c>
      <c r="H457" s="19" t="n">
        <f aca="false">IF($C457="",0,$C457+$D457)</f>
        <v>0</v>
      </c>
      <c r="I457" s="19" t="n">
        <f aca="false">IF($C457="",0,$C457*$F457)</f>
        <v>0</v>
      </c>
      <c r="J457" s="19" t="str">
        <f aca="false">IF($B457="","",CONCATENATE("Borç: ",$B457," | Toplam: ",TEXT($H457,"#,##0")))</f>
        <v/>
      </c>
    </row>
    <row r="458" customFormat="false" ht="15" hidden="false" customHeight="false" outlineLevel="0" collapsed="false">
      <c r="A458" s="20"/>
      <c r="B458" s="20"/>
      <c r="C458" s="21"/>
      <c r="D458" s="21"/>
      <c r="E458" s="22"/>
      <c r="F458" s="23"/>
      <c r="G458" s="19" t="n">
        <f aca="false">IF($E458="",0,MAX(0,ROUNDDOWN((TecilRaporTarihi-$E458)/30,0)))</f>
        <v>0</v>
      </c>
      <c r="H458" s="19" t="n">
        <f aca="false">IF($C458="",0,$C458+$D458)</f>
        <v>0</v>
      </c>
      <c r="I458" s="19" t="n">
        <f aca="false">IF($C458="",0,$C458*$F458)</f>
        <v>0</v>
      </c>
      <c r="J458" s="19" t="str">
        <f aca="false">IF($B458="","",CONCATENATE("Borç: ",$B458," | Toplam: ",TEXT($H458,"#,##0")))</f>
        <v/>
      </c>
    </row>
    <row r="459" customFormat="false" ht="15" hidden="false" customHeight="false" outlineLevel="0" collapsed="false">
      <c r="A459" s="20"/>
      <c r="B459" s="20"/>
      <c r="C459" s="21"/>
      <c r="D459" s="21"/>
      <c r="E459" s="22"/>
      <c r="F459" s="23"/>
      <c r="G459" s="19" t="n">
        <f aca="false">IF($E459="",0,MAX(0,ROUNDDOWN((TecilRaporTarihi-$E459)/30,0)))</f>
        <v>0</v>
      </c>
      <c r="H459" s="19" t="n">
        <f aca="false">IF($C459="",0,$C459+$D459)</f>
        <v>0</v>
      </c>
      <c r="I459" s="19" t="n">
        <f aca="false">IF($C459="",0,$C459*$F459)</f>
        <v>0</v>
      </c>
      <c r="J459" s="19" t="str">
        <f aca="false">IF($B459="","",CONCATENATE("Borç: ",$B459," | Toplam: ",TEXT($H459,"#,##0")))</f>
        <v/>
      </c>
    </row>
    <row r="460" customFormat="false" ht="15" hidden="false" customHeight="false" outlineLevel="0" collapsed="false">
      <c r="A460" s="20"/>
      <c r="B460" s="20"/>
      <c r="C460" s="21"/>
      <c r="D460" s="21"/>
      <c r="E460" s="22"/>
      <c r="F460" s="23"/>
      <c r="G460" s="19" t="n">
        <f aca="false">IF($E460="",0,MAX(0,ROUNDDOWN((TecilRaporTarihi-$E460)/30,0)))</f>
        <v>0</v>
      </c>
      <c r="H460" s="19" t="n">
        <f aca="false">IF($C460="",0,$C460+$D460)</f>
        <v>0</v>
      </c>
      <c r="I460" s="19" t="n">
        <f aca="false">IF($C460="",0,$C460*$F460)</f>
        <v>0</v>
      </c>
      <c r="J460" s="19" t="str">
        <f aca="false">IF($B460="","",CONCATENATE("Borç: ",$B460," | Toplam: ",TEXT($H460,"#,##0")))</f>
        <v/>
      </c>
    </row>
    <row r="461" customFormat="false" ht="15" hidden="false" customHeight="false" outlineLevel="0" collapsed="false">
      <c r="A461" s="20"/>
      <c r="B461" s="20"/>
      <c r="C461" s="21"/>
      <c r="D461" s="21"/>
      <c r="E461" s="22"/>
      <c r="F461" s="23"/>
      <c r="G461" s="19" t="n">
        <f aca="false">IF($E461="",0,MAX(0,ROUNDDOWN((TecilRaporTarihi-$E461)/30,0)))</f>
        <v>0</v>
      </c>
      <c r="H461" s="19" t="n">
        <f aca="false">IF($C461="",0,$C461+$D461)</f>
        <v>0</v>
      </c>
      <c r="I461" s="19" t="n">
        <f aca="false">IF($C461="",0,$C461*$F461)</f>
        <v>0</v>
      </c>
      <c r="J461" s="19" t="str">
        <f aca="false">IF($B461="","",CONCATENATE("Borç: ",$B461," | Toplam: ",TEXT($H461,"#,##0")))</f>
        <v/>
      </c>
    </row>
    <row r="462" customFormat="false" ht="15" hidden="false" customHeight="false" outlineLevel="0" collapsed="false">
      <c r="A462" s="20"/>
      <c r="B462" s="20"/>
      <c r="C462" s="21"/>
      <c r="D462" s="21"/>
      <c r="E462" s="22"/>
      <c r="F462" s="23"/>
      <c r="G462" s="19" t="n">
        <f aca="false">IF($E462="",0,MAX(0,ROUNDDOWN((TecilRaporTarihi-$E462)/30,0)))</f>
        <v>0</v>
      </c>
      <c r="H462" s="19" t="n">
        <f aca="false">IF($C462="",0,$C462+$D462)</f>
        <v>0</v>
      </c>
      <c r="I462" s="19" t="n">
        <f aca="false">IF($C462="",0,$C462*$F462)</f>
        <v>0</v>
      </c>
      <c r="J462" s="19" t="str">
        <f aca="false">IF($B462="","",CONCATENATE("Borç: ",$B462," | Toplam: ",TEXT($H462,"#,##0")))</f>
        <v/>
      </c>
    </row>
    <row r="463" customFormat="false" ht="15" hidden="false" customHeight="false" outlineLevel="0" collapsed="false">
      <c r="A463" s="20"/>
      <c r="B463" s="20"/>
      <c r="C463" s="21"/>
      <c r="D463" s="21"/>
      <c r="E463" s="22"/>
      <c r="F463" s="23"/>
      <c r="G463" s="19" t="n">
        <f aca="false">IF($E463="",0,MAX(0,ROUNDDOWN((TecilRaporTarihi-$E463)/30,0)))</f>
        <v>0</v>
      </c>
      <c r="H463" s="19" t="n">
        <f aca="false">IF($C463="",0,$C463+$D463)</f>
        <v>0</v>
      </c>
      <c r="I463" s="19" t="n">
        <f aca="false">IF($C463="",0,$C463*$F463)</f>
        <v>0</v>
      </c>
      <c r="J463" s="19" t="str">
        <f aca="false">IF($B463="","",CONCATENATE("Borç: ",$B463," | Toplam: ",TEXT($H463,"#,##0")))</f>
        <v/>
      </c>
    </row>
    <row r="464" customFormat="false" ht="15" hidden="false" customHeight="false" outlineLevel="0" collapsed="false">
      <c r="A464" s="20"/>
      <c r="B464" s="20"/>
      <c r="C464" s="21"/>
      <c r="D464" s="21"/>
      <c r="E464" s="22"/>
      <c r="F464" s="23"/>
      <c r="G464" s="19" t="n">
        <f aca="false">IF($E464="",0,MAX(0,ROUNDDOWN((TecilRaporTarihi-$E464)/30,0)))</f>
        <v>0</v>
      </c>
      <c r="H464" s="19" t="n">
        <f aca="false">IF($C464="",0,$C464+$D464)</f>
        <v>0</v>
      </c>
      <c r="I464" s="19" t="n">
        <f aca="false">IF($C464="",0,$C464*$F464)</f>
        <v>0</v>
      </c>
      <c r="J464" s="19" t="str">
        <f aca="false">IF($B464="","",CONCATENATE("Borç: ",$B464," | Toplam: ",TEXT($H464,"#,##0")))</f>
        <v/>
      </c>
    </row>
    <row r="465" customFormat="false" ht="15" hidden="false" customHeight="false" outlineLevel="0" collapsed="false">
      <c r="A465" s="20"/>
      <c r="B465" s="20"/>
      <c r="C465" s="21"/>
      <c r="D465" s="21"/>
      <c r="E465" s="22"/>
      <c r="F465" s="23"/>
      <c r="G465" s="19" t="n">
        <f aca="false">IF($E465="",0,MAX(0,ROUNDDOWN((TecilRaporTarihi-$E465)/30,0)))</f>
        <v>0</v>
      </c>
      <c r="H465" s="19" t="n">
        <f aca="false">IF($C465="",0,$C465+$D465)</f>
        <v>0</v>
      </c>
      <c r="I465" s="19" t="n">
        <f aca="false">IF($C465="",0,$C465*$F465)</f>
        <v>0</v>
      </c>
      <c r="J465" s="19" t="str">
        <f aca="false">IF($B465="","",CONCATENATE("Borç: ",$B465," | Toplam: ",TEXT($H465,"#,##0")))</f>
        <v/>
      </c>
    </row>
    <row r="466" customFormat="false" ht="15" hidden="false" customHeight="false" outlineLevel="0" collapsed="false">
      <c r="A466" s="20"/>
      <c r="B466" s="20"/>
      <c r="C466" s="21"/>
      <c r="D466" s="21"/>
      <c r="E466" s="22"/>
      <c r="F466" s="23"/>
      <c r="G466" s="19" t="n">
        <f aca="false">IF($E466="",0,MAX(0,ROUNDDOWN((TecilRaporTarihi-$E466)/30,0)))</f>
        <v>0</v>
      </c>
      <c r="H466" s="19" t="n">
        <f aca="false">IF($C466="",0,$C466+$D466)</f>
        <v>0</v>
      </c>
      <c r="I466" s="19" t="n">
        <f aca="false">IF($C466="",0,$C466*$F466)</f>
        <v>0</v>
      </c>
      <c r="J466" s="19" t="str">
        <f aca="false">IF($B466="","",CONCATENATE("Borç: ",$B466," | Toplam: ",TEXT($H466,"#,##0")))</f>
        <v/>
      </c>
    </row>
    <row r="467" customFormat="false" ht="15" hidden="false" customHeight="false" outlineLevel="0" collapsed="false">
      <c r="A467" s="20"/>
      <c r="B467" s="20"/>
      <c r="C467" s="21"/>
      <c r="D467" s="21"/>
      <c r="E467" s="22"/>
      <c r="F467" s="23"/>
      <c r="G467" s="19" t="n">
        <f aca="false">IF($E467="",0,MAX(0,ROUNDDOWN((TecilRaporTarihi-$E467)/30,0)))</f>
        <v>0</v>
      </c>
      <c r="H467" s="19" t="n">
        <f aca="false">IF($C467="",0,$C467+$D467)</f>
        <v>0</v>
      </c>
      <c r="I467" s="19" t="n">
        <f aca="false">IF($C467="",0,$C467*$F467)</f>
        <v>0</v>
      </c>
      <c r="J467" s="19" t="str">
        <f aca="false">IF($B467="","",CONCATENATE("Borç: ",$B467," | Toplam: ",TEXT($H467,"#,##0")))</f>
        <v/>
      </c>
    </row>
    <row r="468" customFormat="false" ht="15" hidden="false" customHeight="false" outlineLevel="0" collapsed="false">
      <c r="A468" s="20"/>
      <c r="B468" s="20"/>
      <c r="C468" s="21"/>
      <c r="D468" s="21"/>
      <c r="E468" s="22"/>
      <c r="F468" s="23"/>
      <c r="G468" s="19" t="n">
        <f aca="false">IF($E468="",0,MAX(0,ROUNDDOWN((TecilRaporTarihi-$E468)/30,0)))</f>
        <v>0</v>
      </c>
      <c r="H468" s="19" t="n">
        <f aca="false">IF($C468="",0,$C468+$D468)</f>
        <v>0</v>
      </c>
      <c r="I468" s="19" t="n">
        <f aca="false">IF($C468="",0,$C468*$F468)</f>
        <v>0</v>
      </c>
      <c r="J468" s="19" t="str">
        <f aca="false">IF($B468="","",CONCATENATE("Borç: ",$B468," | Toplam: ",TEXT($H468,"#,##0")))</f>
        <v/>
      </c>
    </row>
    <row r="469" customFormat="false" ht="15" hidden="false" customHeight="false" outlineLevel="0" collapsed="false">
      <c r="A469" s="20"/>
      <c r="B469" s="20"/>
      <c r="C469" s="21"/>
      <c r="D469" s="21"/>
      <c r="E469" s="22"/>
      <c r="F469" s="23"/>
      <c r="G469" s="19" t="n">
        <f aca="false">IF($E469="",0,MAX(0,ROUNDDOWN((TecilRaporTarihi-$E469)/30,0)))</f>
        <v>0</v>
      </c>
      <c r="H469" s="19" t="n">
        <f aca="false">IF($C469="",0,$C469+$D469)</f>
        <v>0</v>
      </c>
      <c r="I469" s="19" t="n">
        <f aca="false">IF($C469="",0,$C469*$F469)</f>
        <v>0</v>
      </c>
      <c r="J469" s="19" t="str">
        <f aca="false">IF($B469="","",CONCATENATE("Borç: ",$B469," | Toplam: ",TEXT($H469,"#,##0")))</f>
        <v/>
      </c>
    </row>
    <row r="470" customFormat="false" ht="15" hidden="false" customHeight="false" outlineLevel="0" collapsed="false">
      <c r="A470" s="20"/>
      <c r="B470" s="20"/>
      <c r="C470" s="21"/>
      <c r="D470" s="21"/>
      <c r="E470" s="22"/>
      <c r="F470" s="23"/>
      <c r="G470" s="19" t="n">
        <f aca="false">IF($E470="",0,MAX(0,ROUNDDOWN((TecilRaporTarihi-$E470)/30,0)))</f>
        <v>0</v>
      </c>
      <c r="H470" s="19" t="n">
        <f aca="false">IF($C470="",0,$C470+$D470)</f>
        <v>0</v>
      </c>
      <c r="I470" s="19" t="n">
        <f aca="false">IF($C470="",0,$C470*$F470)</f>
        <v>0</v>
      </c>
      <c r="J470" s="19" t="str">
        <f aca="false">IF($B470="","",CONCATENATE("Borç: ",$B470," | Toplam: ",TEXT($H470,"#,##0")))</f>
        <v/>
      </c>
    </row>
    <row r="471" customFormat="false" ht="15" hidden="false" customHeight="false" outlineLevel="0" collapsed="false">
      <c r="A471" s="20"/>
      <c r="B471" s="20"/>
      <c r="C471" s="21"/>
      <c r="D471" s="21"/>
      <c r="E471" s="22"/>
      <c r="F471" s="23"/>
      <c r="G471" s="19" t="n">
        <f aca="false">IF($E471="",0,MAX(0,ROUNDDOWN((TecilRaporTarihi-$E471)/30,0)))</f>
        <v>0</v>
      </c>
      <c r="H471" s="19" t="n">
        <f aca="false">IF($C471="",0,$C471+$D471)</f>
        <v>0</v>
      </c>
      <c r="I471" s="19" t="n">
        <f aca="false">IF($C471="",0,$C471*$F471)</f>
        <v>0</v>
      </c>
      <c r="J471" s="19" t="str">
        <f aca="false">IF($B471="","",CONCATENATE("Borç: ",$B471," | Toplam: ",TEXT($H471,"#,##0")))</f>
        <v/>
      </c>
    </row>
    <row r="472" customFormat="false" ht="15" hidden="false" customHeight="false" outlineLevel="0" collapsed="false">
      <c r="A472" s="20"/>
      <c r="B472" s="20"/>
      <c r="C472" s="21"/>
      <c r="D472" s="21"/>
      <c r="E472" s="22"/>
      <c r="F472" s="23"/>
      <c r="G472" s="19" t="n">
        <f aca="false">IF($E472="",0,MAX(0,ROUNDDOWN((TecilRaporTarihi-$E472)/30,0)))</f>
        <v>0</v>
      </c>
      <c r="H472" s="19" t="n">
        <f aca="false">IF($C472="",0,$C472+$D472)</f>
        <v>0</v>
      </c>
      <c r="I472" s="19" t="n">
        <f aca="false">IF($C472="",0,$C472*$F472)</f>
        <v>0</v>
      </c>
      <c r="J472" s="19" t="str">
        <f aca="false">IF($B472="","",CONCATENATE("Borç: ",$B472," | Toplam: ",TEXT($H472,"#,##0")))</f>
        <v/>
      </c>
    </row>
    <row r="473" customFormat="false" ht="15" hidden="false" customHeight="false" outlineLevel="0" collapsed="false">
      <c r="A473" s="20"/>
      <c r="B473" s="20"/>
      <c r="C473" s="21"/>
      <c r="D473" s="21"/>
      <c r="E473" s="22"/>
      <c r="F473" s="23"/>
      <c r="G473" s="19" t="n">
        <f aca="false">IF($E473="",0,MAX(0,ROUNDDOWN((TecilRaporTarihi-$E473)/30,0)))</f>
        <v>0</v>
      </c>
      <c r="H473" s="19" t="n">
        <f aca="false">IF($C473="",0,$C473+$D473)</f>
        <v>0</v>
      </c>
      <c r="I473" s="19" t="n">
        <f aca="false">IF($C473="",0,$C473*$F473)</f>
        <v>0</v>
      </c>
      <c r="J473" s="19" t="str">
        <f aca="false">IF($B473="","",CONCATENATE("Borç: ",$B473," | Toplam: ",TEXT($H473,"#,##0")))</f>
        <v/>
      </c>
    </row>
    <row r="474" customFormat="false" ht="15" hidden="false" customHeight="false" outlineLevel="0" collapsed="false">
      <c r="A474" s="20"/>
      <c r="B474" s="20"/>
      <c r="C474" s="21"/>
      <c r="D474" s="21"/>
      <c r="E474" s="22"/>
      <c r="F474" s="23"/>
      <c r="G474" s="19" t="n">
        <f aca="false">IF($E474="",0,MAX(0,ROUNDDOWN((TecilRaporTarihi-$E474)/30,0)))</f>
        <v>0</v>
      </c>
      <c r="H474" s="19" t="n">
        <f aca="false">IF($C474="",0,$C474+$D474)</f>
        <v>0</v>
      </c>
      <c r="I474" s="19" t="n">
        <f aca="false">IF($C474="",0,$C474*$F474)</f>
        <v>0</v>
      </c>
      <c r="J474" s="19" t="str">
        <f aca="false">IF($B474="","",CONCATENATE("Borç: ",$B474," | Toplam: ",TEXT($H474,"#,##0")))</f>
        <v/>
      </c>
    </row>
    <row r="475" customFormat="false" ht="15" hidden="false" customHeight="false" outlineLevel="0" collapsed="false">
      <c r="A475" s="20"/>
      <c r="B475" s="20"/>
      <c r="C475" s="21"/>
      <c r="D475" s="21"/>
      <c r="E475" s="22"/>
      <c r="F475" s="23"/>
      <c r="G475" s="19" t="n">
        <f aca="false">IF($E475="",0,MAX(0,ROUNDDOWN((TecilRaporTarihi-$E475)/30,0)))</f>
        <v>0</v>
      </c>
      <c r="H475" s="19" t="n">
        <f aca="false">IF($C475="",0,$C475+$D475)</f>
        <v>0</v>
      </c>
      <c r="I475" s="19" t="n">
        <f aca="false">IF($C475="",0,$C475*$F475)</f>
        <v>0</v>
      </c>
      <c r="J475" s="19" t="str">
        <f aca="false">IF($B475="","",CONCATENATE("Borç: ",$B475," | Toplam: ",TEXT($H475,"#,##0")))</f>
        <v/>
      </c>
    </row>
    <row r="476" customFormat="false" ht="15" hidden="false" customHeight="false" outlineLevel="0" collapsed="false">
      <c r="A476" s="20"/>
      <c r="B476" s="20"/>
      <c r="C476" s="21"/>
      <c r="D476" s="21"/>
      <c r="E476" s="22"/>
      <c r="F476" s="23"/>
      <c r="G476" s="19" t="n">
        <f aca="false">IF($E476="",0,MAX(0,ROUNDDOWN((TecilRaporTarihi-$E476)/30,0)))</f>
        <v>0</v>
      </c>
      <c r="H476" s="19" t="n">
        <f aca="false">IF($C476="",0,$C476+$D476)</f>
        <v>0</v>
      </c>
      <c r="I476" s="19" t="n">
        <f aca="false">IF($C476="",0,$C476*$F476)</f>
        <v>0</v>
      </c>
      <c r="J476" s="19" t="str">
        <f aca="false">IF($B476="","",CONCATENATE("Borç: ",$B476," | Toplam: ",TEXT($H476,"#,##0")))</f>
        <v/>
      </c>
    </row>
    <row r="477" customFormat="false" ht="15" hidden="false" customHeight="false" outlineLevel="0" collapsed="false">
      <c r="A477" s="20"/>
      <c r="B477" s="20"/>
      <c r="C477" s="21"/>
      <c r="D477" s="21"/>
      <c r="E477" s="22"/>
      <c r="F477" s="23"/>
      <c r="G477" s="19" t="n">
        <f aca="false">IF($E477="",0,MAX(0,ROUNDDOWN((TecilRaporTarihi-$E477)/30,0)))</f>
        <v>0</v>
      </c>
      <c r="H477" s="19" t="n">
        <f aca="false">IF($C477="",0,$C477+$D477)</f>
        <v>0</v>
      </c>
      <c r="I477" s="19" t="n">
        <f aca="false">IF($C477="",0,$C477*$F477)</f>
        <v>0</v>
      </c>
      <c r="J477" s="19" t="str">
        <f aca="false">IF($B477="","",CONCATENATE("Borç: ",$B477," | Toplam: ",TEXT($H477,"#,##0")))</f>
        <v/>
      </c>
    </row>
    <row r="478" customFormat="false" ht="15" hidden="false" customHeight="false" outlineLevel="0" collapsed="false">
      <c r="A478" s="20"/>
      <c r="B478" s="20"/>
      <c r="C478" s="21"/>
      <c r="D478" s="21"/>
      <c r="E478" s="22"/>
      <c r="F478" s="23"/>
      <c r="G478" s="19" t="n">
        <f aca="false">IF($E478="",0,MAX(0,ROUNDDOWN((TecilRaporTarihi-$E478)/30,0)))</f>
        <v>0</v>
      </c>
      <c r="H478" s="19" t="n">
        <f aca="false">IF($C478="",0,$C478+$D478)</f>
        <v>0</v>
      </c>
      <c r="I478" s="19" t="n">
        <f aca="false">IF($C478="",0,$C478*$F478)</f>
        <v>0</v>
      </c>
      <c r="J478" s="19" t="str">
        <f aca="false">IF($B478="","",CONCATENATE("Borç: ",$B478," | Toplam: ",TEXT($H478,"#,##0")))</f>
        <v/>
      </c>
    </row>
    <row r="479" customFormat="false" ht="15" hidden="false" customHeight="false" outlineLevel="0" collapsed="false">
      <c r="A479" s="20"/>
      <c r="B479" s="20"/>
      <c r="C479" s="21"/>
      <c r="D479" s="21"/>
      <c r="E479" s="22"/>
      <c r="F479" s="23"/>
      <c r="G479" s="19" t="n">
        <f aca="false">IF($E479="",0,MAX(0,ROUNDDOWN((TecilRaporTarihi-$E479)/30,0)))</f>
        <v>0</v>
      </c>
      <c r="H479" s="19" t="n">
        <f aca="false">IF($C479="",0,$C479+$D479)</f>
        <v>0</v>
      </c>
      <c r="I479" s="19" t="n">
        <f aca="false">IF($C479="",0,$C479*$F479)</f>
        <v>0</v>
      </c>
      <c r="J479" s="19" t="str">
        <f aca="false">IF($B479="","",CONCATENATE("Borç: ",$B479," | Toplam: ",TEXT($H479,"#,##0")))</f>
        <v/>
      </c>
    </row>
    <row r="480" customFormat="false" ht="15" hidden="false" customHeight="false" outlineLevel="0" collapsed="false">
      <c r="A480" s="20"/>
      <c r="B480" s="20"/>
      <c r="C480" s="21"/>
      <c r="D480" s="21"/>
      <c r="E480" s="22"/>
      <c r="F480" s="23"/>
      <c r="G480" s="19" t="n">
        <f aca="false">IF($E480="",0,MAX(0,ROUNDDOWN((TecilRaporTarihi-$E480)/30,0)))</f>
        <v>0</v>
      </c>
      <c r="H480" s="19" t="n">
        <f aca="false">IF($C480="",0,$C480+$D480)</f>
        <v>0</v>
      </c>
      <c r="I480" s="19" t="n">
        <f aca="false">IF($C480="",0,$C480*$F480)</f>
        <v>0</v>
      </c>
      <c r="J480" s="19" t="str">
        <f aca="false">IF($B480="","",CONCATENATE("Borç: ",$B480," | Toplam: ",TEXT($H480,"#,##0")))</f>
        <v/>
      </c>
    </row>
    <row r="481" customFormat="false" ht="15" hidden="false" customHeight="false" outlineLevel="0" collapsed="false">
      <c r="A481" s="20"/>
      <c r="B481" s="20"/>
      <c r="C481" s="21"/>
      <c r="D481" s="21"/>
      <c r="E481" s="22"/>
      <c r="F481" s="23"/>
      <c r="G481" s="19" t="n">
        <f aca="false">IF($E481="",0,MAX(0,ROUNDDOWN((TecilRaporTarihi-$E481)/30,0)))</f>
        <v>0</v>
      </c>
      <c r="H481" s="19" t="n">
        <f aca="false">IF($C481="",0,$C481+$D481)</f>
        <v>0</v>
      </c>
      <c r="I481" s="19" t="n">
        <f aca="false">IF($C481="",0,$C481*$F481)</f>
        <v>0</v>
      </c>
      <c r="J481" s="19" t="str">
        <f aca="false">IF($B481="","",CONCATENATE("Borç: ",$B481," | Toplam: ",TEXT($H481,"#,##0")))</f>
        <v/>
      </c>
    </row>
    <row r="482" customFormat="false" ht="15" hidden="false" customHeight="false" outlineLevel="0" collapsed="false">
      <c r="A482" s="20"/>
      <c r="B482" s="20"/>
      <c r="C482" s="21"/>
      <c r="D482" s="21"/>
      <c r="E482" s="22"/>
      <c r="F482" s="23"/>
      <c r="G482" s="19" t="n">
        <f aca="false">IF($E482="",0,MAX(0,ROUNDDOWN((TecilRaporTarihi-$E482)/30,0)))</f>
        <v>0</v>
      </c>
      <c r="H482" s="19" t="n">
        <f aca="false">IF($C482="",0,$C482+$D482)</f>
        <v>0</v>
      </c>
      <c r="I482" s="19" t="n">
        <f aca="false">IF($C482="",0,$C482*$F482)</f>
        <v>0</v>
      </c>
      <c r="J482" s="19" t="str">
        <f aca="false">IF($B482="","",CONCATENATE("Borç: ",$B482," | Toplam: ",TEXT($H482,"#,##0")))</f>
        <v/>
      </c>
    </row>
    <row r="483" customFormat="false" ht="15" hidden="false" customHeight="false" outlineLevel="0" collapsed="false">
      <c r="A483" s="20"/>
      <c r="B483" s="20"/>
      <c r="C483" s="21"/>
      <c r="D483" s="21"/>
      <c r="E483" s="22"/>
      <c r="F483" s="23"/>
      <c r="G483" s="19" t="n">
        <f aca="false">IF($E483="",0,MAX(0,ROUNDDOWN((TecilRaporTarihi-$E483)/30,0)))</f>
        <v>0</v>
      </c>
      <c r="H483" s="19" t="n">
        <f aca="false">IF($C483="",0,$C483+$D483)</f>
        <v>0</v>
      </c>
      <c r="I483" s="19" t="n">
        <f aca="false">IF($C483="",0,$C483*$F483)</f>
        <v>0</v>
      </c>
      <c r="J483" s="19" t="str">
        <f aca="false">IF($B483="","",CONCATENATE("Borç: ",$B483," | Toplam: ",TEXT($H483,"#,##0")))</f>
        <v/>
      </c>
    </row>
    <row r="484" customFormat="false" ht="15" hidden="false" customHeight="false" outlineLevel="0" collapsed="false">
      <c r="A484" s="20"/>
      <c r="B484" s="20"/>
      <c r="C484" s="21"/>
      <c r="D484" s="21"/>
      <c r="E484" s="22"/>
      <c r="F484" s="23"/>
      <c r="G484" s="19" t="n">
        <f aca="false">IF($E484="",0,MAX(0,ROUNDDOWN((TecilRaporTarihi-$E484)/30,0)))</f>
        <v>0</v>
      </c>
      <c r="H484" s="19" t="n">
        <f aca="false">IF($C484="",0,$C484+$D484)</f>
        <v>0</v>
      </c>
      <c r="I484" s="19" t="n">
        <f aca="false">IF($C484="",0,$C484*$F484)</f>
        <v>0</v>
      </c>
      <c r="J484" s="19" t="str">
        <f aca="false">IF($B484="","",CONCATENATE("Borç: ",$B484," | Toplam: ",TEXT($H484,"#,##0")))</f>
        <v/>
      </c>
    </row>
    <row r="485" customFormat="false" ht="15" hidden="false" customHeight="false" outlineLevel="0" collapsed="false">
      <c r="A485" s="20"/>
      <c r="B485" s="20"/>
      <c r="C485" s="21"/>
      <c r="D485" s="21"/>
      <c r="E485" s="22"/>
      <c r="F485" s="23"/>
      <c r="G485" s="19" t="n">
        <f aca="false">IF($E485="",0,MAX(0,ROUNDDOWN((TecilRaporTarihi-$E485)/30,0)))</f>
        <v>0</v>
      </c>
      <c r="H485" s="19" t="n">
        <f aca="false">IF($C485="",0,$C485+$D485)</f>
        <v>0</v>
      </c>
      <c r="I485" s="19" t="n">
        <f aca="false">IF($C485="",0,$C485*$F485)</f>
        <v>0</v>
      </c>
      <c r="J485" s="19" t="str">
        <f aca="false">IF($B485="","",CONCATENATE("Borç: ",$B485," | Toplam: ",TEXT($H485,"#,##0")))</f>
        <v/>
      </c>
    </row>
    <row r="486" customFormat="false" ht="15" hidden="false" customHeight="false" outlineLevel="0" collapsed="false">
      <c r="A486" s="20"/>
      <c r="B486" s="20"/>
      <c r="C486" s="21"/>
      <c r="D486" s="21"/>
      <c r="E486" s="22"/>
      <c r="F486" s="23"/>
      <c r="G486" s="19" t="n">
        <f aca="false">IF($E486="",0,MAX(0,ROUNDDOWN((TecilRaporTarihi-$E486)/30,0)))</f>
        <v>0</v>
      </c>
      <c r="H486" s="19" t="n">
        <f aca="false">IF($C486="",0,$C486+$D486)</f>
        <v>0</v>
      </c>
      <c r="I486" s="19" t="n">
        <f aca="false">IF($C486="",0,$C486*$F486)</f>
        <v>0</v>
      </c>
      <c r="J486" s="19" t="str">
        <f aca="false">IF($B486="","",CONCATENATE("Borç: ",$B486," | Toplam: ",TEXT($H486,"#,##0")))</f>
        <v/>
      </c>
    </row>
    <row r="487" customFormat="false" ht="15" hidden="false" customHeight="false" outlineLevel="0" collapsed="false">
      <c r="A487" s="20"/>
      <c r="B487" s="20"/>
      <c r="C487" s="21"/>
      <c r="D487" s="21"/>
      <c r="E487" s="22"/>
      <c r="F487" s="23"/>
      <c r="G487" s="19" t="n">
        <f aca="false">IF($E487="",0,MAX(0,ROUNDDOWN((TecilRaporTarihi-$E487)/30,0)))</f>
        <v>0</v>
      </c>
      <c r="H487" s="19" t="n">
        <f aca="false">IF($C487="",0,$C487+$D487)</f>
        <v>0</v>
      </c>
      <c r="I487" s="19" t="n">
        <f aca="false">IF($C487="",0,$C487*$F487)</f>
        <v>0</v>
      </c>
      <c r="J487" s="19" t="str">
        <f aca="false">IF($B487="","",CONCATENATE("Borç: ",$B487," | Toplam: ",TEXT($H487,"#,##0")))</f>
        <v/>
      </c>
    </row>
    <row r="488" customFormat="false" ht="15" hidden="false" customHeight="false" outlineLevel="0" collapsed="false">
      <c r="A488" s="20"/>
      <c r="B488" s="20"/>
      <c r="C488" s="21"/>
      <c r="D488" s="21"/>
      <c r="E488" s="22"/>
      <c r="F488" s="23"/>
      <c r="G488" s="19" t="n">
        <f aca="false">IF($E488="",0,MAX(0,ROUNDDOWN((TecilRaporTarihi-$E488)/30,0)))</f>
        <v>0</v>
      </c>
      <c r="H488" s="19" t="n">
        <f aca="false">IF($C488="",0,$C488+$D488)</f>
        <v>0</v>
      </c>
      <c r="I488" s="19" t="n">
        <f aca="false">IF($C488="",0,$C488*$F488)</f>
        <v>0</v>
      </c>
      <c r="J488" s="19" t="str">
        <f aca="false">IF($B488="","",CONCATENATE("Borç: ",$B488," | Toplam: ",TEXT($H488,"#,##0")))</f>
        <v/>
      </c>
    </row>
    <row r="489" customFormat="false" ht="15" hidden="false" customHeight="false" outlineLevel="0" collapsed="false">
      <c r="A489" s="20"/>
      <c r="B489" s="20"/>
      <c r="C489" s="21"/>
      <c r="D489" s="21"/>
      <c r="E489" s="22"/>
      <c r="F489" s="23"/>
      <c r="G489" s="19" t="n">
        <f aca="false">IF($E489="",0,MAX(0,ROUNDDOWN((TecilRaporTarihi-$E489)/30,0)))</f>
        <v>0</v>
      </c>
      <c r="H489" s="19" t="n">
        <f aca="false">IF($C489="",0,$C489+$D489)</f>
        <v>0</v>
      </c>
      <c r="I489" s="19" t="n">
        <f aca="false">IF($C489="",0,$C489*$F489)</f>
        <v>0</v>
      </c>
      <c r="J489" s="19" t="str">
        <f aca="false">IF($B489="","",CONCATENATE("Borç: ",$B489," | Toplam: ",TEXT($H489,"#,##0")))</f>
        <v/>
      </c>
    </row>
    <row r="490" customFormat="false" ht="15" hidden="false" customHeight="false" outlineLevel="0" collapsed="false">
      <c r="A490" s="20"/>
      <c r="B490" s="20"/>
      <c r="C490" s="21"/>
      <c r="D490" s="21"/>
      <c r="E490" s="22"/>
      <c r="F490" s="23"/>
      <c r="G490" s="19" t="n">
        <f aca="false">IF($E490="",0,MAX(0,ROUNDDOWN((TecilRaporTarihi-$E490)/30,0)))</f>
        <v>0</v>
      </c>
      <c r="H490" s="19" t="n">
        <f aca="false">IF($C490="",0,$C490+$D490)</f>
        <v>0</v>
      </c>
      <c r="I490" s="19" t="n">
        <f aca="false">IF($C490="",0,$C490*$F490)</f>
        <v>0</v>
      </c>
      <c r="J490" s="19" t="str">
        <f aca="false">IF($B490="","",CONCATENATE("Borç: ",$B490," | Toplam: ",TEXT($H490,"#,##0")))</f>
        <v/>
      </c>
    </row>
    <row r="491" customFormat="false" ht="15" hidden="false" customHeight="false" outlineLevel="0" collapsed="false">
      <c r="A491" s="20"/>
      <c r="B491" s="20"/>
      <c r="C491" s="21"/>
      <c r="D491" s="21"/>
      <c r="E491" s="22"/>
      <c r="F491" s="23"/>
      <c r="G491" s="19" t="n">
        <f aca="false">IF($E491="",0,MAX(0,ROUNDDOWN((TecilRaporTarihi-$E491)/30,0)))</f>
        <v>0</v>
      </c>
      <c r="H491" s="19" t="n">
        <f aca="false">IF($C491="",0,$C491+$D491)</f>
        <v>0</v>
      </c>
      <c r="I491" s="19" t="n">
        <f aca="false">IF($C491="",0,$C491*$F491)</f>
        <v>0</v>
      </c>
      <c r="J491" s="19" t="str">
        <f aca="false">IF($B491="","",CONCATENATE("Borç: ",$B491," | Toplam: ",TEXT($H491,"#,##0")))</f>
        <v/>
      </c>
    </row>
    <row r="492" customFormat="false" ht="15" hidden="false" customHeight="false" outlineLevel="0" collapsed="false">
      <c r="A492" s="20"/>
      <c r="B492" s="20"/>
      <c r="C492" s="21"/>
      <c r="D492" s="21"/>
      <c r="E492" s="22"/>
      <c r="F492" s="23"/>
      <c r="G492" s="19" t="n">
        <f aca="false">IF($E492="",0,MAX(0,ROUNDDOWN((TecilRaporTarihi-$E492)/30,0)))</f>
        <v>0</v>
      </c>
      <c r="H492" s="19" t="n">
        <f aca="false">IF($C492="",0,$C492+$D492)</f>
        <v>0</v>
      </c>
      <c r="I492" s="19" t="n">
        <f aca="false">IF($C492="",0,$C492*$F492)</f>
        <v>0</v>
      </c>
      <c r="J492" s="19" t="str">
        <f aca="false">IF($B492="","",CONCATENATE("Borç: ",$B492," | Toplam: ",TEXT($H492,"#,##0")))</f>
        <v/>
      </c>
    </row>
    <row r="493" customFormat="false" ht="15" hidden="false" customHeight="false" outlineLevel="0" collapsed="false">
      <c r="A493" s="20"/>
      <c r="B493" s="20"/>
      <c r="C493" s="21"/>
      <c r="D493" s="21"/>
      <c r="E493" s="22"/>
      <c r="F493" s="23"/>
      <c r="G493" s="19" t="n">
        <f aca="false">IF($E493="",0,MAX(0,ROUNDDOWN((TecilRaporTarihi-$E493)/30,0)))</f>
        <v>0</v>
      </c>
      <c r="H493" s="19" t="n">
        <f aca="false">IF($C493="",0,$C493+$D493)</f>
        <v>0</v>
      </c>
      <c r="I493" s="19" t="n">
        <f aca="false">IF($C493="",0,$C493*$F493)</f>
        <v>0</v>
      </c>
      <c r="J493" s="19" t="str">
        <f aca="false">IF($B493="","",CONCATENATE("Borç: ",$B493," | Toplam: ",TEXT($H493,"#,##0")))</f>
        <v/>
      </c>
    </row>
    <row r="494" customFormat="false" ht="15" hidden="false" customHeight="false" outlineLevel="0" collapsed="false">
      <c r="A494" s="20"/>
      <c r="B494" s="20"/>
      <c r="C494" s="21"/>
      <c r="D494" s="21"/>
      <c r="E494" s="22"/>
      <c r="F494" s="23"/>
      <c r="G494" s="19" t="n">
        <f aca="false">IF($E494="",0,MAX(0,ROUNDDOWN((TecilRaporTarihi-$E494)/30,0)))</f>
        <v>0</v>
      </c>
      <c r="H494" s="19" t="n">
        <f aca="false">IF($C494="",0,$C494+$D494)</f>
        <v>0</v>
      </c>
      <c r="I494" s="19" t="n">
        <f aca="false">IF($C494="",0,$C494*$F494)</f>
        <v>0</v>
      </c>
      <c r="J494" s="19" t="str">
        <f aca="false">IF($B494="","",CONCATENATE("Borç: ",$B494," | Toplam: ",TEXT($H494,"#,##0")))</f>
        <v/>
      </c>
    </row>
    <row r="495" customFormat="false" ht="15" hidden="false" customHeight="false" outlineLevel="0" collapsed="false">
      <c r="A495" s="20"/>
      <c r="B495" s="20"/>
      <c r="C495" s="21"/>
      <c r="D495" s="21"/>
      <c r="E495" s="22"/>
      <c r="F495" s="23"/>
      <c r="G495" s="19" t="n">
        <f aca="false">IF($E495="",0,MAX(0,ROUNDDOWN((TecilRaporTarihi-$E495)/30,0)))</f>
        <v>0</v>
      </c>
      <c r="H495" s="19" t="n">
        <f aca="false">IF($C495="",0,$C495+$D495)</f>
        <v>0</v>
      </c>
      <c r="I495" s="19" t="n">
        <f aca="false">IF($C495="",0,$C495*$F495)</f>
        <v>0</v>
      </c>
      <c r="J495" s="19" t="str">
        <f aca="false">IF($B495="","",CONCATENATE("Borç: ",$B495," | Toplam: ",TEXT($H495,"#,##0")))</f>
        <v/>
      </c>
    </row>
    <row r="496" customFormat="false" ht="15" hidden="false" customHeight="false" outlineLevel="0" collapsed="false">
      <c r="A496" s="20"/>
      <c r="B496" s="20"/>
      <c r="C496" s="21"/>
      <c r="D496" s="21"/>
      <c r="E496" s="22"/>
      <c r="F496" s="23"/>
      <c r="G496" s="19" t="n">
        <f aca="false">IF($E496="",0,MAX(0,ROUNDDOWN((TecilRaporTarihi-$E496)/30,0)))</f>
        <v>0</v>
      </c>
      <c r="H496" s="19" t="n">
        <f aca="false">IF($C496="",0,$C496+$D496)</f>
        <v>0</v>
      </c>
      <c r="I496" s="19" t="n">
        <f aca="false">IF($C496="",0,$C496*$F496)</f>
        <v>0</v>
      </c>
      <c r="J496" s="19" t="str">
        <f aca="false">IF($B496="","",CONCATENATE("Borç: ",$B496," | Toplam: ",TEXT($H496,"#,##0")))</f>
        <v/>
      </c>
    </row>
    <row r="497" customFormat="false" ht="15" hidden="false" customHeight="false" outlineLevel="0" collapsed="false">
      <c r="A497" s="20"/>
      <c r="B497" s="20"/>
      <c r="C497" s="21"/>
      <c r="D497" s="21"/>
      <c r="E497" s="22"/>
      <c r="F497" s="23"/>
      <c r="G497" s="19" t="n">
        <f aca="false">IF($E497="",0,MAX(0,ROUNDDOWN((TecilRaporTarihi-$E497)/30,0)))</f>
        <v>0</v>
      </c>
      <c r="H497" s="19" t="n">
        <f aca="false">IF($C497="",0,$C497+$D497)</f>
        <v>0</v>
      </c>
      <c r="I497" s="19" t="n">
        <f aca="false">IF($C497="",0,$C497*$F497)</f>
        <v>0</v>
      </c>
      <c r="J497" s="19" t="str">
        <f aca="false">IF($B497="","",CONCATENATE("Borç: ",$B497," | Toplam: ",TEXT($H497,"#,##0")))</f>
        <v/>
      </c>
    </row>
    <row r="498" customFormat="false" ht="15" hidden="false" customHeight="false" outlineLevel="0" collapsed="false">
      <c r="A498" s="20"/>
      <c r="B498" s="20"/>
      <c r="C498" s="21"/>
      <c r="D498" s="21"/>
      <c r="E498" s="22"/>
      <c r="F498" s="23"/>
      <c r="G498" s="19" t="n">
        <f aca="false">IF($E498="",0,MAX(0,ROUNDDOWN((TecilRaporTarihi-$E498)/30,0)))</f>
        <v>0</v>
      </c>
      <c r="H498" s="19" t="n">
        <f aca="false">IF($C498="",0,$C498+$D498)</f>
        <v>0</v>
      </c>
      <c r="I498" s="19" t="n">
        <f aca="false">IF($C498="",0,$C498*$F498)</f>
        <v>0</v>
      </c>
      <c r="J498" s="19" t="str">
        <f aca="false">IF($B498="","",CONCATENATE("Borç: ",$B498," | Toplam: ",TEXT($H498,"#,##0")))</f>
        <v/>
      </c>
    </row>
    <row r="499" customFormat="false" ht="15" hidden="false" customHeight="false" outlineLevel="0" collapsed="false">
      <c r="A499" s="20"/>
      <c r="B499" s="20"/>
      <c r="C499" s="21"/>
      <c r="D499" s="21"/>
      <c r="E499" s="22"/>
      <c r="F499" s="23"/>
      <c r="G499" s="19" t="n">
        <f aca="false">IF($E499="",0,MAX(0,ROUNDDOWN((TecilRaporTarihi-$E499)/30,0)))</f>
        <v>0</v>
      </c>
      <c r="H499" s="19" t="n">
        <f aca="false">IF($C499="",0,$C499+$D499)</f>
        <v>0</v>
      </c>
      <c r="I499" s="19" t="n">
        <f aca="false">IF($C499="",0,$C499*$F499)</f>
        <v>0</v>
      </c>
      <c r="J499" s="19" t="str">
        <f aca="false">IF($B499="","",CONCATENATE("Borç: ",$B499," | Toplam: ",TEXT($H499,"#,##0")))</f>
        <v/>
      </c>
    </row>
    <row r="500" customFormat="false" ht="15" hidden="false" customHeight="false" outlineLevel="0" collapsed="false">
      <c r="A500" s="20"/>
      <c r="B500" s="20"/>
      <c r="C500" s="21"/>
      <c r="D500" s="21"/>
      <c r="E500" s="22"/>
      <c r="F500" s="23"/>
      <c r="G500" s="19" t="n">
        <f aca="false">IF($E500="",0,MAX(0,ROUNDDOWN((TecilRaporTarihi-$E500)/30,0)))</f>
        <v>0</v>
      </c>
      <c r="H500" s="19" t="n">
        <f aca="false">IF($C500="",0,$C500+$D500)</f>
        <v>0</v>
      </c>
      <c r="I500" s="19" t="n">
        <f aca="false">IF($C500="",0,$C500*$F500)</f>
        <v>0</v>
      </c>
      <c r="J500" s="19" t="str">
        <f aca="false">IF($B500="","",CONCATENATE("Borç: ",$B500," | Toplam: ",TEXT($H500,"#,##0")))</f>
        <v/>
      </c>
    </row>
    <row r="501" customFormat="false" ht="15" hidden="false" customHeight="false" outlineLevel="0" collapsed="false">
      <c r="A501" s="20"/>
      <c r="B501" s="20"/>
      <c r="C501" s="21"/>
      <c r="D501" s="21"/>
      <c r="E501" s="22"/>
      <c r="F501" s="23"/>
      <c r="G501" s="19" t="n">
        <f aca="false">IF($E501="",0,MAX(0,ROUNDDOWN((TecilRaporTarihi-$E501)/30,0)))</f>
        <v>0</v>
      </c>
      <c r="H501" s="19" t="n">
        <f aca="false">IF($C501="",0,$C501+$D501)</f>
        <v>0</v>
      </c>
      <c r="I501" s="19" t="n">
        <f aca="false">IF($C501="",0,$C501*$F501)</f>
        <v>0</v>
      </c>
      <c r="J501" s="19" t="str">
        <f aca="false">IF($B501="","",CONCATENATE("Borç: ",$B501," | Toplam: ",TEXT($H501,"#,##0")))</f>
        <v/>
      </c>
    </row>
    <row r="502" customFormat="false" ht="15" hidden="false" customHeight="false" outlineLevel="0" collapsed="false">
      <c r="A502" s="20"/>
      <c r="B502" s="20"/>
      <c r="C502" s="21"/>
      <c r="D502" s="21"/>
      <c r="E502" s="22"/>
      <c r="F502" s="23"/>
      <c r="G502" s="19" t="n">
        <f aca="false">IF($E502="",0,MAX(0,ROUNDDOWN((TecilRaporTarihi-$E502)/30,0)))</f>
        <v>0</v>
      </c>
      <c r="H502" s="19" t="n">
        <f aca="false">IF($C502="",0,$C502+$D502)</f>
        <v>0</v>
      </c>
      <c r="I502" s="19" t="n">
        <f aca="false">IF($C502="",0,$C502*$F502)</f>
        <v>0</v>
      </c>
      <c r="J502" s="19" t="str">
        <f aca="false">IF($B502="","",CONCATENATE("Borç: ",$B502," | Toplam: ",TEXT($H502,"#,##0")))</f>
        <v/>
      </c>
    </row>
    <row r="503" customFormat="false" ht="15" hidden="false" customHeight="false" outlineLevel="0" collapsed="false">
      <c r="A503" s="20"/>
      <c r="B503" s="20"/>
      <c r="C503" s="21"/>
      <c r="D503" s="21"/>
      <c r="E503" s="22"/>
      <c r="F503" s="23"/>
      <c r="G503" s="19" t="n">
        <f aca="false">IF($E503="",0,MAX(0,ROUNDDOWN((TecilRaporTarihi-$E503)/30,0)))</f>
        <v>0</v>
      </c>
      <c r="H503" s="19" t="n">
        <f aca="false">IF($C503="",0,$C503+$D503)</f>
        <v>0</v>
      </c>
      <c r="I503" s="19" t="n">
        <f aca="false">IF($C503="",0,$C503*$F503)</f>
        <v>0</v>
      </c>
      <c r="J503" s="19" t="str">
        <f aca="false">IF($B503="","",CONCATENATE("Borç: ",$B503," | Toplam: ",TEXT($H503,"#,##0")))</f>
        <v/>
      </c>
    </row>
    <row r="504" customFormat="false" ht="15" hidden="false" customHeight="false" outlineLevel="0" collapsed="false">
      <c r="A504" s="20"/>
      <c r="B504" s="20"/>
      <c r="C504" s="21"/>
      <c r="D504" s="21"/>
      <c r="E504" s="22"/>
      <c r="F504" s="23"/>
      <c r="G504" s="19" t="n">
        <f aca="false">IF($E504="",0,MAX(0,ROUNDDOWN((TecilRaporTarihi-$E504)/30,0)))</f>
        <v>0</v>
      </c>
      <c r="H504" s="19" t="n">
        <f aca="false">IF($C504="",0,$C504+$D504)</f>
        <v>0</v>
      </c>
      <c r="I504" s="19" t="n">
        <f aca="false">IF($C504="",0,$C504*$F504)</f>
        <v>0</v>
      </c>
      <c r="J504" s="19" t="str">
        <f aca="false">IF($B504="","",CONCATENATE("Borç: ",$B504," | Toplam: ",TEXT($H504,"#,##0")))</f>
        <v/>
      </c>
    </row>
    <row r="505" customFormat="false" ht="15" hidden="false" customHeight="false" outlineLevel="0" collapsed="false">
      <c r="A505" s="20"/>
      <c r="B505" s="20"/>
      <c r="C505" s="21"/>
      <c r="D505" s="21"/>
      <c r="E505" s="22"/>
      <c r="F505" s="23"/>
      <c r="G505" s="19" t="n">
        <f aca="false">IF($E505="",0,MAX(0,ROUNDDOWN((TecilRaporTarihi-$E505)/30,0)))</f>
        <v>0</v>
      </c>
      <c r="H505" s="19" t="n">
        <f aca="false">IF($C505="",0,$C505+$D505)</f>
        <v>0</v>
      </c>
      <c r="I505" s="19" t="n">
        <f aca="false">IF($C505="",0,$C505*$F505)</f>
        <v>0</v>
      </c>
      <c r="J505" s="19" t="str">
        <f aca="false">IF($B505="","",CONCATENATE("Borç: ",$B505," | Toplam: ",TEXT($H505,"#,##0")))</f>
        <v/>
      </c>
    </row>
    <row r="506" customFormat="false" ht="15" hidden="false" customHeight="false" outlineLevel="0" collapsed="false">
      <c r="A506" s="20"/>
      <c r="B506" s="20"/>
      <c r="C506" s="21"/>
      <c r="D506" s="21"/>
      <c r="E506" s="22"/>
      <c r="F506" s="23"/>
      <c r="G506" s="19" t="n">
        <f aca="false">IF($E506="",0,MAX(0,ROUNDDOWN((TecilRaporTarihi-$E506)/30,0)))</f>
        <v>0</v>
      </c>
      <c r="H506" s="19" t="n">
        <f aca="false">IF($C506="",0,$C506+$D506)</f>
        <v>0</v>
      </c>
      <c r="I506" s="19" t="n">
        <f aca="false">IF($C506="",0,$C506*$F506)</f>
        <v>0</v>
      </c>
      <c r="J506" s="19" t="str">
        <f aca="false">IF($B506="","",CONCATENATE("Borç: ",$B506," | Toplam: ",TEXT($H506,"#,##0")))</f>
        <v/>
      </c>
    </row>
    <row r="507" customFormat="false" ht="15" hidden="false" customHeight="false" outlineLevel="0" collapsed="false">
      <c r="A507" s="20"/>
      <c r="B507" s="20"/>
      <c r="C507" s="21"/>
      <c r="D507" s="21"/>
      <c r="E507" s="22"/>
      <c r="F507" s="23"/>
      <c r="G507" s="19" t="n">
        <f aca="false">IF($E507="",0,MAX(0,ROUNDDOWN((TecilRaporTarihi-$E507)/30,0)))</f>
        <v>0</v>
      </c>
      <c r="H507" s="19" t="n">
        <f aca="false">IF($C507="",0,$C507+$D507)</f>
        <v>0</v>
      </c>
      <c r="I507" s="19" t="n">
        <f aca="false">IF($C507="",0,$C507*$F507)</f>
        <v>0</v>
      </c>
      <c r="J507" s="19" t="str">
        <f aca="false">IF($B507="","",CONCATENATE("Borç: ",$B507," | Toplam: ",TEXT($H507,"#,##0")))</f>
        <v/>
      </c>
    </row>
    <row r="508" customFormat="false" ht="15" hidden="false" customHeight="false" outlineLevel="0" collapsed="false">
      <c r="A508" s="20"/>
      <c r="B508" s="20"/>
      <c r="C508" s="21"/>
      <c r="D508" s="21"/>
      <c r="E508" s="22"/>
      <c r="F508" s="23"/>
      <c r="G508" s="19" t="n">
        <f aca="false">IF($E508="",0,MAX(0,ROUNDDOWN((TecilRaporTarihi-$E508)/30,0)))</f>
        <v>0</v>
      </c>
      <c r="H508" s="19" t="n">
        <f aca="false">IF($C508="",0,$C508+$D508)</f>
        <v>0</v>
      </c>
      <c r="I508" s="19" t="n">
        <f aca="false">IF($C508="",0,$C508*$F508)</f>
        <v>0</v>
      </c>
      <c r="J508" s="19" t="str">
        <f aca="false">IF($B508="","",CONCATENATE("Borç: ",$B508," | Toplam: ",TEXT($H508,"#,##0")))</f>
        <v/>
      </c>
    </row>
    <row r="509" customFormat="false" ht="15" hidden="false" customHeight="false" outlineLevel="0" collapsed="false">
      <c r="A509" s="20"/>
      <c r="B509" s="20"/>
      <c r="C509" s="21"/>
      <c r="D509" s="21"/>
      <c r="E509" s="22"/>
      <c r="F509" s="23"/>
      <c r="G509" s="19" t="n">
        <f aca="false">IF($E509="",0,MAX(0,ROUNDDOWN((TecilRaporTarihi-$E509)/30,0)))</f>
        <v>0</v>
      </c>
      <c r="H509" s="19" t="n">
        <f aca="false">IF($C509="",0,$C509+$D509)</f>
        <v>0</v>
      </c>
      <c r="I509" s="19" t="n">
        <f aca="false">IF($C509="",0,$C509*$F509)</f>
        <v>0</v>
      </c>
      <c r="J509" s="19" t="str">
        <f aca="false">IF($B509="","",CONCATENATE("Borç: ",$B509," | Toplam: ",TEXT($H509,"#,##0")))</f>
        <v/>
      </c>
    </row>
    <row r="510" customFormat="false" ht="15" hidden="false" customHeight="false" outlineLevel="0" collapsed="false">
      <c r="A510" s="20"/>
      <c r="B510" s="20"/>
      <c r="C510" s="21"/>
      <c r="D510" s="21"/>
      <c r="E510" s="22"/>
      <c r="F510" s="23"/>
      <c r="G510" s="19" t="n">
        <f aca="false">IF($E510="",0,MAX(0,ROUNDDOWN((TecilRaporTarihi-$E510)/30,0)))</f>
        <v>0</v>
      </c>
      <c r="H510" s="19" t="n">
        <f aca="false">IF($C510="",0,$C510+$D510)</f>
        <v>0</v>
      </c>
      <c r="I510" s="19" t="n">
        <f aca="false">IF($C510="",0,$C510*$F510)</f>
        <v>0</v>
      </c>
      <c r="J510" s="19" t="str">
        <f aca="false">IF($B510="","",CONCATENATE("Borç: ",$B510," | Toplam: ",TEXT($H510,"#,##0")))</f>
        <v/>
      </c>
    </row>
    <row r="511" customFormat="false" ht="15" hidden="false" customHeight="false" outlineLevel="0" collapsed="false">
      <c r="A511" s="20"/>
      <c r="B511" s="20"/>
      <c r="C511" s="21"/>
      <c r="D511" s="21"/>
      <c r="E511" s="22"/>
      <c r="F511" s="23"/>
      <c r="G511" s="19" t="n">
        <f aca="false">IF($E511="",0,MAX(0,ROUNDDOWN((TecilRaporTarihi-$E511)/30,0)))</f>
        <v>0</v>
      </c>
      <c r="H511" s="19" t="n">
        <f aca="false">IF($C511="",0,$C511+$D511)</f>
        <v>0</v>
      </c>
      <c r="I511" s="19" t="n">
        <f aca="false">IF($C511="",0,$C511*$F511)</f>
        <v>0</v>
      </c>
      <c r="J511" s="19" t="str">
        <f aca="false">IF($B511="","",CONCATENATE("Borç: ",$B511," | Toplam: ",TEXT($H511,"#,##0")))</f>
        <v/>
      </c>
    </row>
    <row r="512" customFormat="false" ht="15" hidden="false" customHeight="false" outlineLevel="0" collapsed="false">
      <c r="A512" s="20"/>
      <c r="B512" s="20"/>
      <c r="C512" s="21"/>
      <c r="D512" s="21"/>
      <c r="E512" s="22"/>
      <c r="F512" s="23"/>
      <c r="G512" s="19" t="n">
        <f aca="false">IF($E512="",0,MAX(0,ROUNDDOWN((TecilRaporTarihi-$E512)/30,0)))</f>
        <v>0</v>
      </c>
      <c r="H512" s="19" t="n">
        <f aca="false">IF($C512="",0,$C512+$D512)</f>
        <v>0</v>
      </c>
      <c r="I512" s="19" t="n">
        <f aca="false">IF($C512="",0,$C512*$F512)</f>
        <v>0</v>
      </c>
      <c r="J512" s="19" t="str">
        <f aca="false">IF($B512="","",CONCATENATE("Borç: ",$B512," | Toplam: ",TEXT($H512,"#,##0")))</f>
        <v/>
      </c>
    </row>
    <row r="513" customFormat="false" ht="15" hidden="false" customHeight="false" outlineLevel="0" collapsed="false">
      <c r="A513" s="20"/>
      <c r="B513" s="20"/>
      <c r="C513" s="21"/>
      <c r="D513" s="21"/>
      <c r="E513" s="22"/>
      <c r="F513" s="23"/>
      <c r="G513" s="19" t="n">
        <f aca="false">IF($E513="",0,MAX(0,ROUNDDOWN((TecilRaporTarihi-$E513)/30,0)))</f>
        <v>0</v>
      </c>
      <c r="H513" s="19" t="n">
        <f aca="false">IF($C513="",0,$C513+$D513)</f>
        <v>0</v>
      </c>
      <c r="I513" s="19" t="n">
        <f aca="false">IF($C513="",0,$C513*$F513)</f>
        <v>0</v>
      </c>
      <c r="J513" s="19" t="str">
        <f aca="false">IF($B513="","",CONCATENATE("Borç: ",$B513," | Toplam: ",TEXT($H513,"#,##0")))</f>
        <v/>
      </c>
    </row>
    <row r="514" customFormat="false" ht="15" hidden="false" customHeight="false" outlineLevel="0" collapsed="false">
      <c r="A514" s="20"/>
      <c r="B514" s="20"/>
      <c r="C514" s="21"/>
      <c r="D514" s="21"/>
      <c r="E514" s="22"/>
      <c r="F514" s="23"/>
      <c r="G514" s="19" t="n">
        <f aca="false">IF($E514="",0,MAX(0,ROUNDDOWN((TecilRaporTarihi-$E514)/30,0)))</f>
        <v>0</v>
      </c>
      <c r="H514" s="19" t="n">
        <f aca="false">IF($C514="",0,$C514+$D514)</f>
        <v>0</v>
      </c>
      <c r="I514" s="19" t="n">
        <f aca="false">IF($C514="",0,$C514*$F514)</f>
        <v>0</v>
      </c>
      <c r="J514" s="19" t="str">
        <f aca="false">IF($B514="","",CONCATENATE("Borç: ",$B514," | Toplam: ",TEXT($H514,"#,##0")))</f>
        <v/>
      </c>
    </row>
    <row r="515" customFormat="false" ht="15" hidden="false" customHeight="false" outlineLevel="0" collapsed="false">
      <c r="A515" s="20"/>
      <c r="B515" s="20"/>
      <c r="C515" s="21"/>
      <c r="D515" s="21"/>
      <c r="E515" s="22"/>
      <c r="F515" s="23"/>
      <c r="G515" s="19" t="n">
        <f aca="false">IF($E515="",0,MAX(0,ROUNDDOWN((TecilRaporTarihi-$E515)/30,0)))</f>
        <v>0</v>
      </c>
      <c r="H515" s="19" t="n">
        <f aca="false">IF($C515="",0,$C515+$D515)</f>
        <v>0</v>
      </c>
      <c r="I515" s="19" t="n">
        <f aca="false">IF($C515="",0,$C515*$F515)</f>
        <v>0</v>
      </c>
      <c r="J515" s="19" t="str">
        <f aca="false">IF($B515="","",CONCATENATE("Borç: ",$B515," | Toplam: ",TEXT($H515,"#,##0")))</f>
        <v/>
      </c>
    </row>
    <row r="516" customFormat="false" ht="15" hidden="false" customHeight="false" outlineLevel="0" collapsed="false">
      <c r="A516" s="20"/>
      <c r="B516" s="20"/>
      <c r="C516" s="21"/>
      <c r="D516" s="21"/>
      <c r="E516" s="22"/>
      <c r="F516" s="23"/>
      <c r="G516" s="19" t="n">
        <f aca="false">IF($E516="",0,MAX(0,ROUNDDOWN((TecilRaporTarihi-$E516)/30,0)))</f>
        <v>0</v>
      </c>
      <c r="H516" s="19" t="n">
        <f aca="false">IF($C516="",0,$C516+$D516)</f>
        <v>0</v>
      </c>
      <c r="I516" s="19" t="n">
        <f aca="false">IF($C516="",0,$C516*$F516)</f>
        <v>0</v>
      </c>
      <c r="J516" s="19" t="str">
        <f aca="false">IF($B516="","",CONCATENATE("Borç: ",$B516," | Toplam: ",TEXT($H516,"#,##0")))</f>
        <v/>
      </c>
    </row>
    <row r="517" customFormat="false" ht="15" hidden="false" customHeight="false" outlineLevel="0" collapsed="false">
      <c r="A517" s="20"/>
      <c r="B517" s="20"/>
      <c r="C517" s="21"/>
      <c r="D517" s="21"/>
      <c r="E517" s="22"/>
      <c r="F517" s="23"/>
      <c r="G517" s="19" t="n">
        <f aca="false">IF($E517="",0,MAX(0,ROUNDDOWN((TecilRaporTarihi-$E517)/30,0)))</f>
        <v>0</v>
      </c>
      <c r="H517" s="19" t="n">
        <f aca="false">IF($C517="",0,$C517+$D517)</f>
        <v>0</v>
      </c>
      <c r="I517" s="19" t="n">
        <f aca="false">IF($C517="",0,$C517*$F517)</f>
        <v>0</v>
      </c>
      <c r="J517" s="19" t="str">
        <f aca="false">IF($B517="","",CONCATENATE("Borç: ",$B517," | Toplam: ",TEXT($H517,"#,##0")))</f>
        <v/>
      </c>
    </row>
    <row r="518" customFormat="false" ht="15" hidden="false" customHeight="false" outlineLevel="0" collapsed="false">
      <c r="A518" s="20"/>
      <c r="B518" s="20"/>
      <c r="C518" s="21"/>
      <c r="D518" s="21"/>
      <c r="E518" s="22"/>
      <c r="F518" s="23"/>
      <c r="G518" s="19" t="n">
        <f aca="false">IF($E518="",0,MAX(0,ROUNDDOWN((TecilRaporTarihi-$E518)/30,0)))</f>
        <v>0</v>
      </c>
      <c r="H518" s="19" t="n">
        <f aca="false">IF($C518="",0,$C518+$D518)</f>
        <v>0</v>
      </c>
      <c r="I518" s="19" t="n">
        <f aca="false">IF($C518="",0,$C518*$F518)</f>
        <v>0</v>
      </c>
      <c r="J518" s="19" t="str">
        <f aca="false">IF($B518="","",CONCATENATE("Borç: ",$B518," | Toplam: ",TEXT($H518,"#,##0")))</f>
        <v/>
      </c>
    </row>
    <row r="519" customFormat="false" ht="15" hidden="false" customHeight="false" outlineLevel="0" collapsed="false">
      <c r="A519" s="20"/>
      <c r="B519" s="20"/>
      <c r="C519" s="21"/>
      <c r="D519" s="21"/>
      <c r="E519" s="22"/>
      <c r="F519" s="23"/>
      <c r="G519" s="19" t="n">
        <f aca="false">IF($E519="",0,MAX(0,ROUNDDOWN((TecilRaporTarihi-$E519)/30,0)))</f>
        <v>0</v>
      </c>
      <c r="H519" s="19" t="n">
        <f aca="false">IF($C519="",0,$C519+$D519)</f>
        <v>0</v>
      </c>
      <c r="I519" s="19" t="n">
        <f aca="false">IF($C519="",0,$C519*$F519)</f>
        <v>0</v>
      </c>
      <c r="J519" s="19" t="str">
        <f aca="false">IF($B519="","",CONCATENATE("Borç: ",$B519," | Toplam: ",TEXT($H519,"#,##0")))</f>
        <v/>
      </c>
    </row>
    <row r="520" customFormat="false" ht="15" hidden="false" customHeight="false" outlineLevel="0" collapsed="false">
      <c r="A520" s="20"/>
      <c r="B520" s="20"/>
      <c r="C520" s="21"/>
      <c r="D520" s="21"/>
      <c r="E520" s="22"/>
      <c r="F520" s="23"/>
      <c r="G520" s="19" t="n">
        <f aca="false">IF($E520="",0,MAX(0,ROUNDDOWN((TecilRaporTarihi-$E520)/30,0)))</f>
        <v>0</v>
      </c>
      <c r="H520" s="19" t="n">
        <f aca="false">IF($C520="",0,$C520+$D520)</f>
        <v>0</v>
      </c>
      <c r="I520" s="19" t="n">
        <f aca="false">IF($C520="",0,$C520*$F520)</f>
        <v>0</v>
      </c>
      <c r="J520" s="19" t="str">
        <f aca="false">IF($B520="","",CONCATENATE("Borç: ",$B520," | Toplam: ",TEXT($H520,"#,##0")))</f>
        <v/>
      </c>
    </row>
    <row r="521" customFormat="false" ht="15" hidden="false" customHeight="false" outlineLevel="0" collapsed="false">
      <c r="A521" s="20"/>
      <c r="B521" s="20"/>
      <c r="C521" s="21"/>
      <c r="D521" s="21"/>
      <c r="E521" s="22"/>
      <c r="F521" s="23"/>
      <c r="G521" s="19" t="n">
        <f aca="false">IF($E521="",0,MAX(0,ROUNDDOWN((TecilRaporTarihi-$E521)/30,0)))</f>
        <v>0</v>
      </c>
      <c r="H521" s="19" t="n">
        <f aca="false">IF($C521="",0,$C521+$D521)</f>
        <v>0</v>
      </c>
      <c r="I521" s="19" t="n">
        <f aca="false">IF($C521="",0,$C521*$F521)</f>
        <v>0</v>
      </c>
      <c r="J521" s="19" t="str">
        <f aca="false">IF($B521="","",CONCATENATE("Borç: ",$B521," | Toplam: ",TEXT($H521,"#,##0")))</f>
        <v/>
      </c>
    </row>
    <row r="522" customFormat="false" ht="15" hidden="false" customHeight="false" outlineLevel="0" collapsed="false">
      <c r="A522" s="20"/>
      <c r="B522" s="20"/>
      <c r="C522" s="21"/>
      <c r="D522" s="21"/>
      <c r="E522" s="22"/>
      <c r="F522" s="23"/>
      <c r="G522" s="19" t="n">
        <f aca="false">IF($E522="",0,MAX(0,ROUNDDOWN((TecilRaporTarihi-$E522)/30,0)))</f>
        <v>0</v>
      </c>
      <c r="H522" s="19" t="n">
        <f aca="false">IF($C522="",0,$C522+$D522)</f>
        <v>0</v>
      </c>
      <c r="I522" s="19" t="n">
        <f aca="false">IF($C522="",0,$C522*$F522)</f>
        <v>0</v>
      </c>
      <c r="J522" s="19" t="str">
        <f aca="false">IF($B522="","",CONCATENATE("Borç: ",$B522," | Toplam: ",TEXT($H522,"#,##0")))</f>
        <v/>
      </c>
    </row>
    <row r="523" customFormat="false" ht="15" hidden="false" customHeight="false" outlineLevel="0" collapsed="false">
      <c r="A523" s="20"/>
      <c r="B523" s="20"/>
      <c r="C523" s="21"/>
      <c r="D523" s="21"/>
      <c r="E523" s="22"/>
      <c r="F523" s="23"/>
      <c r="G523" s="19" t="n">
        <f aca="false">IF($E523="",0,MAX(0,ROUNDDOWN((TecilRaporTarihi-$E523)/30,0)))</f>
        <v>0</v>
      </c>
      <c r="H523" s="19" t="n">
        <f aca="false">IF($C523="",0,$C523+$D523)</f>
        <v>0</v>
      </c>
      <c r="I523" s="19" t="n">
        <f aca="false">IF($C523="",0,$C523*$F523)</f>
        <v>0</v>
      </c>
      <c r="J523" s="19" t="str">
        <f aca="false">IF($B523="","",CONCATENATE("Borç: ",$B523," | Toplam: ",TEXT($H523,"#,##0")))</f>
        <v/>
      </c>
    </row>
    <row r="524" customFormat="false" ht="15" hidden="false" customHeight="false" outlineLevel="0" collapsed="false">
      <c r="A524" s="20"/>
      <c r="B524" s="20"/>
      <c r="C524" s="21"/>
      <c r="D524" s="21"/>
      <c r="E524" s="22"/>
      <c r="F524" s="23"/>
      <c r="G524" s="19" t="n">
        <f aca="false">IF($E524="",0,MAX(0,ROUNDDOWN((TecilRaporTarihi-$E524)/30,0)))</f>
        <v>0</v>
      </c>
      <c r="H524" s="19" t="n">
        <f aca="false">IF($C524="",0,$C524+$D524)</f>
        <v>0</v>
      </c>
      <c r="I524" s="19" t="n">
        <f aca="false">IF($C524="",0,$C524*$F524)</f>
        <v>0</v>
      </c>
      <c r="J524" s="19" t="str">
        <f aca="false">IF($B524="","",CONCATENATE("Borç: ",$B524," | Toplam: ",TEXT($H524,"#,##0")))</f>
        <v/>
      </c>
    </row>
    <row r="525" customFormat="false" ht="15" hidden="false" customHeight="false" outlineLevel="0" collapsed="false">
      <c r="A525" s="20"/>
      <c r="B525" s="20"/>
      <c r="C525" s="21"/>
      <c r="D525" s="21"/>
      <c r="E525" s="22"/>
      <c r="F525" s="23"/>
      <c r="G525" s="19" t="n">
        <f aca="false">IF($E525="",0,MAX(0,ROUNDDOWN((TecilRaporTarihi-$E525)/30,0)))</f>
        <v>0</v>
      </c>
      <c r="H525" s="19" t="n">
        <f aca="false">IF($C525="",0,$C525+$D525)</f>
        <v>0</v>
      </c>
      <c r="I525" s="19" t="n">
        <f aca="false">IF($C525="",0,$C525*$F525)</f>
        <v>0</v>
      </c>
      <c r="J525" s="19" t="str">
        <f aca="false">IF($B525="","",CONCATENATE("Borç: ",$B525," | Toplam: ",TEXT($H525,"#,##0")))</f>
        <v/>
      </c>
    </row>
    <row r="526" customFormat="false" ht="15" hidden="false" customHeight="false" outlineLevel="0" collapsed="false">
      <c r="A526" s="20"/>
      <c r="B526" s="20"/>
      <c r="C526" s="21"/>
      <c r="D526" s="21"/>
      <c r="E526" s="22"/>
      <c r="F526" s="23"/>
      <c r="G526" s="19" t="n">
        <f aca="false">IF($E526="",0,MAX(0,ROUNDDOWN((TecilRaporTarihi-$E526)/30,0)))</f>
        <v>0</v>
      </c>
      <c r="H526" s="19" t="n">
        <f aca="false">IF($C526="",0,$C526+$D526)</f>
        <v>0</v>
      </c>
      <c r="I526" s="19" t="n">
        <f aca="false">IF($C526="",0,$C526*$F526)</f>
        <v>0</v>
      </c>
      <c r="J526" s="19" t="str">
        <f aca="false">IF($B526="","",CONCATENATE("Borç: ",$B526," | Toplam: ",TEXT($H526,"#,##0")))</f>
        <v/>
      </c>
    </row>
    <row r="527" customFormat="false" ht="15" hidden="false" customHeight="false" outlineLevel="0" collapsed="false">
      <c r="A527" s="20"/>
      <c r="B527" s="20"/>
      <c r="C527" s="21"/>
      <c r="D527" s="21"/>
      <c r="E527" s="22"/>
      <c r="F527" s="23"/>
      <c r="G527" s="19" t="n">
        <f aca="false">IF($E527="",0,MAX(0,ROUNDDOWN((TecilRaporTarihi-$E527)/30,0)))</f>
        <v>0</v>
      </c>
      <c r="H527" s="19" t="n">
        <f aca="false">IF($C527="",0,$C527+$D527)</f>
        <v>0</v>
      </c>
      <c r="I527" s="19" t="n">
        <f aca="false">IF($C527="",0,$C527*$F527)</f>
        <v>0</v>
      </c>
      <c r="J527" s="19" t="str">
        <f aca="false">IF($B527="","",CONCATENATE("Borç: ",$B527," | Toplam: ",TEXT($H527,"#,##0")))</f>
        <v/>
      </c>
    </row>
    <row r="528" customFormat="false" ht="15" hidden="false" customHeight="false" outlineLevel="0" collapsed="false">
      <c r="A528" s="20"/>
      <c r="B528" s="20"/>
      <c r="C528" s="21"/>
      <c r="D528" s="21"/>
      <c r="E528" s="22"/>
      <c r="F528" s="23"/>
      <c r="G528" s="19" t="n">
        <f aca="false">IF($E528="",0,MAX(0,ROUNDDOWN((TecilRaporTarihi-$E528)/30,0)))</f>
        <v>0</v>
      </c>
      <c r="H528" s="19" t="n">
        <f aca="false">IF($C528="",0,$C528+$D528)</f>
        <v>0</v>
      </c>
      <c r="I528" s="19" t="n">
        <f aca="false">IF($C528="",0,$C528*$F528)</f>
        <v>0</v>
      </c>
      <c r="J528" s="19" t="str">
        <f aca="false">IF($B528="","",CONCATENATE("Borç: ",$B528," | Toplam: ",TEXT($H528,"#,##0")))</f>
        <v/>
      </c>
    </row>
    <row r="529" customFormat="false" ht="15" hidden="false" customHeight="false" outlineLevel="0" collapsed="false">
      <c r="A529" s="20"/>
      <c r="B529" s="20"/>
      <c r="C529" s="21"/>
      <c r="D529" s="21"/>
      <c r="E529" s="22"/>
      <c r="F529" s="23"/>
      <c r="G529" s="19" t="n">
        <f aca="false">IF($E529="",0,MAX(0,ROUNDDOWN((TecilRaporTarihi-$E529)/30,0)))</f>
        <v>0</v>
      </c>
      <c r="H529" s="19" t="n">
        <f aca="false">IF($C529="",0,$C529+$D529)</f>
        <v>0</v>
      </c>
      <c r="I529" s="19" t="n">
        <f aca="false">IF($C529="",0,$C529*$F529)</f>
        <v>0</v>
      </c>
      <c r="J529" s="19" t="str">
        <f aca="false">IF($B529="","",CONCATENATE("Borç: ",$B529," | Toplam: ",TEXT($H529,"#,##0")))</f>
        <v/>
      </c>
    </row>
    <row r="530" customFormat="false" ht="15" hidden="false" customHeight="false" outlineLevel="0" collapsed="false">
      <c r="A530" s="20"/>
      <c r="B530" s="20"/>
      <c r="C530" s="21"/>
      <c r="D530" s="21"/>
      <c r="E530" s="22"/>
      <c r="F530" s="23"/>
      <c r="G530" s="19" t="n">
        <f aca="false">IF($E530="",0,MAX(0,ROUNDDOWN((TecilRaporTarihi-$E530)/30,0)))</f>
        <v>0</v>
      </c>
      <c r="H530" s="19" t="n">
        <f aca="false">IF($C530="",0,$C530+$D530)</f>
        <v>0</v>
      </c>
      <c r="I530" s="19" t="n">
        <f aca="false">IF($C530="",0,$C530*$F530)</f>
        <v>0</v>
      </c>
      <c r="J530" s="19" t="str">
        <f aca="false">IF($B530="","",CONCATENATE("Borç: ",$B530," | Toplam: ",TEXT($H530,"#,##0")))</f>
        <v/>
      </c>
    </row>
    <row r="531" customFormat="false" ht="15" hidden="false" customHeight="false" outlineLevel="0" collapsed="false">
      <c r="A531" s="20"/>
      <c r="B531" s="20"/>
      <c r="C531" s="21"/>
      <c r="D531" s="21"/>
      <c r="E531" s="22"/>
      <c r="F531" s="23"/>
      <c r="G531" s="19" t="n">
        <f aca="false">IF($E531="",0,MAX(0,ROUNDDOWN((TecilRaporTarihi-$E531)/30,0)))</f>
        <v>0</v>
      </c>
      <c r="H531" s="19" t="n">
        <f aca="false">IF($C531="",0,$C531+$D531)</f>
        <v>0</v>
      </c>
      <c r="I531" s="19" t="n">
        <f aca="false">IF($C531="",0,$C531*$F531)</f>
        <v>0</v>
      </c>
      <c r="J531" s="19" t="str">
        <f aca="false">IF($B531="","",CONCATENATE("Borç: ",$B531," | Toplam: ",TEXT($H531,"#,##0")))</f>
        <v/>
      </c>
    </row>
    <row r="532" customFormat="false" ht="15" hidden="false" customHeight="false" outlineLevel="0" collapsed="false">
      <c r="A532" s="20"/>
      <c r="B532" s="20"/>
      <c r="C532" s="21"/>
      <c r="D532" s="21"/>
      <c r="E532" s="22"/>
      <c r="F532" s="23"/>
      <c r="G532" s="19" t="n">
        <f aca="false">IF($E532="",0,MAX(0,ROUNDDOWN((TecilRaporTarihi-$E532)/30,0)))</f>
        <v>0</v>
      </c>
      <c r="H532" s="19" t="n">
        <f aca="false">IF($C532="",0,$C532+$D532)</f>
        <v>0</v>
      </c>
      <c r="I532" s="19" t="n">
        <f aca="false">IF($C532="",0,$C532*$F532)</f>
        <v>0</v>
      </c>
      <c r="J532" s="19" t="str">
        <f aca="false">IF($B532="","",CONCATENATE("Borç: ",$B532," | Toplam: ",TEXT($H532,"#,##0")))</f>
        <v/>
      </c>
    </row>
    <row r="533" customFormat="false" ht="15" hidden="false" customHeight="false" outlineLevel="0" collapsed="false">
      <c r="A533" s="20"/>
      <c r="B533" s="20"/>
      <c r="C533" s="21"/>
      <c r="D533" s="21"/>
      <c r="E533" s="22"/>
      <c r="F533" s="23"/>
      <c r="G533" s="19" t="n">
        <f aca="false">IF($E533="",0,MAX(0,ROUNDDOWN((TecilRaporTarihi-$E533)/30,0)))</f>
        <v>0</v>
      </c>
      <c r="H533" s="19" t="n">
        <f aca="false">IF($C533="",0,$C533+$D533)</f>
        <v>0</v>
      </c>
      <c r="I533" s="19" t="n">
        <f aca="false">IF($C533="",0,$C533*$F533)</f>
        <v>0</v>
      </c>
      <c r="J533" s="19" t="str">
        <f aca="false">IF($B533="","",CONCATENATE("Borç: ",$B533," | Toplam: ",TEXT($H533,"#,##0")))</f>
        <v/>
      </c>
    </row>
    <row r="534" customFormat="false" ht="15" hidden="false" customHeight="false" outlineLevel="0" collapsed="false">
      <c r="A534" s="20"/>
      <c r="B534" s="20"/>
      <c r="C534" s="21"/>
      <c r="D534" s="21"/>
      <c r="E534" s="22"/>
      <c r="F534" s="23"/>
      <c r="G534" s="19" t="n">
        <f aca="false">IF($E534="",0,MAX(0,ROUNDDOWN((TecilRaporTarihi-$E534)/30,0)))</f>
        <v>0</v>
      </c>
      <c r="H534" s="19" t="n">
        <f aca="false">IF($C534="",0,$C534+$D534)</f>
        <v>0</v>
      </c>
      <c r="I534" s="19" t="n">
        <f aca="false">IF($C534="",0,$C534*$F534)</f>
        <v>0</v>
      </c>
      <c r="J534" s="19" t="str">
        <f aca="false">IF($B534="","",CONCATENATE("Borç: ",$B534," | Toplam: ",TEXT($H534,"#,##0")))</f>
        <v/>
      </c>
    </row>
    <row r="535" customFormat="false" ht="15" hidden="false" customHeight="false" outlineLevel="0" collapsed="false">
      <c r="A535" s="20"/>
      <c r="B535" s="20"/>
      <c r="C535" s="21"/>
      <c r="D535" s="21"/>
      <c r="E535" s="22"/>
      <c r="F535" s="23"/>
      <c r="G535" s="19" t="n">
        <f aca="false">IF($E535="",0,MAX(0,ROUNDDOWN((TecilRaporTarihi-$E535)/30,0)))</f>
        <v>0</v>
      </c>
      <c r="H535" s="19" t="n">
        <f aca="false">IF($C535="",0,$C535+$D535)</f>
        <v>0</v>
      </c>
      <c r="I535" s="19" t="n">
        <f aca="false">IF($C535="",0,$C535*$F535)</f>
        <v>0</v>
      </c>
      <c r="J535" s="19" t="str">
        <f aca="false">IF($B535="","",CONCATENATE("Borç: ",$B535," | Toplam: ",TEXT($H535,"#,##0")))</f>
        <v/>
      </c>
    </row>
    <row r="536" customFormat="false" ht="15" hidden="false" customHeight="false" outlineLevel="0" collapsed="false">
      <c r="A536" s="20"/>
      <c r="B536" s="20"/>
      <c r="C536" s="21"/>
      <c r="D536" s="21"/>
      <c r="E536" s="22"/>
      <c r="F536" s="23"/>
      <c r="G536" s="19" t="n">
        <f aca="false">IF($E536="",0,MAX(0,ROUNDDOWN((TecilRaporTarihi-$E536)/30,0)))</f>
        <v>0</v>
      </c>
      <c r="H536" s="19" t="n">
        <f aca="false">IF($C536="",0,$C536+$D536)</f>
        <v>0</v>
      </c>
      <c r="I536" s="19" t="n">
        <f aca="false">IF($C536="",0,$C536*$F536)</f>
        <v>0</v>
      </c>
      <c r="J536" s="19" t="str">
        <f aca="false">IF($B536="","",CONCATENATE("Borç: ",$B536," | Toplam: ",TEXT($H536,"#,##0")))</f>
        <v/>
      </c>
    </row>
    <row r="537" customFormat="false" ht="15" hidden="false" customHeight="false" outlineLevel="0" collapsed="false">
      <c r="A537" s="20"/>
      <c r="B537" s="20"/>
      <c r="C537" s="21"/>
      <c r="D537" s="21"/>
      <c r="E537" s="22"/>
      <c r="F537" s="23"/>
      <c r="G537" s="19" t="n">
        <f aca="false">IF($E537="",0,MAX(0,ROUNDDOWN((TecilRaporTarihi-$E537)/30,0)))</f>
        <v>0</v>
      </c>
      <c r="H537" s="19" t="n">
        <f aca="false">IF($C537="",0,$C537+$D537)</f>
        <v>0</v>
      </c>
      <c r="I537" s="19" t="n">
        <f aca="false">IF($C537="",0,$C537*$F537)</f>
        <v>0</v>
      </c>
      <c r="J537" s="19" t="str">
        <f aca="false">IF($B537="","",CONCATENATE("Borç: ",$B537," | Toplam: ",TEXT($H537,"#,##0")))</f>
        <v/>
      </c>
    </row>
    <row r="538" customFormat="false" ht="15" hidden="false" customHeight="false" outlineLevel="0" collapsed="false">
      <c r="A538" s="20"/>
      <c r="B538" s="20"/>
      <c r="C538" s="21"/>
      <c r="D538" s="21"/>
      <c r="E538" s="22"/>
      <c r="F538" s="23"/>
      <c r="G538" s="19" t="n">
        <f aca="false">IF($E538="",0,MAX(0,ROUNDDOWN((TecilRaporTarihi-$E538)/30,0)))</f>
        <v>0</v>
      </c>
      <c r="H538" s="19" t="n">
        <f aca="false">IF($C538="",0,$C538+$D538)</f>
        <v>0</v>
      </c>
      <c r="I538" s="19" t="n">
        <f aca="false">IF($C538="",0,$C538*$F538)</f>
        <v>0</v>
      </c>
      <c r="J538" s="19" t="str">
        <f aca="false">IF($B538="","",CONCATENATE("Borç: ",$B538," | Toplam: ",TEXT($H538,"#,##0")))</f>
        <v/>
      </c>
    </row>
    <row r="539" customFormat="false" ht="15" hidden="false" customHeight="false" outlineLevel="0" collapsed="false">
      <c r="A539" s="20"/>
      <c r="B539" s="20"/>
      <c r="C539" s="21"/>
      <c r="D539" s="21"/>
      <c r="E539" s="22"/>
      <c r="F539" s="23"/>
      <c r="G539" s="19" t="n">
        <f aca="false">IF($E539="",0,MAX(0,ROUNDDOWN((TecilRaporTarihi-$E539)/30,0)))</f>
        <v>0</v>
      </c>
      <c r="H539" s="19" t="n">
        <f aca="false">IF($C539="",0,$C539+$D539)</f>
        <v>0</v>
      </c>
      <c r="I539" s="19" t="n">
        <f aca="false">IF($C539="",0,$C539*$F539)</f>
        <v>0</v>
      </c>
      <c r="J539" s="19" t="str">
        <f aca="false">IF($B539="","",CONCATENATE("Borç: ",$B539," | Toplam: ",TEXT($H539,"#,##0")))</f>
        <v/>
      </c>
    </row>
    <row r="540" customFormat="false" ht="15" hidden="false" customHeight="false" outlineLevel="0" collapsed="false">
      <c r="A540" s="20"/>
      <c r="B540" s="20"/>
      <c r="C540" s="21"/>
      <c r="D540" s="21"/>
      <c r="E540" s="22"/>
      <c r="F540" s="23"/>
      <c r="G540" s="19" t="n">
        <f aca="false">IF($E540="",0,MAX(0,ROUNDDOWN((TecilRaporTarihi-$E540)/30,0)))</f>
        <v>0</v>
      </c>
      <c r="H540" s="19" t="n">
        <f aca="false">IF($C540="",0,$C540+$D540)</f>
        <v>0</v>
      </c>
      <c r="I540" s="19" t="n">
        <f aca="false">IF($C540="",0,$C540*$F540)</f>
        <v>0</v>
      </c>
      <c r="J540" s="19" t="str">
        <f aca="false">IF($B540="","",CONCATENATE("Borç: ",$B540," | Toplam: ",TEXT($H540,"#,##0")))</f>
        <v/>
      </c>
    </row>
    <row r="541" customFormat="false" ht="15" hidden="false" customHeight="false" outlineLevel="0" collapsed="false">
      <c r="A541" s="20"/>
      <c r="B541" s="20"/>
      <c r="C541" s="21"/>
      <c r="D541" s="21"/>
      <c r="E541" s="22"/>
      <c r="F541" s="23"/>
      <c r="G541" s="19" t="n">
        <f aca="false">IF($E541="",0,MAX(0,ROUNDDOWN((TecilRaporTarihi-$E541)/30,0)))</f>
        <v>0</v>
      </c>
      <c r="H541" s="19" t="n">
        <f aca="false">IF($C541="",0,$C541+$D541)</f>
        <v>0</v>
      </c>
      <c r="I541" s="19" t="n">
        <f aca="false">IF($C541="",0,$C541*$F541)</f>
        <v>0</v>
      </c>
      <c r="J541" s="19" t="str">
        <f aca="false">IF($B541="","",CONCATENATE("Borç: ",$B541," | Toplam: ",TEXT($H541,"#,##0")))</f>
        <v/>
      </c>
    </row>
    <row r="542" customFormat="false" ht="15" hidden="false" customHeight="false" outlineLevel="0" collapsed="false">
      <c r="A542" s="20"/>
      <c r="B542" s="20"/>
      <c r="C542" s="21"/>
      <c r="D542" s="21"/>
      <c r="E542" s="22"/>
      <c r="F542" s="23"/>
      <c r="G542" s="19" t="n">
        <f aca="false">IF($E542="",0,MAX(0,ROUNDDOWN((TecilRaporTarihi-$E542)/30,0)))</f>
        <v>0</v>
      </c>
      <c r="H542" s="19" t="n">
        <f aca="false">IF($C542="",0,$C542+$D542)</f>
        <v>0</v>
      </c>
      <c r="I542" s="19" t="n">
        <f aca="false">IF($C542="",0,$C542*$F542)</f>
        <v>0</v>
      </c>
      <c r="J542" s="19" t="str">
        <f aca="false">IF($B542="","",CONCATENATE("Borç: ",$B542," | Toplam: ",TEXT($H542,"#,##0")))</f>
        <v/>
      </c>
    </row>
    <row r="543" customFormat="false" ht="15" hidden="false" customHeight="false" outlineLevel="0" collapsed="false">
      <c r="A543" s="20"/>
      <c r="B543" s="20"/>
      <c r="C543" s="21"/>
      <c r="D543" s="21"/>
      <c r="E543" s="22"/>
      <c r="F543" s="23"/>
      <c r="G543" s="19" t="n">
        <f aca="false">IF($E543="",0,MAX(0,ROUNDDOWN((TecilRaporTarihi-$E543)/30,0)))</f>
        <v>0</v>
      </c>
      <c r="H543" s="19" t="n">
        <f aca="false">IF($C543="",0,$C543+$D543)</f>
        <v>0</v>
      </c>
      <c r="I543" s="19" t="n">
        <f aca="false">IF($C543="",0,$C543*$F543)</f>
        <v>0</v>
      </c>
      <c r="J543" s="19" t="str">
        <f aca="false">IF($B543="","",CONCATENATE("Borç: ",$B543," | Toplam: ",TEXT($H543,"#,##0")))</f>
        <v/>
      </c>
    </row>
    <row r="544" customFormat="false" ht="15" hidden="false" customHeight="false" outlineLevel="0" collapsed="false">
      <c r="A544" s="20"/>
      <c r="B544" s="20"/>
      <c r="C544" s="21"/>
      <c r="D544" s="21"/>
      <c r="E544" s="22"/>
      <c r="F544" s="23"/>
      <c r="G544" s="19" t="n">
        <f aca="false">IF($E544="",0,MAX(0,ROUNDDOWN((TecilRaporTarihi-$E544)/30,0)))</f>
        <v>0</v>
      </c>
      <c r="H544" s="19" t="n">
        <f aca="false">IF($C544="",0,$C544+$D544)</f>
        <v>0</v>
      </c>
      <c r="I544" s="19" t="n">
        <f aca="false">IF($C544="",0,$C544*$F544)</f>
        <v>0</v>
      </c>
      <c r="J544" s="19" t="str">
        <f aca="false">IF($B544="","",CONCATENATE("Borç: ",$B544," | Toplam: ",TEXT($H544,"#,##0")))</f>
        <v/>
      </c>
    </row>
    <row r="545" customFormat="false" ht="15" hidden="false" customHeight="false" outlineLevel="0" collapsed="false">
      <c r="A545" s="20"/>
      <c r="B545" s="20"/>
      <c r="C545" s="21"/>
      <c r="D545" s="21"/>
      <c r="E545" s="22"/>
      <c r="F545" s="23"/>
      <c r="G545" s="19" t="n">
        <f aca="false">IF($E545="",0,MAX(0,ROUNDDOWN((TecilRaporTarihi-$E545)/30,0)))</f>
        <v>0</v>
      </c>
      <c r="H545" s="19" t="n">
        <f aca="false">IF($C545="",0,$C545+$D545)</f>
        <v>0</v>
      </c>
      <c r="I545" s="19" t="n">
        <f aca="false">IF($C545="",0,$C545*$F545)</f>
        <v>0</v>
      </c>
      <c r="J545" s="19" t="str">
        <f aca="false">IF($B545="","",CONCATENATE("Borç: ",$B545," | Toplam: ",TEXT($H545,"#,##0")))</f>
        <v/>
      </c>
    </row>
    <row r="546" customFormat="false" ht="15" hidden="false" customHeight="false" outlineLevel="0" collapsed="false">
      <c r="A546" s="20"/>
      <c r="B546" s="20"/>
      <c r="C546" s="21"/>
      <c r="D546" s="21"/>
      <c r="E546" s="22"/>
      <c r="F546" s="23"/>
      <c r="G546" s="19" t="n">
        <f aca="false">IF($E546="",0,MAX(0,ROUNDDOWN((TecilRaporTarihi-$E546)/30,0)))</f>
        <v>0</v>
      </c>
      <c r="H546" s="19" t="n">
        <f aca="false">IF($C546="",0,$C546+$D546)</f>
        <v>0</v>
      </c>
      <c r="I546" s="19" t="n">
        <f aca="false">IF($C546="",0,$C546*$F546)</f>
        <v>0</v>
      </c>
      <c r="J546" s="19" t="str">
        <f aca="false">IF($B546="","",CONCATENATE("Borç: ",$B546," | Toplam: ",TEXT($H546,"#,##0")))</f>
        <v/>
      </c>
    </row>
    <row r="547" customFormat="false" ht="15" hidden="false" customHeight="false" outlineLevel="0" collapsed="false">
      <c r="A547" s="20"/>
      <c r="B547" s="20"/>
      <c r="C547" s="21"/>
      <c r="D547" s="21"/>
      <c r="E547" s="22"/>
      <c r="F547" s="23"/>
      <c r="G547" s="19" t="n">
        <f aca="false">IF($E547="",0,MAX(0,ROUNDDOWN((TecilRaporTarihi-$E547)/30,0)))</f>
        <v>0</v>
      </c>
      <c r="H547" s="19" t="n">
        <f aca="false">IF($C547="",0,$C547+$D547)</f>
        <v>0</v>
      </c>
      <c r="I547" s="19" t="n">
        <f aca="false">IF($C547="",0,$C547*$F547)</f>
        <v>0</v>
      </c>
      <c r="J547" s="19" t="str">
        <f aca="false">IF($B547="","",CONCATENATE("Borç: ",$B547," | Toplam: ",TEXT($H547,"#,##0")))</f>
        <v/>
      </c>
    </row>
    <row r="548" customFormat="false" ht="15" hidden="false" customHeight="false" outlineLevel="0" collapsed="false">
      <c r="A548" s="20"/>
      <c r="B548" s="20"/>
      <c r="C548" s="21"/>
      <c r="D548" s="21"/>
      <c r="E548" s="22"/>
      <c r="F548" s="23"/>
      <c r="G548" s="19" t="n">
        <f aca="false">IF($E548="",0,MAX(0,ROUNDDOWN((TecilRaporTarihi-$E548)/30,0)))</f>
        <v>0</v>
      </c>
      <c r="H548" s="19" t="n">
        <f aca="false">IF($C548="",0,$C548+$D548)</f>
        <v>0</v>
      </c>
      <c r="I548" s="19" t="n">
        <f aca="false">IF($C548="",0,$C548*$F548)</f>
        <v>0</v>
      </c>
      <c r="J548" s="19" t="str">
        <f aca="false">IF($B548="","",CONCATENATE("Borç: ",$B548," | Toplam: ",TEXT($H548,"#,##0")))</f>
        <v/>
      </c>
    </row>
    <row r="549" customFormat="false" ht="15" hidden="false" customHeight="false" outlineLevel="0" collapsed="false">
      <c r="A549" s="20"/>
      <c r="B549" s="20"/>
      <c r="C549" s="21"/>
      <c r="D549" s="21"/>
      <c r="E549" s="22"/>
      <c r="F549" s="23"/>
      <c r="G549" s="19" t="n">
        <f aca="false">IF($E549="",0,MAX(0,ROUNDDOWN((TecilRaporTarihi-$E549)/30,0)))</f>
        <v>0</v>
      </c>
      <c r="H549" s="19" t="n">
        <f aca="false">IF($C549="",0,$C549+$D549)</f>
        <v>0</v>
      </c>
      <c r="I549" s="19" t="n">
        <f aca="false">IF($C549="",0,$C549*$F549)</f>
        <v>0</v>
      </c>
      <c r="J549" s="19" t="str">
        <f aca="false">IF($B549="","",CONCATENATE("Borç: ",$B549," | Toplam: ",TEXT($H549,"#,##0")))</f>
        <v/>
      </c>
    </row>
    <row r="550" customFormat="false" ht="15" hidden="false" customHeight="false" outlineLevel="0" collapsed="false">
      <c r="A550" s="20"/>
      <c r="B550" s="20"/>
      <c r="C550" s="21"/>
      <c r="D550" s="21"/>
      <c r="E550" s="22"/>
      <c r="F550" s="23"/>
      <c r="G550" s="19" t="n">
        <f aca="false">IF($E550="",0,MAX(0,ROUNDDOWN((TecilRaporTarihi-$E550)/30,0)))</f>
        <v>0</v>
      </c>
      <c r="H550" s="19" t="n">
        <f aca="false">IF($C550="",0,$C550+$D550)</f>
        <v>0</v>
      </c>
      <c r="I550" s="19" t="n">
        <f aca="false">IF($C550="",0,$C550*$F550)</f>
        <v>0</v>
      </c>
      <c r="J550" s="19" t="str">
        <f aca="false">IF($B550="","",CONCATENATE("Borç: ",$B550," | Toplam: ",TEXT($H550,"#,##0")))</f>
        <v/>
      </c>
    </row>
    <row r="551" customFormat="false" ht="15" hidden="false" customHeight="false" outlineLevel="0" collapsed="false">
      <c r="A551" s="20"/>
      <c r="B551" s="20"/>
      <c r="C551" s="21"/>
      <c r="D551" s="21"/>
      <c r="E551" s="22"/>
      <c r="F551" s="23"/>
      <c r="G551" s="19" t="n">
        <f aca="false">IF($E551="",0,MAX(0,ROUNDDOWN((TecilRaporTarihi-$E551)/30,0)))</f>
        <v>0</v>
      </c>
      <c r="H551" s="19" t="n">
        <f aca="false">IF($C551="",0,$C551+$D551)</f>
        <v>0</v>
      </c>
      <c r="I551" s="19" t="n">
        <f aca="false">IF($C551="",0,$C551*$F551)</f>
        <v>0</v>
      </c>
      <c r="J551" s="19" t="str">
        <f aca="false">IF($B551="","",CONCATENATE("Borç: ",$B551," | Toplam: ",TEXT($H551,"#,##0")))</f>
        <v/>
      </c>
    </row>
    <row r="552" customFormat="false" ht="15" hidden="false" customHeight="false" outlineLevel="0" collapsed="false">
      <c r="A552" s="20"/>
      <c r="B552" s="20"/>
      <c r="C552" s="21"/>
      <c r="D552" s="21"/>
      <c r="E552" s="22"/>
      <c r="F552" s="23"/>
      <c r="G552" s="19" t="n">
        <f aca="false">IF($E552="",0,MAX(0,ROUNDDOWN((TecilRaporTarihi-$E552)/30,0)))</f>
        <v>0</v>
      </c>
      <c r="H552" s="19" t="n">
        <f aca="false">IF($C552="",0,$C552+$D552)</f>
        <v>0</v>
      </c>
      <c r="I552" s="19" t="n">
        <f aca="false">IF($C552="",0,$C552*$F552)</f>
        <v>0</v>
      </c>
      <c r="J552" s="19" t="str">
        <f aca="false">IF($B552="","",CONCATENATE("Borç: ",$B552," | Toplam: ",TEXT($H552,"#,##0")))</f>
        <v/>
      </c>
    </row>
    <row r="553" customFormat="false" ht="15" hidden="false" customHeight="false" outlineLevel="0" collapsed="false">
      <c r="A553" s="20"/>
      <c r="B553" s="20"/>
      <c r="C553" s="21"/>
      <c r="D553" s="21"/>
      <c r="E553" s="22"/>
      <c r="F553" s="23"/>
      <c r="G553" s="19" t="n">
        <f aca="false">IF($E553="",0,MAX(0,ROUNDDOWN((TecilRaporTarihi-$E553)/30,0)))</f>
        <v>0</v>
      </c>
      <c r="H553" s="19" t="n">
        <f aca="false">IF($C553="",0,$C553+$D553)</f>
        <v>0</v>
      </c>
      <c r="I553" s="19" t="n">
        <f aca="false">IF($C553="",0,$C553*$F553)</f>
        <v>0</v>
      </c>
      <c r="J553" s="19" t="str">
        <f aca="false">IF($B553="","",CONCATENATE("Borç: ",$B553," | Toplam: ",TEXT($H553,"#,##0")))</f>
        <v/>
      </c>
    </row>
    <row r="554" customFormat="false" ht="15" hidden="false" customHeight="false" outlineLevel="0" collapsed="false">
      <c r="A554" s="20"/>
      <c r="B554" s="20"/>
      <c r="C554" s="21"/>
      <c r="D554" s="21"/>
      <c r="E554" s="22"/>
      <c r="F554" s="23"/>
      <c r="G554" s="19" t="n">
        <f aca="false">IF($E554="",0,MAX(0,ROUNDDOWN((TecilRaporTarihi-$E554)/30,0)))</f>
        <v>0</v>
      </c>
      <c r="H554" s="19" t="n">
        <f aca="false">IF($C554="",0,$C554+$D554)</f>
        <v>0</v>
      </c>
      <c r="I554" s="19" t="n">
        <f aca="false">IF($C554="",0,$C554*$F554)</f>
        <v>0</v>
      </c>
      <c r="J554" s="19" t="str">
        <f aca="false">IF($B554="","",CONCATENATE("Borç: ",$B554," | Toplam: ",TEXT($H554,"#,##0")))</f>
        <v/>
      </c>
    </row>
    <row r="555" customFormat="false" ht="15" hidden="false" customHeight="false" outlineLevel="0" collapsed="false">
      <c r="A555" s="20"/>
      <c r="B555" s="20"/>
      <c r="C555" s="21"/>
      <c r="D555" s="21"/>
      <c r="E555" s="22"/>
      <c r="F555" s="23"/>
      <c r="G555" s="19" t="n">
        <f aca="false">IF($E555="",0,MAX(0,ROUNDDOWN((TecilRaporTarihi-$E555)/30,0)))</f>
        <v>0</v>
      </c>
      <c r="H555" s="19" t="n">
        <f aca="false">IF($C555="",0,$C555+$D555)</f>
        <v>0</v>
      </c>
      <c r="I555" s="19" t="n">
        <f aca="false">IF($C555="",0,$C555*$F555)</f>
        <v>0</v>
      </c>
      <c r="J555" s="19" t="str">
        <f aca="false">IF($B555="","",CONCATENATE("Borç: ",$B555," | Toplam: ",TEXT($H555,"#,##0")))</f>
        <v/>
      </c>
    </row>
    <row r="556" customFormat="false" ht="15" hidden="false" customHeight="false" outlineLevel="0" collapsed="false">
      <c r="A556" s="20"/>
      <c r="B556" s="20"/>
      <c r="C556" s="21"/>
      <c r="D556" s="21"/>
      <c r="E556" s="22"/>
      <c r="F556" s="23"/>
      <c r="G556" s="19" t="n">
        <f aca="false">IF($E556="",0,MAX(0,ROUNDDOWN((TecilRaporTarihi-$E556)/30,0)))</f>
        <v>0</v>
      </c>
      <c r="H556" s="19" t="n">
        <f aca="false">IF($C556="",0,$C556+$D556)</f>
        <v>0</v>
      </c>
      <c r="I556" s="19" t="n">
        <f aca="false">IF($C556="",0,$C556*$F556)</f>
        <v>0</v>
      </c>
      <c r="J556" s="19" t="str">
        <f aca="false">IF($B556="","",CONCATENATE("Borç: ",$B556," | Toplam: ",TEXT($H556,"#,##0")))</f>
        <v/>
      </c>
    </row>
    <row r="557" customFormat="false" ht="15" hidden="false" customHeight="false" outlineLevel="0" collapsed="false">
      <c r="A557" s="20"/>
      <c r="B557" s="20"/>
      <c r="C557" s="21"/>
      <c r="D557" s="21"/>
      <c r="E557" s="22"/>
      <c r="F557" s="23"/>
      <c r="G557" s="19" t="n">
        <f aca="false">IF($E557="",0,MAX(0,ROUNDDOWN((TecilRaporTarihi-$E557)/30,0)))</f>
        <v>0</v>
      </c>
      <c r="H557" s="19" t="n">
        <f aca="false">IF($C557="",0,$C557+$D557)</f>
        <v>0</v>
      </c>
      <c r="I557" s="19" t="n">
        <f aca="false">IF($C557="",0,$C557*$F557)</f>
        <v>0</v>
      </c>
      <c r="J557" s="19" t="str">
        <f aca="false">IF($B557="","",CONCATENATE("Borç: ",$B557," | Toplam: ",TEXT($H557,"#,##0")))</f>
        <v/>
      </c>
    </row>
    <row r="558" customFormat="false" ht="15" hidden="false" customHeight="false" outlineLevel="0" collapsed="false">
      <c r="A558" s="20"/>
      <c r="B558" s="20"/>
      <c r="C558" s="21"/>
      <c r="D558" s="21"/>
      <c r="E558" s="22"/>
      <c r="F558" s="23"/>
      <c r="G558" s="19" t="n">
        <f aca="false">IF($E558="",0,MAX(0,ROUNDDOWN((TecilRaporTarihi-$E558)/30,0)))</f>
        <v>0</v>
      </c>
      <c r="H558" s="19" t="n">
        <f aca="false">IF($C558="",0,$C558+$D558)</f>
        <v>0</v>
      </c>
      <c r="I558" s="19" t="n">
        <f aca="false">IF($C558="",0,$C558*$F558)</f>
        <v>0</v>
      </c>
      <c r="J558" s="19" t="str">
        <f aca="false">IF($B558="","",CONCATENATE("Borç: ",$B558," | Toplam: ",TEXT($H558,"#,##0")))</f>
        <v/>
      </c>
    </row>
    <row r="559" customFormat="false" ht="15" hidden="false" customHeight="false" outlineLevel="0" collapsed="false">
      <c r="A559" s="20"/>
      <c r="B559" s="20"/>
      <c r="C559" s="21"/>
      <c r="D559" s="21"/>
      <c r="E559" s="22"/>
      <c r="F559" s="23"/>
      <c r="G559" s="19" t="n">
        <f aca="false">IF($E559="",0,MAX(0,ROUNDDOWN((TecilRaporTarihi-$E559)/30,0)))</f>
        <v>0</v>
      </c>
      <c r="H559" s="19" t="n">
        <f aca="false">IF($C559="",0,$C559+$D559)</f>
        <v>0</v>
      </c>
      <c r="I559" s="19" t="n">
        <f aca="false">IF($C559="",0,$C559*$F559)</f>
        <v>0</v>
      </c>
      <c r="J559" s="19" t="str">
        <f aca="false">IF($B559="","",CONCATENATE("Borç: ",$B559," | Toplam: ",TEXT($H559,"#,##0")))</f>
        <v/>
      </c>
    </row>
    <row r="560" customFormat="false" ht="15" hidden="false" customHeight="false" outlineLevel="0" collapsed="false">
      <c r="A560" s="20"/>
      <c r="B560" s="20"/>
      <c r="C560" s="21"/>
      <c r="D560" s="21"/>
      <c r="E560" s="22"/>
      <c r="F560" s="23"/>
      <c r="G560" s="19" t="n">
        <f aca="false">IF($E560="",0,MAX(0,ROUNDDOWN((TecilRaporTarihi-$E560)/30,0)))</f>
        <v>0</v>
      </c>
      <c r="H560" s="19" t="n">
        <f aca="false">IF($C560="",0,$C560+$D560)</f>
        <v>0</v>
      </c>
      <c r="I560" s="19" t="n">
        <f aca="false">IF($C560="",0,$C560*$F560)</f>
        <v>0</v>
      </c>
      <c r="J560" s="19" t="str">
        <f aca="false">IF($B560="","",CONCATENATE("Borç: ",$B560," | Toplam: ",TEXT($H560,"#,##0")))</f>
        <v/>
      </c>
    </row>
    <row r="561" customFormat="false" ht="15" hidden="false" customHeight="false" outlineLevel="0" collapsed="false">
      <c r="A561" s="20"/>
      <c r="B561" s="20"/>
      <c r="C561" s="21"/>
      <c r="D561" s="21"/>
      <c r="E561" s="22"/>
      <c r="F561" s="23"/>
      <c r="G561" s="19" t="n">
        <f aca="false">IF($E561="",0,MAX(0,ROUNDDOWN((TecilRaporTarihi-$E561)/30,0)))</f>
        <v>0</v>
      </c>
      <c r="H561" s="19" t="n">
        <f aca="false">IF($C561="",0,$C561+$D561)</f>
        <v>0</v>
      </c>
      <c r="I561" s="19" t="n">
        <f aca="false">IF($C561="",0,$C561*$F561)</f>
        <v>0</v>
      </c>
      <c r="J561" s="19" t="str">
        <f aca="false">IF($B561="","",CONCATENATE("Borç: ",$B561," | Toplam: ",TEXT($H561,"#,##0")))</f>
        <v/>
      </c>
    </row>
    <row r="562" customFormat="false" ht="15" hidden="false" customHeight="false" outlineLevel="0" collapsed="false">
      <c r="A562" s="20"/>
      <c r="B562" s="20"/>
      <c r="C562" s="21"/>
      <c r="D562" s="21"/>
      <c r="E562" s="22"/>
      <c r="F562" s="23"/>
      <c r="G562" s="19" t="n">
        <f aca="false">IF($E562="",0,MAX(0,ROUNDDOWN((TecilRaporTarihi-$E562)/30,0)))</f>
        <v>0</v>
      </c>
      <c r="H562" s="19" t="n">
        <f aca="false">IF($C562="",0,$C562+$D562)</f>
        <v>0</v>
      </c>
      <c r="I562" s="19" t="n">
        <f aca="false">IF($C562="",0,$C562*$F562)</f>
        <v>0</v>
      </c>
      <c r="J562" s="19" t="str">
        <f aca="false">IF($B562="","",CONCATENATE("Borç: ",$B562," | Toplam: ",TEXT($H562,"#,##0")))</f>
        <v/>
      </c>
    </row>
    <row r="563" customFormat="false" ht="15" hidden="false" customHeight="false" outlineLevel="0" collapsed="false">
      <c r="A563" s="20"/>
      <c r="B563" s="20"/>
      <c r="C563" s="21"/>
      <c r="D563" s="21"/>
      <c r="E563" s="22"/>
      <c r="F563" s="23"/>
      <c r="G563" s="19" t="n">
        <f aca="false">IF($E563="",0,MAX(0,ROUNDDOWN((TecilRaporTarihi-$E563)/30,0)))</f>
        <v>0</v>
      </c>
      <c r="H563" s="19" t="n">
        <f aca="false">IF($C563="",0,$C563+$D563)</f>
        <v>0</v>
      </c>
      <c r="I563" s="19" t="n">
        <f aca="false">IF($C563="",0,$C563*$F563)</f>
        <v>0</v>
      </c>
      <c r="J563" s="19" t="str">
        <f aca="false">IF($B563="","",CONCATENATE("Borç: ",$B563," | Toplam: ",TEXT($H563,"#,##0")))</f>
        <v/>
      </c>
    </row>
    <row r="564" customFormat="false" ht="15" hidden="false" customHeight="false" outlineLevel="0" collapsed="false">
      <c r="A564" s="20"/>
      <c r="B564" s="20"/>
      <c r="C564" s="21"/>
      <c r="D564" s="21"/>
      <c r="E564" s="22"/>
      <c r="F564" s="23"/>
      <c r="G564" s="19" t="n">
        <f aca="false">IF($E564="",0,MAX(0,ROUNDDOWN((TecilRaporTarihi-$E564)/30,0)))</f>
        <v>0</v>
      </c>
      <c r="H564" s="19" t="n">
        <f aca="false">IF($C564="",0,$C564+$D564)</f>
        <v>0</v>
      </c>
      <c r="I564" s="19" t="n">
        <f aca="false">IF($C564="",0,$C564*$F564)</f>
        <v>0</v>
      </c>
      <c r="J564" s="19" t="str">
        <f aca="false">IF($B564="","",CONCATENATE("Borç: ",$B564," | Toplam: ",TEXT($H564,"#,##0")))</f>
        <v/>
      </c>
    </row>
    <row r="565" customFormat="false" ht="15" hidden="false" customHeight="false" outlineLevel="0" collapsed="false">
      <c r="A565" s="20"/>
      <c r="B565" s="20"/>
      <c r="C565" s="21"/>
      <c r="D565" s="21"/>
      <c r="E565" s="22"/>
      <c r="F565" s="23"/>
      <c r="G565" s="19" t="n">
        <f aca="false">IF($E565="",0,MAX(0,ROUNDDOWN((TecilRaporTarihi-$E565)/30,0)))</f>
        <v>0</v>
      </c>
      <c r="H565" s="19" t="n">
        <f aca="false">IF($C565="",0,$C565+$D565)</f>
        <v>0</v>
      </c>
      <c r="I565" s="19" t="n">
        <f aca="false">IF($C565="",0,$C565*$F565)</f>
        <v>0</v>
      </c>
      <c r="J565" s="19" t="str">
        <f aca="false">IF($B565="","",CONCATENATE("Borç: ",$B565," | Toplam: ",TEXT($H565,"#,##0")))</f>
        <v/>
      </c>
    </row>
    <row r="566" customFormat="false" ht="15" hidden="false" customHeight="false" outlineLevel="0" collapsed="false">
      <c r="A566" s="20"/>
      <c r="B566" s="20"/>
      <c r="C566" s="21"/>
      <c r="D566" s="21"/>
      <c r="E566" s="22"/>
      <c r="F566" s="23"/>
      <c r="G566" s="19" t="n">
        <f aca="false">IF($E566="",0,MAX(0,ROUNDDOWN((TecilRaporTarihi-$E566)/30,0)))</f>
        <v>0</v>
      </c>
      <c r="H566" s="19" t="n">
        <f aca="false">IF($C566="",0,$C566+$D566)</f>
        <v>0</v>
      </c>
      <c r="I566" s="19" t="n">
        <f aca="false">IF($C566="",0,$C566*$F566)</f>
        <v>0</v>
      </c>
      <c r="J566" s="19" t="str">
        <f aca="false">IF($B566="","",CONCATENATE("Borç: ",$B566," | Toplam: ",TEXT($H566,"#,##0")))</f>
        <v/>
      </c>
    </row>
    <row r="567" customFormat="false" ht="15" hidden="false" customHeight="false" outlineLevel="0" collapsed="false">
      <c r="A567" s="20"/>
      <c r="B567" s="20"/>
      <c r="C567" s="21"/>
      <c r="D567" s="21"/>
      <c r="E567" s="22"/>
      <c r="F567" s="23"/>
      <c r="G567" s="19" t="n">
        <f aca="false">IF($E567="",0,MAX(0,ROUNDDOWN((TecilRaporTarihi-$E567)/30,0)))</f>
        <v>0</v>
      </c>
      <c r="H567" s="19" t="n">
        <f aca="false">IF($C567="",0,$C567+$D567)</f>
        <v>0</v>
      </c>
      <c r="I567" s="19" t="n">
        <f aca="false">IF($C567="",0,$C567*$F567)</f>
        <v>0</v>
      </c>
      <c r="J567" s="19" t="str">
        <f aca="false">IF($B567="","",CONCATENATE("Borç: ",$B567," | Toplam: ",TEXT($H567,"#,##0")))</f>
        <v/>
      </c>
    </row>
    <row r="568" customFormat="false" ht="15" hidden="false" customHeight="false" outlineLevel="0" collapsed="false">
      <c r="A568" s="20"/>
      <c r="B568" s="20"/>
      <c r="C568" s="21"/>
      <c r="D568" s="21"/>
      <c r="E568" s="22"/>
      <c r="F568" s="23"/>
      <c r="G568" s="19" t="n">
        <f aca="false">IF($E568="",0,MAX(0,ROUNDDOWN((TecilRaporTarihi-$E568)/30,0)))</f>
        <v>0</v>
      </c>
      <c r="H568" s="19" t="n">
        <f aca="false">IF($C568="",0,$C568+$D568)</f>
        <v>0</v>
      </c>
      <c r="I568" s="19" t="n">
        <f aca="false">IF($C568="",0,$C568*$F568)</f>
        <v>0</v>
      </c>
      <c r="J568" s="19" t="str">
        <f aca="false">IF($B568="","",CONCATENATE("Borç: ",$B568," | Toplam: ",TEXT($H568,"#,##0")))</f>
        <v/>
      </c>
    </row>
    <row r="569" customFormat="false" ht="15" hidden="false" customHeight="false" outlineLevel="0" collapsed="false">
      <c r="A569" s="20"/>
      <c r="B569" s="20"/>
      <c r="C569" s="21"/>
      <c r="D569" s="21"/>
      <c r="E569" s="22"/>
      <c r="F569" s="23"/>
      <c r="G569" s="19" t="n">
        <f aca="false">IF($E569="",0,MAX(0,ROUNDDOWN((TecilRaporTarihi-$E569)/30,0)))</f>
        <v>0</v>
      </c>
      <c r="H569" s="19" t="n">
        <f aca="false">IF($C569="",0,$C569+$D569)</f>
        <v>0</v>
      </c>
      <c r="I569" s="19" t="n">
        <f aca="false">IF($C569="",0,$C569*$F569)</f>
        <v>0</v>
      </c>
      <c r="J569" s="19" t="str">
        <f aca="false">IF($B569="","",CONCATENATE("Borç: ",$B569," | Toplam: ",TEXT($H569,"#,##0")))</f>
        <v/>
      </c>
    </row>
    <row r="570" customFormat="false" ht="15" hidden="false" customHeight="false" outlineLevel="0" collapsed="false">
      <c r="A570" s="20"/>
      <c r="B570" s="20"/>
      <c r="C570" s="21"/>
      <c r="D570" s="21"/>
      <c r="E570" s="22"/>
      <c r="F570" s="23"/>
      <c r="G570" s="19" t="n">
        <f aca="false">IF($E570="",0,MAX(0,ROUNDDOWN((TecilRaporTarihi-$E570)/30,0)))</f>
        <v>0</v>
      </c>
      <c r="H570" s="19" t="n">
        <f aca="false">IF($C570="",0,$C570+$D570)</f>
        <v>0</v>
      </c>
      <c r="I570" s="19" t="n">
        <f aca="false">IF($C570="",0,$C570*$F570)</f>
        <v>0</v>
      </c>
      <c r="J570" s="19" t="str">
        <f aca="false">IF($B570="","",CONCATENATE("Borç: ",$B570," | Toplam: ",TEXT($H570,"#,##0")))</f>
        <v/>
      </c>
    </row>
    <row r="571" customFormat="false" ht="15" hidden="false" customHeight="false" outlineLevel="0" collapsed="false">
      <c r="A571" s="20"/>
      <c r="B571" s="20"/>
      <c r="C571" s="21"/>
      <c r="D571" s="21"/>
      <c r="E571" s="22"/>
      <c r="F571" s="23"/>
      <c r="G571" s="19" t="n">
        <f aca="false">IF($E571="",0,MAX(0,ROUNDDOWN((TecilRaporTarihi-$E571)/30,0)))</f>
        <v>0</v>
      </c>
      <c r="H571" s="19" t="n">
        <f aca="false">IF($C571="",0,$C571+$D571)</f>
        <v>0</v>
      </c>
      <c r="I571" s="19" t="n">
        <f aca="false">IF($C571="",0,$C571*$F571)</f>
        <v>0</v>
      </c>
      <c r="J571" s="19" t="str">
        <f aca="false">IF($B571="","",CONCATENATE("Borç: ",$B571," | Toplam: ",TEXT($H571,"#,##0")))</f>
        <v/>
      </c>
    </row>
    <row r="572" customFormat="false" ht="15" hidden="false" customHeight="false" outlineLevel="0" collapsed="false">
      <c r="A572" s="20"/>
      <c r="B572" s="20"/>
      <c r="C572" s="21"/>
      <c r="D572" s="21"/>
      <c r="E572" s="22"/>
      <c r="F572" s="23"/>
      <c r="G572" s="19" t="n">
        <f aca="false">IF($E572="",0,MAX(0,ROUNDDOWN((TecilRaporTarihi-$E572)/30,0)))</f>
        <v>0</v>
      </c>
      <c r="H572" s="19" t="n">
        <f aca="false">IF($C572="",0,$C572+$D572)</f>
        <v>0</v>
      </c>
      <c r="I572" s="19" t="n">
        <f aca="false">IF($C572="",0,$C572*$F572)</f>
        <v>0</v>
      </c>
      <c r="J572" s="19" t="str">
        <f aca="false">IF($B572="","",CONCATENATE("Borç: ",$B572," | Toplam: ",TEXT($H572,"#,##0")))</f>
        <v/>
      </c>
    </row>
    <row r="573" customFormat="false" ht="15" hidden="false" customHeight="false" outlineLevel="0" collapsed="false">
      <c r="A573" s="20"/>
      <c r="B573" s="20"/>
      <c r="C573" s="21"/>
      <c r="D573" s="21"/>
      <c r="E573" s="22"/>
      <c r="F573" s="23"/>
      <c r="G573" s="19" t="n">
        <f aca="false">IF($E573="",0,MAX(0,ROUNDDOWN((TecilRaporTarihi-$E573)/30,0)))</f>
        <v>0</v>
      </c>
      <c r="H573" s="19" t="n">
        <f aca="false">IF($C573="",0,$C573+$D573)</f>
        <v>0</v>
      </c>
      <c r="I573" s="19" t="n">
        <f aca="false">IF($C573="",0,$C573*$F573)</f>
        <v>0</v>
      </c>
      <c r="J573" s="19" t="str">
        <f aca="false">IF($B573="","",CONCATENATE("Borç: ",$B573," | Toplam: ",TEXT($H573,"#,##0")))</f>
        <v/>
      </c>
    </row>
    <row r="574" customFormat="false" ht="15" hidden="false" customHeight="false" outlineLevel="0" collapsed="false">
      <c r="A574" s="20"/>
      <c r="B574" s="20"/>
      <c r="C574" s="21"/>
      <c r="D574" s="21"/>
      <c r="E574" s="22"/>
      <c r="F574" s="23"/>
      <c r="G574" s="19" t="n">
        <f aca="false">IF($E574="",0,MAX(0,ROUNDDOWN((TecilRaporTarihi-$E574)/30,0)))</f>
        <v>0</v>
      </c>
      <c r="H574" s="19" t="n">
        <f aca="false">IF($C574="",0,$C574+$D574)</f>
        <v>0</v>
      </c>
      <c r="I574" s="19" t="n">
        <f aca="false">IF($C574="",0,$C574*$F574)</f>
        <v>0</v>
      </c>
      <c r="J574" s="19" t="str">
        <f aca="false">IF($B574="","",CONCATENATE("Borç: ",$B574," | Toplam: ",TEXT($H574,"#,##0")))</f>
        <v/>
      </c>
    </row>
    <row r="575" customFormat="false" ht="15" hidden="false" customHeight="false" outlineLevel="0" collapsed="false">
      <c r="A575" s="20"/>
      <c r="B575" s="20"/>
      <c r="C575" s="21"/>
      <c r="D575" s="21"/>
      <c r="E575" s="22"/>
      <c r="F575" s="23"/>
      <c r="G575" s="19" t="n">
        <f aca="false">IF($E575="",0,MAX(0,ROUNDDOWN((TecilRaporTarihi-$E575)/30,0)))</f>
        <v>0</v>
      </c>
      <c r="H575" s="19" t="n">
        <f aca="false">IF($C575="",0,$C575+$D575)</f>
        <v>0</v>
      </c>
      <c r="I575" s="19" t="n">
        <f aca="false">IF($C575="",0,$C575*$F575)</f>
        <v>0</v>
      </c>
      <c r="J575" s="19" t="str">
        <f aca="false">IF($B575="","",CONCATENATE("Borç: ",$B575," | Toplam: ",TEXT($H575,"#,##0")))</f>
        <v/>
      </c>
    </row>
    <row r="576" customFormat="false" ht="15" hidden="false" customHeight="false" outlineLevel="0" collapsed="false">
      <c r="A576" s="20"/>
      <c r="B576" s="20"/>
      <c r="C576" s="21"/>
      <c r="D576" s="21"/>
      <c r="E576" s="22"/>
      <c r="F576" s="23"/>
      <c r="G576" s="19" t="n">
        <f aca="false">IF($E576="",0,MAX(0,ROUNDDOWN((TecilRaporTarihi-$E576)/30,0)))</f>
        <v>0</v>
      </c>
      <c r="H576" s="19" t="n">
        <f aca="false">IF($C576="",0,$C576+$D576)</f>
        <v>0</v>
      </c>
      <c r="I576" s="19" t="n">
        <f aca="false">IF($C576="",0,$C576*$F576)</f>
        <v>0</v>
      </c>
      <c r="J576" s="19" t="str">
        <f aca="false">IF($B576="","",CONCATENATE("Borç: ",$B576," | Toplam: ",TEXT($H576,"#,##0")))</f>
        <v/>
      </c>
    </row>
    <row r="577" customFormat="false" ht="15" hidden="false" customHeight="false" outlineLevel="0" collapsed="false">
      <c r="A577" s="20"/>
      <c r="B577" s="20"/>
      <c r="C577" s="21"/>
      <c r="D577" s="21"/>
      <c r="E577" s="22"/>
      <c r="F577" s="23"/>
      <c r="G577" s="19" t="n">
        <f aca="false">IF($E577="",0,MAX(0,ROUNDDOWN((TecilRaporTarihi-$E577)/30,0)))</f>
        <v>0</v>
      </c>
      <c r="H577" s="19" t="n">
        <f aca="false">IF($C577="",0,$C577+$D577)</f>
        <v>0</v>
      </c>
      <c r="I577" s="19" t="n">
        <f aca="false">IF($C577="",0,$C577*$F577)</f>
        <v>0</v>
      </c>
      <c r="J577" s="19" t="str">
        <f aca="false">IF($B577="","",CONCATENATE("Borç: ",$B577," | Toplam: ",TEXT($H577,"#,##0")))</f>
        <v/>
      </c>
    </row>
    <row r="578" customFormat="false" ht="15" hidden="false" customHeight="false" outlineLevel="0" collapsed="false">
      <c r="A578" s="20"/>
      <c r="B578" s="20"/>
      <c r="C578" s="21"/>
      <c r="D578" s="21"/>
      <c r="E578" s="22"/>
      <c r="F578" s="23"/>
      <c r="G578" s="19" t="n">
        <f aca="false">IF($E578="",0,MAX(0,ROUNDDOWN((TecilRaporTarihi-$E578)/30,0)))</f>
        <v>0</v>
      </c>
      <c r="H578" s="19" t="n">
        <f aca="false">IF($C578="",0,$C578+$D578)</f>
        <v>0</v>
      </c>
      <c r="I578" s="19" t="n">
        <f aca="false">IF($C578="",0,$C578*$F578)</f>
        <v>0</v>
      </c>
      <c r="J578" s="19" t="str">
        <f aca="false">IF($B578="","",CONCATENATE("Borç: ",$B578," | Toplam: ",TEXT($H578,"#,##0")))</f>
        <v/>
      </c>
    </row>
    <row r="579" customFormat="false" ht="15" hidden="false" customHeight="false" outlineLevel="0" collapsed="false">
      <c r="A579" s="20"/>
      <c r="B579" s="20"/>
      <c r="C579" s="21"/>
      <c r="D579" s="21"/>
      <c r="E579" s="22"/>
      <c r="F579" s="23"/>
      <c r="G579" s="19" t="n">
        <f aca="false">IF($E579="",0,MAX(0,ROUNDDOWN((TecilRaporTarihi-$E579)/30,0)))</f>
        <v>0</v>
      </c>
      <c r="H579" s="19" t="n">
        <f aca="false">IF($C579="",0,$C579+$D579)</f>
        <v>0</v>
      </c>
      <c r="I579" s="19" t="n">
        <f aca="false">IF($C579="",0,$C579*$F579)</f>
        <v>0</v>
      </c>
      <c r="J579" s="19" t="str">
        <f aca="false">IF($B579="","",CONCATENATE("Borç: ",$B579," | Toplam: ",TEXT($H579,"#,##0")))</f>
        <v/>
      </c>
    </row>
    <row r="580" customFormat="false" ht="15" hidden="false" customHeight="false" outlineLevel="0" collapsed="false">
      <c r="A580" s="20"/>
      <c r="B580" s="20"/>
      <c r="C580" s="21"/>
      <c r="D580" s="21"/>
      <c r="E580" s="22"/>
      <c r="F580" s="23"/>
      <c r="G580" s="19" t="n">
        <f aca="false">IF($E580="",0,MAX(0,ROUNDDOWN((TecilRaporTarihi-$E580)/30,0)))</f>
        <v>0</v>
      </c>
      <c r="H580" s="19" t="n">
        <f aca="false">IF($C580="",0,$C580+$D580)</f>
        <v>0</v>
      </c>
      <c r="I580" s="19" t="n">
        <f aca="false">IF($C580="",0,$C580*$F580)</f>
        <v>0</v>
      </c>
      <c r="J580" s="19" t="str">
        <f aca="false">IF($B580="","",CONCATENATE("Borç: ",$B580," | Toplam: ",TEXT($H580,"#,##0")))</f>
        <v/>
      </c>
    </row>
    <row r="581" customFormat="false" ht="15" hidden="false" customHeight="false" outlineLevel="0" collapsed="false">
      <c r="A581" s="20"/>
      <c r="B581" s="20"/>
      <c r="C581" s="21"/>
      <c r="D581" s="21"/>
      <c r="E581" s="22"/>
      <c r="F581" s="23"/>
      <c r="G581" s="19" t="n">
        <f aca="false">IF($E581="",0,MAX(0,ROUNDDOWN((TecilRaporTarihi-$E581)/30,0)))</f>
        <v>0</v>
      </c>
      <c r="H581" s="19" t="n">
        <f aca="false">IF($C581="",0,$C581+$D581)</f>
        <v>0</v>
      </c>
      <c r="I581" s="19" t="n">
        <f aca="false">IF($C581="",0,$C581*$F581)</f>
        <v>0</v>
      </c>
      <c r="J581" s="19" t="str">
        <f aca="false">IF($B581="","",CONCATENATE("Borç: ",$B581," | Toplam: ",TEXT($H581,"#,##0")))</f>
        <v/>
      </c>
    </row>
    <row r="582" customFormat="false" ht="15" hidden="false" customHeight="false" outlineLevel="0" collapsed="false">
      <c r="A582" s="20"/>
      <c r="B582" s="20"/>
      <c r="C582" s="21"/>
      <c r="D582" s="21"/>
      <c r="E582" s="22"/>
      <c r="F582" s="23"/>
      <c r="G582" s="19" t="n">
        <f aca="false">IF($E582="",0,MAX(0,ROUNDDOWN((TecilRaporTarihi-$E582)/30,0)))</f>
        <v>0</v>
      </c>
      <c r="H582" s="19" t="n">
        <f aca="false">IF($C582="",0,$C582+$D582)</f>
        <v>0</v>
      </c>
      <c r="I582" s="19" t="n">
        <f aca="false">IF($C582="",0,$C582*$F582)</f>
        <v>0</v>
      </c>
      <c r="J582" s="19" t="str">
        <f aca="false">IF($B582="","",CONCATENATE("Borç: ",$B582," | Toplam: ",TEXT($H582,"#,##0")))</f>
        <v/>
      </c>
    </row>
    <row r="583" customFormat="false" ht="15" hidden="false" customHeight="false" outlineLevel="0" collapsed="false">
      <c r="A583" s="20"/>
      <c r="B583" s="20"/>
      <c r="C583" s="21"/>
      <c r="D583" s="21"/>
      <c r="E583" s="22"/>
      <c r="F583" s="23"/>
      <c r="G583" s="19" t="n">
        <f aca="false">IF($E583="",0,MAX(0,ROUNDDOWN((TecilRaporTarihi-$E583)/30,0)))</f>
        <v>0</v>
      </c>
      <c r="H583" s="19" t="n">
        <f aca="false">IF($C583="",0,$C583+$D583)</f>
        <v>0</v>
      </c>
      <c r="I583" s="19" t="n">
        <f aca="false">IF($C583="",0,$C583*$F583)</f>
        <v>0</v>
      </c>
      <c r="J583" s="19" t="str">
        <f aca="false">IF($B583="","",CONCATENATE("Borç: ",$B583," | Toplam: ",TEXT($H583,"#,##0")))</f>
        <v/>
      </c>
    </row>
    <row r="584" customFormat="false" ht="15" hidden="false" customHeight="false" outlineLevel="0" collapsed="false">
      <c r="A584" s="20"/>
      <c r="B584" s="20"/>
      <c r="C584" s="21"/>
      <c r="D584" s="21"/>
      <c r="E584" s="22"/>
      <c r="F584" s="23"/>
      <c r="G584" s="19" t="n">
        <f aca="false">IF($E584="",0,MAX(0,ROUNDDOWN((TecilRaporTarihi-$E584)/30,0)))</f>
        <v>0</v>
      </c>
      <c r="H584" s="19" t="n">
        <f aca="false">IF($C584="",0,$C584+$D584)</f>
        <v>0</v>
      </c>
      <c r="I584" s="19" t="n">
        <f aca="false">IF($C584="",0,$C584*$F584)</f>
        <v>0</v>
      </c>
      <c r="J584" s="19" t="str">
        <f aca="false">IF($B584="","",CONCATENATE("Borç: ",$B584," | Toplam: ",TEXT($H584,"#,##0")))</f>
        <v/>
      </c>
    </row>
    <row r="585" customFormat="false" ht="15" hidden="false" customHeight="false" outlineLevel="0" collapsed="false">
      <c r="A585" s="20"/>
      <c r="B585" s="20"/>
      <c r="C585" s="21"/>
      <c r="D585" s="21"/>
      <c r="E585" s="22"/>
      <c r="F585" s="23"/>
      <c r="G585" s="19" t="n">
        <f aca="false">IF($E585="",0,MAX(0,ROUNDDOWN((TecilRaporTarihi-$E585)/30,0)))</f>
        <v>0</v>
      </c>
      <c r="H585" s="19" t="n">
        <f aca="false">IF($C585="",0,$C585+$D585)</f>
        <v>0</v>
      </c>
      <c r="I585" s="19" t="n">
        <f aca="false">IF($C585="",0,$C585*$F585)</f>
        <v>0</v>
      </c>
      <c r="J585" s="19" t="str">
        <f aca="false">IF($B585="","",CONCATENATE("Borç: ",$B585," | Toplam: ",TEXT($H585,"#,##0")))</f>
        <v/>
      </c>
    </row>
    <row r="586" customFormat="false" ht="15" hidden="false" customHeight="false" outlineLevel="0" collapsed="false">
      <c r="A586" s="20"/>
      <c r="B586" s="20"/>
      <c r="C586" s="21"/>
      <c r="D586" s="21"/>
      <c r="E586" s="22"/>
      <c r="F586" s="23"/>
      <c r="G586" s="19" t="n">
        <f aca="false">IF($E586="",0,MAX(0,ROUNDDOWN((TecilRaporTarihi-$E586)/30,0)))</f>
        <v>0</v>
      </c>
      <c r="H586" s="19" t="n">
        <f aca="false">IF($C586="",0,$C586+$D586)</f>
        <v>0</v>
      </c>
      <c r="I586" s="19" t="n">
        <f aca="false">IF($C586="",0,$C586*$F586)</f>
        <v>0</v>
      </c>
      <c r="J586" s="19" t="str">
        <f aca="false">IF($B586="","",CONCATENATE("Borç: ",$B586," | Toplam: ",TEXT($H586,"#,##0")))</f>
        <v/>
      </c>
    </row>
    <row r="587" customFormat="false" ht="15" hidden="false" customHeight="false" outlineLevel="0" collapsed="false">
      <c r="A587" s="20"/>
      <c r="B587" s="20"/>
      <c r="C587" s="21"/>
      <c r="D587" s="21"/>
      <c r="E587" s="22"/>
      <c r="F587" s="23"/>
      <c r="G587" s="19" t="n">
        <f aca="false">IF($E587="",0,MAX(0,ROUNDDOWN((TecilRaporTarihi-$E587)/30,0)))</f>
        <v>0</v>
      </c>
      <c r="H587" s="19" t="n">
        <f aca="false">IF($C587="",0,$C587+$D587)</f>
        <v>0</v>
      </c>
      <c r="I587" s="19" t="n">
        <f aca="false">IF($C587="",0,$C587*$F587)</f>
        <v>0</v>
      </c>
      <c r="J587" s="19" t="str">
        <f aca="false">IF($B587="","",CONCATENATE("Borç: ",$B587," | Toplam: ",TEXT($H587,"#,##0")))</f>
        <v/>
      </c>
    </row>
    <row r="588" customFormat="false" ht="15" hidden="false" customHeight="false" outlineLevel="0" collapsed="false">
      <c r="A588" s="20"/>
      <c r="B588" s="20"/>
      <c r="C588" s="21"/>
      <c r="D588" s="21"/>
      <c r="E588" s="22"/>
      <c r="F588" s="23"/>
      <c r="G588" s="19" t="n">
        <f aca="false">IF($E588="",0,MAX(0,ROUNDDOWN((TecilRaporTarihi-$E588)/30,0)))</f>
        <v>0</v>
      </c>
      <c r="H588" s="19" t="n">
        <f aca="false">IF($C588="",0,$C588+$D588)</f>
        <v>0</v>
      </c>
      <c r="I588" s="19" t="n">
        <f aca="false">IF($C588="",0,$C588*$F588)</f>
        <v>0</v>
      </c>
      <c r="J588" s="19" t="str">
        <f aca="false">IF($B588="","",CONCATENATE("Borç: ",$B588," | Toplam: ",TEXT($H588,"#,##0")))</f>
        <v/>
      </c>
    </row>
    <row r="589" customFormat="false" ht="15" hidden="false" customHeight="false" outlineLevel="0" collapsed="false">
      <c r="A589" s="20"/>
      <c r="B589" s="20"/>
      <c r="C589" s="21"/>
      <c r="D589" s="21"/>
      <c r="E589" s="22"/>
      <c r="F589" s="23"/>
      <c r="G589" s="19" t="n">
        <f aca="false">IF($E589="",0,MAX(0,ROUNDDOWN((TecilRaporTarihi-$E589)/30,0)))</f>
        <v>0</v>
      </c>
      <c r="H589" s="19" t="n">
        <f aca="false">IF($C589="",0,$C589+$D589)</f>
        <v>0</v>
      </c>
      <c r="I589" s="19" t="n">
        <f aca="false">IF($C589="",0,$C589*$F589)</f>
        <v>0</v>
      </c>
      <c r="J589" s="19" t="str">
        <f aca="false">IF($B589="","",CONCATENATE("Borç: ",$B589," | Toplam: ",TEXT($H589,"#,##0")))</f>
        <v/>
      </c>
    </row>
    <row r="590" customFormat="false" ht="15" hidden="false" customHeight="false" outlineLevel="0" collapsed="false">
      <c r="A590" s="20"/>
      <c r="B590" s="20"/>
      <c r="C590" s="21"/>
      <c r="D590" s="21"/>
      <c r="E590" s="22"/>
      <c r="F590" s="23"/>
      <c r="G590" s="19" t="n">
        <f aca="false">IF($E590="",0,MAX(0,ROUNDDOWN((TecilRaporTarihi-$E590)/30,0)))</f>
        <v>0</v>
      </c>
      <c r="H590" s="19" t="n">
        <f aca="false">IF($C590="",0,$C590+$D590)</f>
        <v>0</v>
      </c>
      <c r="I590" s="19" t="n">
        <f aca="false">IF($C590="",0,$C590*$F590)</f>
        <v>0</v>
      </c>
      <c r="J590" s="19" t="str">
        <f aca="false">IF($B590="","",CONCATENATE("Borç: ",$B590," | Toplam: ",TEXT($H590,"#,##0")))</f>
        <v/>
      </c>
    </row>
    <row r="591" customFormat="false" ht="15" hidden="false" customHeight="false" outlineLevel="0" collapsed="false">
      <c r="A591" s="20"/>
      <c r="B591" s="20"/>
      <c r="C591" s="21"/>
      <c r="D591" s="21"/>
      <c r="E591" s="22"/>
      <c r="F591" s="23"/>
      <c r="G591" s="19" t="n">
        <f aca="false">IF($E591="",0,MAX(0,ROUNDDOWN((TecilRaporTarihi-$E591)/30,0)))</f>
        <v>0</v>
      </c>
      <c r="H591" s="19" t="n">
        <f aca="false">IF($C591="",0,$C591+$D591)</f>
        <v>0</v>
      </c>
      <c r="I591" s="19" t="n">
        <f aca="false">IF($C591="",0,$C591*$F591)</f>
        <v>0</v>
      </c>
      <c r="J591" s="19" t="str">
        <f aca="false">IF($B591="","",CONCATENATE("Borç: ",$B591," | Toplam: ",TEXT($H591,"#,##0")))</f>
        <v/>
      </c>
    </row>
    <row r="592" customFormat="false" ht="15" hidden="false" customHeight="false" outlineLevel="0" collapsed="false">
      <c r="A592" s="20"/>
      <c r="B592" s="20"/>
      <c r="C592" s="21"/>
      <c r="D592" s="21"/>
      <c r="E592" s="22"/>
      <c r="F592" s="23"/>
      <c r="G592" s="19" t="n">
        <f aca="false">IF($E592="",0,MAX(0,ROUNDDOWN((TecilRaporTarihi-$E592)/30,0)))</f>
        <v>0</v>
      </c>
      <c r="H592" s="19" t="n">
        <f aca="false">IF($C592="",0,$C592+$D592)</f>
        <v>0</v>
      </c>
      <c r="I592" s="19" t="n">
        <f aca="false">IF($C592="",0,$C592*$F592)</f>
        <v>0</v>
      </c>
      <c r="J592" s="19" t="str">
        <f aca="false">IF($B592="","",CONCATENATE("Borç: ",$B592," | Toplam: ",TEXT($H592,"#,##0")))</f>
        <v/>
      </c>
    </row>
    <row r="593" customFormat="false" ht="15" hidden="false" customHeight="false" outlineLevel="0" collapsed="false">
      <c r="A593" s="20"/>
      <c r="B593" s="20"/>
      <c r="C593" s="21"/>
      <c r="D593" s="21"/>
      <c r="E593" s="22"/>
      <c r="F593" s="23"/>
      <c r="G593" s="19" t="n">
        <f aca="false">IF($E593="",0,MAX(0,ROUNDDOWN((TecilRaporTarihi-$E593)/30,0)))</f>
        <v>0</v>
      </c>
      <c r="H593" s="19" t="n">
        <f aca="false">IF($C593="",0,$C593+$D593)</f>
        <v>0</v>
      </c>
      <c r="I593" s="19" t="n">
        <f aca="false">IF($C593="",0,$C593*$F593)</f>
        <v>0</v>
      </c>
      <c r="J593" s="19" t="str">
        <f aca="false">IF($B593="","",CONCATENATE("Borç: ",$B593," | Toplam: ",TEXT($H593,"#,##0")))</f>
        <v/>
      </c>
    </row>
    <row r="594" customFormat="false" ht="15" hidden="false" customHeight="false" outlineLevel="0" collapsed="false">
      <c r="A594" s="20"/>
      <c r="B594" s="20"/>
      <c r="C594" s="21"/>
      <c r="D594" s="21"/>
      <c r="E594" s="22"/>
      <c r="F594" s="23"/>
      <c r="G594" s="19" t="n">
        <f aca="false">IF($E594="",0,MAX(0,ROUNDDOWN((TecilRaporTarihi-$E594)/30,0)))</f>
        <v>0</v>
      </c>
      <c r="H594" s="19" t="n">
        <f aca="false">IF($C594="",0,$C594+$D594)</f>
        <v>0</v>
      </c>
      <c r="I594" s="19" t="n">
        <f aca="false">IF($C594="",0,$C594*$F594)</f>
        <v>0</v>
      </c>
      <c r="J594" s="19" t="str">
        <f aca="false">IF($B594="","",CONCATENATE("Borç: ",$B594," | Toplam: ",TEXT($H594,"#,##0")))</f>
        <v/>
      </c>
    </row>
    <row r="595" customFormat="false" ht="15" hidden="false" customHeight="false" outlineLevel="0" collapsed="false">
      <c r="A595" s="20"/>
      <c r="B595" s="20"/>
      <c r="C595" s="21"/>
      <c r="D595" s="21"/>
      <c r="E595" s="22"/>
      <c r="F595" s="23"/>
      <c r="G595" s="19" t="n">
        <f aca="false">IF($E595="",0,MAX(0,ROUNDDOWN((TecilRaporTarihi-$E595)/30,0)))</f>
        <v>0</v>
      </c>
      <c r="H595" s="19" t="n">
        <f aca="false">IF($C595="",0,$C595+$D595)</f>
        <v>0</v>
      </c>
      <c r="I595" s="19" t="n">
        <f aca="false">IF($C595="",0,$C595*$F595)</f>
        <v>0</v>
      </c>
      <c r="J595" s="19" t="str">
        <f aca="false">IF($B595="","",CONCATENATE("Borç: ",$B595," | Toplam: ",TEXT($H595,"#,##0")))</f>
        <v/>
      </c>
    </row>
    <row r="596" customFormat="false" ht="15" hidden="false" customHeight="false" outlineLevel="0" collapsed="false">
      <c r="A596" s="20"/>
      <c r="B596" s="20"/>
      <c r="C596" s="21"/>
      <c r="D596" s="21"/>
      <c r="E596" s="22"/>
      <c r="F596" s="23"/>
      <c r="G596" s="19" t="n">
        <f aca="false">IF($E596="",0,MAX(0,ROUNDDOWN((TecilRaporTarihi-$E596)/30,0)))</f>
        <v>0</v>
      </c>
      <c r="H596" s="19" t="n">
        <f aca="false">IF($C596="",0,$C596+$D596)</f>
        <v>0</v>
      </c>
      <c r="I596" s="19" t="n">
        <f aca="false">IF($C596="",0,$C596*$F596)</f>
        <v>0</v>
      </c>
      <c r="J596" s="19" t="str">
        <f aca="false">IF($B596="","",CONCATENATE("Borç: ",$B596," | Toplam: ",TEXT($H596,"#,##0")))</f>
        <v/>
      </c>
    </row>
    <row r="597" customFormat="false" ht="15" hidden="false" customHeight="false" outlineLevel="0" collapsed="false">
      <c r="A597" s="20"/>
      <c r="B597" s="20"/>
      <c r="C597" s="21"/>
      <c r="D597" s="21"/>
      <c r="E597" s="22"/>
      <c r="F597" s="23"/>
      <c r="G597" s="19" t="n">
        <f aca="false">IF($E597="",0,MAX(0,ROUNDDOWN((TecilRaporTarihi-$E597)/30,0)))</f>
        <v>0</v>
      </c>
      <c r="H597" s="19" t="n">
        <f aca="false">IF($C597="",0,$C597+$D597)</f>
        <v>0</v>
      </c>
      <c r="I597" s="19" t="n">
        <f aca="false">IF($C597="",0,$C597*$F597)</f>
        <v>0</v>
      </c>
      <c r="J597" s="19" t="str">
        <f aca="false">IF($B597="","",CONCATENATE("Borç: ",$B597," | Toplam: ",TEXT($H597,"#,##0")))</f>
        <v/>
      </c>
    </row>
    <row r="598" customFormat="false" ht="15" hidden="false" customHeight="false" outlineLevel="0" collapsed="false">
      <c r="A598" s="20"/>
      <c r="B598" s="20"/>
      <c r="C598" s="21"/>
      <c r="D598" s="21"/>
      <c r="E598" s="22"/>
      <c r="F598" s="23"/>
      <c r="G598" s="19" t="n">
        <f aca="false">IF($E598="",0,MAX(0,ROUNDDOWN((TecilRaporTarihi-$E598)/30,0)))</f>
        <v>0</v>
      </c>
      <c r="H598" s="19" t="n">
        <f aca="false">IF($C598="",0,$C598+$D598)</f>
        <v>0</v>
      </c>
      <c r="I598" s="19" t="n">
        <f aca="false">IF($C598="",0,$C598*$F598)</f>
        <v>0</v>
      </c>
      <c r="J598" s="19" t="str">
        <f aca="false">IF($B598="","",CONCATENATE("Borç: ",$B598," | Toplam: ",TEXT($H598,"#,##0")))</f>
        <v/>
      </c>
    </row>
    <row r="599" customFormat="false" ht="15" hidden="false" customHeight="false" outlineLevel="0" collapsed="false">
      <c r="A599" s="20"/>
      <c r="B599" s="20"/>
      <c r="C599" s="21"/>
      <c r="D599" s="21"/>
      <c r="E599" s="22"/>
      <c r="F599" s="23"/>
      <c r="G599" s="19" t="n">
        <f aca="false">IF($E599="",0,MAX(0,ROUNDDOWN((TecilRaporTarihi-$E599)/30,0)))</f>
        <v>0</v>
      </c>
      <c r="H599" s="19" t="n">
        <f aca="false">IF($C599="",0,$C599+$D599)</f>
        <v>0</v>
      </c>
      <c r="I599" s="19" t="n">
        <f aca="false">IF($C599="",0,$C599*$F599)</f>
        <v>0</v>
      </c>
      <c r="J599" s="19" t="str">
        <f aca="false">IF($B599="","",CONCATENATE("Borç: ",$B599," | Toplam: ",TEXT($H599,"#,##0")))</f>
        <v/>
      </c>
    </row>
    <row r="600" customFormat="false" ht="15" hidden="false" customHeight="false" outlineLevel="0" collapsed="false">
      <c r="A600" s="20"/>
      <c r="B600" s="20"/>
      <c r="C600" s="21"/>
      <c r="D600" s="21"/>
      <c r="E600" s="22"/>
      <c r="F600" s="23"/>
      <c r="G600" s="19" t="n">
        <f aca="false">IF($E600="",0,MAX(0,ROUNDDOWN((TecilRaporTarihi-$E600)/30,0)))</f>
        <v>0</v>
      </c>
      <c r="H600" s="19" t="n">
        <f aca="false">IF($C600="",0,$C600+$D600)</f>
        <v>0</v>
      </c>
      <c r="I600" s="19" t="n">
        <f aca="false">IF($C600="",0,$C600*$F600)</f>
        <v>0</v>
      </c>
      <c r="J600" s="19" t="str">
        <f aca="false">IF($B600="","",CONCATENATE("Borç: ",$B600," | Toplam: ",TEXT($H600,"#,##0")))</f>
        <v/>
      </c>
    </row>
    <row r="601" customFormat="false" ht="15" hidden="false" customHeight="false" outlineLevel="0" collapsed="false">
      <c r="A601" s="20"/>
      <c r="B601" s="20"/>
      <c r="C601" s="21"/>
      <c r="D601" s="21"/>
      <c r="E601" s="22"/>
      <c r="F601" s="23"/>
      <c r="G601" s="19" t="n">
        <f aca="false">IF($E601="",0,MAX(0,ROUNDDOWN((TecilRaporTarihi-$E601)/30,0)))</f>
        <v>0</v>
      </c>
      <c r="H601" s="19" t="n">
        <f aca="false">IF($C601="",0,$C601+$D601)</f>
        <v>0</v>
      </c>
      <c r="I601" s="19" t="n">
        <f aca="false">IF($C601="",0,$C601*$F601)</f>
        <v>0</v>
      </c>
      <c r="J601" s="19" t="str">
        <f aca="false">IF($B601="","",CONCATENATE("Borç: ",$B601," | Toplam: ",TEXT($H601,"#,##0")))</f>
        <v/>
      </c>
    </row>
    <row r="602" customFormat="false" ht="15" hidden="false" customHeight="false" outlineLevel="0" collapsed="false">
      <c r="A602" s="20"/>
      <c r="B602" s="20"/>
      <c r="C602" s="21"/>
      <c r="D602" s="21"/>
      <c r="E602" s="22"/>
      <c r="F602" s="23"/>
      <c r="G602" s="19" t="n">
        <f aca="false">IF($E602="",0,MAX(0,ROUNDDOWN((TecilRaporTarihi-$E602)/30,0)))</f>
        <v>0</v>
      </c>
      <c r="H602" s="19" t="n">
        <f aca="false">IF($C602="",0,$C602+$D602)</f>
        <v>0</v>
      </c>
      <c r="I602" s="19" t="n">
        <f aca="false">IF($C602="",0,$C602*$F602)</f>
        <v>0</v>
      </c>
      <c r="J602" s="19" t="str">
        <f aca="false">IF($B602="","",CONCATENATE("Borç: ",$B602," | Toplam: ",TEXT($H602,"#,##0")))</f>
        <v/>
      </c>
    </row>
    <row r="603" customFormat="false" ht="15" hidden="false" customHeight="false" outlineLevel="0" collapsed="false">
      <c r="A603" s="20"/>
      <c r="B603" s="20"/>
      <c r="C603" s="21"/>
      <c r="D603" s="21"/>
      <c r="E603" s="22"/>
      <c r="F603" s="23"/>
      <c r="G603" s="19" t="n">
        <f aca="false">IF($E603="",0,MAX(0,ROUNDDOWN((TecilRaporTarihi-$E603)/30,0)))</f>
        <v>0</v>
      </c>
      <c r="H603" s="19" t="n">
        <f aca="false">IF($C603="",0,$C603+$D603)</f>
        <v>0</v>
      </c>
      <c r="I603" s="19" t="n">
        <f aca="false">IF($C603="",0,$C603*$F603)</f>
        <v>0</v>
      </c>
      <c r="J603" s="19" t="str">
        <f aca="false">IF($B603="","",CONCATENATE("Borç: ",$B603," | Toplam: ",TEXT($H603,"#,##0")))</f>
        <v/>
      </c>
    </row>
    <row r="604" customFormat="false" ht="15" hidden="false" customHeight="false" outlineLevel="0" collapsed="false">
      <c r="A604" s="20"/>
      <c r="B604" s="20"/>
      <c r="C604" s="21"/>
      <c r="D604" s="21"/>
      <c r="E604" s="22"/>
      <c r="F604" s="23"/>
      <c r="G604" s="19" t="n">
        <f aca="false">IF($E604="",0,MAX(0,ROUNDDOWN((TecilRaporTarihi-$E604)/30,0)))</f>
        <v>0</v>
      </c>
      <c r="H604" s="19" t="n">
        <f aca="false">IF($C604="",0,$C604+$D604)</f>
        <v>0</v>
      </c>
      <c r="I604" s="19" t="n">
        <f aca="false">IF($C604="",0,$C604*$F604)</f>
        <v>0</v>
      </c>
      <c r="J604" s="19" t="str">
        <f aca="false">IF($B604="","",CONCATENATE("Borç: ",$B604," | Toplam: ",TEXT($H604,"#,##0")))</f>
        <v/>
      </c>
    </row>
    <row r="605" customFormat="false" ht="15" hidden="false" customHeight="false" outlineLevel="0" collapsed="false">
      <c r="A605" s="20"/>
      <c r="B605" s="20"/>
      <c r="C605" s="21"/>
      <c r="D605" s="21"/>
      <c r="E605" s="22"/>
      <c r="F605" s="23"/>
      <c r="G605" s="19" t="n">
        <f aca="false">IF($E605="",0,MAX(0,ROUNDDOWN((TecilRaporTarihi-$E605)/30,0)))</f>
        <v>0</v>
      </c>
      <c r="H605" s="19" t="n">
        <f aca="false">IF($C605="",0,$C605+$D605)</f>
        <v>0</v>
      </c>
      <c r="I605" s="19" t="n">
        <f aca="false">IF($C605="",0,$C605*$F605)</f>
        <v>0</v>
      </c>
      <c r="J605" s="19" t="str">
        <f aca="false">IF($B605="","",CONCATENATE("Borç: ",$B605," | Toplam: ",TEXT($H605,"#,##0")))</f>
        <v/>
      </c>
    </row>
    <row r="606" customFormat="false" ht="15" hidden="false" customHeight="false" outlineLevel="0" collapsed="false">
      <c r="A606" s="20"/>
      <c r="B606" s="20"/>
      <c r="C606" s="21"/>
      <c r="D606" s="21"/>
      <c r="E606" s="22"/>
      <c r="F606" s="23"/>
      <c r="G606" s="19" t="n">
        <f aca="false">IF($E606="",0,MAX(0,ROUNDDOWN((TecilRaporTarihi-$E606)/30,0)))</f>
        <v>0</v>
      </c>
      <c r="H606" s="19" t="n">
        <f aca="false">IF($C606="",0,$C606+$D606)</f>
        <v>0</v>
      </c>
      <c r="I606" s="19" t="n">
        <f aca="false">IF($C606="",0,$C606*$F606)</f>
        <v>0</v>
      </c>
      <c r="J606" s="19" t="str">
        <f aca="false">IF($B606="","",CONCATENATE("Borç: ",$B606," | Toplam: ",TEXT($H606,"#,##0")))</f>
        <v/>
      </c>
    </row>
    <row r="607" customFormat="false" ht="15" hidden="false" customHeight="false" outlineLevel="0" collapsed="false">
      <c r="A607" s="20"/>
      <c r="B607" s="20"/>
      <c r="C607" s="21"/>
      <c r="D607" s="21"/>
      <c r="E607" s="22"/>
      <c r="F607" s="23"/>
      <c r="G607" s="19" t="n">
        <f aca="false">IF($E607="",0,MAX(0,ROUNDDOWN((TecilRaporTarihi-$E607)/30,0)))</f>
        <v>0</v>
      </c>
      <c r="H607" s="19" t="n">
        <f aca="false">IF($C607="",0,$C607+$D607)</f>
        <v>0</v>
      </c>
      <c r="I607" s="19" t="n">
        <f aca="false">IF($C607="",0,$C607*$F607)</f>
        <v>0</v>
      </c>
      <c r="J607" s="19" t="str">
        <f aca="false">IF($B607="","",CONCATENATE("Borç: ",$B607," | Toplam: ",TEXT($H607,"#,##0")))</f>
        <v/>
      </c>
    </row>
    <row r="608" customFormat="false" ht="15" hidden="false" customHeight="false" outlineLevel="0" collapsed="false">
      <c r="A608" s="20"/>
      <c r="B608" s="20"/>
      <c r="C608" s="21"/>
      <c r="D608" s="21"/>
      <c r="E608" s="22"/>
      <c r="F608" s="23"/>
      <c r="G608" s="19" t="n">
        <f aca="false">IF($E608="",0,MAX(0,ROUNDDOWN((TecilRaporTarihi-$E608)/30,0)))</f>
        <v>0</v>
      </c>
      <c r="H608" s="19" t="n">
        <f aca="false">IF($C608="",0,$C608+$D608)</f>
        <v>0</v>
      </c>
      <c r="I608" s="19" t="n">
        <f aca="false">IF($C608="",0,$C608*$F608)</f>
        <v>0</v>
      </c>
      <c r="J608" s="19" t="str">
        <f aca="false">IF($B608="","",CONCATENATE("Borç: ",$B608," | Toplam: ",TEXT($H608,"#,##0")))</f>
        <v/>
      </c>
    </row>
    <row r="609" customFormat="false" ht="15" hidden="false" customHeight="false" outlineLevel="0" collapsed="false">
      <c r="A609" s="20"/>
      <c r="B609" s="20"/>
      <c r="C609" s="21"/>
      <c r="D609" s="21"/>
      <c r="E609" s="22"/>
      <c r="F609" s="23"/>
      <c r="G609" s="19" t="n">
        <f aca="false">IF($E609="",0,MAX(0,ROUNDDOWN((TecilRaporTarihi-$E609)/30,0)))</f>
        <v>0</v>
      </c>
      <c r="H609" s="19" t="n">
        <f aca="false">IF($C609="",0,$C609+$D609)</f>
        <v>0</v>
      </c>
      <c r="I609" s="19" t="n">
        <f aca="false">IF($C609="",0,$C609*$F609)</f>
        <v>0</v>
      </c>
      <c r="J609" s="19" t="str">
        <f aca="false">IF($B609="","",CONCATENATE("Borç: ",$B609," | Toplam: ",TEXT($H609,"#,##0")))</f>
        <v/>
      </c>
    </row>
    <row r="610" customFormat="false" ht="15" hidden="false" customHeight="false" outlineLevel="0" collapsed="false">
      <c r="A610" s="20"/>
      <c r="B610" s="20"/>
      <c r="C610" s="21"/>
      <c r="D610" s="21"/>
      <c r="E610" s="22"/>
      <c r="F610" s="23"/>
      <c r="G610" s="19" t="n">
        <f aca="false">IF($E610="",0,MAX(0,ROUNDDOWN((TecilRaporTarihi-$E610)/30,0)))</f>
        <v>0</v>
      </c>
      <c r="H610" s="19" t="n">
        <f aca="false">IF($C610="",0,$C610+$D610)</f>
        <v>0</v>
      </c>
      <c r="I610" s="19" t="n">
        <f aca="false">IF($C610="",0,$C610*$F610)</f>
        <v>0</v>
      </c>
      <c r="J610" s="19" t="str">
        <f aca="false">IF($B610="","",CONCATENATE("Borç: ",$B610," | Toplam: ",TEXT($H610,"#,##0")))</f>
        <v/>
      </c>
    </row>
    <row r="611" customFormat="false" ht="15" hidden="false" customHeight="false" outlineLevel="0" collapsed="false">
      <c r="A611" s="20"/>
      <c r="B611" s="20"/>
      <c r="C611" s="21"/>
      <c r="D611" s="21"/>
      <c r="E611" s="22"/>
      <c r="F611" s="23"/>
      <c r="G611" s="19" t="n">
        <f aca="false">IF($E611="",0,MAX(0,ROUNDDOWN((TecilRaporTarihi-$E611)/30,0)))</f>
        <v>0</v>
      </c>
      <c r="H611" s="19" t="n">
        <f aca="false">IF($C611="",0,$C611+$D611)</f>
        <v>0</v>
      </c>
      <c r="I611" s="19" t="n">
        <f aca="false">IF($C611="",0,$C611*$F611)</f>
        <v>0</v>
      </c>
      <c r="J611" s="19" t="str">
        <f aca="false">IF($B611="","",CONCATENATE("Borç: ",$B611," | Toplam: ",TEXT($H611,"#,##0")))</f>
        <v/>
      </c>
    </row>
    <row r="612" customFormat="false" ht="15" hidden="false" customHeight="false" outlineLevel="0" collapsed="false">
      <c r="A612" s="20"/>
      <c r="B612" s="20"/>
      <c r="C612" s="21"/>
      <c r="D612" s="21"/>
      <c r="E612" s="22"/>
      <c r="F612" s="23"/>
      <c r="G612" s="19" t="n">
        <f aca="false">IF($E612="",0,MAX(0,ROUNDDOWN((TecilRaporTarihi-$E612)/30,0)))</f>
        <v>0</v>
      </c>
      <c r="H612" s="19" t="n">
        <f aca="false">IF($C612="",0,$C612+$D612)</f>
        <v>0</v>
      </c>
      <c r="I612" s="19" t="n">
        <f aca="false">IF($C612="",0,$C612*$F612)</f>
        <v>0</v>
      </c>
      <c r="J612" s="19" t="str">
        <f aca="false">IF($B612="","",CONCATENATE("Borç: ",$B612," | Toplam: ",TEXT($H612,"#,##0")))</f>
        <v/>
      </c>
    </row>
    <row r="613" customFormat="false" ht="15" hidden="false" customHeight="false" outlineLevel="0" collapsed="false">
      <c r="A613" s="20"/>
      <c r="B613" s="20"/>
      <c r="C613" s="21"/>
      <c r="D613" s="21"/>
      <c r="E613" s="22"/>
      <c r="F613" s="23"/>
      <c r="G613" s="19" t="n">
        <f aca="false">IF($E613="",0,MAX(0,ROUNDDOWN((TecilRaporTarihi-$E613)/30,0)))</f>
        <v>0</v>
      </c>
      <c r="H613" s="19" t="n">
        <f aca="false">IF($C613="",0,$C613+$D613)</f>
        <v>0</v>
      </c>
      <c r="I613" s="19" t="n">
        <f aca="false">IF($C613="",0,$C613*$F613)</f>
        <v>0</v>
      </c>
      <c r="J613" s="19" t="str">
        <f aca="false">IF($B613="","",CONCATENATE("Borç: ",$B613," | Toplam: ",TEXT($H613,"#,##0")))</f>
        <v/>
      </c>
    </row>
    <row r="614" customFormat="false" ht="15" hidden="false" customHeight="false" outlineLevel="0" collapsed="false">
      <c r="A614" s="20"/>
      <c r="B614" s="20"/>
      <c r="C614" s="21"/>
      <c r="D614" s="21"/>
      <c r="E614" s="22"/>
      <c r="F614" s="23"/>
      <c r="G614" s="19" t="n">
        <f aca="false">IF($E614="",0,MAX(0,ROUNDDOWN((TecilRaporTarihi-$E614)/30,0)))</f>
        <v>0</v>
      </c>
      <c r="H614" s="19" t="n">
        <f aca="false">IF($C614="",0,$C614+$D614)</f>
        <v>0</v>
      </c>
      <c r="I614" s="19" t="n">
        <f aca="false">IF($C614="",0,$C614*$F614)</f>
        <v>0</v>
      </c>
      <c r="J614" s="19" t="str">
        <f aca="false">IF($B614="","",CONCATENATE("Borç: ",$B614," | Toplam: ",TEXT($H614,"#,##0")))</f>
        <v/>
      </c>
    </row>
    <row r="615" customFormat="false" ht="15" hidden="false" customHeight="false" outlineLevel="0" collapsed="false">
      <c r="A615" s="20"/>
      <c r="B615" s="20"/>
      <c r="C615" s="21"/>
      <c r="D615" s="21"/>
      <c r="E615" s="22"/>
      <c r="F615" s="23"/>
      <c r="G615" s="19" t="n">
        <f aca="false">IF($E615="",0,MAX(0,ROUNDDOWN((TecilRaporTarihi-$E615)/30,0)))</f>
        <v>0</v>
      </c>
      <c r="H615" s="19" t="n">
        <f aca="false">IF($C615="",0,$C615+$D615)</f>
        <v>0</v>
      </c>
      <c r="I615" s="19" t="n">
        <f aca="false">IF($C615="",0,$C615*$F615)</f>
        <v>0</v>
      </c>
      <c r="J615" s="19" t="str">
        <f aca="false">IF($B615="","",CONCATENATE("Borç: ",$B615," | Toplam: ",TEXT($H615,"#,##0")))</f>
        <v/>
      </c>
    </row>
    <row r="616" customFormat="false" ht="15" hidden="false" customHeight="false" outlineLevel="0" collapsed="false">
      <c r="A616" s="20"/>
      <c r="B616" s="20"/>
      <c r="C616" s="21"/>
      <c r="D616" s="21"/>
      <c r="E616" s="22"/>
      <c r="F616" s="23"/>
      <c r="G616" s="19" t="n">
        <f aca="false">IF($E616="",0,MAX(0,ROUNDDOWN((TecilRaporTarihi-$E616)/30,0)))</f>
        <v>0</v>
      </c>
      <c r="H616" s="19" t="n">
        <f aca="false">IF($C616="",0,$C616+$D616)</f>
        <v>0</v>
      </c>
      <c r="I616" s="19" t="n">
        <f aca="false">IF($C616="",0,$C616*$F616)</f>
        <v>0</v>
      </c>
      <c r="J616" s="19" t="str">
        <f aca="false">IF($B616="","",CONCATENATE("Borç: ",$B616," | Toplam: ",TEXT($H616,"#,##0")))</f>
        <v/>
      </c>
    </row>
    <row r="617" customFormat="false" ht="15" hidden="false" customHeight="false" outlineLevel="0" collapsed="false">
      <c r="A617" s="20"/>
      <c r="B617" s="20"/>
      <c r="C617" s="21"/>
      <c r="D617" s="21"/>
      <c r="E617" s="22"/>
      <c r="F617" s="23"/>
      <c r="G617" s="19" t="n">
        <f aca="false">IF($E617="",0,MAX(0,ROUNDDOWN((TecilRaporTarihi-$E617)/30,0)))</f>
        <v>0</v>
      </c>
      <c r="H617" s="19" t="n">
        <f aca="false">IF($C617="",0,$C617+$D617)</f>
        <v>0</v>
      </c>
      <c r="I617" s="19" t="n">
        <f aca="false">IF($C617="",0,$C617*$F617)</f>
        <v>0</v>
      </c>
      <c r="J617" s="19" t="str">
        <f aca="false">IF($B617="","",CONCATENATE("Borç: ",$B617," | Toplam: ",TEXT($H617,"#,##0")))</f>
        <v/>
      </c>
    </row>
    <row r="618" customFormat="false" ht="15" hidden="false" customHeight="false" outlineLevel="0" collapsed="false">
      <c r="A618" s="20"/>
      <c r="B618" s="20"/>
      <c r="C618" s="21"/>
      <c r="D618" s="21"/>
      <c r="E618" s="22"/>
      <c r="F618" s="23"/>
      <c r="G618" s="19" t="n">
        <f aca="false">IF($E618="",0,MAX(0,ROUNDDOWN((TecilRaporTarihi-$E618)/30,0)))</f>
        <v>0</v>
      </c>
      <c r="H618" s="19" t="n">
        <f aca="false">IF($C618="",0,$C618+$D618)</f>
        <v>0</v>
      </c>
      <c r="I618" s="19" t="n">
        <f aca="false">IF($C618="",0,$C618*$F618)</f>
        <v>0</v>
      </c>
      <c r="J618" s="19" t="str">
        <f aca="false">IF($B618="","",CONCATENATE("Borç: ",$B618," | Toplam: ",TEXT($H618,"#,##0")))</f>
        <v/>
      </c>
    </row>
    <row r="619" customFormat="false" ht="15" hidden="false" customHeight="false" outlineLevel="0" collapsed="false">
      <c r="A619" s="20"/>
      <c r="B619" s="20"/>
      <c r="C619" s="21"/>
      <c r="D619" s="21"/>
      <c r="E619" s="22"/>
      <c r="F619" s="23"/>
      <c r="G619" s="19" t="n">
        <f aca="false">IF($E619="",0,MAX(0,ROUNDDOWN((TecilRaporTarihi-$E619)/30,0)))</f>
        <v>0</v>
      </c>
      <c r="H619" s="19" t="n">
        <f aca="false">IF($C619="",0,$C619+$D619)</f>
        <v>0</v>
      </c>
      <c r="I619" s="19" t="n">
        <f aca="false">IF($C619="",0,$C619*$F619)</f>
        <v>0</v>
      </c>
      <c r="J619" s="19" t="str">
        <f aca="false">IF($B619="","",CONCATENATE("Borç: ",$B619," | Toplam: ",TEXT($H619,"#,##0")))</f>
        <v/>
      </c>
    </row>
    <row r="620" customFormat="false" ht="15" hidden="false" customHeight="false" outlineLevel="0" collapsed="false">
      <c r="A620" s="20"/>
      <c r="B620" s="20"/>
      <c r="C620" s="21"/>
      <c r="D620" s="21"/>
      <c r="E620" s="22"/>
      <c r="F620" s="23"/>
      <c r="G620" s="19" t="n">
        <f aca="false">IF($E620="",0,MAX(0,ROUNDDOWN((TecilRaporTarihi-$E620)/30,0)))</f>
        <v>0</v>
      </c>
      <c r="H620" s="19" t="n">
        <f aca="false">IF($C620="",0,$C620+$D620)</f>
        <v>0</v>
      </c>
      <c r="I620" s="19" t="n">
        <f aca="false">IF($C620="",0,$C620*$F620)</f>
        <v>0</v>
      </c>
      <c r="J620" s="19" t="str">
        <f aca="false">IF($B620="","",CONCATENATE("Borç: ",$B620," | Toplam: ",TEXT($H620,"#,##0")))</f>
        <v/>
      </c>
    </row>
    <row r="621" customFormat="false" ht="15" hidden="false" customHeight="false" outlineLevel="0" collapsed="false">
      <c r="A621" s="20"/>
      <c r="B621" s="20"/>
      <c r="C621" s="21"/>
      <c r="D621" s="21"/>
      <c r="E621" s="22"/>
      <c r="F621" s="23"/>
      <c r="G621" s="19" t="n">
        <f aca="false">IF($E621="",0,MAX(0,ROUNDDOWN((TecilRaporTarihi-$E621)/30,0)))</f>
        <v>0</v>
      </c>
      <c r="H621" s="19" t="n">
        <f aca="false">IF($C621="",0,$C621+$D621)</f>
        <v>0</v>
      </c>
      <c r="I621" s="19" t="n">
        <f aca="false">IF($C621="",0,$C621*$F621)</f>
        <v>0</v>
      </c>
      <c r="J621" s="19" t="str">
        <f aca="false">IF($B621="","",CONCATENATE("Borç: ",$B621," | Toplam: ",TEXT($H621,"#,##0")))</f>
        <v/>
      </c>
    </row>
    <row r="622" customFormat="false" ht="15" hidden="false" customHeight="false" outlineLevel="0" collapsed="false">
      <c r="A622" s="20"/>
      <c r="B622" s="20"/>
      <c r="C622" s="21"/>
      <c r="D622" s="21"/>
      <c r="E622" s="22"/>
      <c r="F622" s="23"/>
      <c r="G622" s="19" t="n">
        <f aca="false">IF($E622="",0,MAX(0,ROUNDDOWN((TecilRaporTarihi-$E622)/30,0)))</f>
        <v>0</v>
      </c>
      <c r="H622" s="19" t="n">
        <f aca="false">IF($C622="",0,$C622+$D622)</f>
        <v>0</v>
      </c>
      <c r="I622" s="19" t="n">
        <f aca="false">IF($C622="",0,$C622*$F622)</f>
        <v>0</v>
      </c>
      <c r="J622" s="19" t="str">
        <f aca="false">IF($B622="","",CONCATENATE("Borç: ",$B622," | Toplam: ",TEXT($H622,"#,##0")))</f>
        <v/>
      </c>
    </row>
    <row r="623" customFormat="false" ht="15" hidden="false" customHeight="false" outlineLevel="0" collapsed="false">
      <c r="A623" s="20"/>
      <c r="B623" s="20"/>
      <c r="C623" s="21"/>
      <c r="D623" s="21"/>
      <c r="E623" s="22"/>
      <c r="F623" s="23"/>
      <c r="G623" s="19" t="n">
        <f aca="false">IF($E623="",0,MAX(0,ROUNDDOWN((TecilRaporTarihi-$E623)/30,0)))</f>
        <v>0</v>
      </c>
      <c r="H623" s="19" t="n">
        <f aca="false">IF($C623="",0,$C623+$D623)</f>
        <v>0</v>
      </c>
      <c r="I623" s="19" t="n">
        <f aca="false">IF($C623="",0,$C623*$F623)</f>
        <v>0</v>
      </c>
      <c r="J623" s="19" t="str">
        <f aca="false">IF($B623="","",CONCATENATE("Borç: ",$B623," | Toplam: ",TEXT($H623,"#,##0")))</f>
        <v/>
      </c>
    </row>
    <row r="624" customFormat="false" ht="15" hidden="false" customHeight="false" outlineLevel="0" collapsed="false">
      <c r="A624" s="20"/>
      <c r="B624" s="20"/>
      <c r="C624" s="21"/>
      <c r="D624" s="21"/>
      <c r="E624" s="22"/>
      <c r="F624" s="23"/>
      <c r="G624" s="19" t="n">
        <f aca="false">IF($E624="",0,MAX(0,ROUNDDOWN((TecilRaporTarihi-$E624)/30,0)))</f>
        <v>0</v>
      </c>
      <c r="H624" s="19" t="n">
        <f aca="false">IF($C624="",0,$C624+$D624)</f>
        <v>0</v>
      </c>
      <c r="I624" s="19" t="n">
        <f aca="false">IF($C624="",0,$C624*$F624)</f>
        <v>0</v>
      </c>
      <c r="J624" s="19" t="str">
        <f aca="false">IF($B624="","",CONCATENATE("Borç: ",$B624," | Toplam: ",TEXT($H624,"#,##0")))</f>
        <v/>
      </c>
    </row>
    <row r="625" customFormat="false" ht="15" hidden="false" customHeight="false" outlineLevel="0" collapsed="false">
      <c r="A625" s="20"/>
      <c r="B625" s="20"/>
      <c r="C625" s="21"/>
      <c r="D625" s="21"/>
      <c r="E625" s="22"/>
      <c r="F625" s="23"/>
      <c r="G625" s="19" t="n">
        <f aca="false">IF($E625="",0,MAX(0,ROUNDDOWN((TecilRaporTarihi-$E625)/30,0)))</f>
        <v>0</v>
      </c>
      <c r="H625" s="19" t="n">
        <f aca="false">IF($C625="",0,$C625+$D625)</f>
        <v>0</v>
      </c>
      <c r="I625" s="19" t="n">
        <f aca="false">IF($C625="",0,$C625*$F625)</f>
        <v>0</v>
      </c>
      <c r="J625" s="19" t="str">
        <f aca="false">IF($B625="","",CONCATENATE("Borç: ",$B625," | Toplam: ",TEXT($H625,"#,##0")))</f>
        <v/>
      </c>
    </row>
    <row r="626" customFormat="false" ht="15" hidden="false" customHeight="false" outlineLevel="0" collapsed="false">
      <c r="A626" s="20"/>
      <c r="B626" s="20"/>
      <c r="C626" s="21"/>
      <c r="D626" s="21"/>
      <c r="E626" s="22"/>
      <c r="F626" s="23"/>
      <c r="G626" s="19" t="n">
        <f aca="false">IF($E626="",0,MAX(0,ROUNDDOWN((TecilRaporTarihi-$E626)/30,0)))</f>
        <v>0</v>
      </c>
      <c r="H626" s="19" t="n">
        <f aca="false">IF($C626="",0,$C626+$D626)</f>
        <v>0</v>
      </c>
      <c r="I626" s="19" t="n">
        <f aca="false">IF($C626="",0,$C626*$F626)</f>
        <v>0</v>
      </c>
      <c r="J626" s="19" t="str">
        <f aca="false">IF($B626="","",CONCATENATE("Borç: ",$B626," | Toplam: ",TEXT($H626,"#,##0")))</f>
        <v/>
      </c>
    </row>
    <row r="627" customFormat="false" ht="15" hidden="false" customHeight="false" outlineLevel="0" collapsed="false">
      <c r="A627" s="20"/>
      <c r="B627" s="20"/>
      <c r="C627" s="21"/>
      <c r="D627" s="21"/>
      <c r="E627" s="22"/>
      <c r="F627" s="23"/>
      <c r="G627" s="19" t="n">
        <f aca="false">IF($E627="",0,MAX(0,ROUNDDOWN((TecilRaporTarihi-$E627)/30,0)))</f>
        <v>0</v>
      </c>
      <c r="H627" s="19" t="n">
        <f aca="false">IF($C627="",0,$C627+$D627)</f>
        <v>0</v>
      </c>
      <c r="I627" s="19" t="n">
        <f aca="false">IF($C627="",0,$C627*$F627)</f>
        <v>0</v>
      </c>
      <c r="J627" s="19" t="str">
        <f aca="false">IF($B627="","",CONCATENATE("Borç: ",$B627," | Toplam: ",TEXT($H627,"#,##0")))</f>
        <v/>
      </c>
    </row>
    <row r="628" customFormat="false" ht="15" hidden="false" customHeight="false" outlineLevel="0" collapsed="false">
      <c r="A628" s="20"/>
      <c r="B628" s="20"/>
      <c r="C628" s="21"/>
      <c r="D628" s="21"/>
      <c r="E628" s="22"/>
      <c r="F628" s="23"/>
      <c r="G628" s="19" t="n">
        <f aca="false">IF($E628="",0,MAX(0,ROUNDDOWN((TecilRaporTarihi-$E628)/30,0)))</f>
        <v>0</v>
      </c>
      <c r="H628" s="19" t="n">
        <f aca="false">IF($C628="",0,$C628+$D628)</f>
        <v>0</v>
      </c>
      <c r="I628" s="19" t="n">
        <f aca="false">IF($C628="",0,$C628*$F628)</f>
        <v>0</v>
      </c>
      <c r="J628" s="19" t="str">
        <f aca="false">IF($B628="","",CONCATENATE("Borç: ",$B628," | Toplam: ",TEXT($H628,"#,##0")))</f>
        <v/>
      </c>
    </row>
    <row r="629" customFormat="false" ht="15" hidden="false" customHeight="false" outlineLevel="0" collapsed="false">
      <c r="A629" s="20"/>
      <c r="B629" s="20"/>
      <c r="C629" s="21"/>
      <c r="D629" s="21"/>
      <c r="E629" s="22"/>
      <c r="F629" s="23"/>
      <c r="G629" s="19" t="n">
        <f aca="false">IF($E629="",0,MAX(0,ROUNDDOWN((TecilRaporTarihi-$E629)/30,0)))</f>
        <v>0</v>
      </c>
      <c r="H629" s="19" t="n">
        <f aca="false">IF($C629="",0,$C629+$D629)</f>
        <v>0</v>
      </c>
      <c r="I629" s="19" t="n">
        <f aca="false">IF($C629="",0,$C629*$F629)</f>
        <v>0</v>
      </c>
      <c r="J629" s="19" t="str">
        <f aca="false">IF($B629="","",CONCATENATE("Borç: ",$B629," | Toplam: ",TEXT($H629,"#,##0")))</f>
        <v/>
      </c>
    </row>
    <row r="630" customFormat="false" ht="15" hidden="false" customHeight="false" outlineLevel="0" collapsed="false">
      <c r="A630" s="20"/>
      <c r="B630" s="20"/>
      <c r="C630" s="21"/>
      <c r="D630" s="21"/>
      <c r="E630" s="22"/>
      <c r="F630" s="23"/>
      <c r="G630" s="19" t="n">
        <f aca="false">IF($E630="",0,MAX(0,ROUNDDOWN((TecilRaporTarihi-$E630)/30,0)))</f>
        <v>0</v>
      </c>
      <c r="H630" s="19" t="n">
        <f aca="false">IF($C630="",0,$C630+$D630)</f>
        <v>0</v>
      </c>
      <c r="I630" s="19" t="n">
        <f aca="false">IF($C630="",0,$C630*$F630)</f>
        <v>0</v>
      </c>
      <c r="J630" s="19" t="str">
        <f aca="false">IF($B630="","",CONCATENATE("Borç: ",$B630," | Toplam: ",TEXT($H630,"#,##0")))</f>
        <v/>
      </c>
    </row>
    <row r="631" customFormat="false" ht="15" hidden="false" customHeight="false" outlineLevel="0" collapsed="false">
      <c r="A631" s="20"/>
      <c r="B631" s="20"/>
      <c r="C631" s="21"/>
      <c r="D631" s="21"/>
      <c r="E631" s="22"/>
      <c r="F631" s="23"/>
      <c r="G631" s="19" t="n">
        <f aca="false">IF($E631="",0,MAX(0,ROUNDDOWN((TecilRaporTarihi-$E631)/30,0)))</f>
        <v>0</v>
      </c>
      <c r="H631" s="19" t="n">
        <f aca="false">IF($C631="",0,$C631+$D631)</f>
        <v>0</v>
      </c>
      <c r="I631" s="19" t="n">
        <f aca="false">IF($C631="",0,$C631*$F631)</f>
        <v>0</v>
      </c>
      <c r="J631" s="19" t="str">
        <f aca="false">IF($B631="","",CONCATENATE("Borç: ",$B631," | Toplam: ",TEXT($H631,"#,##0")))</f>
        <v/>
      </c>
    </row>
    <row r="632" customFormat="false" ht="15" hidden="false" customHeight="false" outlineLevel="0" collapsed="false">
      <c r="A632" s="20"/>
      <c r="B632" s="20"/>
      <c r="C632" s="21"/>
      <c r="D632" s="21"/>
      <c r="E632" s="22"/>
      <c r="F632" s="23"/>
      <c r="G632" s="19" t="n">
        <f aca="false">IF($E632="",0,MAX(0,ROUNDDOWN((TecilRaporTarihi-$E632)/30,0)))</f>
        <v>0</v>
      </c>
      <c r="H632" s="19" t="n">
        <f aca="false">IF($C632="",0,$C632+$D632)</f>
        <v>0</v>
      </c>
      <c r="I632" s="19" t="n">
        <f aca="false">IF($C632="",0,$C632*$F632)</f>
        <v>0</v>
      </c>
      <c r="J632" s="19" t="str">
        <f aca="false">IF($B632="","",CONCATENATE("Borç: ",$B632," | Toplam: ",TEXT($H632,"#,##0")))</f>
        <v/>
      </c>
    </row>
    <row r="633" customFormat="false" ht="15" hidden="false" customHeight="false" outlineLevel="0" collapsed="false">
      <c r="A633" s="20"/>
      <c r="B633" s="20"/>
      <c r="C633" s="21"/>
      <c r="D633" s="21"/>
      <c r="E633" s="22"/>
      <c r="F633" s="23"/>
      <c r="G633" s="19" t="n">
        <f aca="false">IF($E633="",0,MAX(0,ROUNDDOWN((TecilRaporTarihi-$E633)/30,0)))</f>
        <v>0</v>
      </c>
      <c r="H633" s="19" t="n">
        <f aca="false">IF($C633="",0,$C633+$D633)</f>
        <v>0</v>
      </c>
      <c r="I633" s="19" t="n">
        <f aca="false">IF($C633="",0,$C633*$F633)</f>
        <v>0</v>
      </c>
      <c r="J633" s="19" t="str">
        <f aca="false">IF($B633="","",CONCATENATE("Borç: ",$B633," | Toplam: ",TEXT($H633,"#,##0")))</f>
        <v/>
      </c>
    </row>
    <row r="634" customFormat="false" ht="15" hidden="false" customHeight="false" outlineLevel="0" collapsed="false">
      <c r="A634" s="20"/>
      <c r="B634" s="20"/>
      <c r="C634" s="21"/>
      <c r="D634" s="21"/>
      <c r="E634" s="22"/>
      <c r="F634" s="23"/>
      <c r="G634" s="19" t="n">
        <f aca="false">IF($E634="",0,MAX(0,ROUNDDOWN((TecilRaporTarihi-$E634)/30,0)))</f>
        <v>0</v>
      </c>
      <c r="H634" s="19" t="n">
        <f aca="false">IF($C634="",0,$C634+$D634)</f>
        <v>0</v>
      </c>
      <c r="I634" s="19" t="n">
        <f aca="false">IF($C634="",0,$C634*$F634)</f>
        <v>0</v>
      </c>
      <c r="J634" s="19" t="str">
        <f aca="false">IF($B634="","",CONCATENATE("Borç: ",$B634," | Toplam: ",TEXT($H634,"#,##0")))</f>
        <v/>
      </c>
    </row>
    <row r="635" customFormat="false" ht="15" hidden="false" customHeight="false" outlineLevel="0" collapsed="false">
      <c r="A635" s="20"/>
      <c r="B635" s="20"/>
      <c r="C635" s="21"/>
      <c r="D635" s="21"/>
      <c r="E635" s="22"/>
      <c r="F635" s="23"/>
      <c r="G635" s="19" t="n">
        <f aca="false">IF($E635="",0,MAX(0,ROUNDDOWN((TecilRaporTarihi-$E635)/30,0)))</f>
        <v>0</v>
      </c>
      <c r="H635" s="19" t="n">
        <f aca="false">IF($C635="",0,$C635+$D635)</f>
        <v>0</v>
      </c>
      <c r="I635" s="19" t="n">
        <f aca="false">IF($C635="",0,$C635*$F635)</f>
        <v>0</v>
      </c>
      <c r="J635" s="19" t="str">
        <f aca="false">IF($B635="","",CONCATENATE("Borç: ",$B635," | Toplam: ",TEXT($H635,"#,##0")))</f>
        <v/>
      </c>
    </row>
    <row r="636" customFormat="false" ht="15" hidden="false" customHeight="false" outlineLevel="0" collapsed="false">
      <c r="A636" s="20"/>
      <c r="B636" s="20"/>
      <c r="C636" s="21"/>
      <c r="D636" s="21"/>
      <c r="E636" s="22"/>
      <c r="F636" s="23"/>
      <c r="G636" s="19" t="n">
        <f aca="false">IF($E636="",0,MAX(0,ROUNDDOWN((TecilRaporTarihi-$E636)/30,0)))</f>
        <v>0</v>
      </c>
      <c r="H636" s="19" t="n">
        <f aca="false">IF($C636="",0,$C636+$D636)</f>
        <v>0</v>
      </c>
      <c r="I636" s="19" t="n">
        <f aca="false">IF($C636="",0,$C636*$F636)</f>
        <v>0</v>
      </c>
      <c r="J636" s="19" t="str">
        <f aca="false">IF($B636="","",CONCATENATE("Borç: ",$B636," | Toplam: ",TEXT($H636,"#,##0")))</f>
        <v/>
      </c>
    </row>
    <row r="637" customFormat="false" ht="15" hidden="false" customHeight="false" outlineLevel="0" collapsed="false">
      <c r="A637" s="20"/>
      <c r="B637" s="20"/>
      <c r="C637" s="21"/>
      <c r="D637" s="21"/>
      <c r="E637" s="22"/>
      <c r="F637" s="23"/>
      <c r="G637" s="19" t="n">
        <f aca="false">IF($E637="",0,MAX(0,ROUNDDOWN((TecilRaporTarihi-$E637)/30,0)))</f>
        <v>0</v>
      </c>
      <c r="H637" s="19" t="n">
        <f aca="false">IF($C637="",0,$C637+$D637)</f>
        <v>0</v>
      </c>
      <c r="I637" s="19" t="n">
        <f aca="false">IF($C637="",0,$C637*$F637)</f>
        <v>0</v>
      </c>
      <c r="J637" s="19" t="str">
        <f aca="false">IF($B637="","",CONCATENATE("Borç: ",$B637," | Toplam: ",TEXT($H637,"#,##0")))</f>
        <v/>
      </c>
    </row>
    <row r="638" customFormat="false" ht="15" hidden="false" customHeight="false" outlineLevel="0" collapsed="false">
      <c r="A638" s="20"/>
      <c r="B638" s="20"/>
      <c r="C638" s="21"/>
      <c r="D638" s="21"/>
      <c r="E638" s="22"/>
      <c r="F638" s="23"/>
      <c r="G638" s="19" t="n">
        <f aca="false">IF($E638="",0,MAX(0,ROUNDDOWN((TecilRaporTarihi-$E638)/30,0)))</f>
        <v>0</v>
      </c>
      <c r="H638" s="19" t="n">
        <f aca="false">IF($C638="",0,$C638+$D638)</f>
        <v>0</v>
      </c>
      <c r="I638" s="19" t="n">
        <f aca="false">IF($C638="",0,$C638*$F638)</f>
        <v>0</v>
      </c>
      <c r="J638" s="19" t="str">
        <f aca="false">IF($B638="","",CONCATENATE("Borç: ",$B638," | Toplam: ",TEXT($H638,"#,##0")))</f>
        <v/>
      </c>
    </row>
    <row r="639" customFormat="false" ht="15" hidden="false" customHeight="false" outlineLevel="0" collapsed="false">
      <c r="A639" s="20"/>
      <c r="B639" s="20"/>
      <c r="C639" s="21"/>
      <c r="D639" s="21"/>
      <c r="E639" s="22"/>
      <c r="F639" s="23"/>
      <c r="G639" s="19" t="n">
        <f aca="false">IF($E639="",0,MAX(0,ROUNDDOWN((TecilRaporTarihi-$E639)/30,0)))</f>
        <v>0</v>
      </c>
      <c r="H639" s="19" t="n">
        <f aca="false">IF($C639="",0,$C639+$D639)</f>
        <v>0</v>
      </c>
      <c r="I639" s="19" t="n">
        <f aca="false">IF($C639="",0,$C639*$F639)</f>
        <v>0</v>
      </c>
      <c r="J639" s="19" t="str">
        <f aca="false">IF($B639="","",CONCATENATE("Borç: ",$B639," | Toplam: ",TEXT($H639,"#,##0")))</f>
        <v/>
      </c>
    </row>
    <row r="640" customFormat="false" ht="15" hidden="false" customHeight="false" outlineLevel="0" collapsed="false">
      <c r="A640" s="20"/>
      <c r="B640" s="20"/>
      <c r="C640" s="21"/>
      <c r="D640" s="21"/>
      <c r="E640" s="22"/>
      <c r="F640" s="23"/>
      <c r="G640" s="19" t="n">
        <f aca="false">IF($E640="",0,MAX(0,ROUNDDOWN((TecilRaporTarihi-$E640)/30,0)))</f>
        <v>0</v>
      </c>
      <c r="H640" s="19" t="n">
        <f aca="false">IF($C640="",0,$C640+$D640)</f>
        <v>0</v>
      </c>
      <c r="I640" s="19" t="n">
        <f aca="false">IF($C640="",0,$C640*$F640)</f>
        <v>0</v>
      </c>
      <c r="J640" s="19" t="str">
        <f aca="false">IF($B640="","",CONCATENATE("Borç: ",$B640," | Toplam: ",TEXT($H640,"#,##0")))</f>
        <v/>
      </c>
    </row>
    <row r="641" customFormat="false" ht="15" hidden="false" customHeight="false" outlineLevel="0" collapsed="false">
      <c r="A641" s="20"/>
      <c r="B641" s="20"/>
      <c r="C641" s="21"/>
      <c r="D641" s="21"/>
      <c r="E641" s="22"/>
      <c r="F641" s="23"/>
      <c r="G641" s="19" t="n">
        <f aca="false">IF($E641="",0,MAX(0,ROUNDDOWN((TecilRaporTarihi-$E641)/30,0)))</f>
        <v>0</v>
      </c>
      <c r="H641" s="19" t="n">
        <f aca="false">IF($C641="",0,$C641+$D641)</f>
        <v>0</v>
      </c>
      <c r="I641" s="19" t="n">
        <f aca="false">IF($C641="",0,$C641*$F641)</f>
        <v>0</v>
      </c>
      <c r="J641" s="19" t="str">
        <f aca="false">IF($B641="","",CONCATENATE("Borç: ",$B641," | Toplam: ",TEXT($H641,"#,##0")))</f>
        <v/>
      </c>
    </row>
    <row r="642" customFormat="false" ht="15" hidden="false" customHeight="false" outlineLevel="0" collapsed="false">
      <c r="A642" s="20"/>
      <c r="B642" s="20"/>
      <c r="C642" s="21"/>
      <c r="D642" s="21"/>
      <c r="E642" s="22"/>
      <c r="F642" s="23"/>
      <c r="G642" s="19" t="n">
        <f aca="false">IF($E642="",0,MAX(0,ROUNDDOWN((TecilRaporTarihi-$E642)/30,0)))</f>
        <v>0</v>
      </c>
      <c r="H642" s="19" t="n">
        <f aca="false">IF($C642="",0,$C642+$D642)</f>
        <v>0</v>
      </c>
      <c r="I642" s="19" t="n">
        <f aca="false">IF($C642="",0,$C642*$F642)</f>
        <v>0</v>
      </c>
      <c r="J642" s="19" t="str">
        <f aca="false">IF($B642="","",CONCATENATE("Borç: ",$B642," | Toplam: ",TEXT($H642,"#,##0")))</f>
        <v/>
      </c>
    </row>
    <row r="643" customFormat="false" ht="15" hidden="false" customHeight="false" outlineLevel="0" collapsed="false">
      <c r="A643" s="20"/>
      <c r="B643" s="20"/>
      <c r="C643" s="21"/>
      <c r="D643" s="21"/>
      <c r="E643" s="22"/>
      <c r="F643" s="23"/>
      <c r="G643" s="19" t="n">
        <f aca="false">IF($E643="",0,MAX(0,ROUNDDOWN((TecilRaporTarihi-$E643)/30,0)))</f>
        <v>0</v>
      </c>
      <c r="H643" s="19" t="n">
        <f aca="false">IF($C643="",0,$C643+$D643)</f>
        <v>0</v>
      </c>
      <c r="I643" s="19" t="n">
        <f aca="false">IF($C643="",0,$C643*$F643)</f>
        <v>0</v>
      </c>
      <c r="J643" s="19" t="str">
        <f aca="false">IF($B643="","",CONCATENATE("Borç: ",$B643," | Toplam: ",TEXT($H643,"#,##0")))</f>
        <v/>
      </c>
    </row>
    <row r="644" customFormat="false" ht="15" hidden="false" customHeight="false" outlineLevel="0" collapsed="false">
      <c r="A644" s="20"/>
      <c r="B644" s="20"/>
      <c r="C644" s="21"/>
      <c r="D644" s="21"/>
      <c r="E644" s="22"/>
      <c r="F644" s="23"/>
      <c r="G644" s="19" t="n">
        <f aca="false">IF($E644="",0,MAX(0,ROUNDDOWN((TecilRaporTarihi-$E644)/30,0)))</f>
        <v>0</v>
      </c>
      <c r="H644" s="19" t="n">
        <f aca="false">IF($C644="",0,$C644+$D644)</f>
        <v>0</v>
      </c>
      <c r="I644" s="19" t="n">
        <f aca="false">IF($C644="",0,$C644*$F644)</f>
        <v>0</v>
      </c>
      <c r="J644" s="19" t="str">
        <f aca="false">IF($B644="","",CONCATENATE("Borç: ",$B644," | Toplam: ",TEXT($H644,"#,##0")))</f>
        <v/>
      </c>
    </row>
    <row r="645" customFormat="false" ht="15" hidden="false" customHeight="false" outlineLevel="0" collapsed="false">
      <c r="A645" s="20"/>
      <c r="B645" s="20"/>
      <c r="C645" s="21"/>
      <c r="D645" s="21"/>
      <c r="E645" s="22"/>
      <c r="F645" s="23"/>
      <c r="G645" s="19" t="n">
        <f aca="false">IF($E645="",0,MAX(0,ROUNDDOWN((TecilRaporTarihi-$E645)/30,0)))</f>
        <v>0</v>
      </c>
      <c r="H645" s="19" t="n">
        <f aca="false">IF($C645="",0,$C645+$D645)</f>
        <v>0</v>
      </c>
      <c r="I645" s="19" t="n">
        <f aca="false">IF($C645="",0,$C645*$F645)</f>
        <v>0</v>
      </c>
      <c r="J645" s="19" t="str">
        <f aca="false">IF($B645="","",CONCATENATE("Borç: ",$B645," | Toplam: ",TEXT($H645,"#,##0")))</f>
        <v/>
      </c>
    </row>
    <row r="646" customFormat="false" ht="15" hidden="false" customHeight="false" outlineLevel="0" collapsed="false">
      <c r="A646" s="20"/>
      <c r="B646" s="20"/>
      <c r="C646" s="21"/>
      <c r="D646" s="21"/>
      <c r="E646" s="22"/>
      <c r="F646" s="23"/>
      <c r="G646" s="19" t="n">
        <f aca="false">IF($E646="",0,MAX(0,ROUNDDOWN((TecilRaporTarihi-$E646)/30,0)))</f>
        <v>0</v>
      </c>
      <c r="H646" s="19" t="n">
        <f aca="false">IF($C646="",0,$C646+$D646)</f>
        <v>0</v>
      </c>
      <c r="I646" s="19" t="n">
        <f aca="false">IF($C646="",0,$C646*$F646)</f>
        <v>0</v>
      </c>
      <c r="J646" s="19" t="str">
        <f aca="false">IF($B646="","",CONCATENATE("Borç: ",$B646," | Toplam: ",TEXT($H646,"#,##0")))</f>
        <v/>
      </c>
    </row>
    <row r="647" customFormat="false" ht="15" hidden="false" customHeight="false" outlineLevel="0" collapsed="false">
      <c r="A647" s="20"/>
      <c r="B647" s="20"/>
      <c r="C647" s="21"/>
      <c r="D647" s="21"/>
      <c r="E647" s="22"/>
      <c r="F647" s="23"/>
      <c r="G647" s="19" t="n">
        <f aca="false">IF($E647="",0,MAX(0,ROUNDDOWN((TecilRaporTarihi-$E647)/30,0)))</f>
        <v>0</v>
      </c>
      <c r="H647" s="19" t="n">
        <f aca="false">IF($C647="",0,$C647+$D647)</f>
        <v>0</v>
      </c>
      <c r="I647" s="19" t="n">
        <f aca="false">IF($C647="",0,$C647*$F647)</f>
        <v>0</v>
      </c>
      <c r="J647" s="19" t="str">
        <f aca="false">IF($B647="","",CONCATENATE("Borç: ",$B647," | Toplam: ",TEXT($H647,"#,##0")))</f>
        <v/>
      </c>
    </row>
    <row r="648" customFormat="false" ht="15" hidden="false" customHeight="false" outlineLevel="0" collapsed="false">
      <c r="A648" s="20"/>
      <c r="B648" s="20"/>
      <c r="C648" s="21"/>
      <c r="D648" s="21"/>
      <c r="E648" s="22"/>
      <c r="F648" s="23"/>
      <c r="G648" s="19" t="n">
        <f aca="false">IF($E648="",0,MAX(0,ROUNDDOWN((TecilRaporTarihi-$E648)/30,0)))</f>
        <v>0</v>
      </c>
      <c r="H648" s="19" t="n">
        <f aca="false">IF($C648="",0,$C648+$D648)</f>
        <v>0</v>
      </c>
      <c r="I648" s="19" t="n">
        <f aca="false">IF($C648="",0,$C648*$F648)</f>
        <v>0</v>
      </c>
      <c r="J648" s="19" t="str">
        <f aca="false">IF($B648="","",CONCATENATE("Borç: ",$B648," | Toplam: ",TEXT($H648,"#,##0")))</f>
        <v/>
      </c>
    </row>
    <row r="649" customFormat="false" ht="15" hidden="false" customHeight="false" outlineLevel="0" collapsed="false">
      <c r="A649" s="20"/>
      <c r="B649" s="20"/>
      <c r="C649" s="21"/>
      <c r="D649" s="21"/>
      <c r="E649" s="22"/>
      <c r="F649" s="23"/>
      <c r="G649" s="19" t="n">
        <f aca="false">IF($E649="",0,MAX(0,ROUNDDOWN((TecilRaporTarihi-$E649)/30,0)))</f>
        <v>0</v>
      </c>
      <c r="H649" s="19" t="n">
        <f aca="false">IF($C649="",0,$C649+$D649)</f>
        <v>0</v>
      </c>
      <c r="I649" s="19" t="n">
        <f aca="false">IF($C649="",0,$C649*$F649)</f>
        <v>0</v>
      </c>
      <c r="J649" s="19" t="str">
        <f aca="false">IF($B649="","",CONCATENATE("Borç: ",$B649," | Toplam: ",TEXT($H649,"#,##0")))</f>
        <v/>
      </c>
    </row>
    <row r="650" customFormat="false" ht="15" hidden="false" customHeight="false" outlineLevel="0" collapsed="false">
      <c r="A650" s="20"/>
      <c r="B650" s="20"/>
      <c r="C650" s="21"/>
      <c r="D650" s="21"/>
      <c r="E650" s="22"/>
      <c r="F650" s="23"/>
      <c r="G650" s="19" t="n">
        <f aca="false">IF($E650="",0,MAX(0,ROUNDDOWN((TecilRaporTarihi-$E650)/30,0)))</f>
        <v>0</v>
      </c>
      <c r="H650" s="19" t="n">
        <f aca="false">IF($C650="",0,$C650+$D650)</f>
        <v>0</v>
      </c>
      <c r="I650" s="19" t="n">
        <f aca="false">IF($C650="",0,$C650*$F650)</f>
        <v>0</v>
      </c>
      <c r="J650" s="19" t="str">
        <f aca="false">IF($B650="","",CONCATENATE("Borç: ",$B650," | Toplam: ",TEXT($H650,"#,##0")))</f>
        <v/>
      </c>
    </row>
    <row r="651" customFormat="false" ht="15" hidden="false" customHeight="false" outlineLevel="0" collapsed="false">
      <c r="A651" s="20"/>
      <c r="B651" s="20"/>
      <c r="C651" s="21"/>
      <c r="D651" s="21"/>
      <c r="E651" s="22"/>
      <c r="F651" s="23"/>
      <c r="G651" s="19" t="n">
        <f aca="false">IF($E651="",0,MAX(0,ROUNDDOWN((TecilRaporTarihi-$E651)/30,0)))</f>
        <v>0</v>
      </c>
      <c r="H651" s="19" t="n">
        <f aca="false">IF($C651="",0,$C651+$D651)</f>
        <v>0</v>
      </c>
      <c r="I651" s="19" t="n">
        <f aca="false">IF($C651="",0,$C651*$F651)</f>
        <v>0</v>
      </c>
      <c r="J651" s="19" t="str">
        <f aca="false">IF($B651="","",CONCATENATE("Borç: ",$B651," | Toplam: ",TEXT($H651,"#,##0")))</f>
        <v/>
      </c>
    </row>
    <row r="652" customFormat="false" ht="15" hidden="false" customHeight="false" outlineLevel="0" collapsed="false">
      <c r="A652" s="20"/>
      <c r="B652" s="20"/>
      <c r="C652" s="21"/>
      <c r="D652" s="21"/>
      <c r="E652" s="22"/>
      <c r="F652" s="23"/>
      <c r="G652" s="19" t="n">
        <f aca="false">IF($E652="",0,MAX(0,ROUNDDOWN((TecilRaporTarihi-$E652)/30,0)))</f>
        <v>0</v>
      </c>
      <c r="H652" s="19" t="n">
        <f aca="false">IF($C652="",0,$C652+$D652)</f>
        <v>0</v>
      </c>
      <c r="I652" s="19" t="n">
        <f aca="false">IF($C652="",0,$C652*$F652)</f>
        <v>0</v>
      </c>
      <c r="J652" s="19" t="str">
        <f aca="false">IF($B652="","",CONCATENATE("Borç: ",$B652," | Toplam: ",TEXT($H652,"#,##0")))</f>
        <v/>
      </c>
    </row>
    <row r="653" customFormat="false" ht="15" hidden="false" customHeight="false" outlineLevel="0" collapsed="false">
      <c r="A653" s="20"/>
      <c r="B653" s="20"/>
      <c r="C653" s="21"/>
      <c r="D653" s="21"/>
      <c r="E653" s="22"/>
      <c r="F653" s="23"/>
      <c r="G653" s="19" t="n">
        <f aca="false">IF($E653="",0,MAX(0,ROUNDDOWN((TecilRaporTarihi-$E653)/30,0)))</f>
        <v>0</v>
      </c>
      <c r="H653" s="19" t="n">
        <f aca="false">IF($C653="",0,$C653+$D653)</f>
        <v>0</v>
      </c>
      <c r="I653" s="19" t="n">
        <f aca="false">IF($C653="",0,$C653*$F653)</f>
        <v>0</v>
      </c>
      <c r="J653" s="19" t="str">
        <f aca="false">IF($B653="","",CONCATENATE("Borç: ",$B653," | Toplam: ",TEXT($H653,"#,##0")))</f>
        <v/>
      </c>
    </row>
    <row r="654" customFormat="false" ht="15" hidden="false" customHeight="false" outlineLevel="0" collapsed="false">
      <c r="A654" s="20"/>
      <c r="B654" s="20"/>
      <c r="C654" s="21"/>
      <c r="D654" s="21"/>
      <c r="E654" s="22"/>
      <c r="F654" s="23"/>
      <c r="G654" s="19" t="n">
        <f aca="false">IF($E654="",0,MAX(0,ROUNDDOWN((TecilRaporTarihi-$E654)/30,0)))</f>
        <v>0</v>
      </c>
      <c r="H654" s="19" t="n">
        <f aca="false">IF($C654="",0,$C654+$D654)</f>
        <v>0</v>
      </c>
      <c r="I654" s="19" t="n">
        <f aca="false">IF($C654="",0,$C654*$F654)</f>
        <v>0</v>
      </c>
      <c r="J654" s="19" t="str">
        <f aca="false">IF($B654="","",CONCATENATE("Borç: ",$B654," | Toplam: ",TEXT($H654,"#,##0")))</f>
        <v/>
      </c>
    </row>
    <row r="655" customFormat="false" ht="15" hidden="false" customHeight="false" outlineLevel="0" collapsed="false">
      <c r="A655" s="20"/>
      <c r="B655" s="20"/>
      <c r="C655" s="21"/>
      <c r="D655" s="21"/>
      <c r="E655" s="22"/>
      <c r="F655" s="23"/>
      <c r="G655" s="19" t="n">
        <f aca="false">IF($E655="",0,MAX(0,ROUNDDOWN((TecilRaporTarihi-$E655)/30,0)))</f>
        <v>0</v>
      </c>
      <c r="H655" s="19" t="n">
        <f aca="false">IF($C655="",0,$C655+$D655)</f>
        <v>0</v>
      </c>
      <c r="I655" s="19" t="n">
        <f aca="false">IF($C655="",0,$C655*$F655)</f>
        <v>0</v>
      </c>
      <c r="J655" s="19" t="str">
        <f aca="false">IF($B655="","",CONCATENATE("Borç: ",$B655," | Toplam: ",TEXT($H655,"#,##0")))</f>
        <v/>
      </c>
    </row>
    <row r="656" customFormat="false" ht="15" hidden="false" customHeight="false" outlineLevel="0" collapsed="false">
      <c r="A656" s="20"/>
      <c r="B656" s="20"/>
      <c r="C656" s="21"/>
      <c r="D656" s="21"/>
      <c r="E656" s="22"/>
      <c r="F656" s="23"/>
      <c r="G656" s="19" t="n">
        <f aca="false">IF($E656="",0,MAX(0,ROUNDDOWN((TecilRaporTarihi-$E656)/30,0)))</f>
        <v>0</v>
      </c>
      <c r="H656" s="19" t="n">
        <f aca="false">IF($C656="",0,$C656+$D656)</f>
        <v>0</v>
      </c>
      <c r="I656" s="19" t="n">
        <f aca="false">IF($C656="",0,$C656*$F656)</f>
        <v>0</v>
      </c>
      <c r="J656" s="19" t="str">
        <f aca="false">IF($B656="","",CONCATENATE("Borç: ",$B656," | Toplam: ",TEXT($H656,"#,##0")))</f>
        <v/>
      </c>
    </row>
    <row r="657" customFormat="false" ht="15" hidden="false" customHeight="false" outlineLevel="0" collapsed="false">
      <c r="A657" s="20"/>
      <c r="B657" s="20"/>
      <c r="C657" s="21"/>
      <c r="D657" s="21"/>
      <c r="E657" s="22"/>
      <c r="F657" s="23"/>
      <c r="G657" s="19" t="n">
        <f aca="false">IF($E657="",0,MAX(0,ROUNDDOWN((TecilRaporTarihi-$E657)/30,0)))</f>
        <v>0</v>
      </c>
      <c r="H657" s="19" t="n">
        <f aca="false">IF($C657="",0,$C657+$D657)</f>
        <v>0</v>
      </c>
      <c r="I657" s="19" t="n">
        <f aca="false">IF($C657="",0,$C657*$F657)</f>
        <v>0</v>
      </c>
      <c r="J657" s="19" t="str">
        <f aca="false">IF($B657="","",CONCATENATE("Borç: ",$B657," | Toplam: ",TEXT($H657,"#,##0")))</f>
        <v/>
      </c>
    </row>
    <row r="658" customFormat="false" ht="15" hidden="false" customHeight="false" outlineLevel="0" collapsed="false">
      <c r="A658" s="20"/>
      <c r="B658" s="20"/>
      <c r="C658" s="21"/>
      <c r="D658" s="21"/>
      <c r="E658" s="22"/>
      <c r="F658" s="23"/>
      <c r="G658" s="19" t="n">
        <f aca="false">IF($E658="",0,MAX(0,ROUNDDOWN((TecilRaporTarihi-$E658)/30,0)))</f>
        <v>0</v>
      </c>
      <c r="H658" s="19" t="n">
        <f aca="false">IF($C658="",0,$C658+$D658)</f>
        <v>0</v>
      </c>
      <c r="I658" s="19" t="n">
        <f aca="false">IF($C658="",0,$C658*$F658)</f>
        <v>0</v>
      </c>
      <c r="J658" s="19" t="str">
        <f aca="false">IF($B658="","",CONCATENATE("Borç: ",$B658," | Toplam: ",TEXT($H658,"#,##0")))</f>
        <v/>
      </c>
    </row>
    <row r="659" customFormat="false" ht="15" hidden="false" customHeight="false" outlineLevel="0" collapsed="false">
      <c r="A659" s="20"/>
      <c r="B659" s="20"/>
      <c r="C659" s="21"/>
      <c r="D659" s="21"/>
      <c r="E659" s="22"/>
      <c r="F659" s="23"/>
      <c r="G659" s="19" t="n">
        <f aca="false">IF($E659="",0,MAX(0,ROUNDDOWN((TecilRaporTarihi-$E659)/30,0)))</f>
        <v>0</v>
      </c>
      <c r="H659" s="19" t="n">
        <f aca="false">IF($C659="",0,$C659+$D659)</f>
        <v>0</v>
      </c>
      <c r="I659" s="19" t="n">
        <f aca="false">IF($C659="",0,$C659*$F659)</f>
        <v>0</v>
      </c>
      <c r="J659" s="19" t="str">
        <f aca="false">IF($B659="","",CONCATENATE("Borç: ",$B659," | Toplam: ",TEXT($H659,"#,##0")))</f>
        <v/>
      </c>
    </row>
    <row r="660" customFormat="false" ht="15" hidden="false" customHeight="false" outlineLevel="0" collapsed="false">
      <c r="A660" s="20"/>
      <c r="B660" s="20"/>
      <c r="C660" s="21"/>
      <c r="D660" s="21"/>
      <c r="E660" s="22"/>
      <c r="F660" s="23"/>
      <c r="G660" s="19" t="n">
        <f aca="false">IF($E660="",0,MAX(0,ROUNDDOWN((TecilRaporTarihi-$E660)/30,0)))</f>
        <v>0</v>
      </c>
      <c r="H660" s="19" t="n">
        <f aca="false">IF($C660="",0,$C660+$D660)</f>
        <v>0</v>
      </c>
      <c r="I660" s="19" t="n">
        <f aca="false">IF($C660="",0,$C660*$F660)</f>
        <v>0</v>
      </c>
      <c r="J660" s="19" t="str">
        <f aca="false">IF($B660="","",CONCATENATE("Borç: ",$B660," | Toplam: ",TEXT($H660,"#,##0")))</f>
        <v/>
      </c>
    </row>
    <row r="661" customFormat="false" ht="15" hidden="false" customHeight="false" outlineLevel="0" collapsed="false">
      <c r="A661" s="20"/>
      <c r="B661" s="20"/>
      <c r="C661" s="21"/>
      <c r="D661" s="21"/>
      <c r="E661" s="22"/>
      <c r="F661" s="23"/>
      <c r="G661" s="19" t="n">
        <f aca="false">IF($E661="",0,MAX(0,ROUNDDOWN((TecilRaporTarihi-$E661)/30,0)))</f>
        <v>0</v>
      </c>
      <c r="H661" s="19" t="n">
        <f aca="false">IF($C661="",0,$C661+$D661)</f>
        <v>0</v>
      </c>
      <c r="I661" s="19" t="n">
        <f aca="false">IF($C661="",0,$C661*$F661)</f>
        <v>0</v>
      </c>
      <c r="J661" s="19" t="str">
        <f aca="false">IF($B661="","",CONCATENATE("Borç: ",$B661," | Toplam: ",TEXT($H661,"#,##0")))</f>
        <v/>
      </c>
    </row>
    <row r="662" customFormat="false" ht="15" hidden="false" customHeight="false" outlineLevel="0" collapsed="false">
      <c r="A662" s="20"/>
      <c r="B662" s="20"/>
      <c r="C662" s="21"/>
      <c r="D662" s="21"/>
      <c r="E662" s="22"/>
      <c r="F662" s="23"/>
      <c r="G662" s="19" t="n">
        <f aca="false">IF($E662="",0,MAX(0,ROUNDDOWN((TecilRaporTarihi-$E662)/30,0)))</f>
        <v>0</v>
      </c>
      <c r="H662" s="19" t="n">
        <f aca="false">IF($C662="",0,$C662+$D662)</f>
        <v>0</v>
      </c>
      <c r="I662" s="19" t="n">
        <f aca="false">IF($C662="",0,$C662*$F662)</f>
        <v>0</v>
      </c>
      <c r="J662" s="19" t="str">
        <f aca="false">IF($B662="","",CONCATENATE("Borç: ",$B662," | Toplam: ",TEXT($H662,"#,##0")))</f>
        <v/>
      </c>
    </row>
    <row r="663" customFormat="false" ht="15" hidden="false" customHeight="false" outlineLevel="0" collapsed="false">
      <c r="A663" s="20"/>
      <c r="B663" s="20"/>
      <c r="C663" s="21"/>
      <c r="D663" s="21"/>
      <c r="E663" s="22"/>
      <c r="F663" s="23"/>
      <c r="G663" s="19" t="n">
        <f aca="false">IF($E663="",0,MAX(0,ROUNDDOWN((TecilRaporTarihi-$E663)/30,0)))</f>
        <v>0</v>
      </c>
      <c r="H663" s="19" t="n">
        <f aca="false">IF($C663="",0,$C663+$D663)</f>
        <v>0</v>
      </c>
      <c r="I663" s="19" t="n">
        <f aca="false">IF($C663="",0,$C663*$F663)</f>
        <v>0</v>
      </c>
      <c r="J663" s="19" t="str">
        <f aca="false">IF($B663="","",CONCATENATE("Borç: ",$B663," | Toplam: ",TEXT($H663,"#,##0")))</f>
        <v/>
      </c>
    </row>
    <row r="664" customFormat="false" ht="15" hidden="false" customHeight="false" outlineLevel="0" collapsed="false">
      <c r="A664" s="20"/>
      <c r="B664" s="20"/>
      <c r="C664" s="21"/>
      <c r="D664" s="21"/>
      <c r="E664" s="22"/>
      <c r="F664" s="23"/>
      <c r="G664" s="19" t="n">
        <f aca="false">IF($E664="",0,MAX(0,ROUNDDOWN((TecilRaporTarihi-$E664)/30,0)))</f>
        <v>0</v>
      </c>
      <c r="H664" s="19" t="n">
        <f aca="false">IF($C664="",0,$C664+$D664)</f>
        <v>0</v>
      </c>
      <c r="I664" s="19" t="n">
        <f aca="false">IF($C664="",0,$C664*$F664)</f>
        <v>0</v>
      </c>
      <c r="J664" s="19" t="str">
        <f aca="false">IF($B664="","",CONCATENATE("Borç: ",$B664," | Toplam: ",TEXT($H664,"#,##0")))</f>
        <v/>
      </c>
    </row>
    <row r="665" customFormat="false" ht="15" hidden="false" customHeight="false" outlineLevel="0" collapsed="false">
      <c r="A665" s="20"/>
      <c r="B665" s="20"/>
      <c r="C665" s="21"/>
      <c r="D665" s="21"/>
      <c r="E665" s="22"/>
      <c r="F665" s="23"/>
      <c r="G665" s="19" t="n">
        <f aca="false">IF($E665="",0,MAX(0,ROUNDDOWN((TecilRaporTarihi-$E665)/30,0)))</f>
        <v>0</v>
      </c>
      <c r="H665" s="19" t="n">
        <f aca="false">IF($C665="",0,$C665+$D665)</f>
        <v>0</v>
      </c>
      <c r="I665" s="19" t="n">
        <f aca="false">IF($C665="",0,$C665*$F665)</f>
        <v>0</v>
      </c>
      <c r="J665" s="19" t="str">
        <f aca="false">IF($B665="","",CONCATENATE("Borç: ",$B665," | Toplam: ",TEXT($H665,"#,##0")))</f>
        <v/>
      </c>
    </row>
    <row r="666" customFormat="false" ht="15" hidden="false" customHeight="false" outlineLevel="0" collapsed="false">
      <c r="A666" s="20"/>
      <c r="B666" s="20"/>
      <c r="C666" s="21"/>
      <c r="D666" s="21"/>
      <c r="E666" s="22"/>
      <c r="F666" s="23"/>
      <c r="G666" s="19" t="n">
        <f aca="false">IF($E666="",0,MAX(0,ROUNDDOWN((TecilRaporTarihi-$E666)/30,0)))</f>
        <v>0</v>
      </c>
      <c r="H666" s="19" t="n">
        <f aca="false">IF($C666="",0,$C666+$D666)</f>
        <v>0</v>
      </c>
      <c r="I666" s="19" t="n">
        <f aca="false">IF($C666="",0,$C666*$F666)</f>
        <v>0</v>
      </c>
      <c r="J666" s="19" t="str">
        <f aca="false">IF($B666="","",CONCATENATE("Borç: ",$B666," | Toplam: ",TEXT($H666,"#,##0")))</f>
        <v/>
      </c>
    </row>
    <row r="667" customFormat="false" ht="15" hidden="false" customHeight="false" outlineLevel="0" collapsed="false">
      <c r="A667" s="20"/>
      <c r="B667" s="20"/>
      <c r="C667" s="21"/>
      <c r="D667" s="21"/>
      <c r="E667" s="22"/>
      <c r="F667" s="23"/>
      <c r="G667" s="19" t="n">
        <f aca="false">IF($E667="",0,MAX(0,ROUNDDOWN((TecilRaporTarihi-$E667)/30,0)))</f>
        <v>0</v>
      </c>
      <c r="H667" s="19" t="n">
        <f aca="false">IF($C667="",0,$C667+$D667)</f>
        <v>0</v>
      </c>
      <c r="I667" s="19" t="n">
        <f aca="false">IF($C667="",0,$C667*$F667)</f>
        <v>0</v>
      </c>
      <c r="J667" s="19" t="str">
        <f aca="false">IF($B667="","",CONCATENATE("Borç: ",$B667," | Toplam: ",TEXT($H667,"#,##0")))</f>
        <v/>
      </c>
    </row>
    <row r="668" customFormat="false" ht="15" hidden="false" customHeight="false" outlineLevel="0" collapsed="false">
      <c r="A668" s="20"/>
      <c r="B668" s="20"/>
      <c r="C668" s="21"/>
      <c r="D668" s="21"/>
      <c r="E668" s="22"/>
      <c r="F668" s="23"/>
      <c r="G668" s="19" t="n">
        <f aca="false">IF($E668="",0,MAX(0,ROUNDDOWN((TecilRaporTarihi-$E668)/30,0)))</f>
        <v>0</v>
      </c>
      <c r="H668" s="19" t="n">
        <f aca="false">IF($C668="",0,$C668+$D668)</f>
        <v>0</v>
      </c>
      <c r="I668" s="19" t="n">
        <f aca="false">IF($C668="",0,$C668*$F668)</f>
        <v>0</v>
      </c>
      <c r="J668" s="19" t="str">
        <f aca="false">IF($B668="","",CONCATENATE("Borç: ",$B668," | Toplam: ",TEXT($H668,"#,##0")))</f>
        <v/>
      </c>
    </row>
    <row r="669" customFormat="false" ht="15" hidden="false" customHeight="false" outlineLevel="0" collapsed="false">
      <c r="A669" s="20"/>
      <c r="B669" s="20"/>
      <c r="C669" s="21"/>
      <c r="D669" s="21"/>
      <c r="E669" s="22"/>
      <c r="F669" s="23"/>
      <c r="G669" s="19" t="n">
        <f aca="false">IF($E669="",0,MAX(0,ROUNDDOWN((TecilRaporTarihi-$E669)/30,0)))</f>
        <v>0</v>
      </c>
      <c r="H669" s="19" t="n">
        <f aca="false">IF($C669="",0,$C669+$D669)</f>
        <v>0</v>
      </c>
      <c r="I669" s="19" t="n">
        <f aca="false">IF($C669="",0,$C669*$F669)</f>
        <v>0</v>
      </c>
      <c r="J669" s="19" t="str">
        <f aca="false">IF($B669="","",CONCATENATE("Borç: ",$B669," | Toplam: ",TEXT($H669,"#,##0")))</f>
        <v/>
      </c>
    </row>
    <row r="670" customFormat="false" ht="15" hidden="false" customHeight="false" outlineLevel="0" collapsed="false">
      <c r="A670" s="20"/>
      <c r="B670" s="20"/>
      <c r="C670" s="21"/>
      <c r="D670" s="21"/>
      <c r="E670" s="22"/>
      <c r="F670" s="23"/>
      <c r="G670" s="19" t="n">
        <f aca="false">IF($E670="",0,MAX(0,ROUNDDOWN((TecilRaporTarihi-$E670)/30,0)))</f>
        <v>0</v>
      </c>
      <c r="H670" s="19" t="n">
        <f aca="false">IF($C670="",0,$C670+$D670)</f>
        <v>0</v>
      </c>
      <c r="I670" s="19" t="n">
        <f aca="false">IF($C670="",0,$C670*$F670)</f>
        <v>0</v>
      </c>
      <c r="J670" s="19" t="str">
        <f aca="false">IF($B670="","",CONCATENATE("Borç: ",$B670," | Toplam: ",TEXT($H670,"#,##0")))</f>
        <v/>
      </c>
    </row>
    <row r="671" customFormat="false" ht="15" hidden="false" customHeight="false" outlineLevel="0" collapsed="false">
      <c r="A671" s="20"/>
      <c r="B671" s="20"/>
      <c r="C671" s="21"/>
      <c r="D671" s="21"/>
      <c r="E671" s="22"/>
      <c r="F671" s="23"/>
      <c r="G671" s="19" t="n">
        <f aca="false">IF($E671="",0,MAX(0,ROUNDDOWN((TecilRaporTarihi-$E671)/30,0)))</f>
        <v>0</v>
      </c>
      <c r="H671" s="19" t="n">
        <f aca="false">IF($C671="",0,$C671+$D671)</f>
        <v>0</v>
      </c>
      <c r="I671" s="19" t="n">
        <f aca="false">IF($C671="",0,$C671*$F671)</f>
        <v>0</v>
      </c>
      <c r="J671" s="19" t="str">
        <f aca="false">IF($B671="","",CONCATENATE("Borç: ",$B671," | Toplam: ",TEXT($H671,"#,##0")))</f>
        <v/>
      </c>
    </row>
    <row r="672" customFormat="false" ht="15" hidden="false" customHeight="false" outlineLevel="0" collapsed="false">
      <c r="A672" s="20"/>
      <c r="B672" s="20"/>
      <c r="C672" s="21"/>
      <c r="D672" s="21"/>
      <c r="E672" s="22"/>
      <c r="F672" s="23"/>
      <c r="G672" s="19" t="n">
        <f aca="false">IF($E672="",0,MAX(0,ROUNDDOWN((TecilRaporTarihi-$E672)/30,0)))</f>
        <v>0</v>
      </c>
      <c r="H672" s="19" t="n">
        <f aca="false">IF($C672="",0,$C672+$D672)</f>
        <v>0</v>
      </c>
      <c r="I672" s="19" t="n">
        <f aca="false">IF($C672="",0,$C672*$F672)</f>
        <v>0</v>
      </c>
      <c r="J672" s="19" t="str">
        <f aca="false">IF($B672="","",CONCATENATE("Borç: ",$B672," | Toplam: ",TEXT($H672,"#,##0")))</f>
        <v/>
      </c>
    </row>
    <row r="673" customFormat="false" ht="15" hidden="false" customHeight="false" outlineLevel="0" collapsed="false">
      <c r="A673" s="20"/>
      <c r="B673" s="20"/>
      <c r="C673" s="21"/>
      <c r="D673" s="21"/>
      <c r="E673" s="22"/>
      <c r="F673" s="23"/>
      <c r="G673" s="19" t="n">
        <f aca="false">IF($E673="",0,MAX(0,ROUNDDOWN((TecilRaporTarihi-$E673)/30,0)))</f>
        <v>0</v>
      </c>
      <c r="H673" s="19" t="n">
        <f aca="false">IF($C673="",0,$C673+$D673)</f>
        <v>0</v>
      </c>
      <c r="I673" s="19" t="n">
        <f aca="false">IF($C673="",0,$C673*$F673)</f>
        <v>0</v>
      </c>
      <c r="J673" s="19" t="str">
        <f aca="false">IF($B673="","",CONCATENATE("Borç: ",$B673," | Toplam: ",TEXT($H673,"#,##0")))</f>
        <v/>
      </c>
    </row>
    <row r="674" customFormat="false" ht="15" hidden="false" customHeight="false" outlineLevel="0" collapsed="false">
      <c r="A674" s="20"/>
      <c r="B674" s="20"/>
      <c r="C674" s="21"/>
      <c r="D674" s="21"/>
      <c r="E674" s="22"/>
      <c r="F674" s="23"/>
      <c r="G674" s="19" t="n">
        <f aca="false">IF($E674="",0,MAX(0,ROUNDDOWN((TecilRaporTarihi-$E674)/30,0)))</f>
        <v>0</v>
      </c>
      <c r="H674" s="19" t="n">
        <f aca="false">IF($C674="",0,$C674+$D674)</f>
        <v>0</v>
      </c>
      <c r="I674" s="19" t="n">
        <f aca="false">IF($C674="",0,$C674*$F674)</f>
        <v>0</v>
      </c>
      <c r="J674" s="19" t="str">
        <f aca="false">IF($B674="","",CONCATENATE("Borç: ",$B674," | Toplam: ",TEXT($H674,"#,##0")))</f>
        <v/>
      </c>
    </row>
    <row r="675" customFormat="false" ht="15" hidden="false" customHeight="false" outlineLevel="0" collapsed="false">
      <c r="A675" s="20"/>
      <c r="B675" s="20"/>
      <c r="C675" s="21"/>
      <c r="D675" s="21"/>
      <c r="E675" s="22"/>
      <c r="F675" s="23"/>
      <c r="G675" s="19" t="n">
        <f aca="false">IF($E675="",0,MAX(0,ROUNDDOWN((TecilRaporTarihi-$E675)/30,0)))</f>
        <v>0</v>
      </c>
      <c r="H675" s="19" t="n">
        <f aca="false">IF($C675="",0,$C675+$D675)</f>
        <v>0</v>
      </c>
      <c r="I675" s="19" t="n">
        <f aca="false">IF($C675="",0,$C675*$F675)</f>
        <v>0</v>
      </c>
      <c r="J675" s="19" t="str">
        <f aca="false">IF($B675="","",CONCATENATE("Borç: ",$B675," | Toplam: ",TEXT($H675,"#,##0")))</f>
        <v/>
      </c>
    </row>
    <row r="676" customFormat="false" ht="15" hidden="false" customHeight="false" outlineLevel="0" collapsed="false">
      <c r="A676" s="20"/>
      <c r="B676" s="20"/>
      <c r="C676" s="21"/>
      <c r="D676" s="21"/>
      <c r="E676" s="22"/>
      <c r="F676" s="23"/>
      <c r="G676" s="19" t="n">
        <f aca="false">IF($E676="",0,MAX(0,ROUNDDOWN((TecilRaporTarihi-$E676)/30,0)))</f>
        <v>0</v>
      </c>
      <c r="H676" s="19" t="n">
        <f aca="false">IF($C676="",0,$C676+$D676)</f>
        <v>0</v>
      </c>
      <c r="I676" s="19" t="n">
        <f aca="false">IF($C676="",0,$C676*$F676)</f>
        <v>0</v>
      </c>
      <c r="J676" s="19" t="str">
        <f aca="false">IF($B676="","",CONCATENATE("Borç: ",$B676," | Toplam: ",TEXT($H676,"#,##0")))</f>
        <v/>
      </c>
    </row>
    <row r="677" customFormat="false" ht="15" hidden="false" customHeight="false" outlineLevel="0" collapsed="false">
      <c r="A677" s="20"/>
      <c r="B677" s="20"/>
      <c r="C677" s="21"/>
      <c r="D677" s="21"/>
      <c r="E677" s="22"/>
      <c r="F677" s="23"/>
      <c r="G677" s="19" t="n">
        <f aca="false">IF($E677="",0,MAX(0,ROUNDDOWN((TecilRaporTarihi-$E677)/30,0)))</f>
        <v>0</v>
      </c>
      <c r="H677" s="19" t="n">
        <f aca="false">IF($C677="",0,$C677+$D677)</f>
        <v>0</v>
      </c>
      <c r="I677" s="19" t="n">
        <f aca="false">IF($C677="",0,$C677*$F677)</f>
        <v>0</v>
      </c>
      <c r="J677" s="19" t="str">
        <f aca="false">IF($B677="","",CONCATENATE("Borç: ",$B677," | Toplam: ",TEXT($H677,"#,##0")))</f>
        <v/>
      </c>
    </row>
    <row r="678" customFormat="false" ht="15" hidden="false" customHeight="false" outlineLevel="0" collapsed="false">
      <c r="A678" s="20"/>
      <c r="B678" s="20"/>
      <c r="C678" s="21"/>
      <c r="D678" s="21"/>
      <c r="E678" s="22"/>
      <c r="F678" s="23"/>
      <c r="G678" s="19" t="n">
        <f aca="false">IF($E678="",0,MAX(0,ROUNDDOWN((TecilRaporTarihi-$E678)/30,0)))</f>
        <v>0</v>
      </c>
      <c r="H678" s="19" t="n">
        <f aca="false">IF($C678="",0,$C678+$D678)</f>
        <v>0</v>
      </c>
      <c r="I678" s="19" t="n">
        <f aca="false">IF($C678="",0,$C678*$F678)</f>
        <v>0</v>
      </c>
      <c r="J678" s="19" t="str">
        <f aca="false">IF($B678="","",CONCATENATE("Borç: ",$B678," | Toplam: ",TEXT($H678,"#,##0")))</f>
        <v/>
      </c>
    </row>
    <row r="679" customFormat="false" ht="15" hidden="false" customHeight="false" outlineLevel="0" collapsed="false">
      <c r="A679" s="20"/>
      <c r="B679" s="20"/>
      <c r="C679" s="21"/>
      <c r="D679" s="21"/>
      <c r="E679" s="22"/>
      <c r="F679" s="23"/>
      <c r="G679" s="19" t="n">
        <f aca="false">IF($E679="",0,MAX(0,ROUNDDOWN((TecilRaporTarihi-$E679)/30,0)))</f>
        <v>0</v>
      </c>
      <c r="H679" s="19" t="n">
        <f aca="false">IF($C679="",0,$C679+$D679)</f>
        <v>0</v>
      </c>
      <c r="I679" s="19" t="n">
        <f aca="false">IF($C679="",0,$C679*$F679)</f>
        <v>0</v>
      </c>
      <c r="J679" s="19" t="str">
        <f aca="false">IF($B679="","",CONCATENATE("Borç: ",$B679," | Toplam: ",TEXT($H679,"#,##0")))</f>
        <v/>
      </c>
    </row>
    <row r="680" customFormat="false" ht="15" hidden="false" customHeight="false" outlineLevel="0" collapsed="false">
      <c r="A680" s="20"/>
      <c r="B680" s="20"/>
      <c r="C680" s="21"/>
      <c r="D680" s="21"/>
      <c r="E680" s="22"/>
      <c r="F680" s="23"/>
      <c r="G680" s="19" t="n">
        <f aca="false">IF($E680="",0,MAX(0,ROUNDDOWN((TecilRaporTarihi-$E680)/30,0)))</f>
        <v>0</v>
      </c>
      <c r="H680" s="19" t="n">
        <f aca="false">IF($C680="",0,$C680+$D680)</f>
        <v>0</v>
      </c>
      <c r="I680" s="19" t="n">
        <f aca="false">IF($C680="",0,$C680*$F680)</f>
        <v>0</v>
      </c>
      <c r="J680" s="19" t="str">
        <f aca="false">IF($B680="","",CONCATENATE("Borç: ",$B680," | Toplam: ",TEXT($H680,"#,##0")))</f>
        <v/>
      </c>
    </row>
    <row r="681" customFormat="false" ht="15" hidden="false" customHeight="false" outlineLevel="0" collapsed="false">
      <c r="A681" s="20"/>
      <c r="B681" s="20"/>
      <c r="C681" s="21"/>
      <c r="D681" s="21"/>
      <c r="E681" s="22"/>
      <c r="F681" s="23"/>
      <c r="G681" s="19" t="n">
        <f aca="false">IF($E681="",0,MAX(0,ROUNDDOWN((TecilRaporTarihi-$E681)/30,0)))</f>
        <v>0</v>
      </c>
      <c r="H681" s="19" t="n">
        <f aca="false">IF($C681="",0,$C681+$D681)</f>
        <v>0</v>
      </c>
      <c r="I681" s="19" t="n">
        <f aca="false">IF($C681="",0,$C681*$F681)</f>
        <v>0</v>
      </c>
      <c r="J681" s="19" t="str">
        <f aca="false">IF($B681="","",CONCATENATE("Borç: ",$B681," | Toplam: ",TEXT($H681,"#,##0")))</f>
        <v/>
      </c>
    </row>
    <row r="682" customFormat="false" ht="15" hidden="false" customHeight="false" outlineLevel="0" collapsed="false">
      <c r="A682" s="20"/>
      <c r="B682" s="20"/>
      <c r="C682" s="21"/>
      <c r="D682" s="21"/>
      <c r="E682" s="22"/>
      <c r="F682" s="23"/>
      <c r="G682" s="19" t="n">
        <f aca="false">IF($E682="",0,MAX(0,ROUNDDOWN((TecilRaporTarihi-$E682)/30,0)))</f>
        <v>0</v>
      </c>
      <c r="H682" s="19" t="n">
        <f aca="false">IF($C682="",0,$C682+$D682)</f>
        <v>0</v>
      </c>
      <c r="I682" s="19" t="n">
        <f aca="false">IF($C682="",0,$C682*$F682)</f>
        <v>0</v>
      </c>
      <c r="J682" s="19" t="str">
        <f aca="false">IF($B682="","",CONCATENATE("Borç: ",$B682," | Toplam: ",TEXT($H682,"#,##0")))</f>
        <v/>
      </c>
    </row>
    <row r="683" customFormat="false" ht="15" hidden="false" customHeight="false" outlineLevel="0" collapsed="false">
      <c r="A683" s="20"/>
      <c r="B683" s="20"/>
      <c r="C683" s="21"/>
      <c r="D683" s="21"/>
      <c r="E683" s="22"/>
      <c r="F683" s="23"/>
      <c r="G683" s="19" t="n">
        <f aca="false">IF($E683="",0,MAX(0,ROUNDDOWN((TecilRaporTarihi-$E683)/30,0)))</f>
        <v>0</v>
      </c>
      <c r="H683" s="19" t="n">
        <f aca="false">IF($C683="",0,$C683+$D683)</f>
        <v>0</v>
      </c>
      <c r="I683" s="19" t="n">
        <f aca="false">IF($C683="",0,$C683*$F683)</f>
        <v>0</v>
      </c>
      <c r="J683" s="19" t="str">
        <f aca="false">IF($B683="","",CONCATENATE("Borç: ",$B683," | Toplam: ",TEXT($H683,"#,##0")))</f>
        <v/>
      </c>
    </row>
    <row r="684" customFormat="false" ht="15" hidden="false" customHeight="false" outlineLevel="0" collapsed="false">
      <c r="A684" s="20"/>
      <c r="B684" s="20"/>
      <c r="C684" s="21"/>
      <c r="D684" s="21"/>
      <c r="E684" s="22"/>
      <c r="F684" s="23"/>
      <c r="G684" s="19" t="n">
        <f aca="false">IF($E684="",0,MAX(0,ROUNDDOWN((TecilRaporTarihi-$E684)/30,0)))</f>
        <v>0</v>
      </c>
      <c r="H684" s="19" t="n">
        <f aca="false">IF($C684="",0,$C684+$D684)</f>
        <v>0</v>
      </c>
      <c r="I684" s="19" t="n">
        <f aca="false">IF($C684="",0,$C684*$F684)</f>
        <v>0</v>
      </c>
      <c r="J684" s="19" t="str">
        <f aca="false">IF($B684="","",CONCATENATE("Borç: ",$B684," | Toplam: ",TEXT($H684,"#,##0")))</f>
        <v/>
      </c>
    </row>
    <row r="685" customFormat="false" ht="15" hidden="false" customHeight="false" outlineLevel="0" collapsed="false">
      <c r="A685" s="20"/>
      <c r="B685" s="20"/>
      <c r="C685" s="21"/>
      <c r="D685" s="21"/>
      <c r="E685" s="22"/>
      <c r="F685" s="23"/>
      <c r="G685" s="19" t="n">
        <f aca="false">IF($E685="",0,MAX(0,ROUNDDOWN((TecilRaporTarihi-$E685)/30,0)))</f>
        <v>0</v>
      </c>
      <c r="H685" s="19" t="n">
        <f aca="false">IF($C685="",0,$C685+$D685)</f>
        <v>0</v>
      </c>
      <c r="I685" s="19" t="n">
        <f aca="false">IF($C685="",0,$C685*$F685)</f>
        <v>0</v>
      </c>
      <c r="J685" s="19" t="str">
        <f aca="false">IF($B685="","",CONCATENATE("Borç: ",$B685," | Toplam: ",TEXT($H685,"#,##0")))</f>
        <v/>
      </c>
    </row>
    <row r="686" customFormat="false" ht="15" hidden="false" customHeight="false" outlineLevel="0" collapsed="false">
      <c r="A686" s="20"/>
      <c r="B686" s="20"/>
      <c r="C686" s="21"/>
      <c r="D686" s="21"/>
      <c r="E686" s="22"/>
      <c r="F686" s="23"/>
      <c r="G686" s="19" t="n">
        <f aca="false">IF($E686="",0,MAX(0,ROUNDDOWN((TecilRaporTarihi-$E686)/30,0)))</f>
        <v>0</v>
      </c>
      <c r="H686" s="19" t="n">
        <f aca="false">IF($C686="",0,$C686+$D686)</f>
        <v>0</v>
      </c>
      <c r="I686" s="19" t="n">
        <f aca="false">IF($C686="",0,$C686*$F686)</f>
        <v>0</v>
      </c>
      <c r="J686" s="19" t="str">
        <f aca="false">IF($B686="","",CONCATENATE("Borç: ",$B686," | Toplam: ",TEXT($H686,"#,##0")))</f>
        <v/>
      </c>
    </row>
    <row r="687" customFormat="false" ht="15" hidden="false" customHeight="false" outlineLevel="0" collapsed="false">
      <c r="A687" s="20"/>
      <c r="B687" s="20"/>
      <c r="C687" s="21"/>
      <c r="D687" s="21"/>
      <c r="E687" s="22"/>
      <c r="F687" s="23"/>
      <c r="G687" s="19" t="n">
        <f aca="false">IF($E687="",0,MAX(0,ROUNDDOWN((TecilRaporTarihi-$E687)/30,0)))</f>
        <v>0</v>
      </c>
      <c r="H687" s="19" t="n">
        <f aca="false">IF($C687="",0,$C687+$D687)</f>
        <v>0</v>
      </c>
      <c r="I687" s="19" t="n">
        <f aca="false">IF($C687="",0,$C687*$F687)</f>
        <v>0</v>
      </c>
      <c r="J687" s="19" t="str">
        <f aca="false">IF($B687="","",CONCATENATE("Borç: ",$B687," | Toplam: ",TEXT($H687,"#,##0")))</f>
        <v/>
      </c>
    </row>
    <row r="688" customFormat="false" ht="15" hidden="false" customHeight="false" outlineLevel="0" collapsed="false">
      <c r="A688" s="20"/>
      <c r="B688" s="20"/>
      <c r="C688" s="21"/>
      <c r="D688" s="21"/>
      <c r="E688" s="22"/>
      <c r="F688" s="23"/>
      <c r="G688" s="19" t="n">
        <f aca="false">IF($E688="",0,MAX(0,ROUNDDOWN((TecilRaporTarihi-$E688)/30,0)))</f>
        <v>0</v>
      </c>
      <c r="H688" s="19" t="n">
        <f aca="false">IF($C688="",0,$C688+$D688)</f>
        <v>0</v>
      </c>
      <c r="I688" s="19" t="n">
        <f aca="false">IF($C688="",0,$C688*$F688)</f>
        <v>0</v>
      </c>
      <c r="J688" s="19" t="str">
        <f aca="false">IF($B688="","",CONCATENATE("Borç: ",$B688," | Toplam: ",TEXT($H688,"#,##0")))</f>
        <v/>
      </c>
    </row>
    <row r="689" customFormat="false" ht="15" hidden="false" customHeight="false" outlineLevel="0" collapsed="false">
      <c r="A689" s="20"/>
      <c r="B689" s="20"/>
      <c r="C689" s="21"/>
      <c r="D689" s="21"/>
      <c r="E689" s="22"/>
      <c r="F689" s="23"/>
      <c r="G689" s="19" t="n">
        <f aca="false">IF($E689="",0,MAX(0,ROUNDDOWN((TecilRaporTarihi-$E689)/30,0)))</f>
        <v>0</v>
      </c>
      <c r="H689" s="19" t="n">
        <f aca="false">IF($C689="",0,$C689+$D689)</f>
        <v>0</v>
      </c>
      <c r="I689" s="19" t="n">
        <f aca="false">IF($C689="",0,$C689*$F689)</f>
        <v>0</v>
      </c>
      <c r="J689" s="19" t="str">
        <f aca="false">IF($B689="","",CONCATENATE("Borç: ",$B689," | Toplam: ",TEXT($H689,"#,##0")))</f>
        <v/>
      </c>
    </row>
    <row r="690" customFormat="false" ht="15" hidden="false" customHeight="false" outlineLevel="0" collapsed="false">
      <c r="A690" s="20"/>
      <c r="B690" s="20"/>
      <c r="C690" s="21"/>
      <c r="D690" s="21"/>
      <c r="E690" s="22"/>
      <c r="F690" s="23"/>
      <c r="G690" s="19" t="n">
        <f aca="false">IF($E690="",0,MAX(0,ROUNDDOWN((TecilRaporTarihi-$E690)/30,0)))</f>
        <v>0</v>
      </c>
      <c r="H690" s="19" t="n">
        <f aca="false">IF($C690="",0,$C690+$D690)</f>
        <v>0</v>
      </c>
      <c r="I690" s="19" t="n">
        <f aca="false">IF($C690="",0,$C690*$F690)</f>
        <v>0</v>
      </c>
      <c r="J690" s="19" t="str">
        <f aca="false">IF($B690="","",CONCATENATE("Borç: ",$B690," | Toplam: ",TEXT($H690,"#,##0")))</f>
        <v/>
      </c>
    </row>
    <row r="691" customFormat="false" ht="15" hidden="false" customHeight="false" outlineLevel="0" collapsed="false">
      <c r="A691" s="20"/>
      <c r="B691" s="20"/>
      <c r="C691" s="21"/>
      <c r="D691" s="21"/>
      <c r="E691" s="22"/>
      <c r="F691" s="23"/>
      <c r="G691" s="19" t="n">
        <f aca="false">IF($E691="",0,MAX(0,ROUNDDOWN((TecilRaporTarihi-$E691)/30,0)))</f>
        <v>0</v>
      </c>
      <c r="H691" s="19" t="n">
        <f aca="false">IF($C691="",0,$C691+$D691)</f>
        <v>0</v>
      </c>
      <c r="I691" s="19" t="n">
        <f aca="false">IF($C691="",0,$C691*$F691)</f>
        <v>0</v>
      </c>
      <c r="J691" s="19" t="str">
        <f aca="false">IF($B691="","",CONCATENATE("Borç: ",$B691," | Toplam: ",TEXT($H691,"#,##0")))</f>
        <v/>
      </c>
    </row>
    <row r="692" customFormat="false" ht="15" hidden="false" customHeight="false" outlineLevel="0" collapsed="false">
      <c r="A692" s="20"/>
      <c r="B692" s="20"/>
      <c r="C692" s="21"/>
      <c r="D692" s="21"/>
      <c r="E692" s="22"/>
      <c r="F692" s="23"/>
      <c r="G692" s="19" t="n">
        <f aca="false">IF($E692="",0,MAX(0,ROUNDDOWN((TecilRaporTarihi-$E692)/30,0)))</f>
        <v>0</v>
      </c>
      <c r="H692" s="19" t="n">
        <f aca="false">IF($C692="",0,$C692+$D692)</f>
        <v>0</v>
      </c>
      <c r="I692" s="19" t="n">
        <f aca="false">IF($C692="",0,$C692*$F692)</f>
        <v>0</v>
      </c>
      <c r="J692" s="19" t="str">
        <f aca="false">IF($B692="","",CONCATENATE("Borç: ",$B692," | Toplam: ",TEXT($H692,"#,##0")))</f>
        <v/>
      </c>
    </row>
    <row r="693" customFormat="false" ht="15" hidden="false" customHeight="false" outlineLevel="0" collapsed="false">
      <c r="A693" s="20"/>
      <c r="B693" s="20"/>
      <c r="C693" s="21"/>
      <c r="D693" s="21"/>
      <c r="E693" s="22"/>
      <c r="F693" s="23"/>
      <c r="G693" s="19" t="n">
        <f aca="false">IF($E693="",0,MAX(0,ROUNDDOWN((TecilRaporTarihi-$E693)/30,0)))</f>
        <v>0</v>
      </c>
      <c r="H693" s="19" t="n">
        <f aca="false">IF($C693="",0,$C693+$D693)</f>
        <v>0</v>
      </c>
      <c r="I693" s="19" t="n">
        <f aca="false">IF($C693="",0,$C693*$F693)</f>
        <v>0</v>
      </c>
      <c r="J693" s="19" t="str">
        <f aca="false">IF($B693="","",CONCATENATE("Borç: ",$B693," | Toplam: ",TEXT($H693,"#,##0")))</f>
        <v/>
      </c>
    </row>
    <row r="694" customFormat="false" ht="15" hidden="false" customHeight="false" outlineLevel="0" collapsed="false">
      <c r="A694" s="20"/>
      <c r="B694" s="20"/>
      <c r="C694" s="21"/>
      <c r="D694" s="21"/>
      <c r="E694" s="22"/>
      <c r="F694" s="23"/>
      <c r="G694" s="19" t="n">
        <f aca="false">IF($E694="",0,MAX(0,ROUNDDOWN((TecilRaporTarihi-$E694)/30,0)))</f>
        <v>0</v>
      </c>
      <c r="H694" s="19" t="n">
        <f aca="false">IF($C694="",0,$C694+$D694)</f>
        <v>0</v>
      </c>
      <c r="I694" s="19" t="n">
        <f aca="false">IF($C694="",0,$C694*$F694)</f>
        <v>0</v>
      </c>
      <c r="J694" s="19" t="str">
        <f aca="false">IF($B694="","",CONCATENATE("Borç: ",$B694," | Toplam: ",TEXT($H694,"#,##0")))</f>
        <v/>
      </c>
    </row>
    <row r="695" customFormat="false" ht="15" hidden="false" customHeight="false" outlineLevel="0" collapsed="false">
      <c r="A695" s="20"/>
      <c r="B695" s="20"/>
      <c r="C695" s="21"/>
      <c r="D695" s="21"/>
      <c r="E695" s="22"/>
      <c r="F695" s="23"/>
      <c r="G695" s="19" t="n">
        <f aca="false">IF($E695="",0,MAX(0,ROUNDDOWN((TecilRaporTarihi-$E695)/30,0)))</f>
        <v>0</v>
      </c>
      <c r="H695" s="19" t="n">
        <f aca="false">IF($C695="",0,$C695+$D695)</f>
        <v>0</v>
      </c>
      <c r="I695" s="19" t="n">
        <f aca="false">IF($C695="",0,$C695*$F695)</f>
        <v>0</v>
      </c>
      <c r="J695" s="19" t="str">
        <f aca="false">IF($B695="","",CONCATENATE("Borç: ",$B695," | Toplam: ",TEXT($H695,"#,##0")))</f>
        <v/>
      </c>
    </row>
    <row r="696" customFormat="false" ht="15" hidden="false" customHeight="false" outlineLevel="0" collapsed="false">
      <c r="A696" s="20"/>
      <c r="B696" s="20"/>
      <c r="C696" s="21"/>
      <c r="D696" s="21"/>
      <c r="E696" s="22"/>
      <c r="F696" s="23"/>
      <c r="G696" s="19" t="n">
        <f aca="false">IF($E696="",0,MAX(0,ROUNDDOWN((TecilRaporTarihi-$E696)/30,0)))</f>
        <v>0</v>
      </c>
      <c r="H696" s="19" t="n">
        <f aca="false">IF($C696="",0,$C696+$D696)</f>
        <v>0</v>
      </c>
      <c r="I696" s="19" t="n">
        <f aca="false">IF($C696="",0,$C696*$F696)</f>
        <v>0</v>
      </c>
      <c r="J696" s="19" t="str">
        <f aca="false">IF($B696="","",CONCATENATE("Borç: ",$B696," | Toplam: ",TEXT($H696,"#,##0")))</f>
        <v/>
      </c>
    </row>
    <row r="697" customFormat="false" ht="15" hidden="false" customHeight="false" outlineLevel="0" collapsed="false">
      <c r="A697" s="20"/>
      <c r="B697" s="20"/>
      <c r="C697" s="21"/>
      <c r="D697" s="21"/>
      <c r="E697" s="22"/>
      <c r="F697" s="23"/>
      <c r="G697" s="19" t="n">
        <f aca="false">IF($E697="",0,MAX(0,ROUNDDOWN((TecilRaporTarihi-$E697)/30,0)))</f>
        <v>0</v>
      </c>
      <c r="H697" s="19" t="n">
        <f aca="false">IF($C697="",0,$C697+$D697)</f>
        <v>0</v>
      </c>
      <c r="I697" s="19" t="n">
        <f aca="false">IF($C697="",0,$C697*$F697)</f>
        <v>0</v>
      </c>
      <c r="J697" s="19" t="str">
        <f aca="false">IF($B697="","",CONCATENATE("Borç: ",$B697," | Toplam: ",TEXT($H697,"#,##0")))</f>
        <v/>
      </c>
    </row>
    <row r="698" customFormat="false" ht="15" hidden="false" customHeight="false" outlineLevel="0" collapsed="false">
      <c r="A698" s="20"/>
      <c r="B698" s="20"/>
      <c r="C698" s="21"/>
      <c r="D698" s="21"/>
      <c r="E698" s="22"/>
      <c r="F698" s="23"/>
      <c r="G698" s="19" t="n">
        <f aca="false">IF($E698="",0,MAX(0,ROUNDDOWN((TecilRaporTarihi-$E698)/30,0)))</f>
        <v>0</v>
      </c>
      <c r="H698" s="19" t="n">
        <f aca="false">IF($C698="",0,$C698+$D698)</f>
        <v>0</v>
      </c>
      <c r="I698" s="19" t="n">
        <f aca="false">IF($C698="",0,$C698*$F698)</f>
        <v>0</v>
      </c>
      <c r="J698" s="19" t="str">
        <f aca="false">IF($B698="","",CONCATENATE("Borç: ",$B698," | Toplam: ",TEXT($H698,"#,##0")))</f>
        <v/>
      </c>
    </row>
    <row r="699" customFormat="false" ht="15" hidden="false" customHeight="false" outlineLevel="0" collapsed="false">
      <c r="A699" s="20"/>
      <c r="B699" s="20"/>
      <c r="C699" s="21"/>
      <c r="D699" s="21"/>
      <c r="E699" s="22"/>
      <c r="F699" s="23"/>
      <c r="G699" s="19" t="n">
        <f aca="false">IF($E699="",0,MAX(0,ROUNDDOWN((TecilRaporTarihi-$E699)/30,0)))</f>
        <v>0</v>
      </c>
      <c r="H699" s="19" t="n">
        <f aca="false">IF($C699="",0,$C699+$D699)</f>
        <v>0</v>
      </c>
      <c r="I699" s="19" t="n">
        <f aca="false">IF($C699="",0,$C699*$F699)</f>
        <v>0</v>
      </c>
      <c r="J699" s="19" t="str">
        <f aca="false">IF($B699="","",CONCATENATE("Borç: ",$B699," | Toplam: ",TEXT($H699,"#,##0")))</f>
        <v/>
      </c>
    </row>
    <row r="700" customFormat="false" ht="15" hidden="false" customHeight="false" outlineLevel="0" collapsed="false">
      <c r="A700" s="20"/>
      <c r="B700" s="20"/>
      <c r="C700" s="21"/>
      <c r="D700" s="21"/>
      <c r="E700" s="22"/>
      <c r="F700" s="23"/>
      <c r="G700" s="19" t="n">
        <f aca="false">IF($E700="",0,MAX(0,ROUNDDOWN((TecilRaporTarihi-$E700)/30,0)))</f>
        <v>0</v>
      </c>
      <c r="H700" s="19" t="n">
        <f aca="false">IF($C700="",0,$C700+$D700)</f>
        <v>0</v>
      </c>
      <c r="I700" s="19" t="n">
        <f aca="false">IF($C700="",0,$C700*$F700)</f>
        <v>0</v>
      </c>
      <c r="J700" s="19" t="str">
        <f aca="false">IF($B700="","",CONCATENATE("Borç: ",$B700," | Toplam: ",TEXT($H700,"#,##0")))</f>
        <v/>
      </c>
    </row>
    <row r="701" customFormat="false" ht="15" hidden="false" customHeight="false" outlineLevel="0" collapsed="false">
      <c r="A701" s="20"/>
      <c r="B701" s="20"/>
      <c r="C701" s="21"/>
      <c r="D701" s="21"/>
      <c r="E701" s="22"/>
      <c r="F701" s="23"/>
      <c r="G701" s="19" t="n">
        <f aca="false">IF($E701="",0,MAX(0,ROUNDDOWN((TecilRaporTarihi-$E701)/30,0)))</f>
        <v>0</v>
      </c>
      <c r="H701" s="19" t="n">
        <f aca="false">IF($C701="",0,$C701+$D701)</f>
        <v>0</v>
      </c>
      <c r="I701" s="19" t="n">
        <f aca="false">IF($C701="",0,$C701*$F701)</f>
        <v>0</v>
      </c>
      <c r="J701" s="19" t="str">
        <f aca="false">IF($B701="","",CONCATENATE("Borç: ",$B701," | Toplam: ",TEXT($H701,"#,##0")))</f>
        <v/>
      </c>
    </row>
    <row r="702" customFormat="false" ht="15" hidden="false" customHeight="false" outlineLevel="0" collapsed="false">
      <c r="A702" s="20"/>
      <c r="B702" s="20"/>
      <c r="C702" s="21"/>
      <c r="D702" s="21"/>
      <c r="E702" s="22"/>
      <c r="F702" s="23"/>
      <c r="G702" s="19" t="n">
        <f aca="false">IF($E702="",0,MAX(0,ROUNDDOWN((TecilRaporTarihi-$E702)/30,0)))</f>
        <v>0</v>
      </c>
      <c r="H702" s="19" t="n">
        <f aca="false">IF($C702="",0,$C702+$D702)</f>
        <v>0</v>
      </c>
      <c r="I702" s="19" t="n">
        <f aca="false">IF($C702="",0,$C702*$F702)</f>
        <v>0</v>
      </c>
      <c r="J702" s="19" t="str">
        <f aca="false">IF($B702="","",CONCATENATE("Borç: ",$B702," | Toplam: ",TEXT($H702,"#,##0")))</f>
        <v/>
      </c>
    </row>
    <row r="703" customFormat="false" ht="15" hidden="false" customHeight="false" outlineLevel="0" collapsed="false">
      <c r="A703" s="20"/>
      <c r="B703" s="20"/>
      <c r="C703" s="21"/>
      <c r="D703" s="21"/>
      <c r="E703" s="22"/>
      <c r="F703" s="23"/>
      <c r="G703" s="19" t="n">
        <f aca="false">IF($E703="",0,MAX(0,ROUNDDOWN((TecilRaporTarihi-$E703)/30,0)))</f>
        <v>0</v>
      </c>
      <c r="H703" s="19" t="n">
        <f aca="false">IF($C703="",0,$C703+$D703)</f>
        <v>0</v>
      </c>
      <c r="I703" s="19" t="n">
        <f aca="false">IF($C703="",0,$C703*$F703)</f>
        <v>0</v>
      </c>
      <c r="J703" s="19" t="str">
        <f aca="false">IF($B703="","",CONCATENATE("Borç: ",$B703," | Toplam: ",TEXT($H703,"#,##0")))</f>
        <v/>
      </c>
    </row>
    <row r="704" customFormat="false" ht="15" hidden="false" customHeight="false" outlineLevel="0" collapsed="false">
      <c r="A704" s="20"/>
      <c r="B704" s="20"/>
      <c r="C704" s="21"/>
      <c r="D704" s="21"/>
      <c r="E704" s="22"/>
      <c r="F704" s="23"/>
      <c r="G704" s="19" t="n">
        <f aca="false">IF($E704="",0,MAX(0,ROUNDDOWN((TecilRaporTarihi-$E704)/30,0)))</f>
        <v>0</v>
      </c>
      <c r="H704" s="19" t="n">
        <f aca="false">IF($C704="",0,$C704+$D704)</f>
        <v>0</v>
      </c>
      <c r="I704" s="19" t="n">
        <f aca="false">IF($C704="",0,$C704*$F704)</f>
        <v>0</v>
      </c>
      <c r="J704" s="19" t="str">
        <f aca="false">IF($B704="","",CONCATENATE("Borç: ",$B704," | Toplam: ",TEXT($H704,"#,##0")))</f>
        <v/>
      </c>
    </row>
    <row r="705" customFormat="false" ht="15" hidden="false" customHeight="false" outlineLevel="0" collapsed="false">
      <c r="A705" s="20"/>
      <c r="B705" s="20"/>
      <c r="C705" s="21"/>
      <c r="D705" s="21"/>
      <c r="E705" s="22"/>
      <c r="F705" s="23"/>
      <c r="G705" s="19" t="n">
        <f aca="false">IF($E705="",0,MAX(0,ROUNDDOWN((TecilRaporTarihi-$E705)/30,0)))</f>
        <v>0</v>
      </c>
      <c r="H705" s="19" t="n">
        <f aca="false">IF($C705="",0,$C705+$D705)</f>
        <v>0</v>
      </c>
      <c r="I705" s="19" t="n">
        <f aca="false">IF($C705="",0,$C705*$F705)</f>
        <v>0</v>
      </c>
      <c r="J705" s="19" t="str">
        <f aca="false">IF($B705="","",CONCATENATE("Borç: ",$B705," | Toplam: ",TEXT($H705,"#,##0")))</f>
        <v/>
      </c>
    </row>
    <row r="706" customFormat="false" ht="15" hidden="false" customHeight="false" outlineLevel="0" collapsed="false">
      <c r="A706" s="20"/>
      <c r="B706" s="20"/>
      <c r="C706" s="21"/>
      <c r="D706" s="21"/>
      <c r="E706" s="22"/>
      <c r="F706" s="23"/>
      <c r="G706" s="19" t="n">
        <f aca="false">IF($E706="",0,MAX(0,ROUNDDOWN((TecilRaporTarihi-$E706)/30,0)))</f>
        <v>0</v>
      </c>
      <c r="H706" s="19" t="n">
        <f aca="false">IF($C706="",0,$C706+$D706)</f>
        <v>0</v>
      </c>
      <c r="I706" s="19" t="n">
        <f aca="false">IF($C706="",0,$C706*$F706)</f>
        <v>0</v>
      </c>
      <c r="J706" s="19" t="str">
        <f aca="false">IF($B706="","",CONCATENATE("Borç: ",$B706," | Toplam: ",TEXT($H706,"#,##0")))</f>
        <v/>
      </c>
    </row>
    <row r="707" customFormat="false" ht="15" hidden="false" customHeight="false" outlineLevel="0" collapsed="false">
      <c r="A707" s="20"/>
      <c r="B707" s="20"/>
      <c r="C707" s="21"/>
      <c r="D707" s="21"/>
      <c r="E707" s="22"/>
      <c r="F707" s="23"/>
      <c r="G707" s="19" t="n">
        <f aca="false">IF($E707="",0,MAX(0,ROUNDDOWN((TecilRaporTarihi-$E707)/30,0)))</f>
        <v>0</v>
      </c>
      <c r="H707" s="19" t="n">
        <f aca="false">IF($C707="",0,$C707+$D707)</f>
        <v>0</v>
      </c>
      <c r="I707" s="19" t="n">
        <f aca="false">IF($C707="",0,$C707*$F707)</f>
        <v>0</v>
      </c>
      <c r="J707" s="19" t="str">
        <f aca="false">IF($B707="","",CONCATENATE("Borç: ",$B707," | Toplam: ",TEXT($H707,"#,##0")))</f>
        <v/>
      </c>
    </row>
    <row r="708" customFormat="false" ht="15" hidden="false" customHeight="false" outlineLevel="0" collapsed="false">
      <c r="A708" s="20"/>
      <c r="B708" s="20"/>
      <c r="C708" s="21"/>
      <c r="D708" s="21"/>
      <c r="E708" s="22"/>
      <c r="F708" s="23"/>
      <c r="G708" s="19" t="n">
        <f aca="false">IF($E708="",0,MAX(0,ROUNDDOWN((TecilRaporTarihi-$E708)/30,0)))</f>
        <v>0</v>
      </c>
      <c r="H708" s="19" t="n">
        <f aca="false">IF($C708="",0,$C708+$D708)</f>
        <v>0</v>
      </c>
      <c r="I708" s="19" t="n">
        <f aca="false">IF($C708="",0,$C708*$F708)</f>
        <v>0</v>
      </c>
      <c r="J708" s="19" t="str">
        <f aca="false">IF($B708="","",CONCATENATE("Borç: ",$B708," | Toplam: ",TEXT($H708,"#,##0")))</f>
        <v/>
      </c>
    </row>
    <row r="709" customFormat="false" ht="15" hidden="false" customHeight="false" outlineLevel="0" collapsed="false">
      <c r="A709" s="20"/>
      <c r="B709" s="20"/>
      <c r="C709" s="21"/>
      <c r="D709" s="21"/>
      <c r="E709" s="22"/>
      <c r="F709" s="23"/>
      <c r="G709" s="19" t="n">
        <f aca="false">IF($E709="",0,MAX(0,ROUNDDOWN((TecilRaporTarihi-$E709)/30,0)))</f>
        <v>0</v>
      </c>
      <c r="H709" s="19" t="n">
        <f aca="false">IF($C709="",0,$C709+$D709)</f>
        <v>0</v>
      </c>
      <c r="I709" s="19" t="n">
        <f aca="false">IF($C709="",0,$C709*$F709)</f>
        <v>0</v>
      </c>
      <c r="J709" s="19" t="str">
        <f aca="false">IF($B709="","",CONCATENATE("Borç: ",$B709," | Toplam: ",TEXT($H709,"#,##0")))</f>
        <v/>
      </c>
    </row>
    <row r="710" customFormat="false" ht="15" hidden="false" customHeight="false" outlineLevel="0" collapsed="false">
      <c r="A710" s="20"/>
      <c r="B710" s="20"/>
      <c r="C710" s="21"/>
      <c r="D710" s="21"/>
      <c r="E710" s="22"/>
      <c r="F710" s="23"/>
      <c r="G710" s="19" t="n">
        <f aca="false">IF($E710="",0,MAX(0,ROUNDDOWN((TecilRaporTarihi-$E710)/30,0)))</f>
        <v>0</v>
      </c>
      <c r="H710" s="19" t="n">
        <f aca="false">IF($C710="",0,$C710+$D710)</f>
        <v>0</v>
      </c>
      <c r="I710" s="19" t="n">
        <f aca="false">IF($C710="",0,$C710*$F710)</f>
        <v>0</v>
      </c>
      <c r="J710" s="19" t="str">
        <f aca="false">IF($B710="","",CONCATENATE("Borç: ",$B710," | Toplam: ",TEXT($H710,"#,##0")))</f>
        <v/>
      </c>
    </row>
    <row r="711" customFormat="false" ht="15" hidden="false" customHeight="false" outlineLevel="0" collapsed="false">
      <c r="A711" s="20"/>
      <c r="B711" s="20"/>
      <c r="C711" s="21"/>
      <c r="D711" s="21"/>
      <c r="E711" s="22"/>
      <c r="F711" s="23"/>
      <c r="G711" s="19" t="n">
        <f aca="false">IF($E711="",0,MAX(0,ROUNDDOWN((TecilRaporTarihi-$E711)/30,0)))</f>
        <v>0</v>
      </c>
      <c r="H711" s="19" t="n">
        <f aca="false">IF($C711="",0,$C711+$D711)</f>
        <v>0</v>
      </c>
      <c r="I711" s="19" t="n">
        <f aca="false">IF($C711="",0,$C711*$F711)</f>
        <v>0</v>
      </c>
      <c r="J711" s="19" t="str">
        <f aca="false">IF($B711="","",CONCATENATE("Borç: ",$B711," | Toplam: ",TEXT($H711,"#,##0")))</f>
        <v/>
      </c>
    </row>
    <row r="712" customFormat="false" ht="15" hidden="false" customHeight="false" outlineLevel="0" collapsed="false">
      <c r="A712" s="20"/>
      <c r="B712" s="20"/>
      <c r="C712" s="21"/>
      <c r="D712" s="21"/>
      <c r="E712" s="22"/>
      <c r="F712" s="23"/>
      <c r="G712" s="19" t="n">
        <f aca="false">IF($E712="",0,MAX(0,ROUNDDOWN((TecilRaporTarihi-$E712)/30,0)))</f>
        <v>0</v>
      </c>
      <c r="H712" s="19" t="n">
        <f aca="false">IF($C712="",0,$C712+$D712)</f>
        <v>0</v>
      </c>
      <c r="I712" s="19" t="n">
        <f aca="false">IF($C712="",0,$C712*$F712)</f>
        <v>0</v>
      </c>
      <c r="J712" s="19" t="str">
        <f aca="false">IF($B712="","",CONCATENATE("Borç: ",$B712," | Toplam: ",TEXT($H712,"#,##0")))</f>
        <v/>
      </c>
    </row>
    <row r="713" customFormat="false" ht="15" hidden="false" customHeight="false" outlineLevel="0" collapsed="false">
      <c r="A713" s="20"/>
      <c r="B713" s="20"/>
      <c r="C713" s="21"/>
      <c r="D713" s="21"/>
      <c r="E713" s="22"/>
      <c r="F713" s="23"/>
      <c r="G713" s="19" t="n">
        <f aca="false">IF($E713="",0,MAX(0,ROUNDDOWN((TecilRaporTarihi-$E713)/30,0)))</f>
        <v>0</v>
      </c>
      <c r="H713" s="19" t="n">
        <f aca="false">IF($C713="",0,$C713+$D713)</f>
        <v>0</v>
      </c>
      <c r="I713" s="19" t="n">
        <f aca="false">IF($C713="",0,$C713*$F713)</f>
        <v>0</v>
      </c>
      <c r="J713" s="19" t="str">
        <f aca="false">IF($B713="","",CONCATENATE("Borç: ",$B713," | Toplam: ",TEXT($H713,"#,##0")))</f>
        <v/>
      </c>
    </row>
    <row r="714" customFormat="false" ht="15" hidden="false" customHeight="false" outlineLevel="0" collapsed="false">
      <c r="A714" s="20"/>
      <c r="B714" s="20"/>
      <c r="C714" s="21"/>
      <c r="D714" s="21"/>
      <c r="E714" s="22"/>
      <c r="F714" s="23"/>
      <c r="G714" s="19" t="n">
        <f aca="false">IF($E714="",0,MAX(0,ROUNDDOWN((TecilRaporTarihi-$E714)/30,0)))</f>
        <v>0</v>
      </c>
      <c r="H714" s="19" t="n">
        <f aca="false">IF($C714="",0,$C714+$D714)</f>
        <v>0</v>
      </c>
      <c r="I714" s="19" t="n">
        <f aca="false">IF($C714="",0,$C714*$F714)</f>
        <v>0</v>
      </c>
      <c r="J714" s="19" t="str">
        <f aca="false">IF($B714="","",CONCATENATE("Borç: ",$B714," | Toplam: ",TEXT($H714,"#,##0")))</f>
        <v/>
      </c>
    </row>
    <row r="715" customFormat="false" ht="15" hidden="false" customHeight="false" outlineLevel="0" collapsed="false">
      <c r="A715" s="20"/>
      <c r="B715" s="20"/>
      <c r="C715" s="21"/>
      <c r="D715" s="21"/>
      <c r="E715" s="22"/>
      <c r="F715" s="23"/>
      <c r="G715" s="19" t="n">
        <f aca="false">IF($E715="",0,MAX(0,ROUNDDOWN((TecilRaporTarihi-$E715)/30,0)))</f>
        <v>0</v>
      </c>
      <c r="H715" s="19" t="n">
        <f aca="false">IF($C715="",0,$C715+$D715)</f>
        <v>0</v>
      </c>
      <c r="I715" s="19" t="n">
        <f aca="false">IF($C715="",0,$C715*$F715)</f>
        <v>0</v>
      </c>
      <c r="J715" s="19" t="str">
        <f aca="false">IF($B715="","",CONCATENATE("Borç: ",$B715," | Toplam: ",TEXT($H715,"#,##0")))</f>
        <v/>
      </c>
    </row>
    <row r="716" customFormat="false" ht="15" hidden="false" customHeight="false" outlineLevel="0" collapsed="false">
      <c r="A716" s="20"/>
      <c r="B716" s="20"/>
      <c r="C716" s="21"/>
      <c r="D716" s="21"/>
      <c r="E716" s="22"/>
      <c r="F716" s="23"/>
      <c r="G716" s="19" t="n">
        <f aca="false">IF($E716="",0,MAX(0,ROUNDDOWN((TecilRaporTarihi-$E716)/30,0)))</f>
        <v>0</v>
      </c>
      <c r="H716" s="19" t="n">
        <f aca="false">IF($C716="",0,$C716+$D716)</f>
        <v>0</v>
      </c>
      <c r="I716" s="19" t="n">
        <f aca="false">IF($C716="",0,$C716*$F716)</f>
        <v>0</v>
      </c>
      <c r="J716" s="19" t="str">
        <f aca="false">IF($B716="","",CONCATENATE("Borç: ",$B716," | Toplam: ",TEXT($H716,"#,##0")))</f>
        <v/>
      </c>
    </row>
    <row r="717" customFormat="false" ht="15" hidden="false" customHeight="false" outlineLevel="0" collapsed="false">
      <c r="A717" s="20"/>
      <c r="B717" s="20"/>
      <c r="C717" s="21"/>
      <c r="D717" s="21"/>
      <c r="E717" s="22"/>
      <c r="F717" s="23"/>
      <c r="G717" s="19" t="n">
        <f aca="false">IF($E717="",0,MAX(0,ROUNDDOWN((TecilRaporTarihi-$E717)/30,0)))</f>
        <v>0</v>
      </c>
      <c r="H717" s="19" t="n">
        <f aca="false">IF($C717="",0,$C717+$D717)</f>
        <v>0</v>
      </c>
      <c r="I717" s="19" t="n">
        <f aca="false">IF($C717="",0,$C717*$F717)</f>
        <v>0</v>
      </c>
      <c r="J717" s="19" t="str">
        <f aca="false">IF($B717="","",CONCATENATE("Borç: ",$B717," | Toplam: ",TEXT($H717,"#,##0")))</f>
        <v/>
      </c>
    </row>
    <row r="718" customFormat="false" ht="15" hidden="false" customHeight="false" outlineLevel="0" collapsed="false">
      <c r="A718" s="20"/>
      <c r="B718" s="20"/>
      <c r="C718" s="21"/>
      <c r="D718" s="21"/>
      <c r="E718" s="22"/>
      <c r="F718" s="23"/>
      <c r="G718" s="19" t="n">
        <f aca="false">IF($E718="",0,MAX(0,ROUNDDOWN((TecilRaporTarihi-$E718)/30,0)))</f>
        <v>0</v>
      </c>
      <c r="H718" s="19" t="n">
        <f aca="false">IF($C718="",0,$C718+$D718)</f>
        <v>0</v>
      </c>
      <c r="I718" s="19" t="n">
        <f aca="false">IF($C718="",0,$C718*$F718)</f>
        <v>0</v>
      </c>
      <c r="J718" s="19" t="str">
        <f aca="false">IF($B718="","",CONCATENATE("Borç: ",$B718," | Toplam: ",TEXT($H718,"#,##0")))</f>
        <v/>
      </c>
    </row>
    <row r="719" customFormat="false" ht="15" hidden="false" customHeight="false" outlineLevel="0" collapsed="false">
      <c r="A719" s="20"/>
      <c r="B719" s="20"/>
      <c r="C719" s="21"/>
      <c r="D719" s="21"/>
      <c r="E719" s="22"/>
      <c r="F719" s="23"/>
      <c r="G719" s="19" t="n">
        <f aca="false">IF($E719="",0,MAX(0,ROUNDDOWN((TecilRaporTarihi-$E719)/30,0)))</f>
        <v>0</v>
      </c>
      <c r="H719" s="19" t="n">
        <f aca="false">IF($C719="",0,$C719+$D719)</f>
        <v>0</v>
      </c>
      <c r="I719" s="19" t="n">
        <f aca="false">IF($C719="",0,$C719*$F719)</f>
        <v>0</v>
      </c>
      <c r="J719" s="19" t="str">
        <f aca="false">IF($B719="","",CONCATENATE("Borç: ",$B719," | Toplam: ",TEXT($H719,"#,##0")))</f>
        <v/>
      </c>
    </row>
    <row r="720" customFormat="false" ht="15" hidden="false" customHeight="false" outlineLevel="0" collapsed="false">
      <c r="A720" s="20"/>
      <c r="B720" s="20"/>
      <c r="C720" s="21"/>
      <c r="D720" s="21"/>
      <c r="E720" s="22"/>
      <c r="F720" s="23"/>
      <c r="G720" s="19" t="n">
        <f aca="false">IF($E720="",0,MAX(0,ROUNDDOWN((TecilRaporTarihi-$E720)/30,0)))</f>
        <v>0</v>
      </c>
      <c r="H720" s="19" t="n">
        <f aca="false">IF($C720="",0,$C720+$D720)</f>
        <v>0</v>
      </c>
      <c r="I720" s="19" t="n">
        <f aca="false">IF($C720="",0,$C720*$F720)</f>
        <v>0</v>
      </c>
      <c r="J720" s="19" t="str">
        <f aca="false">IF($B720="","",CONCATENATE("Borç: ",$B720," | Toplam: ",TEXT($H720,"#,##0")))</f>
        <v/>
      </c>
    </row>
    <row r="721" customFormat="false" ht="15" hidden="false" customHeight="false" outlineLevel="0" collapsed="false">
      <c r="A721" s="20"/>
      <c r="B721" s="20"/>
      <c r="C721" s="21"/>
      <c r="D721" s="21"/>
      <c r="E721" s="22"/>
      <c r="F721" s="23"/>
      <c r="G721" s="19" t="n">
        <f aca="false">IF($E721="",0,MAX(0,ROUNDDOWN((TecilRaporTarihi-$E721)/30,0)))</f>
        <v>0</v>
      </c>
      <c r="H721" s="19" t="n">
        <f aca="false">IF($C721="",0,$C721+$D721)</f>
        <v>0</v>
      </c>
      <c r="I721" s="19" t="n">
        <f aca="false">IF($C721="",0,$C721*$F721)</f>
        <v>0</v>
      </c>
      <c r="J721" s="19" t="str">
        <f aca="false">IF($B721="","",CONCATENATE("Borç: ",$B721," | Toplam: ",TEXT($H721,"#,##0")))</f>
        <v/>
      </c>
    </row>
    <row r="722" customFormat="false" ht="15" hidden="false" customHeight="false" outlineLevel="0" collapsed="false">
      <c r="A722" s="20"/>
      <c r="B722" s="20"/>
      <c r="C722" s="21"/>
      <c r="D722" s="21"/>
      <c r="E722" s="22"/>
      <c r="F722" s="23"/>
      <c r="G722" s="19" t="n">
        <f aca="false">IF($E722="",0,MAX(0,ROUNDDOWN((TecilRaporTarihi-$E722)/30,0)))</f>
        <v>0</v>
      </c>
      <c r="H722" s="19" t="n">
        <f aca="false">IF($C722="",0,$C722+$D722)</f>
        <v>0</v>
      </c>
      <c r="I722" s="19" t="n">
        <f aca="false">IF($C722="",0,$C722*$F722)</f>
        <v>0</v>
      </c>
      <c r="J722" s="19" t="str">
        <f aca="false">IF($B722="","",CONCATENATE("Borç: ",$B722," | Toplam: ",TEXT($H722,"#,##0")))</f>
        <v/>
      </c>
    </row>
    <row r="723" customFormat="false" ht="15" hidden="false" customHeight="false" outlineLevel="0" collapsed="false">
      <c r="A723" s="20"/>
      <c r="B723" s="20"/>
      <c r="C723" s="21"/>
      <c r="D723" s="21"/>
      <c r="E723" s="22"/>
      <c r="F723" s="23"/>
      <c r="G723" s="19" t="n">
        <f aca="false">IF($E723="",0,MAX(0,ROUNDDOWN((TecilRaporTarihi-$E723)/30,0)))</f>
        <v>0</v>
      </c>
      <c r="H723" s="19" t="n">
        <f aca="false">IF($C723="",0,$C723+$D723)</f>
        <v>0</v>
      </c>
      <c r="I723" s="19" t="n">
        <f aca="false">IF($C723="",0,$C723*$F723)</f>
        <v>0</v>
      </c>
      <c r="J723" s="19" t="str">
        <f aca="false">IF($B723="","",CONCATENATE("Borç: ",$B723," | Toplam: ",TEXT($H723,"#,##0")))</f>
        <v/>
      </c>
    </row>
    <row r="724" customFormat="false" ht="15" hidden="false" customHeight="false" outlineLevel="0" collapsed="false">
      <c r="A724" s="20"/>
      <c r="B724" s="20"/>
      <c r="C724" s="21"/>
      <c r="D724" s="21"/>
      <c r="E724" s="22"/>
      <c r="F724" s="23"/>
      <c r="G724" s="19" t="n">
        <f aca="false">IF($E724="",0,MAX(0,ROUNDDOWN((TecilRaporTarihi-$E724)/30,0)))</f>
        <v>0</v>
      </c>
      <c r="H724" s="19" t="n">
        <f aca="false">IF($C724="",0,$C724+$D724)</f>
        <v>0</v>
      </c>
      <c r="I724" s="19" t="n">
        <f aca="false">IF($C724="",0,$C724*$F724)</f>
        <v>0</v>
      </c>
      <c r="J724" s="19" t="str">
        <f aca="false">IF($B724="","",CONCATENATE("Borç: ",$B724," | Toplam: ",TEXT($H724,"#,##0")))</f>
        <v/>
      </c>
    </row>
    <row r="725" customFormat="false" ht="15" hidden="false" customHeight="false" outlineLevel="0" collapsed="false">
      <c r="A725" s="20"/>
      <c r="B725" s="20"/>
      <c r="C725" s="21"/>
      <c r="D725" s="21"/>
      <c r="E725" s="22"/>
      <c r="F725" s="23"/>
      <c r="G725" s="19" t="n">
        <f aca="false">IF($E725="",0,MAX(0,ROUNDDOWN((TecilRaporTarihi-$E725)/30,0)))</f>
        <v>0</v>
      </c>
      <c r="H725" s="19" t="n">
        <f aca="false">IF($C725="",0,$C725+$D725)</f>
        <v>0</v>
      </c>
      <c r="I725" s="19" t="n">
        <f aca="false">IF($C725="",0,$C725*$F725)</f>
        <v>0</v>
      </c>
      <c r="J725" s="19" t="str">
        <f aca="false">IF($B725="","",CONCATENATE("Borç: ",$B725," | Toplam: ",TEXT($H725,"#,##0")))</f>
        <v/>
      </c>
    </row>
    <row r="726" customFormat="false" ht="15" hidden="false" customHeight="false" outlineLevel="0" collapsed="false">
      <c r="A726" s="20"/>
      <c r="B726" s="20"/>
      <c r="C726" s="21"/>
      <c r="D726" s="21"/>
      <c r="E726" s="22"/>
      <c r="F726" s="23"/>
      <c r="G726" s="19" t="n">
        <f aca="false">IF($E726="",0,MAX(0,ROUNDDOWN((TecilRaporTarihi-$E726)/30,0)))</f>
        <v>0</v>
      </c>
      <c r="H726" s="19" t="n">
        <f aca="false">IF($C726="",0,$C726+$D726)</f>
        <v>0</v>
      </c>
      <c r="I726" s="19" t="n">
        <f aca="false">IF($C726="",0,$C726*$F726)</f>
        <v>0</v>
      </c>
      <c r="J726" s="19" t="str">
        <f aca="false">IF($B726="","",CONCATENATE("Borç: ",$B726," | Toplam: ",TEXT($H726,"#,##0")))</f>
        <v/>
      </c>
    </row>
    <row r="727" customFormat="false" ht="15" hidden="false" customHeight="false" outlineLevel="0" collapsed="false">
      <c r="A727" s="20"/>
      <c r="B727" s="20"/>
      <c r="C727" s="21"/>
      <c r="D727" s="21"/>
      <c r="E727" s="22"/>
      <c r="F727" s="23"/>
      <c r="G727" s="19" t="n">
        <f aca="false">IF($E727="",0,MAX(0,ROUNDDOWN((TecilRaporTarihi-$E727)/30,0)))</f>
        <v>0</v>
      </c>
      <c r="H727" s="19" t="n">
        <f aca="false">IF($C727="",0,$C727+$D727)</f>
        <v>0</v>
      </c>
      <c r="I727" s="19" t="n">
        <f aca="false">IF($C727="",0,$C727*$F727)</f>
        <v>0</v>
      </c>
      <c r="J727" s="19" t="str">
        <f aca="false">IF($B727="","",CONCATENATE("Borç: ",$B727," | Toplam: ",TEXT($H727,"#,##0")))</f>
        <v/>
      </c>
    </row>
    <row r="728" customFormat="false" ht="15" hidden="false" customHeight="false" outlineLevel="0" collapsed="false">
      <c r="A728" s="20"/>
      <c r="B728" s="20"/>
      <c r="C728" s="21"/>
      <c r="D728" s="21"/>
      <c r="E728" s="22"/>
      <c r="F728" s="23"/>
      <c r="G728" s="19" t="n">
        <f aca="false">IF($E728="",0,MAX(0,ROUNDDOWN((TecilRaporTarihi-$E728)/30,0)))</f>
        <v>0</v>
      </c>
      <c r="H728" s="19" t="n">
        <f aca="false">IF($C728="",0,$C728+$D728)</f>
        <v>0</v>
      </c>
      <c r="I728" s="19" t="n">
        <f aca="false">IF($C728="",0,$C728*$F728)</f>
        <v>0</v>
      </c>
      <c r="J728" s="19" t="str">
        <f aca="false">IF($B728="","",CONCATENATE("Borç: ",$B728," | Toplam: ",TEXT($H728,"#,##0")))</f>
        <v/>
      </c>
    </row>
    <row r="729" customFormat="false" ht="15" hidden="false" customHeight="false" outlineLevel="0" collapsed="false">
      <c r="A729" s="20"/>
      <c r="B729" s="20"/>
      <c r="C729" s="21"/>
      <c r="D729" s="21"/>
      <c r="E729" s="22"/>
      <c r="F729" s="23"/>
      <c r="G729" s="19" t="n">
        <f aca="false">IF($E729="",0,MAX(0,ROUNDDOWN((TecilRaporTarihi-$E729)/30,0)))</f>
        <v>0</v>
      </c>
      <c r="H729" s="19" t="n">
        <f aca="false">IF($C729="",0,$C729+$D729)</f>
        <v>0</v>
      </c>
      <c r="I729" s="19" t="n">
        <f aca="false">IF($C729="",0,$C729*$F729)</f>
        <v>0</v>
      </c>
      <c r="J729" s="19" t="str">
        <f aca="false">IF($B729="","",CONCATENATE("Borç: ",$B729," | Toplam: ",TEXT($H729,"#,##0")))</f>
        <v/>
      </c>
    </row>
    <row r="730" customFormat="false" ht="15" hidden="false" customHeight="false" outlineLevel="0" collapsed="false">
      <c r="A730" s="20"/>
      <c r="B730" s="20"/>
      <c r="C730" s="21"/>
      <c r="D730" s="21"/>
      <c r="E730" s="22"/>
      <c r="F730" s="23"/>
      <c r="G730" s="19" t="n">
        <f aca="false">IF($E730="",0,MAX(0,ROUNDDOWN((TecilRaporTarihi-$E730)/30,0)))</f>
        <v>0</v>
      </c>
      <c r="H730" s="19" t="n">
        <f aca="false">IF($C730="",0,$C730+$D730)</f>
        <v>0</v>
      </c>
      <c r="I730" s="19" t="n">
        <f aca="false">IF($C730="",0,$C730*$F730)</f>
        <v>0</v>
      </c>
      <c r="J730" s="19" t="str">
        <f aca="false">IF($B730="","",CONCATENATE("Borç: ",$B730," | Toplam: ",TEXT($H730,"#,##0")))</f>
        <v/>
      </c>
    </row>
    <row r="731" customFormat="false" ht="15" hidden="false" customHeight="false" outlineLevel="0" collapsed="false">
      <c r="A731" s="20"/>
      <c r="B731" s="20"/>
      <c r="C731" s="21"/>
      <c r="D731" s="21"/>
      <c r="E731" s="22"/>
      <c r="F731" s="23"/>
      <c r="G731" s="19" t="n">
        <f aca="false">IF($E731="",0,MAX(0,ROUNDDOWN((TecilRaporTarihi-$E731)/30,0)))</f>
        <v>0</v>
      </c>
      <c r="H731" s="19" t="n">
        <f aca="false">IF($C731="",0,$C731+$D731)</f>
        <v>0</v>
      </c>
      <c r="I731" s="19" t="n">
        <f aca="false">IF($C731="",0,$C731*$F731)</f>
        <v>0</v>
      </c>
      <c r="J731" s="19" t="str">
        <f aca="false">IF($B731="","",CONCATENATE("Borç: ",$B731," | Toplam: ",TEXT($H731,"#,##0")))</f>
        <v/>
      </c>
    </row>
    <row r="732" customFormat="false" ht="15" hidden="false" customHeight="false" outlineLevel="0" collapsed="false">
      <c r="A732" s="20"/>
      <c r="B732" s="20"/>
      <c r="C732" s="21"/>
      <c r="D732" s="21"/>
      <c r="E732" s="22"/>
      <c r="F732" s="23"/>
      <c r="G732" s="19" t="n">
        <f aca="false">IF($E732="",0,MAX(0,ROUNDDOWN((TecilRaporTarihi-$E732)/30,0)))</f>
        <v>0</v>
      </c>
      <c r="H732" s="19" t="n">
        <f aca="false">IF($C732="",0,$C732+$D732)</f>
        <v>0</v>
      </c>
      <c r="I732" s="19" t="n">
        <f aca="false">IF($C732="",0,$C732*$F732)</f>
        <v>0</v>
      </c>
      <c r="J732" s="19" t="str">
        <f aca="false">IF($B732="","",CONCATENATE("Borç: ",$B732," | Toplam: ",TEXT($H732,"#,##0")))</f>
        <v/>
      </c>
    </row>
    <row r="733" customFormat="false" ht="15" hidden="false" customHeight="false" outlineLevel="0" collapsed="false">
      <c r="A733" s="20"/>
      <c r="B733" s="20"/>
      <c r="C733" s="21"/>
      <c r="D733" s="21"/>
      <c r="E733" s="22"/>
      <c r="F733" s="23"/>
      <c r="G733" s="19" t="n">
        <f aca="false">IF($E733="",0,MAX(0,ROUNDDOWN((TecilRaporTarihi-$E733)/30,0)))</f>
        <v>0</v>
      </c>
      <c r="H733" s="19" t="n">
        <f aca="false">IF($C733="",0,$C733+$D733)</f>
        <v>0</v>
      </c>
      <c r="I733" s="19" t="n">
        <f aca="false">IF($C733="",0,$C733*$F733)</f>
        <v>0</v>
      </c>
      <c r="J733" s="19" t="str">
        <f aca="false">IF($B733="","",CONCATENATE("Borç: ",$B733," | Toplam: ",TEXT($H733,"#,##0")))</f>
        <v/>
      </c>
    </row>
    <row r="734" customFormat="false" ht="15" hidden="false" customHeight="false" outlineLevel="0" collapsed="false">
      <c r="A734" s="20"/>
      <c r="B734" s="20"/>
      <c r="C734" s="21"/>
      <c r="D734" s="21"/>
      <c r="E734" s="22"/>
      <c r="F734" s="23"/>
      <c r="G734" s="19" t="n">
        <f aca="false">IF($E734="",0,MAX(0,ROUNDDOWN((TecilRaporTarihi-$E734)/30,0)))</f>
        <v>0</v>
      </c>
      <c r="H734" s="19" t="n">
        <f aca="false">IF($C734="",0,$C734+$D734)</f>
        <v>0</v>
      </c>
      <c r="I734" s="19" t="n">
        <f aca="false">IF($C734="",0,$C734*$F734)</f>
        <v>0</v>
      </c>
      <c r="J734" s="19" t="str">
        <f aca="false">IF($B734="","",CONCATENATE("Borç: ",$B734," | Toplam: ",TEXT($H734,"#,##0")))</f>
        <v/>
      </c>
    </row>
    <row r="735" customFormat="false" ht="15" hidden="false" customHeight="false" outlineLevel="0" collapsed="false">
      <c r="A735" s="20"/>
      <c r="B735" s="20"/>
      <c r="C735" s="21"/>
      <c r="D735" s="21"/>
      <c r="E735" s="22"/>
      <c r="F735" s="23"/>
      <c r="G735" s="19" t="n">
        <f aca="false">IF($E735="",0,MAX(0,ROUNDDOWN((TecilRaporTarihi-$E735)/30,0)))</f>
        <v>0</v>
      </c>
      <c r="H735" s="19" t="n">
        <f aca="false">IF($C735="",0,$C735+$D735)</f>
        <v>0</v>
      </c>
      <c r="I735" s="19" t="n">
        <f aca="false">IF($C735="",0,$C735*$F735)</f>
        <v>0</v>
      </c>
      <c r="J735" s="19" t="str">
        <f aca="false">IF($B735="","",CONCATENATE("Borç: ",$B735," | Toplam: ",TEXT($H735,"#,##0")))</f>
        <v/>
      </c>
    </row>
    <row r="736" customFormat="false" ht="15" hidden="false" customHeight="false" outlineLevel="0" collapsed="false">
      <c r="A736" s="20"/>
      <c r="B736" s="20"/>
      <c r="C736" s="21"/>
      <c r="D736" s="21"/>
      <c r="E736" s="22"/>
      <c r="F736" s="23"/>
      <c r="G736" s="19" t="n">
        <f aca="false">IF($E736="",0,MAX(0,ROUNDDOWN((TecilRaporTarihi-$E736)/30,0)))</f>
        <v>0</v>
      </c>
      <c r="H736" s="19" t="n">
        <f aca="false">IF($C736="",0,$C736+$D736)</f>
        <v>0</v>
      </c>
      <c r="I736" s="19" t="n">
        <f aca="false">IF($C736="",0,$C736*$F736)</f>
        <v>0</v>
      </c>
      <c r="J736" s="19" t="str">
        <f aca="false">IF($B736="","",CONCATENATE("Borç: ",$B736," | Toplam: ",TEXT($H736,"#,##0")))</f>
        <v/>
      </c>
    </row>
    <row r="737" customFormat="false" ht="15" hidden="false" customHeight="false" outlineLevel="0" collapsed="false">
      <c r="A737" s="20"/>
      <c r="B737" s="20"/>
      <c r="C737" s="21"/>
      <c r="D737" s="21"/>
      <c r="E737" s="22"/>
      <c r="F737" s="23"/>
      <c r="G737" s="19" t="n">
        <f aca="false">IF($E737="",0,MAX(0,ROUNDDOWN((TecilRaporTarihi-$E737)/30,0)))</f>
        <v>0</v>
      </c>
      <c r="H737" s="19" t="n">
        <f aca="false">IF($C737="",0,$C737+$D737)</f>
        <v>0</v>
      </c>
      <c r="I737" s="19" t="n">
        <f aca="false">IF($C737="",0,$C737*$F737)</f>
        <v>0</v>
      </c>
      <c r="J737" s="19" t="str">
        <f aca="false">IF($B737="","",CONCATENATE("Borç: ",$B737," | Toplam: ",TEXT($H737,"#,##0")))</f>
        <v/>
      </c>
    </row>
    <row r="738" customFormat="false" ht="15" hidden="false" customHeight="false" outlineLevel="0" collapsed="false">
      <c r="A738" s="20"/>
      <c r="B738" s="20"/>
      <c r="C738" s="21"/>
      <c r="D738" s="21"/>
      <c r="E738" s="22"/>
      <c r="F738" s="23"/>
      <c r="G738" s="19" t="n">
        <f aca="false">IF($E738="",0,MAX(0,ROUNDDOWN((TecilRaporTarihi-$E738)/30,0)))</f>
        <v>0</v>
      </c>
      <c r="H738" s="19" t="n">
        <f aca="false">IF($C738="",0,$C738+$D738)</f>
        <v>0</v>
      </c>
      <c r="I738" s="19" t="n">
        <f aca="false">IF($C738="",0,$C738*$F738)</f>
        <v>0</v>
      </c>
      <c r="J738" s="19" t="str">
        <f aca="false">IF($B738="","",CONCATENATE("Borç: ",$B738," | Toplam: ",TEXT($H738,"#,##0")))</f>
        <v/>
      </c>
    </row>
    <row r="739" customFormat="false" ht="15" hidden="false" customHeight="false" outlineLevel="0" collapsed="false">
      <c r="A739" s="20"/>
      <c r="B739" s="20"/>
      <c r="C739" s="21"/>
      <c r="D739" s="21"/>
      <c r="E739" s="22"/>
      <c r="F739" s="23"/>
      <c r="G739" s="19" t="n">
        <f aca="false">IF($E739="",0,MAX(0,ROUNDDOWN((TecilRaporTarihi-$E739)/30,0)))</f>
        <v>0</v>
      </c>
      <c r="H739" s="19" t="n">
        <f aca="false">IF($C739="",0,$C739+$D739)</f>
        <v>0</v>
      </c>
      <c r="I739" s="19" t="n">
        <f aca="false">IF($C739="",0,$C739*$F739)</f>
        <v>0</v>
      </c>
      <c r="J739" s="19" t="str">
        <f aca="false">IF($B739="","",CONCATENATE("Borç: ",$B739," | Toplam: ",TEXT($H739,"#,##0")))</f>
        <v/>
      </c>
    </row>
    <row r="740" customFormat="false" ht="15" hidden="false" customHeight="false" outlineLevel="0" collapsed="false">
      <c r="A740" s="20"/>
      <c r="B740" s="20"/>
      <c r="C740" s="21"/>
      <c r="D740" s="21"/>
      <c r="E740" s="22"/>
      <c r="F740" s="23"/>
      <c r="G740" s="19" t="n">
        <f aca="false">IF($E740="",0,MAX(0,ROUNDDOWN((TecilRaporTarihi-$E740)/30,0)))</f>
        <v>0</v>
      </c>
      <c r="H740" s="19" t="n">
        <f aca="false">IF($C740="",0,$C740+$D740)</f>
        <v>0</v>
      </c>
      <c r="I740" s="19" t="n">
        <f aca="false">IF($C740="",0,$C740*$F740)</f>
        <v>0</v>
      </c>
      <c r="J740" s="19" t="str">
        <f aca="false">IF($B740="","",CONCATENATE("Borç: ",$B740," | Toplam: ",TEXT($H740,"#,##0")))</f>
        <v/>
      </c>
    </row>
    <row r="741" customFormat="false" ht="15" hidden="false" customHeight="false" outlineLevel="0" collapsed="false">
      <c r="A741" s="20"/>
      <c r="B741" s="20"/>
      <c r="C741" s="21"/>
      <c r="D741" s="21"/>
      <c r="E741" s="22"/>
      <c r="F741" s="23"/>
      <c r="G741" s="19" t="n">
        <f aca="false">IF($E741="",0,MAX(0,ROUNDDOWN((TecilRaporTarihi-$E741)/30,0)))</f>
        <v>0</v>
      </c>
      <c r="H741" s="19" t="n">
        <f aca="false">IF($C741="",0,$C741+$D741)</f>
        <v>0</v>
      </c>
      <c r="I741" s="19" t="n">
        <f aca="false">IF($C741="",0,$C741*$F741)</f>
        <v>0</v>
      </c>
      <c r="J741" s="19" t="str">
        <f aca="false">IF($B741="","",CONCATENATE("Borç: ",$B741," | Toplam: ",TEXT($H741,"#,##0")))</f>
        <v/>
      </c>
    </row>
    <row r="742" customFormat="false" ht="15" hidden="false" customHeight="false" outlineLevel="0" collapsed="false">
      <c r="A742" s="20"/>
      <c r="B742" s="20"/>
      <c r="C742" s="21"/>
      <c r="D742" s="21"/>
      <c r="E742" s="22"/>
      <c r="F742" s="23"/>
      <c r="G742" s="19" t="n">
        <f aca="false">IF($E742="",0,MAX(0,ROUNDDOWN((TecilRaporTarihi-$E742)/30,0)))</f>
        <v>0</v>
      </c>
      <c r="H742" s="19" t="n">
        <f aca="false">IF($C742="",0,$C742+$D742)</f>
        <v>0</v>
      </c>
      <c r="I742" s="19" t="n">
        <f aca="false">IF($C742="",0,$C742*$F742)</f>
        <v>0</v>
      </c>
      <c r="J742" s="19" t="str">
        <f aca="false">IF($B742="","",CONCATENATE("Borç: ",$B742," | Toplam: ",TEXT($H742,"#,##0")))</f>
        <v/>
      </c>
    </row>
    <row r="743" customFormat="false" ht="15" hidden="false" customHeight="false" outlineLevel="0" collapsed="false">
      <c r="A743" s="20"/>
      <c r="B743" s="20"/>
      <c r="C743" s="21"/>
      <c r="D743" s="21"/>
      <c r="E743" s="22"/>
      <c r="F743" s="23"/>
      <c r="G743" s="19" t="n">
        <f aca="false">IF($E743="",0,MAX(0,ROUNDDOWN((TecilRaporTarihi-$E743)/30,0)))</f>
        <v>0</v>
      </c>
      <c r="H743" s="19" t="n">
        <f aca="false">IF($C743="",0,$C743+$D743)</f>
        <v>0</v>
      </c>
      <c r="I743" s="19" t="n">
        <f aca="false">IF($C743="",0,$C743*$F743)</f>
        <v>0</v>
      </c>
      <c r="J743" s="19" t="str">
        <f aca="false">IF($B743="","",CONCATENATE("Borç: ",$B743," | Toplam: ",TEXT($H743,"#,##0")))</f>
        <v/>
      </c>
    </row>
    <row r="744" customFormat="false" ht="15" hidden="false" customHeight="false" outlineLevel="0" collapsed="false">
      <c r="A744" s="20"/>
      <c r="B744" s="20"/>
      <c r="C744" s="21"/>
      <c r="D744" s="21"/>
      <c r="E744" s="22"/>
      <c r="F744" s="23"/>
      <c r="G744" s="19" t="n">
        <f aca="false">IF($E744="",0,MAX(0,ROUNDDOWN((TecilRaporTarihi-$E744)/30,0)))</f>
        <v>0</v>
      </c>
      <c r="H744" s="19" t="n">
        <f aca="false">IF($C744="",0,$C744+$D744)</f>
        <v>0</v>
      </c>
      <c r="I744" s="19" t="n">
        <f aca="false">IF($C744="",0,$C744*$F744)</f>
        <v>0</v>
      </c>
      <c r="J744" s="19" t="str">
        <f aca="false">IF($B744="","",CONCATENATE("Borç: ",$B744," | Toplam: ",TEXT($H744,"#,##0")))</f>
        <v/>
      </c>
    </row>
    <row r="745" customFormat="false" ht="15" hidden="false" customHeight="false" outlineLevel="0" collapsed="false">
      <c r="A745" s="20"/>
      <c r="B745" s="20"/>
      <c r="C745" s="21"/>
      <c r="D745" s="21"/>
      <c r="E745" s="22"/>
      <c r="F745" s="23"/>
      <c r="G745" s="19" t="n">
        <f aca="false">IF($E745="",0,MAX(0,ROUNDDOWN((TecilRaporTarihi-$E745)/30,0)))</f>
        <v>0</v>
      </c>
      <c r="H745" s="19" t="n">
        <f aca="false">IF($C745="",0,$C745+$D745)</f>
        <v>0</v>
      </c>
      <c r="I745" s="19" t="n">
        <f aca="false">IF($C745="",0,$C745*$F745)</f>
        <v>0</v>
      </c>
      <c r="J745" s="19" t="str">
        <f aca="false">IF($B745="","",CONCATENATE("Borç: ",$B745," | Toplam: ",TEXT($H745,"#,##0")))</f>
        <v/>
      </c>
    </row>
    <row r="746" customFormat="false" ht="15" hidden="false" customHeight="false" outlineLevel="0" collapsed="false">
      <c r="A746" s="20"/>
      <c r="B746" s="20"/>
      <c r="C746" s="21"/>
      <c r="D746" s="21"/>
      <c r="E746" s="22"/>
      <c r="F746" s="23"/>
      <c r="G746" s="19" t="n">
        <f aca="false">IF($E746="",0,MAX(0,ROUNDDOWN((TecilRaporTarihi-$E746)/30,0)))</f>
        <v>0</v>
      </c>
      <c r="H746" s="19" t="n">
        <f aca="false">IF($C746="",0,$C746+$D746)</f>
        <v>0</v>
      </c>
      <c r="I746" s="19" t="n">
        <f aca="false">IF($C746="",0,$C746*$F746)</f>
        <v>0</v>
      </c>
      <c r="J746" s="19" t="str">
        <f aca="false">IF($B746="","",CONCATENATE("Borç: ",$B746," | Toplam: ",TEXT($H746,"#,##0")))</f>
        <v/>
      </c>
    </row>
    <row r="747" customFormat="false" ht="15" hidden="false" customHeight="false" outlineLevel="0" collapsed="false">
      <c r="A747" s="20"/>
      <c r="B747" s="20"/>
      <c r="C747" s="21"/>
      <c r="D747" s="21"/>
      <c r="E747" s="22"/>
      <c r="F747" s="23"/>
      <c r="G747" s="19" t="n">
        <f aca="false">IF($E747="",0,MAX(0,ROUNDDOWN((TecilRaporTarihi-$E747)/30,0)))</f>
        <v>0</v>
      </c>
      <c r="H747" s="19" t="n">
        <f aca="false">IF($C747="",0,$C747+$D747)</f>
        <v>0</v>
      </c>
      <c r="I747" s="19" t="n">
        <f aca="false">IF($C747="",0,$C747*$F747)</f>
        <v>0</v>
      </c>
      <c r="J747" s="19" t="str">
        <f aca="false">IF($B747="","",CONCATENATE("Borç: ",$B747," | Toplam: ",TEXT($H747,"#,##0")))</f>
        <v/>
      </c>
    </row>
    <row r="748" customFormat="false" ht="15" hidden="false" customHeight="false" outlineLevel="0" collapsed="false">
      <c r="A748" s="20"/>
      <c r="B748" s="20"/>
      <c r="C748" s="21"/>
      <c r="D748" s="21"/>
      <c r="E748" s="22"/>
      <c r="F748" s="23"/>
      <c r="G748" s="19" t="n">
        <f aca="false">IF($E748="",0,MAX(0,ROUNDDOWN((TecilRaporTarihi-$E748)/30,0)))</f>
        <v>0</v>
      </c>
      <c r="H748" s="19" t="n">
        <f aca="false">IF($C748="",0,$C748+$D748)</f>
        <v>0</v>
      </c>
      <c r="I748" s="19" t="n">
        <f aca="false">IF($C748="",0,$C748*$F748)</f>
        <v>0</v>
      </c>
      <c r="J748" s="19" t="str">
        <f aca="false">IF($B748="","",CONCATENATE("Borç: ",$B748," | Toplam: ",TEXT($H748,"#,##0")))</f>
        <v/>
      </c>
    </row>
    <row r="749" customFormat="false" ht="15" hidden="false" customHeight="false" outlineLevel="0" collapsed="false">
      <c r="A749" s="20"/>
      <c r="B749" s="20"/>
      <c r="C749" s="21"/>
      <c r="D749" s="21"/>
      <c r="E749" s="22"/>
      <c r="F749" s="23"/>
      <c r="G749" s="19" t="n">
        <f aca="false">IF($E749="",0,MAX(0,ROUNDDOWN((TecilRaporTarihi-$E749)/30,0)))</f>
        <v>0</v>
      </c>
      <c r="H749" s="19" t="n">
        <f aca="false">IF($C749="",0,$C749+$D749)</f>
        <v>0</v>
      </c>
      <c r="I749" s="19" t="n">
        <f aca="false">IF($C749="",0,$C749*$F749)</f>
        <v>0</v>
      </c>
      <c r="J749" s="19" t="str">
        <f aca="false">IF($B749="","",CONCATENATE("Borç: ",$B749," | Toplam: ",TEXT($H749,"#,##0")))</f>
        <v/>
      </c>
    </row>
    <row r="750" customFormat="false" ht="15" hidden="false" customHeight="false" outlineLevel="0" collapsed="false">
      <c r="A750" s="20"/>
      <c r="B750" s="20"/>
      <c r="C750" s="21"/>
      <c r="D750" s="21"/>
      <c r="E750" s="22"/>
      <c r="F750" s="23"/>
      <c r="G750" s="19" t="n">
        <f aca="false">IF($E750="",0,MAX(0,ROUNDDOWN((TecilRaporTarihi-$E750)/30,0)))</f>
        <v>0</v>
      </c>
      <c r="H750" s="19" t="n">
        <f aca="false">IF($C750="",0,$C750+$D750)</f>
        <v>0</v>
      </c>
      <c r="I750" s="19" t="n">
        <f aca="false">IF($C750="",0,$C750*$F750)</f>
        <v>0</v>
      </c>
      <c r="J750" s="19" t="str">
        <f aca="false">IF($B750="","",CONCATENATE("Borç: ",$B750," | Toplam: ",TEXT($H750,"#,##0")))</f>
        <v/>
      </c>
    </row>
    <row r="751" customFormat="false" ht="15" hidden="false" customHeight="false" outlineLevel="0" collapsed="false">
      <c r="A751" s="20"/>
      <c r="B751" s="20"/>
      <c r="C751" s="21"/>
      <c r="D751" s="21"/>
      <c r="E751" s="22"/>
      <c r="F751" s="23"/>
      <c r="G751" s="19" t="n">
        <f aca="false">IF($E751="",0,MAX(0,ROUNDDOWN((TecilRaporTarihi-$E751)/30,0)))</f>
        <v>0</v>
      </c>
      <c r="H751" s="19" t="n">
        <f aca="false">IF($C751="",0,$C751+$D751)</f>
        <v>0</v>
      </c>
      <c r="I751" s="19" t="n">
        <f aca="false">IF($C751="",0,$C751*$F751)</f>
        <v>0</v>
      </c>
      <c r="J751" s="19" t="str">
        <f aca="false">IF($B751="","",CONCATENATE("Borç: ",$B751," | Toplam: ",TEXT($H751,"#,##0")))</f>
        <v/>
      </c>
    </row>
    <row r="752" customFormat="false" ht="15" hidden="false" customHeight="false" outlineLevel="0" collapsed="false">
      <c r="A752" s="20"/>
      <c r="B752" s="20"/>
      <c r="C752" s="21"/>
      <c r="D752" s="21"/>
      <c r="E752" s="22"/>
      <c r="F752" s="23"/>
      <c r="G752" s="19" t="n">
        <f aca="false">IF($E752="",0,MAX(0,ROUNDDOWN((TecilRaporTarihi-$E752)/30,0)))</f>
        <v>0</v>
      </c>
      <c r="H752" s="19" t="n">
        <f aca="false">IF($C752="",0,$C752+$D752)</f>
        <v>0</v>
      </c>
      <c r="I752" s="19" t="n">
        <f aca="false">IF($C752="",0,$C752*$F752)</f>
        <v>0</v>
      </c>
      <c r="J752" s="19" t="str">
        <f aca="false">IF($B752="","",CONCATENATE("Borç: ",$B752," | Toplam: ",TEXT($H752,"#,##0")))</f>
        <v/>
      </c>
    </row>
    <row r="753" customFormat="false" ht="15" hidden="false" customHeight="false" outlineLevel="0" collapsed="false">
      <c r="A753" s="20"/>
      <c r="B753" s="20"/>
      <c r="C753" s="21"/>
      <c r="D753" s="21"/>
      <c r="E753" s="22"/>
      <c r="F753" s="23"/>
      <c r="G753" s="19" t="n">
        <f aca="false">IF($E753="",0,MAX(0,ROUNDDOWN((TecilRaporTarihi-$E753)/30,0)))</f>
        <v>0</v>
      </c>
      <c r="H753" s="19" t="n">
        <f aca="false">IF($C753="",0,$C753+$D753)</f>
        <v>0</v>
      </c>
      <c r="I753" s="19" t="n">
        <f aca="false">IF($C753="",0,$C753*$F753)</f>
        <v>0</v>
      </c>
      <c r="J753" s="19" t="str">
        <f aca="false">IF($B753="","",CONCATENATE("Borç: ",$B753," | Toplam: ",TEXT($H753,"#,##0")))</f>
        <v/>
      </c>
    </row>
    <row r="754" customFormat="false" ht="15" hidden="false" customHeight="false" outlineLevel="0" collapsed="false">
      <c r="A754" s="20"/>
      <c r="B754" s="20"/>
      <c r="C754" s="21"/>
      <c r="D754" s="21"/>
      <c r="E754" s="22"/>
      <c r="F754" s="23"/>
      <c r="G754" s="19" t="n">
        <f aca="false">IF($E754="",0,MAX(0,ROUNDDOWN((TecilRaporTarihi-$E754)/30,0)))</f>
        <v>0</v>
      </c>
      <c r="H754" s="19" t="n">
        <f aca="false">IF($C754="",0,$C754+$D754)</f>
        <v>0</v>
      </c>
      <c r="I754" s="19" t="n">
        <f aca="false">IF($C754="",0,$C754*$F754)</f>
        <v>0</v>
      </c>
      <c r="J754" s="19" t="str">
        <f aca="false">IF($B754="","",CONCATENATE("Borç: ",$B754," | Toplam: ",TEXT($H754,"#,##0")))</f>
        <v/>
      </c>
    </row>
    <row r="755" customFormat="false" ht="15" hidden="false" customHeight="false" outlineLevel="0" collapsed="false">
      <c r="A755" s="20"/>
      <c r="B755" s="20"/>
      <c r="C755" s="21"/>
      <c r="D755" s="21"/>
      <c r="E755" s="22"/>
      <c r="F755" s="23"/>
      <c r="G755" s="19" t="n">
        <f aca="false">IF($E755="",0,MAX(0,ROUNDDOWN((TecilRaporTarihi-$E755)/30,0)))</f>
        <v>0</v>
      </c>
      <c r="H755" s="19" t="n">
        <f aca="false">IF($C755="",0,$C755+$D755)</f>
        <v>0</v>
      </c>
      <c r="I755" s="19" t="n">
        <f aca="false">IF($C755="",0,$C755*$F755)</f>
        <v>0</v>
      </c>
      <c r="J755" s="19" t="str">
        <f aca="false">IF($B755="","",CONCATENATE("Borç: ",$B755," | Toplam: ",TEXT($H755,"#,##0")))</f>
        <v/>
      </c>
    </row>
    <row r="756" customFormat="false" ht="15" hidden="false" customHeight="false" outlineLevel="0" collapsed="false">
      <c r="A756" s="20"/>
      <c r="B756" s="20"/>
      <c r="C756" s="21"/>
      <c r="D756" s="21"/>
      <c r="E756" s="22"/>
      <c r="F756" s="23"/>
      <c r="G756" s="19" t="n">
        <f aca="false">IF($E756="",0,MAX(0,ROUNDDOWN((TecilRaporTarihi-$E756)/30,0)))</f>
        <v>0</v>
      </c>
      <c r="H756" s="19" t="n">
        <f aca="false">IF($C756="",0,$C756+$D756)</f>
        <v>0</v>
      </c>
      <c r="I756" s="19" t="n">
        <f aca="false">IF($C756="",0,$C756*$F756)</f>
        <v>0</v>
      </c>
      <c r="J756" s="19" t="str">
        <f aca="false">IF($B756="","",CONCATENATE("Borç: ",$B756," | Toplam: ",TEXT($H756,"#,##0")))</f>
        <v/>
      </c>
    </row>
    <row r="757" customFormat="false" ht="15" hidden="false" customHeight="false" outlineLevel="0" collapsed="false">
      <c r="A757" s="20"/>
      <c r="B757" s="20"/>
      <c r="C757" s="21"/>
      <c r="D757" s="21"/>
      <c r="E757" s="22"/>
      <c r="F757" s="23"/>
      <c r="G757" s="19" t="n">
        <f aca="false">IF($E757="",0,MAX(0,ROUNDDOWN((TecilRaporTarihi-$E757)/30,0)))</f>
        <v>0</v>
      </c>
      <c r="H757" s="19" t="n">
        <f aca="false">IF($C757="",0,$C757+$D757)</f>
        <v>0</v>
      </c>
      <c r="I757" s="19" t="n">
        <f aca="false">IF($C757="",0,$C757*$F757)</f>
        <v>0</v>
      </c>
      <c r="J757" s="19" t="str">
        <f aca="false">IF($B757="","",CONCATENATE("Borç: ",$B757," | Toplam: ",TEXT($H757,"#,##0")))</f>
        <v/>
      </c>
    </row>
    <row r="758" customFormat="false" ht="15" hidden="false" customHeight="false" outlineLevel="0" collapsed="false">
      <c r="A758" s="20"/>
      <c r="B758" s="20"/>
      <c r="C758" s="21"/>
      <c r="D758" s="21"/>
      <c r="E758" s="22"/>
      <c r="F758" s="23"/>
      <c r="G758" s="19" t="n">
        <f aca="false">IF($E758="",0,MAX(0,ROUNDDOWN((TecilRaporTarihi-$E758)/30,0)))</f>
        <v>0</v>
      </c>
      <c r="H758" s="19" t="n">
        <f aca="false">IF($C758="",0,$C758+$D758)</f>
        <v>0</v>
      </c>
      <c r="I758" s="19" t="n">
        <f aca="false">IF($C758="",0,$C758*$F758)</f>
        <v>0</v>
      </c>
      <c r="J758" s="19" t="str">
        <f aca="false">IF($B758="","",CONCATENATE("Borç: ",$B758," | Toplam: ",TEXT($H758,"#,##0")))</f>
        <v/>
      </c>
    </row>
    <row r="759" customFormat="false" ht="15" hidden="false" customHeight="false" outlineLevel="0" collapsed="false">
      <c r="A759" s="20"/>
      <c r="B759" s="20"/>
      <c r="C759" s="21"/>
      <c r="D759" s="21"/>
      <c r="E759" s="22"/>
      <c r="F759" s="23"/>
      <c r="G759" s="19" t="n">
        <f aca="false">IF($E759="",0,MAX(0,ROUNDDOWN((TecilRaporTarihi-$E759)/30,0)))</f>
        <v>0</v>
      </c>
      <c r="H759" s="19" t="n">
        <f aca="false">IF($C759="",0,$C759+$D759)</f>
        <v>0</v>
      </c>
      <c r="I759" s="19" t="n">
        <f aca="false">IF($C759="",0,$C759*$F759)</f>
        <v>0</v>
      </c>
      <c r="J759" s="19" t="str">
        <f aca="false">IF($B759="","",CONCATENATE("Borç: ",$B759," | Toplam: ",TEXT($H759,"#,##0")))</f>
        <v/>
      </c>
    </row>
    <row r="760" customFormat="false" ht="15" hidden="false" customHeight="false" outlineLevel="0" collapsed="false">
      <c r="A760" s="20"/>
      <c r="B760" s="20"/>
      <c r="C760" s="21"/>
      <c r="D760" s="21"/>
      <c r="E760" s="22"/>
      <c r="F760" s="23"/>
      <c r="G760" s="19" t="n">
        <f aca="false">IF($E760="",0,MAX(0,ROUNDDOWN((TecilRaporTarihi-$E760)/30,0)))</f>
        <v>0</v>
      </c>
      <c r="H760" s="19" t="n">
        <f aca="false">IF($C760="",0,$C760+$D760)</f>
        <v>0</v>
      </c>
      <c r="I760" s="19" t="n">
        <f aca="false">IF($C760="",0,$C760*$F760)</f>
        <v>0</v>
      </c>
      <c r="J760" s="19" t="str">
        <f aca="false">IF($B760="","",CONCATENATE("Borç: ",$B760," | Toplam: ",TEXT($H760,"#,##0")))</f>
        <v/>
      </c>
    </row>
    <row r="761" customFormat="false" ht="15" hidden="false" customHeight="false" outlineLevel="0" collapsed="false">
      <c r="A761" s="20"/>
      <c r="B761" s="20"/>
      <c r="C761" s="21"/>
      <c r="D761" s="21"/>
      <c r="E761" s="22"/>
      <c r="F761" s="23"/>
      <c r="G761" s="19" t="n">
        <f aca="false">IF($E761="",0,MAX(0,ROUNDDOWN((TecilRaporTarihi-$E761)/30,0)))</f>
        <v>0</v>
      </c>
      <c r="H761" s="19" t="n">
        <f aca="false">IF($C761="",0,$C761+$D761)</f>
        <v>0</v>
      </c>
      <c r="I761" s="19" t="n">
        <f aca="false">IF($C761="",0,$C761*$F761)</f>
        <v>0</v>
      </c>
      <c r="J761" s="19" t="str">
        <f aca="false">IF($B761="","",CONCATENATE("Borç: ",$B761," | Toplam: ",TEXT($H761,"#,##0")))</f>
        <v/>
      </c>
    </row>
    <row r="762" customFormat="false" ht="15" hidden="false" customHeight="false" outlineLevel="0" collapsed="false">
      <c r="A762" s="20"/>
      <c r="B762" s="20"/>
      <c r="C762" s="21"/>
      <c r="D762" s="21"/>
      <c r="E762" s="22"/>
      <c r="F762" s="23"/>
      <c r="G762" s="19" t="n">
        <f aca="false">IF($E762="",0,MAX(0,ROUNDDOWN((TecilRaporTarihi-$E762)/30,0)))</f>
        <v>0</v>
      </c>
      <c r="H762" s="19" t="n">
        <f aca="false">IF($C762="",0,$C762+$D762)</f>
        <v>0</v>
      </c>
      <c r="I762" s="19" t="n">
        <f aca="false">IF($C762="",0,$C762*$F762)</f>
        <v>0</v>
      </c>
      <c r="J762" s="19" t="str">
        <f aca="false">IF($B762="","",CONCATENATE("Borç: ",$B762," | Toplam: ",TEXT($H762,"#,##0")))</f>
        <v/>
      </c>
    </row>
    <row r="763" customFormat="false" ht="15" hidden="false" customHeight="false" outlineLevel="0" collapsed="false">
      <c r="A763" s="20"/>
      <c r="B763" s="20"/>
      <c r="C763" s="21"/>
      <c r="D763" s="21"/>
      <c r="E763" s="22"/>
      <c r="F763" s="23"/>
      <c r="G763" s="19" t="n">
        <f aca="false">IF($E763="",0,MAX(0,ROUNDDOWN((TecilRaporTarihi-$E763)/30,0)))</f>
        <v>0</v>
      </c>
      <c r="H763" s="19" t="n">
        <f aca="false">IF($C763="",0,$C763+$D763)</f>
        <v>0</v>
      </c>
      <c r="I763" s="19" t="n">
        <f aca="false">IF($C763="",0,$C763*$F763)</f>
        <v>0</v>
      </c>
      <c r="J763" s="19" t="str">
        <f aca="false">IF($B763="","",CONCATENATE("Borç: ",$B763," | Toplam: ",TEXT($H763,"#,##0")))</f>
        <v/>
      </c>
    </row>
    <row r="764" customFormat="false" ht="15" hidden="false" customHeight="false" outlineLevel="0" collapsed="false">
      <c r="A764" s="20"/>
      <c r="B764" s="20"/>
      <c r="C764" s="21"/>
      <c r="D764" s="21"/>
      <c r="E764" s="22"/>
      <c r="F764" s="23"/>
      <c r="G764" s="19" t="n">
        <f aca="false">IF($E764="",0,MAX(0,ROUNDDOWN((TecilRaporTarihi-$E764)/30,0)))</f>
        <v>0</v>
      </c>
      <c r="H764" s="19" t="n">
        <f aca="false">IF($C764="",0,$C764+$D764)</f>
        <v>0</v>
      </c>
      <c r="I764" s="19" t="n">
        <f aca="false">IF($C764="",0,$C764*$F764)</f>
        <v>0</v>
      </c>
      <c r="J764" s="19" t="str">
        <f aca="false">IF($B764="","",CONCATENATE("Borç: ",$B764," | Toplam: ",TEXT($H764,"#,##0")))</f>
        <v/>
      </c>
    </row>
    <row r="765" customFormat="false" ht="15" hidden="false" customHeight="false" outlineLevel="0" collapsed="false">
      <c r="A765" s="20"/>
      <c r="B765" s="20"/>
      <c r="C765" s="21"/>
      <c r="D765" s="21"/>
      <c r="E765" s="22"/>
      <c r="F765" s="23"/>
      <c r="G765" s="19" t="n">
        <f aca="false">IF($E765="",0,MAX(0,ROUNDDOWN((TecilRaporTarihi-$E765)/30,0)))</f>
        <v>0</v>
      </c>
      <c r="H765" s="19" t="n">
        <f aca="false">IF($C765="",0,$C765+$D765)</f>
        <v>0</v>
      </c>
      <c r="I765" s="19" t="n">
        <f aca="false">IF($C765="",0,$C765*$F765)</f>
        <v>0</v>
      </c>
      <c r="J765" s="19" t="str">
        <f aca="false">IF($B765="","",CONCATENATE("Borç: ",$B765," | Toplam: ",TEXT($H765,"#,##0")))</f>
        <v/>
      </c>
    </row>
    <row r="766" customFormat="false" ht="15" hidden="false" customHeight="false" outlineLevel="0" collapsed="false">
      <c r="A766" s="20"/>
      <c r="B766" s="20"/>
      <c r="C766" s="21"/>
      <c r="D766" s="21"/>
      <c r="E766" s="22"/>
      <c r="F766" s="23"/>
      <c r="G766" s="19" t="n">
        <f aca="false">IF($E766="",0,MAX(0,ROUNDDOWN((TecilRaporTarihi-$E766)/30,0)))</f>
        <v>0</v>
      </c>
      <c r="H766" s="19" t="n">
        <f aca="false">IF($C766="",0,$C766+$D766)</f>
        <v>0</v>
      </c>
      <c r="I766" s="19" t="n">
        <f aca="false">IF($C766="",0,$C766*$F766)</f>
        <v>0</v>
      </c>
      <c r="J766" s="19" t="str">
        <f aca="false">IF($B766="","",CONCATENATE("Borç: ",$B766," | Toplam: ",TEXT($H766,"#,##0")))</f>
        <v/>
      </c>
    </row>
    <row r="767" customFormat="false" ht="15" hidden="false" customHeight="false" outlineLevel="0" collapsed="false">
      <c r="A767" s="20"/>
      <c r="B767" s="20"/>
      <c r="C767" s="21"/>
      <c r="D767" s="21"/>
      <c r="E767" s="22"/>
      <c r="F767" s="23"/>
      <c r="G767" s="19" t="n">
        <f aca="false">IF($E767="",0,MAX(0,ROUNDDOWN((TecilRaporTarihi-$E767)/30,0)))</f>
        <v>0</v>
      </c>
      <c r="H767" s="19" t="n">
        <f aca="false">IF($C767="",0,$C767+$D767)</f>
        <v>0</v>
      </c>
      <c r="I767" s="19" t="n">
        <f aca="false">IF($C767="",0,$C767*$F767)</f>
        <v>0</v>
      </c>
      <c r="J767" s="19" t="str">
        <f aca="false">IF($B767="","",CONCATENATE("Borç: ",$B767," | Toplam: ",TEXT($H767,"#,##0")))</f>
        <v/>
      </c>
    </row>
    <row r="768" customFormat="false" ht="15" hidden="false" customHeight="false" outlineLevel="0" collapsed="false">
      <c r="A768" s="20"/>
      <c r="B768" s="20"/>
      <c r="C768" s="21"/>
      <c r="D768" s="21"/>
      <c r="E768" s="22"/>
      <c r="F768" s="23"/>
      <c r="G768" s="19" t="n">
        <f aca="false">IF($E768="",0,MAX(0,ROUNDDOWN((TecilRaporTarihi-$E768)/30,0)))</f>
        <v>0</v>
      </c>
      <c r="H768" s="19" t="n">
        <f aca="false">IF($C768="",0,$C768+$D768)</f>
        <v>0</v>
      </c>
      <c r="I768" s="19" t="n">
        <f aca="false">IF($C768="",0,$C768*$F768)</f>
        <v>0</v>
      </c>
      <c r="J768" s="19" t="str">
        <f aca="false">IF($B768="","",CONCATENATE("Borç: ",$B768," | Toplam: ",TEXT($H768,"#,##0")))</f>
        <v/>
      </c>
    </row>
    <row r="769" customFormat="false" ht="15" hidden="false" customHeight="false" outlineLevel="0" collapsed="false">
      <c r="A769" s="20"/>
      <c r="B769" s="20"/>
      <c r="C769" s="21"/>
      <c r="D769" s="21"/>
      <c r="E769" s="22"/>
      <c r="F769" s="23"/>
      <c r="G769" s="19" t="n">
        <f aca="false">IF($E769="",0,MAX(0,ROUNDDOWN((TecilRaporTarihi-$E769)/30,0)))</f>
        <v>0</v>
      </c>
      <c r="H769" s="19" t="n">
        <f aca="false">IF($C769="",0,$C769+$D769)</f>
        <v>0</v>
      </c>
      <c r="I769" s="19" t="n">
        <f aca="false">IF($C769="",0,$C769*$F769)</f>
        <v>0</v>
      </c>
      <c r="J769" s="19" t="str">
        <f aca="false">IF($B769="","",CONCATENATE("Borç: ",$B769," | Toplam: ",TEXT($H769,"#,##0")))</f>
        <v/>
      </c>
    </row>
    <row r="770" customFormat="false" ht="15" hidden="false" customHeight="false" outlineLevel="0" collapsed="false">
      <c r="A770" s="20"/>
      <c r="B770" s="20"/>
      <c r="C770" s="21"/>
      <c r="D770" s="21"/>
      <c r="E770" s="22"/>
      <c r="F770" s="23"/>
      <c r="G770" s="19" t="n">
        <f aca="false">IF($E770="",0,MAX(0,ROUNDDOWN((TecilRaporTarihi-$E770)/30,0)))</f>
        <v>0</v>
      </c>
      <c r="H770" s="19" t="n">
        <f aca="false">IF($C770="",0,$C770+$D770)</f>
        <v>0</v>
      </c>
      <c r="I770" s="19" t="n">
        <f aca="false">IF($C770="",0,$C770*$F770)</f>
        <v>0</v>
      </c>
      <c r="J770" s="19" t="str">
        <f aca="false">IF($B770="","",CONCATENATE("Borç: ",$B770," | Toplam: ",TEXT($H770,"#,##0")))</f>
        <v/>
      </c>
    </row>
    <row r="771" customFormat="false" ht="15" hidden="false" customHeight="false" outlineLevel="0" collapsed="false">
      <c r="A771" s="20"/>
      <c r="B771" s="20"/>
      <c r="C771" s="21"/>
      <c r="D771" s="21"/>
      <c r="E771" s="22"/>
      <c r="F771" s="23"/>
      <c r="G771" s="19" t="n">
        <f aca="false">IF($E771="",0,MAX(0,ROUNDDOWN((TecilRaporTarihi-$E771)/30,0)))</f>
        <v>0</v>
      </c>
      <c r="H771" s="19" t="n">
        <f aca="false">IF($C771="",0,$C771+$D771)</f>
        <v>0</v>
      </c>
      <c r="I771" s="19" t="n">
        <f aca="false">IF($C771="",0,$C771*$F771)</f>
        <v>0</v>
      </c>
      <c r="J771" s="19" t="str">
        <f aca="false">IF($B771="","",CONCATENATE("Borç: ",$B771," | Toplam: ",TEXT($H771,"#,##0")))</f>
        <v/>
      </c>
    </row>
    <row r="772" customFormat="false" ht="15" hidden="false" customHeight="false" outlineLevel="0" collapsed="false">
      <c r="A772" s="20"/>
      <c r="B772" s="20"/>
      <c r="C772" s="21"/>
      <c r="D772" s="21"/>
      <c r="E772" s="22"/>
      <c r="F772" s="23"/>
      <c r="G772" s="19" t="n">
        <f aca="false">IF($E772="",0,MAX(0,ROUNDDOWN((TecilRaporTarihi-$E772)/30,0)))</f>
        <v>0</v>
      </c>
      <c r="H772" s="19" t="n">
        <f aca="false">IF($C772="",0,$C772+$D772)</f>
        <v>0</v>
      </c>
      <c r="I772" s="19" t="n">
        <f aca="false">IF($C772="",0,$C772*$F772)</f>
        <v>0</v>
      </c>
      <c r="J772" s="19" t="str">
        <f aca="false">IF($B772="","",CONCATENATE("Borç: ",$B772," | Toplam: ",TEXT($H772,"#,##0")))</f>
        <v/>
      </c>
    </row>
    <row r="773" customFormat="false" ht="15" hidden="false" customHeight="false" outlineLevel="0" collapsed="false">
      <c r="A773" s="20"/>
      <c r="B773" s="20"/>
      <c r="C773" s="21"/>
      <c r="D773" s="21"/>
      <c r="E773" s="22"/>
      <c r="F773" s="23"/>
      <c r="G773" s="19" t="n">
        <f aca="false">IF($E773="",0,MAX(0,ROUNDDOWN((TecilRaporTarihi-$E773)/30,0)))</f>
        <v>0</v>
      </c>
      <c r="H773" s="19" t="n">
        <f aca="false">IF($C773="",0,$C773+$D773)</f>
        <v>0</v>
      </c>
      <c r="I773" s="19" t="n">
        <f aca="false">IF($C773="",0,$C773*$F773)</f>
        <v>0</v>
      </c>
      <c r="J773" s="19" t="str">
        <f aca="false">IF($B773="","",CONCATENATE("Borç: ",$B773," | Toplam: ",TEXT($H773,"#,##0")))</f>
        <v/>
      </c>
    </row>
    <row r="774" customFormat="false" ht="15" hidden="false" customHeight="false" outlineLevel="0" collapsed="false">
      <c r="A774" s="20"/>
      <c r="B774" s="20"/>
      <c r="C774" s="21"/>
      <c r="D774" s="21"/>
      <c r="E774" s="22"/>
      <c r="F774" s="23"/>
      <c r="G774" s="19" t="n">
        <f aca="false">IF($E774="",0,MAX(0,ROUNDDOWN((TecilRaporTarihi-$E774)/30,0)))</f>
        <v>0</v>
      </c>
      <c r="H774" s="19" t="n">
        <f aca="false">IF($C774="",0,$C774+$D774)</f>
        <v>0</v>
      </c>
      <c r="I774" s="19" t="n">
        <f aca="false">IF($C774="",0,$C774*$F774)</f>
        <v>0</v>
      </c>
      <c r="J774" s="19" t="str">
        <f aca="false">IF($B774="","",CONCATENATE("Borç: ",$B774," | Toplam: ",TEXT($H774,"#,##0")))</f>
        <v/>
      </c>
    </row>
    <row r="775" customFormat="false" ht="15" hidden="false" customHeight="false" outlineLevel="0" collapsed="false">
      <c r="A775" s="20"/>
      <c r="B775" s="20"/>
      <c r="C775" s="21"/>
      <c r="D775" s="21"/>
      <c r="E775" s="22"/>
      <c r="F775" s="23"/>
      <c r="G775" s="19" t="n">
        <f aca="false">IF($E775="",0,MAX(0,ROUNDDOWN((TecilRaporTarihi-$E775)/30,0)))</f>
        <v>0</v>
      </c>
      <c r="H775" s="19" t="n">
        <f aca="false">IF($C775="",0,$C775+$D775)</f>
        <v>0</v>
      </c>
      <c r="I775" s="19" t="n">
        <f aca="false">IF($C775="",0,$C775*$F775)</f>
        <v>0</v>
      </c>
      <c r="J775" s="19" t="str">
        <f aca="false">IF($B775="","",CONCATENATE("Borç: ",$B775," | Toplam: ",TEXT($H775,"#,##0")))</f>
        <v/>
      </c>
    </row>
    <row r="776" customFormat="false" ht="15" hidden="false" customHeight="false" outlineLevel="0" collapsed="false">
      <c r="A776" s="20"/>
      <c r="B776" s="20"/>
      <c r="C776" s="21"/>
      <c r="D776" s="21"/>
      <c r="E776" s="22"/>
      <c r="F776" s="23"/>
      <c r="G776" s="19" t="n">
        <f aca="false">IF($E776="",0,MAX(0,ROUNDDOWN((TecilRaporTarihi-$E776)/30,0)))</f>
        <v>0</v>
      </c>
      <c r="H776" s="19" t="n">
        <f aca="false">IF($C776="",0,$C776+$D776)</f>
        <v>0</v>
      </c>
      <c r="I776" s="19" t="n">
        <f aca="false">IF($C776="",0,$C776*$F776)</f>
        <v>0</v>
      </c>
      <c r="J776" s="19" t="str">
        <f aca="false">IF($B776="","",CONCATENATE("Borç: ",$B776," | Toplam: ",TEXT($H776,"#,##0")))</f>
        <v/>
      </c>
    </row>
    <row r="777" customFormat="false" ht="15" hidden="false" customHeight="false" outlineLevel="0" collapsed="false">
      <c r="A777" s="20"/>
      <c r="B777" s="20"/>
      <c r="C777" s="21"/>
      <c r="D777" s="21"/>
      <c r="E777" s="22"/>
      <c r="F777" s="23"/>
      <c r="G777" s="19" t="n">
        <f aca="false">IF($E777="",0,MAX(0,ROUNDDOWN((TecilRaporTarihi-$E777)/30,0)))</f>
        <v>0</v>
      </c>
      <c r="H777" s="19" t="n">
        <f aca="false">IF($C777="",0,$C777+$D777)</f>
        <v>0</v>
      </c>
      <c r="I777" s="19" t="n">
        <f aca="false">IF($C777="",0,$C777*$F777)</f>
        <v>0</v>
      </c>
      <c r="J777" s="19" t="str">
        <f aca="false">IF($B777="","",CONCATENATE("Borç: ",$B777," | Toplam: ",TEXT($H777,"#,##0")))</f>
        <v/>
      </c>
    </row>
    <row r="778" customFormat="false" ht="15" hidden="false" customHeight="false" outlineLevel="0" collapsed="false">
      <c r="A778" s="20"/>
      <c r="B778" s="20"/>
      <c r="C778" s="21"/>
      <c r="D778" s="21"/>
      <c r="E778" s="22"/>
      <c r="F778" s="23"/>
      <c r="G778" s="19" t="n">
        <f aca="false">IF($E778="",0,MAX(0,ROUNDDOWN((TecilRaporTarihi-$E778)/30,0)))</f>
        <v>0</v>
      </c>
      <c r="H778" s="19" t="n">
        <f aca="false">IF($C778="",0,$C778+$D778)</f>
        <v>0</v>
      </c>
      <c r="I778" s="19" t="n">
        <f aca="false">IF($C778="",0,$C778*$F778)</f>
        <v>0</v>
      </c>
      <c r="J778" s="19" t="str">
        <f aca="false">IF($B778="","",CONCATENATE("Borç: ",$B778," | Toplam: ",TEXT($H778,"#,##0")))</f>
        <v/>
      </c>
    </row>
    <row r="779" customFormat="false" ht="15" hidden="false" customHeight="false" outlineLevel="0" collapsed="false">
      <c r="A779" s="20"/>
      <c r="B779" s="20"/>
      <c r="C779" s="21"/>
      <c r="D779" s="21"/>
      <c r="E779" s="22"/>
      <c r="F779" s="23"/>
      <c r="G779" s="19" t="n">
        <f aca="false">IF($E779="",0,MAX(0,ROUNDDOWN((TecilRaporTarihi-$E779)/30,0)))</f>
        <v>0</v>
      </c>
      <c r="H779" s="19" t="n">
        <f aca="false">IF($C779="",0,$C779+$D779)</f>
        <v>0</v>
      </c>
      <c r="I779" s="19" t="n">
        <f aca="false">IF($C779="",0,$C779*$F779)</f>
        <v>0</v>
      </c>
      <c r="J779" s="19" t="str">
        <f aca="false">IF($B779="","",CONCATENATE("Borç: ",$B779," | Toplam: ",TEXT($H779,"#,##0")))</f>
        <v/>
      </c>
    </row>
    <row r="780" customFormat="false" ht="15" hidden="false" customHeight="false" outlineLevel="0" collapsed="false">
      <c r="A780" s="20"/>
      <c r="B780" s="20"/>
      <c r="C780" s="21"/>
      <c r="D780" s="21"/>
      <c r="E780" s="22"/>
      <c r="F780" s="23"/>
      <c r="G780" s="19" t="n">
        <f aca="false">IF($E780="",0,MAX(0,ROUNDDOWN((TecilRaporTarihi-$E780)/30,0)))</f>
        <v>0</v>
      </c>
      <c r="H780" s="19" t="n">
        <f aca="false">IF($C780="",0,$C780+$D780)</f>
        <v>0</v>
      </c>
      <c r="I780" s="19" t="n">
        <f aca="false">IF($C780="",0,$C780*$F780)</f>
        <v>0</v>
      </c>
      <c r="J780" s="19" t="str">
        <f aca="false">IF($B780="","",CONCATENATE("Borç: ",$B780," | Toplam: ",TEXT($H780,"#,##0")))</f>
        <v/>
      </c>
    </row>
    <row r="781" customFormat="false" ht="15" hidden="false" customHeight="false" outlineLevel="0" collapsed="false">
      <c r="A781" s="20"/>
      <c r="B781" s="20"/>
      <c r="C781" s="21"/>
      <c r="D781" s="21"/>
      <c r="E781" s="22"/>
      <c r="F781" s="23"/>
      <c r="G781" s="19" t="n">
        <f aca="false">IF($E781="",0,MAX(0,ROUNDDOWN((TecilRaporTarihi-$E781)/30,0)))</f>
        <v>0</v>
      </c>
      <c r="H781" s="19" t="n">
        <f aca="false">IF($C781="",0,$C781+$D781)</f>
        <v>0</v>
      </c>
      <c r="I781" s="19" t="n">
        <f aca="false">IF($C781="",0,$C781*$F781)</f>
        <v>0</v>
      </c>
      <c r="J781" s="19" t="str">
        <f aca="false">IF($B781="","",CONCATENATE("Borç: ",$B781," | Toplam: ",TEXT($H781,"#,##0")))</f>
        <v/>
      </c>
    </row>
    <row r="782" customFormat="false" ht="15" hidden="false" customHeight="false" outlineLevel="0" collapsed="false">
      <c r="A782" s="20"/>
      <c r="B782" s="20"/>
      <c r="C782" s="21"/>
      <c r="D782" s="21"/>
      <c r="E782" s="22"/>
      <c r="F782" s="23"/>
      <c r="G782" s="19" t="n">
        <f aca="false">IF($E782="",0,MAX(0,ROUNDDOWN((TecilRaporTarihi-$E782)/30,0)))</f>
        <v>0</v>
      </c>
      <c r="H782" s="19" t="n">
        <f aca="false">IF($C782="",0,$C782+$D782)</f>
        <v>0</v>
      </c>
      <c r="I782" s="19" t="n">
        <f aca="false">IF($C782="",0,$C782*$F782)</f>
        <v>0</v>
      </c>
      <c r="J782" s="19" t="str">
        <f aca="false">IF($B782="","",CONCATENATE("Borç: ",$B782," | Toplam: ",TEXT($H782,"#,##0")))</f>
        <v/>
      </c>
    </row>
    <row r="783" customFormat="false" ht="15" hidden="false" customHeight="false" outlineLevel="0" collapsed="false">
      <c r="A783" s="20"/>
      <c r="B783" s="20"/>
      <c r="C783" s="21"/>
      <c r="D783" s="21"/>
      <c r="E783" s="22"/>
      <c r="F783" s="23"/>
      <c r="G783" s="19" t="n">
        <f aca="false">IF($E783="",0,MAX(0,ROUNDDOWN((TecilRaporTarihi-$E783)/30,0)))</f>
        <v>0</v>
      </c>
      <c r="H783" s="19" t="n">
        <f aca="false">IF($C783="",0,$C783+$D783)</f>
        <v>0</v>
      </c>
      <c r="I783" s="19" t="n">
        <f aca="false">IF($C783="",0,$C783*$F783)</f>
        <v>0</v>
      </c>
      <c r="J783" s="19" t="str">
        <f aca="false">IF($B783="","",CONCATENATE("Borç: ",$B783," | Toplam: ",TEXT($H783,"#,##0")))</f>
        <v/>
      </c>
    </row>
    <row r="784" customFormat="false" ht="15" hidden="false" customHeight="false" outlineLevel="0" collapsed="false">
      <c r="A784" s="20"/>
      <c r="B784" s="20"/>
      <c r="C784" s="21"/>
      <c r="D784" s="21"/>
      <c r="E784" s="22"/>
      <c r="F784" s="23"/>
      <c r="G784" s="19" t="n">
        <f aca="false">IF($E784="",0,MAX(0,ROUNDDOWN((TecilRaporTarihi-$E784)/30,0)))</f>
        <v>0</v>
      </c>
      <c r="H784" s="19" t="n">
        <f aca="false">IF($C784="",0,$C784+$D784)</f>
        <v>0</v>
      </c>
      <c r="I784" s="19" t="n">
        <f aca="false">IF($C784="",0,$C784*$F784)</f>
        <v>0</v>
      </c>
      <c r="J784" s="19" t="str">
        <f aca="false">IF($B784="","",CONCATENATE("Borç: ",$B784," | Toplam: ",TEXT($H784,"#,##0")))</f>
        <v/>
      </c>
    </row>
    <row r="785" customFormat="false" ht="15" hidden="false" customHeight="false" outlineLevel="0" collapsed="false">
      <c r="A785" s="20"/>
      <c r="B785" s="20"/>
      <c r="C785" s="21"/>
      <c r="D785" s="21"/>
      <c r="E785" s="22"/>
      <c r="F785" s="23"/>
      <c r="G785" s="19" t="n">
        <f aca="false">IF($E785="",0,MAX(0,ROUNDDOWN((TecilRaporTarihi-$E785)/30,0)))</f>
        <v>0</v>
      </c>
      <c r="H785" s="19" t="n">
        <f aca="false">IF($C785="",0,$C785+$D785)</f>
        <v>0</v>
      </c>
      <c r="I785" s="19" t="n">
        <f aca="false">IF($C785="",0,$C785*$F785)</f>
        <v>0</v>
      </c>
      <c r="J785" s="19" t="str">
        <f aca="false">IF($B785="","",CONCATENATE("Borç: ",$B785," | Toplam: ",TEXT($H785,"#,##0")))</f>
        <v/>
      </c>
    </row>
    <row r="786" customFormat="false" ht="15" hidden="false" customHeight="false" outlineLevel="0" collapsed="false">
      <c r="A786" s="20"/>
      <c r="B786" s="20"/>
      <c r="C786" s="21"/>
      <c r="D786" s="21"/>
      <c r="E786" s="22"/>
      <c r="F786" s="23"/>
      <c r="G786" s="19" t="n">
        <f aca="false">IF($E786="",0,MAX(0,ROUNDDOWN((TecilRaporTarihi-$E786)/30,0)))</f>
        <v>0</v>
      </c>
      <c r="H786" s="19" t="n">
        <f aca="false">IF($C786="",0,$C786+$D786)</f>
        <v>0</v>
      </c>
      <c r="I786" s="19" t="n">
        <f aca="false">IF($C786="",0,$C786*$F786)</f>
        <v>0</v>
      </c>
      <c r="J786" s="19" t="str">
        <f aca="false">IF($B786="","",CONCATENATE("Borç: ",$B786," | Toplam: ",TEXT($H786,"#,##0")))</f>
        <v/>
      </c>
    </row>
    <row r="787" customFormat="false" ht="15" hidden="false" customHeight="false" outlineLevel="0" collapsed="false">
      <c r="A787" s="20"/>
      <c r="B787" s="20"/>
      <c r="C787" s="21"/>
      <c r="D787" s="21"/>
      <c r="E787" s="22"/>
      <c r="F787" s="23"/>
      <c r="G787" s="19" t="n">
        <f aca="false">IF($E787="",0,MAX(0,ROUNDDOWN((TecilRaporTarihi-$E787)/30,0)))</f>
        <v>0</v>
      </c>
      <c r="H787" s="19" t="n">
        <f aca="false">IF($C787="",0,$C787+$D787)</f>
        <v>0</v>
      </c>
      <c r="I787" s="19" t="n">
        <f aca="false">IF($C787="",0,$C787*$F787)</f>
        <v>0</v>
      </c>
      <c r="J787" s="19" t="str">
        <f aca="false">IF($B787="","",CONCATENATE("Borç: ",$B787," | Toplam: ",TEXT($H787,"#,##0")))</f>
        <v/>
      </c>
    </row>
    <row r="788" customFormat="false" ht="15" hidden="false" customHeight="false" outlineLevel="0" collapsed="false">
      <c r="A788" s="20"/>
      <c r="B788" s="20"/>
      <c r="C788" s="21"/>
      <c r="D788" s="21"/>
      <c r="E788" s="22"/>
      <c r="F788" s="23"/>
      <c r="G788" s="19" t="n">
        <f aca="false">IF($E788="",0,MAX(0,ROUNDDOWN((TecilRaporTarihi-$E788)/30,0)))</f>
        <v>0</v>
      </c>
      <c r="H788" s="19" t="n">
        <f aca="false">IF($C788="",0,$C788+$D788)</f>
        <v>0</v>
      </c>
      <c r="I788" s="19" t="n">
        <f aca="false">IF($C788="",0,$C788*$F788)</f>
        <v>0</v>
      </c>
      <c r="J788" s="19" t="str">
        <f aca="false">IF($B788="","",CONCATENATE("Borç: ",$B788," | Toplam: ",TEXT($H788,"#,##0")))</f>
        <v/>
      </c>
    </row>
    <row r="789" customFormat="false" ht="15" hidden="false" customHeight="false" outlineLevel="0" collapsed="false">
      <c r="A789" s="20"/>
      <c r="B789" s="20"/>
      <c r="C789" s="21"/>
      <c r="D789" s="21"/>
      <c r="E789" s="22"/>
      <c r="F789" s="23"/>
      <c r="G789" s="19" t="n">
        <f aca="false">IF($E789="",0,MAX(0,ROUNDDOWN((TecilRaporTarihi-$E789)/30,0)))</f>
        <v>0</v>
      </c>
      <c r="H789" s="19" t="n">
        <f aca="false">IF($C789="",0,$C789+$D789)</f>
        <v>0</v>
      </c>
      <c r="I789" s="19" t="n">
        <f aca="false">IF($C789="",0,$C789*$F789)</f>
        <v>0</v>
      </c>
      <c r="J789" s="19" t="str">
        <f aca="false">IF($B789="","",CONCATENATE("Borç: ",$B789," | Toplam: ",TEXT($H789,"#,##0")))</f>
        <v/>
      </c>
    </row>
    <row r="790" customFormat="false" ht="15" hidden="false" customHeight="false" outlineLevel="0" collapsed="false">
      <c r="A790" s="20"/>
      <c r="B790" s="20"/>
      <c r="C790" s="21"/>
      <c r="D790" s="21"/>
      <c r="E790" s="22"/>
      <c r="F790" s="23"/>
      <c r="G790" s="19" t="n">
        <f aca="false">IF($E790="",0,MAX(0,ROUNDDOWN((TecilRaporTarihi-$E790)/30,0)))</f>
        <v>0</v>
      </c>
      <c r="H790" s="19" t="n">
        <f aca="false">IF($C790="",0,$C790+$D790)</f>
        <v>0</v>
      </c>
      <c r="I790" s="19" t="n">
        <f aca="false">IF($C790="",0,$C790*$F790)</f>
        <v>0</v>
      </c>
      <c r="J790" s="19" t="str">
        <f aca="false">IF($B790="","",CONCATENATE("Borç: ",$B790," | Toplam: ",TEXT($H790,"#,##0")))</f>
        <v/>
      </c>
    </row>
    <row r="791" customFormat="false" ht="15" hidden="false" customHeight="false" outlineLevel="0" collapsed="false">
      <c r="A791" s="20"/>
      <c r="B791" s="20"/>
      <c r="C791" s="21"/>
      <c r="D791" s="21"/>
      <c r="E791" s="22"/>
      <c r="F791" s="23"/>
      <c r="G791" s="19" t="n">
        <f aca="false">IF($E791="",0,MAX(0,ROUNDDOWN((TecilRaporTarihi-$E791)/30,0)))</f>
        <v>0</v>
      </c>
      <c r="H791" s="19" t="n">
        <f aca="false">IF($C791="",0,$C791+$D791)</f>
        <v>0</v>
      </c>
      <c r="I791" s="19" t="n">
        <f aca="false">IF($C791="",0,$C791*$F791)</f>
        <v>0</v>
      </c>
      <c r="J791" s="19" t="str">
        <f aca="false">IF($B791="","",CONCATENATE("Borç: ",$B791," | Toplam: ",TEXT($H791,"#,##0")))</f>
        <v/>
      </c>
    </row>
    <row r="792" customFormat="false" ht="15" hidden="false" customHeight="false" outlineLevel="0" collapsed="false">
      <c r="A792" s="20"/>
      <c r="B792" s="20"/>
      <c r="C792" s="21"/>
      <c r="D792" s="21"/>
      <c r="E792" s="22"/>
      <c r="F792" s="23"/>
      <c r="G792" s="19" t="n">
        <f aca="false">IF($E792="",0,MAX(0,ROUNDDOWN((TecilRaporTarihi-$E792)/30,0)))</f>
        <v>0</v>
      </c>
      <c r="H792" s="19" t="n">
        <f aca="false">IF($C792="",0,$C792+$D792)</f>
        <v>0</v>
      </c>
      <c r="I792" s="19" t="n">
        <f aca="false">IF($C792="",0,$C792*$F792)</f>
        <v>0</v>
      </c>
      <c r="J792" s="19" t="str">
        <f aca="false">IF($B792="","",CONCATENATE("Borç: ",$B792," | Toplam: ",TEXT($H792,"#,##0")))</f>
        <v/>
      </c>
    </row>
    <row r="793" customFormat="false" ht="15" hidden="false" customHeight="false" outlineLevel="0" collapsed="false">
      <c r="A793" s="20"/>
      <c r="B793" s="20"/>
      <c r="C793" s="21"/>
      <c r="D793" s="21"/>
      <c r="E793" s="22"/>
      <c r="F793" s="23"/>
      <c r="G793" s="19" t="n">
        <f aca="false">IF($E793="",0,MAX(0,ROUNDDOWN((TecilRaporTarihi-$E793)/30,0)))</f>
        <v>0</v>
      </c>
      <c r="H793" s="19" t="n">
        <f aca="false">IF($C793="",0,$C793+$D793)</f>
        <v>0</v>
      </c>
      <c r="I793" s="19" t="n">
        <f aca="false">IF($C793="",0,$C793*$F793)</f>
        <v>0</v>
      </c>
      <c r="J793" s="19" t="str">
        <f aca="false">IF($B793="","",CONCATENATE("Borç: ",$B793," | Toplam: ",TEXT($H793,"#,##0")))</f>
        <v/>
      </c>
    </row>
    <row r="794" customFormat="false" ht="15" hidden="false" customHeight="false" outlineLevel="0" collapsed="false">
      <c r="A794" s="20"/>
      <c r="B794" s="20"/>
      <c r="C794" s="21"/>
      <c r="D794" s="21"/>
      <c r="E794" s="22"/>
      <c r="F794" s="23"/>
      <c r="G794" s="19" t="n">
        <f aca="false">IF($E794="",0,MAX(0,ROUNDDOWN((TecilRaporTarihi-$E794)/30,0)))</f>
        <v>0</v>
      </c>
      <c r="H794" s="19" t="n">
        <f aca="false">IF($C794="",0,$C794+$D794)</f>
        <v>0</v>
      </c>
      <c r="I794" s="19" t="n">
        <f aca="false">IF($C794="",0,$C794*$F794)</f>
        <v>0</v>
      </c>
      <c r="J794" s="19" t="str">
        <f aca="false">IF($B794="","",CONCATENATE("Borç: ",$B794," | Toplam: ",TEXT($H794,"#,##0")))</f>
        <v/>
      </c>
    </row>
    <row r="795" customFormat="false" ht="15" hidden="false" customHeight="false" outlineLevel="0" collapsed="false">
      <c r="A795" s="20"/>
      <c r="B795" s="20"/>
      <c r="C795" s="21"/>
      <c r="D795" s="21"/>
      <c r="E795" s="22"/>
      <c r="F795" s="23"/>
      <c r="G795" s="19" t="n">
        <f aca="false">IF($E795="",0,MAX(0,ROUNDDOWN((TecilRaporTarihi-$E795)/30,0)))</f>
        <v>0</v>
      </c>
      <c r="H795" s="19" t="n">
        <f aca="false">IF($C795="",0,$C795+$D795)</f>
        <v>0</v>
      </c>
      <c r="I795" s="19" t="n">
        <f aca="false">IF($C795="",0,$C795*$F795)</f>
        <v>0</v>
      </c>
      <c r="J795" s="19" t="str">
        <f aca="false">IF($B795="","",CONCATENATE("Borç: ",$B795," | Toplam: ",TEXT($H795,"#,##0")))</f>
        <v/>
      </c>
    </row>
    <row r="796" customFormat="false" ht="15" hidden="false" customHeight="false" outlineLevel="0" collapsed="false">
      <c r="A796" s="20"/>
      <c r="B796" s="20"/>
      <c r="C796" s="21"/>
      <c r="D796" s="21"/>
      <c r="E796" s="22"/>
      <c r="F796" s="23"/>
      <c r="G796" s="19" t="n">
        <f aca="false">IF($E796="",0,MAX(0,ROUNDDOWN((TecilRaporTarihi-$E796)/30,0)))</f>
        <v>0</v>
      </c>
      <c r="H796" s="19" t="n">
        <f aca="false">IF($C796="",0,$C796+$D796)</f>
        <v>0</v>
      </c>
      <c r="I796" s="19" t="n">
        <f aca="false">IF($C796="",0,$C796*$F796)</f>
        <v>0</v>
      </c>
      <c r="J796" s="19" t="str">
        <f aca="false">IF($B796="","",CONCATENATE("Borç: ",$B796," | Toplam: ",TEXT($H796,"#,##0")))</f>
        <v/>
      </c>
    </row>
    <row r="797" customFormat="false" ht="15" hidden="false" customHeight="false" outlineLevel="0" collapsed="false">
      <c r="A797" s="20"/>
      <c r="B797" s="20"/>
      <c r="C797" s="21"/>
      <c r="D797" s="21"/>
      <c r="E797" s="22"/>
      <c r="F797" s="23"/>
      <c r="G797" s="19" t="n">
        <f aca="false">IF($E797="",0,MAX(0,ROUNDDOWN((TecilRaporTarihi-$E797)/30,0)))</f>
        <v>0</v>
      </c>
      <c r="H797" s="19" t="n">
        <f aca="false">IF($C797="",0,$C797+$D797)</f>
        <v>0</v>
      </c>
      <c r="I797" s="19" t="n">
        <f aca="false">IF($C797="",0,$C797*$F797)</f>
        <v>0</v>
      </c>
      <c r="J797" s="19" t="str">
        <f aca="false">IF($B797="","",CONCATENATE("Borç: ",$B797," | Toplam: ",TEXT($H797,"#,##0")))</f>
        <v/>
      </c>
    </row>
    <row r="798" customFormat="false" ht="15" hidden="false" customHeight="false" outlineLevel="0" collapsed="false">
      <c r="A798" s="20"/>
      <c r="B798" s="20"/>
      <c r="C798" s="21"/>
      <c r="D798" s="21"/>
      <c r="E798" s="22"/>
      <c r="F798" s="23"/>
      <c r="G798" s="19" t="n">
        <f aca="false">IF($E798="",0,MAX(0,ROUNDDOWN((TecilRaporTarihi-$E798)/30,0)))</f>
        <v>0</v>
      </c>
      <c r="H798" s="19" t="n">
        <f aca="false">IF($C798="",0,$C798+$D798)</f>
        <v>0</v>
      </c>
      <c r="I798" s="19" t="n">
        <f aca="false">IF($C798="",0,$C798*$F798)</f>
        <v>0</v>
      </c>
      <c r="J798" s="19" t="str">
        <f aca="false">IF($B798="","",CONCATENATE("Borç: ",$B798," | Toplam: ",TEXT($H798,"#,##0")))</f>
        <v/>
      </c>
    </row>
    <row r="799" customFormat="false" ht="15" hidden="false" customHeight="false" outlineLevel="0" collapsed="false">
      <c r="A799" s="20"/>
      <c r="B799" s="20"/>
      <c r="C799" s="21"/>
      <c r="D799" s="21"/>
      <c r="E799" s="22"/>
      <c r="F799" s="23"/>
      <c r="G799" s="19" t="n">
        <f aca="false">IF($E799="",0,MAX(0,ROUNDDOWN((TecilRaporTarihi-$E799)/30,0)))</f>
        <v>0</v>
      </c>
      <c r="H799" s="19" t="n">
        <f aca="false">IF($C799="",0,$C799+$D799)</f>
        <v>0</v>
      </c>
      <c r="I799" s="19" t="n">
        <f aca="false">IF($C799="",0,$C799*$F799)</f>
        <v>0</v>
      </c>
      <c r="J799" s="19" t="str">
        <f aca="false">IF($B799="","",CONCATENATE("Borç: ",$B799," | Toplam: ",TEXT($H799,"#,##0")))</f>
        <v/>
      </c>
    </row>
    <row r="800" customFormat="false" ht="15" hidden="false" customHeight="false" outlineLevel="0" collapsed="false">
      <c r="A800" s="20"/>
      <c r="B800" s="20"/>
      <c r="C800" s="21"/>
      <c r="D800" s="21"/>
      <c r="E800" s="22"/>
      <c r="F800" s="23"/>
      <c r="G800" s="19" t="n">
        <f aca="false">IF($E800="",0,MAX(0,ROUNDDOWN((TecilRaporTarihi-$E800)/30,0)))</f>
        <v>0</v>
      </c>
      <c r="H800" s="19" t="n">
        <f aca="false">IF($C800="",0,$C800+$D800)</f>
        <v>0</v>
      </c>
      <c r="I800" s="19" t="n">
        <f aca="false">IF($C800="",0,$C800*$F800)</f>
        <v>0</v>
      </c>
      <c r="J800" s="19" t="str">
        <f aca="false">IF($B800="","",CONCATENATE("Borç: ",$B800," | Toplam: ",TEXT($H800,"#,##0")))</f>
        <v/>
      </c>
    </row>
    <row r="801" customFormat="false" ht="15" hidden="false" customHeight="false" outlineLevel="0" collapsed="false">
      <c r="A801" s="20"/>
      <c r="B801" s="20"/>
      <c r="C801" s="21"/>
      <c r="D801" s="21"/>
      <c r="E801" s="22"/>
      <c r="F801" s="23"/>
      <c r="G801" s="19" t="n">
        <f aca="false">IF($E801="",0,MAX(0,ROUNDDOWN((TecilRaporTarihi-$E801)/30,0)))</f>
        <v>0</v>
      </c>
      <c r="H801" s="19" t="n">
        <f aca="false">IF($C801="",0,$C801+$D801)</f>
        <v>0</v>
      </c>
      <c r="I801" s="19" t="n">
        <f aca="false">IF($C801="",0,$C801*$F801)</f>
        <v>0</v>
      </c>
      <c r="J801" s="19" t="str">
        <f aca="false">IF($B801="","",CONCATENATE("Borç: ",$B801," | Toplam: ",TEXT($H801,"#,##0")))</f>
        <v/>
      </c>
    </row>
    <row r="802" customFormat="false" ht="15" hidden="false" customHeight="false" outlineLevel="0" collapsed="false">
      <c r="A802" s="20"/>
      <c r="B802" s="20"/>
      <c r="C802" s="21"/>
      <c r="D802" s="21"/>
      <c r="E802" s="22"/>
      <c r="F802" s="23"/>
      <c r="G802" s="19" t="n">
        <f aca="false">IF($E802="",0,MAX(0,ROUNDDOWN((TecilRaporTarihi-$E802)/30,0)))</f>
        <v>0</v>
      </c>
      <c r="H802" s="19" t="n">
        <f aca="false">IF($C802="",0,$C802+$D802)</f>
        <v>0</v>
      </c>
      <c r="I802" s="19" t="n">
        <f aca="false">IF($C802="",0,$C802*$F802)</f>
        <v>0</v>
      </c>
      <c r="J802" s="19" t="str">
        <f aca="false">IF($B802="","",CONCATENATE("Borç: ",$B802," | Toplam: ",TEXT($H802,"#,##0")))</f>
        <v/>
      </c>
    </row>
    <row r="803" customFormat="false" ht="15" hidden="false" customHeight="false" outlineLevel="0" collapsed="false">
      <c r="A803" s="20"/>
      <c r="B803" s="20"/>
      <c r="C803" s="21"/>
      <c r="D803" s="21"/>
      <c r="E803" s="22"/>
      <c r="F803" s="23"/>
      <c r="G803" s="19" t="n">
        <f aca="false">IF($E803="",0,MAX(0,ROUNDDOWN((TecilRaporTarihi-$E803)/30,0)))</f>
        <v>0</v>
      </c>
      <c r="H803" s="19" t="n">
        <f aca="false">IF($C803="",0,$C803+$D803)</f>
        <v>0</v>
      </c>
      <c r="I803" s="19" t="n">
        <f aca="false">IF($C803="",0,$C803*$F803)</f>
        <v>0</v>
      </c>
      <c r="J803" s="19" t="str">
        <f aca="false">IF($B803="","",CONCATENATE("Borç: ",$B803," | Toplam: ",TEXT($H803,"#,##0")))</f>
        <v/>
      </c>
    </row>
    <row r="804" customFormat="false" ht="15" hidden="false" customHeight="false" outlineLevel="0" collapsed="false">
      <c r="A804" s="20"/>
      <c r="B804" s="20"/>
      <c r="C804" s="21"/>
      <c r="D804" s="21"/>
      <c r="E804" s="22"/>
      <c r="F804" s="23"/>
      <c r="G804" s="19" t="n">
        <f aca="false">IF($E804="",0,MAX(0,ROUNDDOWN((TecilRaporTarihi-$E804)/30,0)))</f>
        <v>0</v>
      </c>
      <c r="H804" s="19" t="n">
        <f aca="false">IF($C804="",0,$C804+$D804)</f>
        <v>0</v>
      </c>
      <c r="I804" s="19" t="n">
        <f aca="false">IF($C804="",0,$C804*$F804)</f>
        <v>0</v>
      </c>
      <c r="J804" s="19" t="str">
        <f aca="false">IF($B804="","",CONCATENATE("Borç: ",$B804," | Toplam: ",TEXT($H804,"#,##0")))</f>
        <v/>
      </c>
    </row>
    <row r="805" customFormat="false" ht="15" hidden="false" customHeight="false" outlineLevel="0" collapsed="false">
      <c r="A805" s="20"/>
      <c r="B805" s="20"/>
      <c r="C805" s="21"/>
      <c r="D805" s="21"/>
      <c r="E805" s="22"/>
      <c r="F805" s="23"/>
      <c r="G805" s="19" t="n">
        <f aca="false">IF($E805="",0,MAX(0,ROUNDDOWN((TecilRaporTarihi-$E805)/30,0)))</f>
        <v>0</v>
      </c>
      <c r="H805" s="19" t="n">
        <f aca="false">IF($C805="",0,$C805+$D805)</f>
        <v>0</v>
      </c>
      <c r="I805" s="19" t="n">
        <f aca="false">IF($C805="",0,$C805*$F805)</f>
        <v>0</v>
      </c>
      <c r="J805" s="19" t="str">
        <f aca="false">IF($B805="","",CONCATENATE("Borç: ",$B805," | Toplam: ",TEXT($H805,"#,##0")))</f>
        <v/>
      </c>
    </row>
    <row r="806" customFormat="false" ht="15" hidden="false" customHeight="false" outlineLevel="0" collapsed="false">
      <c r="A806" s="20"/>
      <c r="B806" s="20"/>
      <c r="C806" s="21"/>
      <c r="D806" s="21"/>
      <c r="E806" s="22"/>
      <c r="F806" s="23"/>
      <c r="G806" s="19" t="n">
        <f aca="false">IF($E806="",0,MAX(0,ROUNDDOWN((TecilRaporTarihi-$E806)/30,0)))</f>
        <v>0</v>
      </c>
      <c r="H806" s="19" t="n">
        <f aca="false">IF($C806="",0,$C806+$D806)</f>
        <v>0</v>
      </c>
      <c r="I806" s="19" t="n">
        <f aca="false">IF($C806="",0,$C806*$F806)</f>
        <v>0</v>
      </c>
      <c r="J806" s="19" t="str">
        <f aca="false">IF($B806="","",CONCATENATE("Borç: ",$B806," | Toplam: ",TEXT($H806,"#,##0")))</f>
        <v/>
      </c>
    </row>
    <row r="807" customFormat="false" ht="15" hidden="false" customHeight="false" outlineLevel="0" collapsed="false">
      <c r="A807" s="20"/>
      <c r="B807" s="20"/>
      <c r="C807" s="21"/>
      <c r="D807" s="21"/>
      <c r="E807" s="22"/>
      <c r="F807" s="23"/>
      <c r="G807" s="19" t="n">
        <f aca="false">IF($E807="",0,MAX(0,ROUNDDOWN((TecilRaporTarihi-$E807)/30,0)))</f>
        <v>0</v>
      </c>
      <c r="H807" s="19" t="n">
        <f aca="false">IF($C807="",0,$C807+$D807)</f>
        <v>0</v>
      </c>
      <c r="I807" s="19" t="n">
        <f aca="false">IF($C807="",0,$C807*$F807)</f>
        <v>0</v>
      </c>
      <c r="J807" s="19" t="str">
        <f aca="false">IF($B807="","",CONCATENATE("Borç: ",$B807," | Toplam: ",TEXT($H807,"#,##0")))</f>
        <v/>
      </c>
    </row>
    <row r="808" customFormat="false" ht="15" hidden="false" customHeight="false" outlineLevel="0" collapsed="false">
      <c r="A808" s="20"/>
      <c r="B808" s="20"/>
      <c r="C808" s="21"/>
      <c r="D808" s="21"/>
      <c r="E808" s="22"/>
      <c r="F808" s="23"/>
      <c r="G808" s="19" t="n">
        <f aca="false">IF($E808="",0,MAX(0,ROUNDDOWN((TecilRaporTarihi-$E808)/30,0)))</f>
        <v>0</v>
      </c>
      <c r="H808" s="19" t="n">
        <f aca="false">IF($C808="",0,$C808+$D808)</f>
        <v>0</v>
      </c>
      <c r="I808" s="19" t="n">
        <f aca="false">IF($C808="",0,$C808*$F808)</f>
        <v>0</v>
      </c>
      <c r="J808" s="19" t="str">
        <f aca="false">IF($B808="","",CONCATENATE("Borç: ",$B808," | Toplam: ",TEXT($H808,"#,##0")))</f>
        <v/>
      </c>
    </row>
    <row r="809" customFormat="false" ht="15" hidden="false" customHeight="false" outlineLevel="0" collapsed="false">
      <c r="A809" s="20"/>
      <c r="B809" s="20"/>
      <c r="C809" s="21"/>
      <c r="D809" s="21"/>
      <c r="E809" s="22"/>
      <c r="F809" s="23"/>
      <c r="G809" s="19" t="n">
        <f aca="false">IF($E809="",0,MAX(0,ROUNDDOWN((TecilRaporTarihi-$E809)/30,0)))</f>
        <v>0</v>
      </c>
      <c r="H809" s="19" t="n">
        <f aca="false">IF($C809="",0,$C809+$D809)</f>
        <v>0</v>
      </c>
      <c r="I809" s="19" t="n">
        <f aca="false">IF($C809="",0,$C809*$F809)</f>
        <v>0</v>
      </c>
      <c r="J809" s="19" t="str">
        <f aca="false">IF($B809="","",CONCATENATE("Borç: ",$B809," | Toplam: ",TEXT($H809,"#,##0")))</f>
        <v/>
      </c>
    </row>
    <row r="810" customFormat="false" ht="15" hidden="false" customHeight="false" outlineLevel="0" collapsed="false">
      <c r="A810" s="20"/>
      <c r="B810" s="20"/>
      <c r="C810" s="21"/>
      <c r="D810" s="21"/>
      <c r="E810" s="22"/>
      <c r="F810" s="23"/>
      <c r="G810" s="19" t="n">
        <f aca="false">IF($E810="",0,MAX(0,ROUNDDOWN((TecilRaporTarihi-$E810)/30,0)))</f>
        <v>0</v>
      </c>
      <c r="H810" s="19" t="n">
        <f aca="false">IF($C810="",0,$C810+$D810)</f>
        <v>0</v>
      </c>
      <c r="I810" s="19" t="n">
        <f aca="false">IF($C810="",0,$C810*$F810)</f>
        <v>0</v>
      </c>
      <c r="J810" s="19" t="str">
        <f aca="false">IF($B810="","",CONCATENATE("Borç: ",$B810," | Toplam: ",TEXT($H810,"#,##0")))</f>
        <v/>
      </c>
    </row>
    <row r="811" customFormat="false" ht="15" hidden="false" customHeight="false" outlineLevel="0" collapsed="false">
      <c r="A811" s="20"/>
      <c r="B811" s="20"/>
      <c r="C811" s="21"/>
      <c r="D811" s="21"/>
      <c r="E811" s="22"/>
      <c r="F811" s="23"/>
      <c r="G811" s="19" t="n">
        <f aca="false">IF($E811="",0,MAX(0,ROUNDDOWN((TecilRaporTarihi-$E811)/30,0)))</f>
        <v>0</v>
      </c>
      <c r="H811" s="19" t="n">
        <f aca="false">IF($C811="",0,$C811+$D811)</f>
        <v>0</v>
      </c>
      <c r="I811" s="19" t="n">
        <f aca="false">IF($C811="",0,$C811*$F811)</f>
        <v>0</v>
      </c>
      <c r="J811" s="19" t="str">
        <f aca="false">IF($B811="","",CONCATENATE("Borç: ",$B811," | Toplam: ",TEXT($H811,"#,##0")))</f>
        <v/>
      </c>
    </row>
    <row r="812" customFormat="false" ht="15" hidden="false" customHeight="false" outlineLevel="0" collapsed="false">
      <c r="A812" s="20"/>
      <c r="B812" s="20"/>
      <c r="C812" s="21"/>
      <c r="D812" s="21"/>
      <c r="E812" s="22"/>
      <c r="F812" s="23"/>
      <c r="G812" s="19" t="n">
        <f aca="false">IF($E812="",0,MAX(0,ROUNDDOWN((TecilRaporTarihi-$E812)/30,0)))</f>
        <v>0</v>
      </c>
      <c r="H812" s="19" t="n">
        <f aca="false">IF($C812="",0,$C812+$D812)</f>
        <v>0</v>
      </c>
      <c r="I812" s="19" t="n">
        <f aca="false">IF($C812="",0,$C812*$F812)</f>
        <v>0</v>
      </c>
      <c r="J812" s="19" t="str">
        <f aca="false">IF($B812="","",CONCATENATE("Borç: ",$B812," | Toplam: ",TEXT($H812,"#,##0")))</f>
        <v/>
      </c>
    </row>
    <row r="813" customFormat="false" ht="15" hidden="false" customHeight="false" outlineLevel="0" collapsed="false">
      <c r="A813" s="20"/>
      <c r="B813" s="20"/>
      <c r="C813" s="21"/>
      <c r="D813" s="21"/>
      <c r="E813" s="22"/>
      <c r="F813" s="23"/>
      <c r="G813" s="19" t="n">
        <f aca="false">IF($E813="",0,MAX(0,ROUNDDOWN((TecilRaporTarihi-$E813)/30,0)))</f>
        <v>0</v>
      </c>
      <c r="H813" s="19" t="n">
        <f aca="false">IF($C813="",0,$C813+$D813)</f>
        <v>0</v>
      </c>
      <c r="I813" s="19" t="n">
        <f aca="false">IF($C813="",0,$C813*$F813)</f>
        <v>0</v>
      </c>
      <c r="J813" s="19" t="str">
        <f aca="false">IF($B813="","",CONCATENATE("Borç: ",$B813," | Toplam: ",TEXT($H813,"#,##0")))</f>
        <v/>
      </c>
    </row>
    <row r="814" customFormat="false" ht="15" hidden="false" customHeight="false" outlineLevel="0" collapsed="false">
      <c r="A814" s="20"/>
      <c r="B814" s="20"/>
      <c r="C814" s="21"/>
      <c r="D814" s="21"/>
      <c r="E814" s="22"/>
      <c r="F814" s="23"/>
      <c r="G814" s="19" t="n">
        <f aca="false">IF($E814="",0,MAX(0,ROUNDDOWN((TecilRaporTarihi-$E814)/30,0)))</f>
        <v>0</v>
      </c>
      <c r="H814" s="19" t="n">
        <f aca="false">IF($C814="",0,$C814+$D814)</f>
        <v>0</v>
      </c>
      <c r="I814" s="19" t="n">
        <f aca="false">IF($C814="",0,$C814*$F814)</f>
        <v>0</v>
      </c>
      <c r="J814" s="19" t="str">
        <f aca="false">IF($B814="","",CONCATENATE("Borç: ",$B814," | Toplam: ",TEXT($H814,"#,##0")))</f>
        <v/>
      </c>
    </row>
    <row r="815" customFormat="false" ht="15" hidden="false" customHeight="false" outlineLevel="0" collapsed="false">
      <c r="A815" s="20"/>
      <c r="B815" s="20"/>
      <c r="C815" s="21"/>
      <c r="D815" s="21"/>
      <c r="E815" s="22"/>
      <c r="F815" s="23"/>
      <c r="G815" s="19" t="n">
        <f aca="false">IF($E815="",0,MAX(0,ROUNDDOWN((TecilRaporTarihi-$E815)/30,0)))</f>
        <v>0</v>
      </c>
      <c r="H815" s="19" t="n">
        <f aca="false">IF($C815="",0,$C815+$D815)</f>
        <v>0</v>
      </c>
      <c r="I815" s="19" t="n">
        <f aca="false">IF($C815="",0,$C815*$F815)</f>
        <v>0</v>
      </c>
      <c r="J815" s="19" t="str">
        <f aca="false">IF($B815="","",CONCATENATE("Borç: ",$B815," | Toplam: ",TEXT($H815,"#,##0")))</f>
        <v/>
      </c>
    </row>
    <row r="816" customFormat="false" ht="15" hidden="false" customHeight="false" outlineLevel="0" collapsed="false">
      <c r="A816" s="20"/>
      <c r="B816" s="20"/>
      <c r="C816" s="21"/>
      <c r="D816" s="21"/>
      <c r="E816" s="22"/>
      <c r="F816" s="23"/>
      <c r="G816" s="19" t="n">
        <f aca="false">IF($E816="",0,MAX(0,ROUNDDOWN((TecilRaporTarihi-$E816)/30,0)))</f>
        <v>0</v>
      </c>
      <c r="H816" s="19" t="n">
        <f aca="false">IF($C816="",0,$C816+$D816)</f>
        <v>0</v>
      </c>
      <c r="I816" s="19" t="n">
        <f aca="false">IF($C816="",0,$C816*$F816)</f>
        <v>0</v>
      </c>
      <c r="J816" s="19" t="str">
        <f aca="false">IF($B816="","",CONCATENATE("Borç: ",$B816," | Toplam: ",TEXT($H816,"#,##0")))</f>
        <v/>
      </c>
    </row>
    <row r="817" customFormat="false" ht="15" hidden="false" customHeight="false" outlineLevel="0" collapsed="false">
      <c r="A817" s="20"/>
      <c r="B817" s="20"/>
      <c r="C817" s="21"/>
      <c r="D817" s="21"/>
      <c r="E817" s="22"/>
      <c r="F817" s="23"/>
      <c r="G817" s="19" t="n">
        <f aca="false">IF($E817="",0,MAX(0,ROUNDDOWN((TecilRaporTarihi-$E817)/30,0)))</f>
        <v>0</v>
      </c>
      <c r="H817" s="19" t="n">
        <f aca="false">IF($C817="",0,$C817+$D817)</f>
        <v>0</v>
      </c>
      <c r="I817" s="19" t="n">
        <f aca="false">IF($C817="",0,$C817*$F817)</f>
        <v>0</v>
      </c>
      <c r="J817" s="19" t="str">
        <f aca="false">IF($B817="","",CONCATENATE("Borç: ",$B817," | Toplam: ",TEXT($H817,"#,##0")))</f>
        <v/>
      </c>
    </row>
    <row r="818" customFormat="false" ht="15" hidden="false" customHeight="false" outlineLevel="0" collapsed="false">
      <c r="A818" s="20"/>
      <c r="B818" s="20"/>
      <c r="C818" s="21"/>
      <c r="D818" s="21"/>
      <c r="E818" s="22"/>
      <c r="F818" s="23"/>
      <c r="G818" s="19" t="n">
        <f aca="false">IF($E818="",0,MAX(0,ROUNDDOWN((TecilRaporTarihi-$E818)/30,0)))</f>
        <v>0</v>
      </c>
      <c r="H818" s="19" t="n">
        <f aca="false">IF($C818="",0,$C818+$D818)</f>
        <v>0</v>
      </c>
      <c r="I818" s="19" t="n">
        <f aca="false">IF($C818="",0,$C818*$F818)</f>
        <v>0</v>
      </c>
      <c r="J818" s="19" t="str">
        <f aca="false">IF($B818="","",CONCATENATE("Borç: ",$B818," | Toplam: ",TEXT($H818,"#,##0")))</f>
        <v/>
      </c>
    </row>
    <row r="819" customFormat="false" ht="15" hidden="false" customHeight="false" outlineLevel="0" collapsed="false">
      <c r="A819" s="20"/>
      <c r="B819" s="20"/>
      <c r="C819" s="21"/>
      <c r="D819" s="21"/>
      <c r="E819" s="22"/>
      <c r="F819" s="23"/>
      <c r="G819" s="19" t="n">
        <f aca="false">IF($E819="",0,MAX(0,ROUNDDOWN((TecilRaporTarihi-$E819)/30,0)))</f>
        <v>0</v>
      </c>
      <c r="H819" s="19" t="n">
        <f aca="false">IF($C819="",0,$C819+$D819)</f>
        <v>0</v>
      </c>
      <c r="I819" s="19" t="n">
        <f aca="false">IF($C819="",0,$C819*$F819)</f>
        <v>0</v>
      </c>
      <c r="J819" s="19" t="str">
        <f aca="false">IF($B819="","",CONCATENATE("Borç: ",$B819," | Toplam: ",TEXT($H819,"#,##0")))</f>
        <v/>
      </c>
    </row>
    <row r="820" customFormat="false" ht="15" hidden="false" customHeight="false" outlineLevel="0" collapsed="false">
      <c r="A820" s="20"/>
      <c r="B820" s="20"/>
      <c r="C820" s="21"/>
      <c r="D820" s="21"/>
      <c r="E820" s="22"/>
      <c r="F820" s="23"/>
      <c r="G820" s="19" t="n">
        <f aca="false">IF($E820="",0,MAX(0,ROUNDDOWN((TecilRaporTarihi-$E820)/30,0)))</f>
        <v>0</v>
      </c>
      <c r="H820" s="19" t="n">
        <f aca="false">IF($C820="",0,$C820+$D820)</f>
        <v>0</v>
      </c>
      <c r="I820" s="19" t="n">
        <f aca="false">IF($C820="",0,$C820*$F820)</f>
        <v>0</v>
      </c>
      <c r="J820" s="19" t="str">
        <f aca="false">IF($B820="","",CONCATENATE("Borç: ",$B820," | Toplam: ",TEXT($H820,"#,##0")))</f>
        <v/>
      </c>
    </row>
    <row r="821" customFormat="false" ht="15" hidden="false" customHeight="false" outlineLevel="0" collapsed="false">
      <c r="A821" s="20"/>
      <c r="B821" s="20"/>
      <c r="C821" s="21"/>
      <c r="D821" s="21"/>
      <c r="E821" s="22"/>
      <c r="F821" s="23"/>
      <c r="G821" s="19" t="n">
        <f aca="false">IF($E821="",0,MAX(0,ROUNDDOWN((TecilRaporTarihi-$E821)/30,0)))</f>
        <v>0</v>
      </c>
      <c r="H821" s="19" t="n">
        <f aca="false">IF($C821="",0,$C821+$D821)</f>
        <v>0</v>
      </c>
      <c r="I821" s="19" t="n">
        <f aca="false">IF($C821="",0,$C821*$F821)</f>
        <v>0</v>
      </c>
      <c r="J821" s="19" t="str">
        <f aca="false">IF($B821="","",CONCATENATE("Borç: ",$B821," | Toplam: ",TEXT($H821,"#,##0")))</f>
        <v/>
      </c>
    </row>
    <row r="822" customFormat="false" ht="15" hidden="false" customHeight="false" outlineLevel="0" collapsed="false">
      <c r="A822" s="20"/>
      <c r="B822" s="20"/>
      <c r="C822" s="21"/>
      <c r="D822" s="21"/>
      <c r="E822" s="22"/>
      <c r="F822" s="23"/>
      <c r="G822" s="19" t="n">
        <f aca="false">IF($E822="",0,MAX(0,ROUNDDOWN((TecilRaporTarihi-$E822)/30,0)))</f>
        <v>0</v>
      </c>
      <c r="H822" s="19" t="n">
        <f aca="false">IF($C822="",0,$C822+$D822)</f>
        <v>0</v>
      </c>
      <c r="I822" s="19" t="n">
        <f aca="false">IF($C822="",0,$C822*$F822)</f>
        <v>0</v>
      </c>
      <c r="J822" s="19" t="str">
        <f aca="false">IF($B822="","",CONCATENATE("Borç: ",$B822," | Toplam: ",TEXT($H822,"#,##0")))</f>
        <v/>
      </c>
    </row>
    <row r="823" customFormat="false" ht="15" hidden="false" customHeight="false" outlineLevel="0" collapsed="false">
      <c r="A823" s="20"/>
      <c r="B823" s="20"/>
      <c r="C823" s="21"/>
      <c r="D823" s="21"/>
      <c r="E823" s="22"/>
      <c r="F823" s="23"/>
      <c r="G823" s="19" t="n">
        <f aca="false">IF($E823="",0,MAX(0,ROUNDDOWN((TecilRaporTarihi-$E823)/30,0)))</f>
        <v>0</v>
      </c>
      <c r="H823" s="19" t="n">
        <f aca="false">IF($C823="",0,$C823+$D823)</f>
        <v>0</v>
      </c>
      <c r="I823" s="19" t="n">
        <f aca="false">IF($C823="",0,$C823*$F823)</f>
        <v>0</v>
      </c>
      <c r="J823" s="19" t="str">
        <f aca="false">IF($B823="","",CONCATENATE("Borç: ",$B823," | Toplam: ",TEXT($H823,"#,##0")))</f>
        <v/>
      </c>
    </row>
    <row r="824" customFormat="false" ht="15" hidden="false" customHeight="false" outlineLevel="0" collapsed="false">
      <c r="A824" s="20"/>
      <c r="B824" s="20"/>
      <c r="C824" s="21"/>
      <c r="D824" s="21"/>
      <c r="E824" s="22"/>
      <c r="F824" s="23"/>
      <c r="G824" s="19" t="n">
        <f aca="false">IF($E824="",0,MAX(0,ROUNDDOWN((TecilRaporTarihi-$E824)/30,0)))</f>
        <v>0</v>
      </c>
      <c r="H824" s="19" t="n">
        <f aca="false">IF($C824="",0,$C824+$D824)</f>
        <v>0</v>
      </c>
      <c r="I824" s="19" t="n">
        <f aca="false">IF($C824="",0,$C824*$F824)</f>
        <v>0</v>
      </c>
      <c r="J824" s="19" t="str">
        <f aca="false">IF($B824="","",CONCATENATE("Borç: ",$B824," | Toplam: ",TEXT($H824,"#,##0")))</f>
        <v/>
      </c>
    </row>
    <row r="825" customFormat="false" ht="15" hidden="false" customHeight="false" outlineLevel="0" collapsed="false">
      <c r="A825" s="20"/>
      <c r="B825" s="20"/>
      <c r="C825" s="21"/>
      <c r="D825" s="21"/>
      <c r="E825" s="22"/>
      <c r="F825" s="23"/>
      <c r="G825" s="19" t="n">
        <f aca="false">IF($E825="",0,MAX(0,ROUNDDOWN((TecilRaporTarihi-$E825)/30,0)))</f>
        <v>0</v>
      </c>
      <c r="H825" s="19" t="n">
        <f aca="false">IF($C825="",0,$C825+$D825)</f>
        <v>0</v>
      </c>
      <c r="I825" s="19" t="n">
        <f aca="false">IF($C825="",0,$C825*$F825)</f>
        <v>0</v>
      </c>
      <c r="J825" s="19" t="str">
        <f aca="false">IF($B825="","",CONCATENATE("Borç: ",$B825," | Toplam: ",TEXT($H825,"#,##0")))</f>
        <v/>
      </c>
    </row>
    <row r="826" customFormat="false" ht="15" hidden="false" customHeight="false" outlineLevel="0" collapsed="false">
      <c r="A826" s="20"/>
      <c r="B826" s="20"/>
      <c r="C826" s="21"/>
      <c r="D826" s="21"/>
      <c r="E826" s="22"/>
      <c r="F826" s="23"/>
      <c r="G826" s="19" t="n">
        <f aca="false">IF($E826="",0,MAX(0,ROUNDDOWN((TecilRaporTarihi-$E826)/30,0)))</f>
        <v>0</v>
      </c>
      <c r="H826" s="19" t="n">
        <f aca="false">IF($C826="",0,$C826+$D826)</f>
        <v>0</v>
      </c>
      <c r="I826" s="19" t="n">
        <f aca="false">IF($C826="",0,$C826*$F826)</f>
        <v>0</v>
      </c>
      <c r="J826" s="19" t="str">
        <f aca="false">IF($B826="","",CONCATENATE("Borç: ",$B826," | Toplam: ",TEXT($H826,"#,##0")))</f>
        <v/>
      </c>
    </row>
    <row r="827" customFormat="false" ht="15" hidden="false" customHeight="false" outlineLevel="0" collapsed="false">
      <c r="A827" s="20"/>
      <c r="B827" s="20"/>
      <c r="C827" s="21"/>
      <c r="D827" s="21"/>
      <c r="E827" s="22"/>
      <c r="F827" s="23"/>
      <c r="G827" s="19" t="n">
        <f aca="false">IF($E827="",0,MAX(0,ROUNDDOWN((TecilRaporTarihi-$E827)/30,0)))</f>
        <v>0</v>
      </c>
      <c r="H827" s="19" t="n">
        <f aca="false">IF($C827="",0,$C827+$D827)</f>
        <v>0</v>
      </c>
      <c r="I827" s="19" t="n">
        <f aca="false">IF($C827="",0,$C827*$F827)</f>
        <v>0</v>
      </c>
      <c r="J827" s="19" t="str">
        <f aca="false">IF($B827="","",CONCATENATE("Borç: ",$B827," | Toplam: ",TEXT($H827,"#,##0")))</f>
        <v/>
      </c>
    </row>
    <row r="828" customFormat="false" ht="15" hidden="false" customHeight="false" outlineLevel="0" collapsed="false">
      <c r="A828" s="20"/>
      <c r="B828" s="20"/>
      <c r="C828" s="21"/>
      <c r="D828" s="21"/>
      <c r="E828" s="22"/>
      <c r="F828" s="23"/>
      <c r="G828" s="19" t="n">
        <f aca="false">IF($E828="",0,MAX(0,ROUNDDOWN((TecilRaporTarihi-$E828)/30,0)))</f>
        <v>0</v>
      </c>
      <c r="H828" s="19" t="n">
        <f aca="false">IF($C828="",0,$C828+$D828)</f>
        <v>0</v>
      </c>
      <c r="I828" s="19" t="n">
        <f aca="false">IF($C828="",0,$C828*$F828)</f>
        <v>0</v>
      </c>
      <c r="J828" s="19" t="str">
        <f aca="false">IF($B828="","",CONCATENATE("Borç: ",$B828," | Toplam: ",TEXT($H828,"#,##0")))</f>
        <v/>
      </c>
    </row>
    <row r="829" customFormat="false" ht="15" hidden="false" customHeight="false" outlineLevel="0" collapsed="false">
      <c r="A829" s="20"/>
      <c r="B829" s="20"/>
      <c r="C829" s="21"/>
      <c r="D829" s="21"/>
      <c r="E829" s="22"/>
      <c r="F829" s="23"/>
      <c r="G829" s="19" t="n">
        <f aca="false">IF($E829="",0,MAX(0,ROUNDDOWN((TecilRaporTarihi-$E829)/30,0)))</f>
        <v>0</v>
      </c>
      <c r="H829" s="19" t="n">
        <f aca="false">IF($C829="",0,$C829+$D829)</f>
        <v>0</v>
      </c>
      <c r="I829" s="19" t="n">
        <f aca="false">IF($C829="",0,$C829*$F829)</f>
        <v>0</v>
      </c>
      <c r="J829" s="19" t="str">
        <f aca="false">IF($B829="","",CONCATENATE("Borç: ",$B829," | Toplam: ",TEXT($H829,"#,##0")))</f>
        <v/>
      </c>
    </row>
    <row r="830" customFormat="false" ht="15" hidden="false" customHeight="false" outlineLevel="0" collapsed="false">
      <c r="A830" s="20"/>
      <c r="B830" s="20"/>
      <c r="C830" s="21"/>
      <c r="D830" s="21"/>
      <c r="E830" s="22"/>
      <c r="F830" s="23"/>
      <c r="G830" s="19" t="n">
        <f aca="false">IF($E830="",0,MAX(0,ROUNDDOWN((TecilRaporTarihi-$E830)/30,0)))</f>
        <v>0</v>
      </c>
      <c r="H830" s="19" t="n">
        <f aca="false">IF($C830="",0,$C830+$D830)</f>
        <v>0</v>
      </c>
      <c r="I830" s="19" t="n">
        <f aca="false">IF($C830="",0,$C830*$F830)</f>
        <v>0</v>
      </c>
      <c r="J830" s="19" t="str">
        <f aca="false">IF($B830="","",CONCATENATE("Borç: ",$B830," | Toplam: ",TEXT($H830,"#,##0")))</f>
        <v/>
      </c>
    </row>
    <row r="831" customFormat="false" ht="15" hidden="false" customHeight="false" outlineLevel="0" collapsed="false">
      <c r="A831" s="20"/>
      <c r="B831" s="20"/>
      <c r="C831" s="21"/>
      <c r="D831" s="21"/>
      <c r="E831" s="22"/>
      <c r="F831" s="23"/>
      <c r="G831" s="19" t="n">
        <f aca="false">IF($E831="",0,MAX(0,ROUNDDOWN((TecilRaporTarihi-$E831)/30,0)))</f>
        <v>0</v>
      </c>
      <c r="H831" s="19" t="n">
        <f aca="false">IF($C831="",0,$C831+$D831)</f>
        <v>0</v>
      </c>
      <c r="I831" s="19" t="n">
        <f aca="false">IF($C831="",0,$C831*$F831)</f>
        <v>0</v>
      </c>
      <c r="J831" s="19" t="str">
        <f aca="false">IF($B831="","",CONCATENATE("Borç: ",$B831," | Toplam: ",TEXT($H831,"#,##0")))</f>
        <v/>
      </c>
    </row>
    <row r="832" customFormat="false" ht="15" hidden="false" customHeight="false" outlineLevel="0" collapsed="false">
      <c r="A832" s="20"/>
      <c r="B832" s="20"/>
      <c r="C832" s="21"/>
      <c r="D832" s="21"/>
      <c r="E832" s="22"/>
      <c r="F832" s="23"/>
      <c r="G832" s="19" t="n">
        <f aca="false">IF($E832="",0,MAX(0,ROUNDDOWN((TecilRaporTarihi-$E832)/30,0)))</f>
        <v>0</v>
      </c>
      <c r="H832" s="19" t="n">
        <f aca="false">IF($C832="",0,$C832+$D832)</f>
        <v>0</v>
      </c>
      <c r="I832" s="19" t="n">
        <f aca="false">IF($C832="",0,$C832*$F832)</f>
        <v>0</v>
      </c>
      <c r="J832" s="19" t="str">
        <f aca="false">IF($B832="","",CONCATENATE("Borç: ",$B832," | Toplam: ",TEXT($H832,"#,##0")))</f>
        <v/>
      </c>
    </row>
    <row r="833" customFormat="false" ht="15" hidden="false" customHeight="false" outlineLevel="0" collapsed="false">
      <c r="A833" s="20"/>
      <c r="B833" s="20"/>
      <c r="C833" s="21"/>
      <c r="D833" s="21"/>
      <c r="E833" s="22"/>
      <c r="F833" s="23"/>
      <c r="G833" s="19" t="n">
        <f aca="false">IF($E833="",0,MAX(0,ROUNDDOWN((TecilRaporTarihi-$E833)/30,0)))</f>
        <v>0</v>
      </c>
      <c r="H833" s="19" t="n">
        <f aca="false">IF($C833="",0,$C833+$D833)</f>
        <v>0</v>
      </c>
      <c r="I833" s="19" t="n">
        <f aca="false">IF($C833="",0,$C833*$F833)</f>
        <v>0</v>
      </c>
      <c r="J833" s="19" t="str">
        <f aca="false">IF($B833="","",CONCATENATE("Borç: ",$B833," | Toplam: ",TEXT($H833,"#,##0")))</f>
        <v/>
      </c>
    </row>
    <row r="834" customFormat="false" ht="15" hidden="false" customHeight="false" outlineLevel="0" collapsed="false">
      <c r="A834" s="20"/>
      <c r="B834" s="20"/>
      <c r="C834" s="21"/>
      <c r="D834" s="21"/>
      <c r="E834" s="22"/>
      <c r="F834" s="23"/>
      <c r="G834" s="19" t="n">
        <f aca="false">IF($E834="",0,MAX(0,ROUNDDOWN((TecilRaporTarihi-$E834)/30,0)))</f>
        <v>0</v>
      </c>
      <c r="H834" s="19" t="n">
        <f aca="false">IF($C834="",0,$C834+$D834)</f>
        <v>0</v>
      </c>
      <c r="I834" s="19" t="n">
        <f aca="false">IF($C834="",0,$C834*$F834)</f>
        <v>0</v>
      </c>
      <c r="J834" s="19" t="str">
        <f aca="false">IF($B834="","",CONCATENATE("Borç: ",$B834," | Toplam: ",TEXT($H834,"#,##0")))</f>
        <v/>
      </c>
    </row>
    <row r="835" customFormat="false" ht="15" hidden="false" customHeight="false" outlineLevel="0" collapsed="false">
      <c r="A835" s="20"/>
      <c r="B835" s="20"/>
      <c r="C835" s="21"/>
      <c r="D835" s="21"/>
      <c r="E835" s="22"/>
      <c r="F835" s="23"/>
      <c r="G835" s="19" t="n">
        <f aca="false">IF($E835="",0,MAX(0,ROUNDDOWN((TecilRaporTarihi-$E835)/30,0)))</f>
        <v>0</v>
      </c>
      <c r="H835" s="19" t="n">
        <f aca="false">IF($C835="",0,$C835+$D835)</f>
        <v>0</v>
      </c>
      <c r="I835" s="19" t="n">
        <f aca="false">IF($C835="",0,$C835*$F835)</f>
        <v>0</v>
      </c>
      <c r="J835" s="19" t="str">
        <f aca="false">IF($B835="","",CONCATENATE("Borç: ",$B835," | Toplam: ",TEXT($H835,"#,##0")))</f>
        <v/>
      </c>
    </row>
    <row r="836" customFormat="false" ht="15" hidden="false" customHeight="false" outlineLevel="0" collapsed="false">
      <c r="A836" s="20"/>
      <c r="B836" s="20"/>
      <c r="C836" s="21"/>
      <c r="D836" s="21"/>
      <c r="E836" s="22"/>
      <c r="F836" s="23"/>
      <c r="G836" s="19" t="n">
        <f aca="false">IF($E836="",0,MAX(0,ROUNDDOWN((TecilRaporTarihi-$E836)/30,0)))</f>
        <v>0</v>
      </c>
      <c r="H836" s="19" t="n">
        <f aca="false">IF($C836="",0,$C836+$D836)</f>
        <v>0</v>
      </c>
      <c r="I836" s="19" t="n">
        <f aca="false">IF($C836="",0,$C836*$F836)</f>
        <v>0</v>
      </c>
      <c r="J836" s="19" t="str">
        <f aca="false">IF($B836="","",CONCATENATE("Borç: ",$B836," | Toplam: ",TEXT($H836,"#,##0")))</f>
        <v/>
      </c>
    </row>
    <row r="837" customFormat="false" ht="15" hidden="false" customHeight="false" outlineLevel="0" collapsed="false">
      <c r="A837" s="20"/>
      <c r="B837" s="20"/>
      <c r="C837" s="21"/>
      <c r="D837" s="21"/>
      <c r="E837" s="22"/>
      <c r="F837" s="23"/>
      <c r="G837" s="19" t="n">
        <f aca="false">IF($E837="",0,MAX(0,ROUNDDOWN((TecilRaporTarihi-$E837)/30,0)))</f>
        <v>0</v>
      </c>
      <c r="H837" s="19" t="n">
        <f aca="false">IF($C837="",0,$C837+$D837)</f>
        <v>0</v>
      </c>
      <c r="I837" s="19" t="n">
        <f aca="false">IF($C837="",0,$C837*$F837)</f>
        <v>0</v>
      </c>
      <c r="J837" s="19" t="str">
        <f aca="false">IF($B837="","",CONCATENATE("Borç: ",$B837," | Toplam: ",TEXT($H837,"#,##0")))</f>
        <v/>
      </c>
    </row>
    <row r="838" customFormat="false" ht="15" hidden="false" customHeight="false" outlineLevel="0" collapsed="false">
      <c r="A838" s="20"/>
      <c r="B838" s="20"/>
      <c r="C838" s="21"/>
      <c r="D838" s="21"/>
      <c r="E838" s="22"/>
      <c r="F838" s="23"/>
      <c r="G838" s="19" t="n">
        <f aca="false">IF($E838="",0,MAX(0,ROUNDDOWN((TecilRaporTarihi-$E838)/30,0)))</f>
        <v>0</v>
      </c>
      <c r="H838" s="19" t="n">
        <f aca="false">IF($C838="",0,$C838+$D838)</f>
        <v>0</v>
      </c>
      <c r="I838" s="19" t="n">
        <f aca="false">IF($C838="",0,$C838*$F838)</f>
        <v>0</v>
      </c>
      <c r="J838" s="19" t="str">
        <f aca="false">IF($B838="","",CONCATENATE("Borç: ",$B838," | Toplam: ",TEXT($H838,"#,##0")))</f>
        <v/>
      </c>
    </row>
    <row r="839" customFormat="false" ht="15" hidden="false" customHeight="false" outlineLevel="0" collapsed="false">
      <c r="A839" s="20"/>
      <c r="B839" s="20"/>
      <c r="C839" s="21"/>
      <c r="D839" s="21"/>
      <c r="E839" s="22"/>
      <c r="F839" s="23"/>
      <c r="G839" s="19" t="n">
        <f aca="false">IF($E839="",0,MAX(0,ROUNDDOWN((TecilRaporTarihi-$E839)/30,0)))</f>
        <v>0</v>
      </c>
      <c r="H839" s="19" t="n">
        <f aca="false">IF($C839="",0,$C839+$D839)</f>
        <v>0</v>
      </c>
      <c r="I839" s="19" t="n">
        <f aca="false">IF($C839="",0,$C839*$F839)</f>
        <v>0</v>
      </c>
      <c r="J839" s="19" t="str">
        <f aca="false">IF($B839="","",CONCATENATE("Borç: ",$B839," | Toplam: ",TEXT($H839,"#,##0")))</f>
        <v/>
      </c>
    </row>
    <row r="840" customFormat="false" ht="15" hidden="false" customHeight="false" outlineLevel="0" collapsed="false">
      <c r="A840" s="20"/>
      <c r="B840" s="20"/>
      <c r="C840" s="21"/>
      <c r="D840" s="21"/>
      <c r="E840" s="22"/>
      <c r="F840" s="23"/>
      <c r="G840" s="19" t="n">
        <f aca="false">IF($E840="",0,MAX(0,ROUNDDOWN((TecilRaporTarihi-$E840)/30,0)))</f>
        <v>0</v>
      </c>
      <c r="H840" s="19" t="n">
        <f aca="false">IF($C840="",0,$C840+$D840)</f>
        <v>0</v>
      </c>
      <c r="I840" s="19" t="n">
        <f aca="false">IF($C840="",0,$C840*$F840)</f>
        <v>0</v>
      </c>
      <c r="J840" s="19" t="str">
        <f aca="false">IF($B840="","",CONCATENATE("Borç: ",$B840," | Toplam: ",TEXT($H840,"#,##0")))</f>
        <v/>
      </c>
    </row>
    <row r="841" customFormat="false" ht="15" hidden="false" customHeight="false" outlineLevel="0" collapsed="false">
      <c r="A841" s="20"/>
      <c r="B841" s="20"/>
      <c r="C841" s="21"/>
      <c r="D841" s="21"/>
      <c r="E841" s="22"/>
      <c r="F841" s="23"/>
      <c r="G841" s="19" t="n">
        <f aca="false">IF($E841="",0,MAX(0,ROUNDDOWN((TecilRaporTarihi-$E841)/30,0)))</f>
        <v>0</v>
      </c>
      <c r="H841" s="19" t="n">
        <f aca="false">IF($C841="",0,$C841+$D841)</f>
        <v>0</v>
      </c>
      <c r="I841" s="19" t="n">
        <f aca="false">IF($C841="",0,$C841*$F841)</f>
        <v>0</v>
      </c>
      <c r="J841" s="19" t="str">
        <f aca="false">IF($B841="","",CONCATENATE("Borç: ",$B841," | Toplam: ",TEXT($H841,"#,##0")))</f>
        <v/>
      </c>
    </row>
    <row r="842" customFormat="false" ht="15" hidden="false" customHeight="false" outlineLevel="0" collapsed="false">
      <c r="A842" s="20"/>
      <c r="B842" s="20"/>
      <c r="C842" s="21"/>
      <c r="D842" s="21"/>
      <c r="E842" s="22"/>
      <c r="F842" s="23"/>
      <c r="G842" s="19" t="n">
        <f aca="false">IF($E842="",0,MAX(0,ROUNDDOWN((TecilRaporTarihi-$E842)/30,0)))</f>
        <v>0</v>
      </c>
      <c r="H842" s="19" t="n">
        <f aca="false">IF($C842="",0,$C842+$D842)</f>
        <v>0</v>
      </c>
      <c r="I842" s="19" t="n">
        <f aca="false">IF($C842="",0,$C842*$F842)</f>
        <v>0</v>
      </c>
      <c r="J842" s="19" t="str">
        <f aca="false">IF($B842="","",CONCATENATE("Borç: ",$B842," | Toplam: ",TEXT($H842,"#,##0")))</f>
        <v/>
      </c>
    </row>
    <row r="843" customFormat="false" ht="15" hidden="false" customHeight="false" outlineLevel="0" collapsed="false">
      <c r="A843" s="20"/>
      <c r="B843" s="20"/>
      <c r="C843" s="21"/>
      <c r="D843" s="21"/>
      <c r="E843" s="22"/>
      <c r="F843" s="23"/>
      <c r="G843" s="19" t="n">
        <f aca="false">IF($E843="",0,MAX(0,ROUNDDOWN((TecilRaporTarihi-$E843)/30,0)))</f>
        <v>0</v>
      </c>
      <c r="H843" s="19" t="n">
        <f aca="false">IF($C843="",0,$C843+$D843)</f>
        <v>0</v>
      </c>
      <c r="I843" s="19" t="n">
        <f aca="false">IF($C843="",0,$C843*$F843)</f>
        <v>0</v>
      </c>
      <c r="J843" s="19" t="str">
        <f aca="false">IF($B843="","",CONCATENATE("Borç: ",$B843," | Toplam: ",TEXT($H843,"#,##0")))</f>
        <v/>
      </c>
    </row>
    <row r="844" customFormat="false" ht="15" hidden="false" customHeight="false" outlineLevel="0" collapsed="false">
      <c r="A844" s="20"/>
      <c r="B844" s="20"/>
      <c r="C844" s="21"/>
      <c r="D844" s="21"/>
      <c r="E844" s="22"/>
      <c r="F844" s="23"/>
      <c r="G844" s="19" t="n">
        <f aca="false">IF($E844="",0,MAX(0,ROUNDDOWN((TecilRaporTarihi-$E844)/30,0)))</f>
        <v>0</v>
      </c>
      <c r="H844" s="19" t="n">
        <f aca="false">IF($C844="",0,$C844+$D844)</f>
        <v>0</v>
      </c>
      <c r="I844" s="19" t="n">
        <f aca="false">IF($C844="",0,$C844*$F844)</f>
        <v>0</v>
      </c>
      <c r="J844" s="19" t="str">
        <f aca="false">IF($B844="","",CONCATENATE("Borç: ",$B844," | Toplam: ",TEXT($H844,"#,##0")))</f>
        <v/>
      </c>
    </row>
    <row r="845" customFormat="false" ht="15" hidden="false" customHeight="false" outlineLevel="0" collapsed="false">
      <c r="A845" s="20"/>
      <c r="B845" s="20"/>
      <c r="C845" s="21"/>
      <c r="D845" s="21"/>
      <c r="E845" s="22"/>
      <c r="F845" s="23"/>
      <c r="G845" s="19" t="n">
        <f aca="false">IF($E845="",0,MAX(0,ROUNDDOWN((TecilRaporTarihi-$E845)/30,0)))</f>
        <v>0</v>
      </c>
      <c r="H845" s="19" t="n">
        <f aca="false">IF($C845="",0,$C845+$D845)</f>
        <v>0</v>
      </c>
      <c r="I845" s="19" t="n">
        <f aca="false">IF($C845="",0,$C845*$F845)</f>
        <v>0</v>
      </c>
      <c r="J845" s="19" t="str">
        <f aca="false">IF($B845="","",CONCATENATE("Borç: ",$B845," | Toplam: ",TEXT($H845,"#,##0")))</f>
        <v/>
      </c>
    </row>
    <row r="846" customFormat="false" ht="15" hidden="false" customHeight="false" outlineLevel="0" collapsed="false">
      <c r="A846" s="20"/>
      <c r="B846" s="20"/>
      <c r="C846" s="21"/>
      <c r="D846" s="21"/>
      <c r="E846" s="22"/>
      <c r="F846" s="23"/>
      <c r="G846" s="19" t="n">
        <f aca="false">IF($E846="",0,MAX(0,ROUNDDOWN((TecilRaporTarihi-$E846)/30,0)))</f>
        <v>0</v>
      </c>
      <c r="H846" s="19" t="n">
        <f aca="false">IF($C846="",0,$C846+$D846)</f>
        <v>0</v>
      </c>
      <c r="I846" s="19" t="n">
        <f aca="false">IF($C846="",0,$C846*$F846)</f>
        <v>0</v>
      </c>
      <c r="J846" s="19" t="str">
        <f aca="false">IF($B846="","",CONCATENATE("Borç: ",$B846," | Toplam: ",TEXT($H846,"#,##0")))</f>
        <v/>
      </c>
    </row>
    <row r="847" customFormat="false" ht="15" hidden="false" customHeight="false" outlineLevel="0" collapsed="false">
      <c r="A847" s="20"/>
      <c r="B847" s="20"/>
      <c r="C847" s="21"/>
      <c r="D847" s="21"/>
      <c r="E847" s="22"/>
      <c r="F847" s="23"/>
      <c r="G847" s="19" t="n">
        <f aca="false">IF($E847="",0,MAX(0,ROUNDDOWN((TecilRaporTarihi-$E847)/30,0)))</f>
        <v>0</v>
      </c>
      <c r="H847" s="19" t="n">
        <f aca="false">IF($C847="",0,$C847+$D847)</f>
        <v>0</v>
      </c>
      <c r="I847" s="19" t="n">
        <f aca="false">IF($C847="",0,$C847*$F847)</f>
        <v>0</v>
      </c>
      <c r="J847" s="19" t="str">
        <f aca="false">IF($B847="","",CONCATENATE("Borç: ",$B847," | Toplam: ",TEXT($H847,"#,##0")))</f>
        <v/>
      </c>
    </row>
    <row r="848" customFormat="false" ht="15" hidden="false" customHeight="false" outlineLevel="0" collapsed="false">
      <c r="A848" s="20"/>
      <c r="B848" s="20"/>
      <c r="C848" s="21"/>
      <c r="D848" s="21"/>
      <c r="E848" s="22"/>
      <c r="F848" s="23"/>
      <c r="G848" s="19" t="n">
        <f aca="false">IF($E848="",0,MAX(0,ROUNDDOWN((TecilRaporTarihi-$E848)/30,0)))</f>
        <v>0</v>
      </c>
      <c r="H848" s="19" t="n">
        <f aca="false">IF($C848="",0,$C848+$D848)</f>
        <v>0</v>
      </c>
      <c r="I848" s="19" t="n">
        <f aca="false">IF($C848="",0,$C848*$F848)</f>
        <v>0</v>
      </c>
      <c r="J848" s="19" t="str">
        <f aca="false">IF($B848="","",CONCATENATE("Borç: ",$B848," | Toplam: ",TEXT($H848,"#,##0")))</f>
        <v/>
      </c>
    </row>
    <row r="849" customFormat="false" ht="15" hidden="false" customHeight="false" outlineLevel="0" collapsed="false">
      <c r="A849" s="20"/>
      <c r="B849" s="20"/>
      <c r="C849" s="21"/>
      <c r="D849" s="21"/>
      <c r="E849" s="22"/>
      <c r="F849" s="23"/>
      <c r="G849" s="19" t="n">
        <f aca="false">IF($E849="",0,MAX(0,ROUNDDOWN((TecilRaporTarihi-$E849)/30,0)))</f>
        <v>0</v>
      </c>
      <c r="H849" s="19" t="n">
        <f aca="false">IF($C849="",0,$C849+$D849)</f>
        <v>0</v>
      </c>
      <c r="I849" s="19" t="n">
        <f aca="false">IF($C849="",0,$C849*$F849)</f>
        <v>0</v>
      </c>
      <c r="J849" s="19" t="str">
        <f aca="false">IF($B849="","",CONCATENATE("Borç: ",$B849," | Toplam: ",TEXT($H849,"#,##0")))</f>
        <v/>
      </c>
    </row>
    <row r="850" customFormat="false" ht="15" hidden="false" customHeight="false" outlineLevel="0" collapsed="false">
      <c r="A850" s="20"/>
      <c r="B850" s="20"/>
      <c r="C850" s="21"/>
      <c r="D850" s="21"/>
      <c r="E850" s="22"/>
      <c r="F850" s="23"/>
      <c r="G850" s="19" t="n">
        <f aca="false">IF($E850="",0,MAX(0,ROUNDDOWN((TecilRaporTarihi-$E850)/30,0)))</f>
        <v>0</v>
      </c>
      <c r="H850" s="19" t="n">
        <f aca="false">IF($C850="",0,$C850+$D850)</f>
        <v>0</v>
      </c>
      <c r="I850" s="19" t="n">
        <f aca="false">IF($C850="",0,$C850*$F850)</f>
        <v>0</v>
      </c>
      <c r="J850" s="19" t="str">
        <f aca="false">IF($B850="","",CONCATENATE("Borç: ",$B850," | Toplam: ",TEXT($H850,"#,##0")))</f>
        <v/>
      </c>
    </row>
    <row r="851" customFormat="false" ht="15" hidden="false" customHeight="false" outlineLevel="0" collapsed="false">
      <c r="A851" s="20"/>
      <c r="B851" s="20"/>
      <c r="C851" s="21"/>
      <c r="D851" s="21"/>
      <c r="E851" s="22"/>
      <c r="F851" s="23"/>
      <c r="G851" s="19" t="n">
        <f aca="false">IF($E851="",0,MAX(0,ROUNDDOWN((TecilRaporTarihi-$E851)/30,0)))</f>
        <v>0</v>
      </c>
      <c r="H851" s="19" t="n">
        <f aca="false">IF($C851="",0,$C851+$D851)</f>
        <v>0</v>
      </c>
      <c r="I851" s="19" t="n">
        <f aca="false">IF($C851="",0,$C851*$F851)</f>
        <v>0</v>
      </c>
      <c r="J851" s="19" t="str">
        <f aca="false">IF($B851="","",CONCATENATE("Borç: ",$B851," | Toplam: ",TEXT($H851,"#,##0")))</f>
        <v/>
      </c>
    </row>
    <row r="852" customFormat="false" ht="15" hidden="false" customHeight="false" outlineLevel="0" collapsed="false">
      <c r="A852" s="20"/>
      <c r="B852" s="20"/>
      <c r="C852" s="21"/>
      <c r="D852" s="21"/>
      <c r="E852" s="22"/>
      <c r="F852" s="23"/>
      <c r="G852" s="19" t="n">
        <f aca="false">IF($E852="",0,MAX(0,ROUNDDOWN((TecilRaporTarihi-$E852)/30,0)))</f>
        <v>0</v>
      </c>
      <c r="H852" s="19" t="n">
        <f aca="false">IF($C852="",0,$C852+$D852)</f>
        <v>0</v>
      </c>
      <c r="I852" s="19" t="n">
        <f aca="false">IF($C852="",0,$C852*$F852)</f>
        <v>0</v>
      </c>
      <c r="J852" s="19" t="str">
        <f aca="false">IF($B852="","",CONCATENATE("Borç: ",$B852," | Toplam: ",TEXT($H852,"#,##0")))</f>
        <v/>
      </c>
    </row>
    <row r="853" customFormat="false" ht="15" hidden="false" customHeight="false" outlineLevel="0" collapsed="false">
      <c r="A853" s="20"/>
      <c r="B853" s="20"/>
      <c r="C853" s="21"/>
      <c r="D853" s="21"/>
      <c r="E853" s="22"/>
      <c r="F853" s="23"/>
      <c r="G853" s="19" t="n">
        <f aca="false">IF($E853="",0,MAX(0,ROUNDDOWN((TecilRaporTarihi-$E853)/30,0)))</f>
        <v>0</v>
      </c>
      <c r="H853" s="19" t="n">
        <f aca="false">IF($C853="",0,$C853+$D853)</f>
        <v>0</v>
      </c>
      <c r="I853" s="19" t="n">
        <f aca="false">IF($C853="",0,$C853*$F853)</f>
        <v>0</v>
      </c>
      <c r="J853" s="19" t="str">
        <f aca="false">IF($B853="","",CONCATENATE("Borç: ",$B853," | Toplam: ",TEXT($H853,"#,##0")))</f>
        <v/>
      </c>
    </row>
    <row r="854" customFormat="false" ht="15" hidden="false" customHeight="false" outlineLevel="0" collapsed="false">
      <c r="A854" s="20"/>
      <c r="B854" s="20"/>
      <c r="C854" s="21"/>
      <c r="D854" s="21"/>
      <c r="E854" s="22"/>
      <c r="F854" s="23"/>
      <c r="G854" s="19" t="n">
        <f aca="false">IF($E854="",0,MAX(0,ROUNDDOWN((TecilRaporTarihi-$E854)/30,0)))</f>
        <v>0</v>
      </c>
      <c r="H854" s="19" t="n">
        <f aca="false">IF($C854="",0,$C854+$D854)</f>
        <v>0</v>
      </c>
      <c r="I854" s="19" t="n">
        <f aca="false">IF($C854="",0,$C854*$F854)</f>
        <v>0</v>
      </c>
      <c r="J854" s="19" t="str">
        <f aca="false">IF($B854="","",CONCATENATE("Borç: ",$B854," | Toplam: ",TEXT($H854,"#,##0")))</f>
        <v/>
      </c>
    </row>
    <row r="855" customFormat="false" ht="15" hidden="false" customHeight="false" outlineLevel="0" collapsed="false">
      <c r="A855" s="20"/>
      <c r="B855" s="20"/>
      <c r="C855" s="21"/>
      <c r="D855" s="21"/>
      <c r="E855" s="22"/>
      <c r="F855" s="23"/>
      <c r="G855" s="19" t="n">
        <f aca="false">IF($E855="",0,MAX(0,ROUNDDOWN((TecilRaporTarihi-$E855)/30,0)))</f>
        <v>0</v>
      </c>
      <c r="H855" s="19" t="n">
        <f aca="false">IF($C855="",0,$C855+$D855)</f>
        <v>0</v>
      </c>
      <c r="I855" s="19" t="n">
        <f aca="false">IF($C855="",0,$C855*$F855)</f>
        <v>0</v>
      </c>
      <c r="J855" s="19" t="str">
        <f aca="false">IF($B855="","",CONCATENATE("Borç: ",$B855," | Toplam: ",TEXT($H855,"#,##0")))</f>
        <v/>
      </c>
    </row>
    <row r="856" customFormat="false" ht="15" hidden="false" customHeight="false" outlineLevel="0" collapsed="false">
      <c r="A856" s="20"/>
      <c r="B856" s="20"/>
      <c r="C856" s="21"/>
      <c r="D856" s="21"/>
      <c r="E856" s="22"/>
      <c r="F856" s="23"/>
      <c r="G856" s="19" t="n">
        <f aca="false">IF($E856="",0,MAX(0,ROUNDDOWN((TecilRaporTarihi-$E856)/30,0)))</f>
        <v>0</v>
      </c>
      <c r="H856" s="19" t="n">
        <f aca="false">IF($C856="",0,$C856+$D856)</f>
        <v>0</v>
      </c>
      <c r="I856" s="19" t="n">
        <f aca="false">IF($C856="",0,$C856*$F856)</f>
        <v>0</v>
      </c>
      <c r="J856" s="19" t="str">
        <f aca="false">IF($B856="","",CONCATENATE("Borç: ",$B856," | Toplam: ",TEXT($H856,"#,##0")))</f>
        <v/>
      </c>
    </row>
    <row r="857" customFormat="false" ht="15" hidden="false" customHeight="false" outlineLevel="0" collapsed="false">
      <c r="A857" s="20"/>
      <c r="B857" s="20"/>
      <c r="C857" s="21"/>
      <c r="D857" s="21"/>
      <c r="E857" s="22"/>
      <c r="F857" s="23"/>
      <c r="G857" s="19" t="n">
        <f aca="false">IF($E857="",0,MAX(0,ROUNDDOWN((TecilRaporTarihi-$E857)/30,0)))</f>
        <v>0</v>
      </c>
      <c r="H857" s="19" t="n">
        <f aca="false">IF($C857="",0,$C857+$D857)</f>
        <v>0</v>
      </c>
      <c r="I857" s="19" t="n">
        <f aca="false">IF($C857="",0,$C857*$F857)</f>
        <v>0</v>
      </c>
      <c r="J857" s="19" t="str">
        <f aca="false">IF($B857="","",CONCATENATE("Borç: ",$B857," | Toplam: ",TEXT($H857,"#,##0")))</f>
        <v/>
      </c>
    </row>
    <row r="858" customFormat="false" ht="15" hidden="false" customHeight="false" outlineLevel="0" collapsed="false">
      <c r="A858" s="20"/>
      <c r="B858" s="20"/>
      <c r="C858" s="21"/>
      <c r="D858" s="21"/>
      <c r="E858" s="22"/>
      <c r="F858" s="23"/>
      <c r="G858" s="19" t="n">
        <f aca="false">IF($E858="",0,MAX(0,ROUNDDOWN((TecilRaporTarihi-$E858)/30,0)))</f>
        <v>0</v>
      </c>
      <c r="H858" s="19" t="n">
        <f aca="false">IF($C858="",0,$C858+$D858)</f>
        <v>0</v>
      </c>
      <c r="I858" s="19" t="n">
        <f aca="false">IF($C858="",0,$C858*$F858)</f>
        <v>0</v>
      </c>
      <c r="J858" s="19" t="str">
        <f aca="false">IF($B858="","",CONCATENATE("Borç: ",$B858," | Toplam: ",TEXT($H858,"#,##0")))</f>
        <v/>
      </c>
    </row>
    <row r="859" customFormat="false" ht="15" hidden="false" customHeight="false" outlineLevel="0" collapsed="false">
      <c r="A859" s="20"/>
      <c r="B859" s="20"/>
      <c r="C859" s="21"/>
      <c r="D859" s="21"/>
      <c r="E859" s="22"/>
      <c r="F859" s="23"/>
      <c r="G859" s="19" t="n">
        <f aca="false">IF($E859="",0,MAX(0,ROUNDDOWN((TecilRaporTarihi-$E859)/30,0)))</f>
        <v>0</v>
      </c>
      <c r="H859" s="19" t="n">
        <f aca="false">IF($C859="",0,$C859+$D859)</f>
        <v>0</v>
      </c>
      <c r="I859" s="19" t="n">
        <f aca="false">IF($C859="",0,$C859*$F859)</f>
        <v>0</v>
      </c>
      <c r="J859" s="19" t="str">
        <f aca="false">IF($B859="","",CONCATENATE("Borç: ",$B859," | Toplam: ",TEXT($H859,"#,##0")))</f>
        <v/>
      </c>
    </row>
    <row r="860" customFormat="false" ht="15" hidden="false" customHeight="false" outlineLevel="0" collapsed="false">
      <c r="A860" s="20"/>
      <c r="B860" s="20"/>
      <c r="C860" s="21"/>
      <c r="D860" s="21"/>
      <c r="E860" s="22"/>
      <c r="F860" s="23"/>
      <c r="G860" s="19" t="n">
        <f aca="false">IF($E860="",0,MAX(0,ROUNDDOWN((TecilRaporTarihi-$E860)/30,0)))</f>
        <v>0</v>
      </c>
      <c r="H860" s="19" t="n">
        <f aca="false">IF($C860="",0,$C860+$D860)</f>
        <v>0</v>
      </c>
      <c r="I860" s="19" t="n">
        <f aca="false">IF($C860="",0,$C860*$F860)</f>
        <v>0</v>
      </c>
      <c r="J860" s="19" t="str">
        <f aca="false">IF($B860="","",CONCATENATE("Borç: ",$B860," | Toplam: ",TEXT($H860,"#,##0")))</f>
        <v/>
      </c>
    </row>
    <row r="861" customFormat="false" ht="15" hidden="false" customHeight="false" outlineLevel="0" collapsed="false">
      <c r="A861" s="20"/>
      <c r="B861" s="20"/>
      <c r="C861" s="21"/>
      <c r="D861" s="21"/>
      <c r="E861" s="22"/>
      <c r="F861" s="23"/>
      <c r="G861" s="19" t="n">
        <f aca="false">IF($E861="",0,MAX(0,ROUNDDOWN((TecilRaporTarihi-$E861)/30,0)))</f>
        <v>0</v>
      </c>
      <c r="H861" s="19" t="n">
        <f aca="false">IF($C861="",0,$C861+$D861)</f>
        <v>0</v>
      </c>
      <c r="I861" s="19" t="n">
        <f aca="false">IF($C861="",0,$C861*$F861)</f>
        <v>0</v>
      </c>
      <c r="J861" s="19" t="str">
        <f aca="false">IF($B861="","",CONCATENATE("Borç: ",$B861," | Toplam: ",TEXT($H861,"#,##0")))</f>
        <v/>
      </c>
    </row>
    <row r="862" customFormat="false" ht="15" hidden="false" customHeight="false" outlineLevel="0" collapsed="false">
      <c r="A862" s="20"/>
      <c r="B862" s="20"/>
      <c r="C862" s="21"/>
      <c r="D862" s="21"/>
      <c r="E862" s="22"/>
      <c r="F862" s="23"/>
      <c r="G862" s="19" t="n">
        <f aca="false">IF($E862="",0,MAX(0,ROUNDDOWN((TecilRaporTarihi-$E862)/30,0)))</f>
        <v>0</v>
      </c>
      <c r="H862" s="19" t="n">
        <f aca="false">IF($C862="",0,$C862+$D862)</f>
        <v>0</v>
      </c>
      <c r="I862" s="19" t="n">
        <f aca="false">IF($C862="",0,$C862*$F862)</f>
        <v>0</v>
      </c>
      <c r="J862" s="19" t="str">
        <f aca="false">IF($B862="","",CONCATENATE("Borç: ",$B862," | Toplam: ",TEXT($H862,"#,##0")))</f>
        <v/>
      </c>
    </row>
    <row r="863" customFormat="false" ht="15" hidden="false" customHeight="false" outlineLevel="0" collapsed="false">
      <c r="A863" s="20"/>
      <c r="B863" s="20"/>
      <c r="C863" s="21"/>
      <c r="D863" s="21"/>
      <c r="E863" s="22"/>
      <c r="F863" s="23"/>
      <c r="G863" s="19" t="n">
        <f aca="false">IF($E863="",0,MAX(0,ROUNDDOWN((TecilRaporTarihi-$E863)/30,0)))</f>
        <v>0</v>
      </c>
      <c r="H863" s="19" t="n">
        <f aca="false">IF($C863="",0,$C863+$D863)</f>
        <v>0</v>
      </c>
      <c r="I863" s="19" t="n">
        <f aca="false">IF($C863="",0,$C863*$F863)</f>
        <v>0</v>
      </c>
      <c r="J863" s="19" t="str">
        <f aca="false">IF($B863="","",CONCATENATE("Borç: ",$B863," | Toplam: ",TEXT($H863,"#,##0")))</f>
        <v/>
      </c>
    </row>
    <row r="864" customFormat="false" ht="15" hidden="false" customHeight="false" outlineLevel="0" collapsed="false">
      <c r="A864" s="20"/>
      <c r="B864" s="20"/>
      <c r="C864" s="21"/>
      <c r="D864" s="21"/>
      <c r="E864" s="22"/>
      <c r="F864" s="23"/>
      <c r="G864" s="19" t="n">
        <f aca="false">IF($E864="",0,MAX(0,ROUNDDOWN((TecilRaporTarihi-$E864)/30,0)))</f>
        <v>0</v>
      </c>
      <c r="H864" s="19" t="n">
        <f aca="false">IF($C864="",0,$C864+$D864)</f>
        <v>0</v>
      </c>
      <c r="I864" s="19" t="n">
        <f aca="false">IF($C864="",0,$C864*$F864)</f>
        <v>0</v>
      </c>
      <c r="J864" s="19" t="str">
        <f aca="false">IF($B864="","",CONCATENATE("Borç: ",$B864," | Toplam: ",TEXT($H864,"#,##0")))</f>
        <v/>
      </c>
    </row>
    <row r="865" customFormat="false" ht="15" hidden="false" customHeight="false" outlineLevel="0" collapsed="false">
      <c r="A865" s="20"/>
      <c r="B865" s="20"/>
      <c r="C865" s="21"/>
      <c r="D865" s="21"/>
      <c r="E865" s="22"/>
      <c r="F865" s="23"/>
      <c r="G865" s="19" t="n">
        <f aca="false">IF($E865="",0,MAX(0,ROUNDDOWN((TecilRaporTarihi-$E865)/30,0)))</f>
        <v>0</v>
      </c>
      <c r="H865" s="19" t="n">
        <f aca="false">IF($C865="",0,$C865+$D865)</f>
        <v>0</v>
      </c>
      <c r="I865" s="19" t="n">
        <f aca="false">IF($C865="",0,$C865*$F865)</f>
        <v>0</v>
      </c>
      <c r="J865" s="19" t="str">
        <f aca="false">IF($B865="","",CONCATENATE("Borç: ",$B865," | Toplam: ",TEXT($H865,"#,##0")))</f>
        <v/>
      </c>
    </row>
    <row r="866" customFormat="false" ht="15" hidden="false" customHeight="false" outlineLevel="0" collapsed="false">
      <c r="A866" s="20"/>
      <c r="B866" s="20"/>
      <c r="C866" s="21"/>
      <c r="D866" s="21"/>
      <c r="E866" s="22"/>
      <c r="F866" s="23"/>
      <c r="G866" s="19" t="n">
        <f aca="false">IF($E866="",0,MAX(0,ROUNDDOWN((TecilRaporTarihi-$E866)/30,0)))</f>
        <v>0</v>
      </c>
      <c r="H866" s="19" t="n">
        <f aca="false">IF($C866="",0,$C866+$D866)</f>
        <v>0</v>
      </c>
      <c r="I866" s="19" t="n">
        <f aca="false">IF($C866="",0,$C866*$F866)</f>
        <v>0</v>
      </c>
      <c r="J866" s="19" t="str">
        <f aca="false">IF($B866="","",CONCATENATE("Borç: ",$B866," | Toplam: ",TEXT($H866,"#,##0")))</f>
        <v/>
      </c>
    </row>
    <row r="867" customFormat="false" ht="15" hidden="false" customHeight="false" outlineLevel="0" collapsed="false">
      <c r="A867" s="20"/>
      <c r="B867" s="20"/>
      <c r="C867" s="21"/>
      <c r="D867" s="21"/>
      <c r="E867" s="22"/>
      <c r="F867" s="23"/>
      <c r="G867" s="19" t="n">
        <f aca="false">IF($E867="",0,MAX(0,ROUNDDOWN((TecilRaporTarihi-$E867)/30,0)))</f>
        <v>0</v>
      </c>
      <c r="H867" s="19" t="n">
        <f aca="false">IF($C867="",0,$C867+$D867)</f>
        <v>0</v>
      </c>
      <c r="I867" s="19" t="n">
        <f aca="false">IF($C867="",0,$C867*$F867)</f>
        <v>0</v>
      </c>
      <c r="J867" s="19" t="str">
        <f aca="false">IF($B867="","",CONCATENATE("Borç: ",$B867," | Toplam: ",TEXT($H867,"#,##0")))</f>
        <v/>
      </c>
    </row>
    <row r="868" customFormat="false" ht="15" hidden="false" customHeight="false" outlineLevel="0" collapsed="false">
      <c r="A868" s="20"/>
      <c r="B868" s="20"/>
      <c r="C868" s="21"/>
      <c r="D868" s="21"/>
      <c r="E868" s="22"/>
      <c r="F868" s="23"/>
      <c r="G868" s="19" t="n">
        <f aca="false">IF($E868="",0,MAX(0,ROUNDDOWN((TecilRaporTarihi-$E868)/30,0)))</f>
        <v>0</v>
      </c>
      <c r="H868" s="19" t="n">
        <f aca="false">IF($C868="",0,$C868+$D868)</f>
        <v>0</v>
      </c>
      <c r="I868" s="19" t="n">
        <f aca="false">IF($C868="",0,$C868*$F868)</f>
        <v>0</v>
      </c>
      <c r="J868" s="19" t="str">
        <f aca="false">IF($B868="","",CONCATENATE("Borç: ",$B868," | Toplam: ",TEXT($H868,"#,##0")))</f>
        <v/>
      </c>
    </row>
    <row r="869" customFormat="false" ht="15" hidden="false" customHeight="false" outlineLevel="0" collapsed="false">
      <c r="A869" s="20"/>
      <c r="B869" s="20"/>
      <c r="C869" s="21"/>
      <c r="D869" s="21"/>
      <c r="E869" s="22"/>
      <c r="F869" s="23"/>
      <c r="G869" s="19" t="n">
        <f aca="false">IF($E869="",0,MAX(0,ROUNDDOWN((TecilRaporTarihi-$E869)/30,0)))</f>
        <v>0</v>
      </c>
      <c r="H869" s="19" t="n">
        <f aca="false">IF($C869="",0,$C869+$D869)</f>
        <v>0</v>
      </c>
      <c r="I869" s="19" t="n">
        <f aca="false">IF($C869="",0,$C869*$F869)</f>
        <v>0</v>
      </c>
      <c r="J869" s="19" t="str">
        <f aca="false">IF($B869="","",CONCATENATE("Borç: ",$B869," | Toplam: ",TEXT($H869,"#,##0")))</f>
        <v/>
      </c>
    </row>
    <row r="870" customFormat="false" ht="15" hidden="false" customHeight="false" outlineLevel="0" collapsed="false">
      <c r="A870" s="20"/>
      <c r="B870" s="20"/>
      <c r="C870" s="21"/>
      <c r="D870" s="21"/>
      <c r="E870" s="22"/>
      <c r="F870" s="23"/>
      <c r="G870" s="19" t="n">
        <f aca="false">IF($E870="",0,MAX(0,ROUNDDOWN((TecilRaporTarihi-$E870)/30,0)))</f>
        <v>0</v>
      </c>
      <c r="H870" s="19" t="n">
        <f aca="false">IF($C870="",0,$C870+$D870)</f>
        <v>0</v>
      </c>
      <c r="I870" s="19" t="n">
        <f aca="false">IF($C870="",0,$C870*$F870)</f>
        <v>0</v>
      </c>
      <c r="J870" s="19" t="str">
        <f aca="false">IF($B870="","",CONCATENATE("Borç: ",$B870," | Toplam: ",TEXT($H870,"#,##0")))</f>
        <v/>
      </c>
    </row>
    <row r="871" customFormat="false" ht="15" hidden="false" customHeight="false" outlineLevel="0" collapsed="false">
      <c r="A871" s="20"/>
      <c r="B871" s="20"/>
      <c r="C871" s="21"/>
      <c r="D871" s="21"/>
      <c r="E871" s="22"/>
      <c r="F871" s="23"/>
      <c r="G871" s="19" t="n">
        <f aca="false">IF($E871="",0,MAX(0,ROUNDDOWN((TecilRaporTarihi-$E871)/30,0)))</f>
        <v>0</v>
      </c>
      <c r="H871" s="19" t="n">
        <f aca="false">IF($C871="",0,$C871+$D871)</f>
        <v>0</v>
      </c>
      <c r="I871" s="19" t="n">
        <f aca="false">IF($C871="",0,$C871*$F871)</f>
        <v>0</v>
      </c>
      <c r="J871" s="19" t="str">
        <f aca="false">IF($B871="","",CONCATENATE("Borç: ",$B871," | Toplam: ",TEXT($H871,"#,##0")))</f>
        <v/>
      </c>
    </row>
    <row r="872" customFormat="false" ht="15" hidden="false" customHeight="false" outlineLevel="0" collapsed="false">
      <c r="A872" s="20"/>
      <c r="B872" s="20"/>
      <c r="C872" s="21"/>
      <c r="D872" s="21"/>
      <c r="E872" s="22"/>
      <c r="F872" s="23"/>
      <c r="G872" s="19" t="n">
        <f aca="false">IF($E872="",0,MAX(0,ROUNDDOWN((TecilRaporTarihi-$E872)/30,0)))</f>
        <v>0</v>
      </c>
      <c r="H872" s="19" t="n">
        <f aca="false">IF($C872="",0,$C872+$D872)</f>
        <v>0</v>
      </c>
      <c r="I872" s="19" t="n">
        <f aca="false">IF($C872="",0,$C872*$F872)</f>
        <v>0</v>
      </c>
      <c r="J872" s="19" t="str">
        <f aca="false">IF($B872="","",CONCATENATE("Borç: ",$B872," | Toplam: ",TEXT($H872,"#,##0")))</f>
        <v/>
      </c>
    </row>
    <row r="873" customFormat="false" ht="15" hidden="false" customHeight="false" outlineLevel="0" collapsed="false">
      <c r="A873" s="20"/>
      <c r="B873" s="20"/>
      <c r="C873" s="21"/>
      <c r="D873" s="21"/>
      <c r="E873" s="22"/>
      <c r="F873" s="23"/>
      <c r="G873" s="19" t="n">
        <f aca="false">IF($E873="",0,MAX(0,ROUNDDOWN((TecilRaporTarihi-$E873)/30,0)))</f>
        <v>0</v>
      </c>
      <c r="H873" s="19" t="n">
        <f aca="false">IF($C873="",0,$C873+$D873)</f>
        <v>0</v>
      </c>
      <c r="I873" s="19" t="n">
        <f aca="false">IF($C873="",0,$C873*$F873)</f>
        <v>0</v>
      </c>
      <c r="J873" s="19" t="str">
        <f aca="false">IF($B873="","",CONCATENATE("Borç: ",$B873," | Toplam: ",TEXT($H873,"#,##0")))</f>
        <v/>
      </c>
    </row>
    <row r="874" customFormat="false" ht="15" hidden="false" customHeight="false" outlineLevel="0" collapsed="false">
      <c r="A874" s="20"/>
      <c r="B874" s="20"/>
      <c r="C874" s="21"/>
      <c r="D874" s="21"/>
      <c r="E874" s="22"/>
      <c r="F874" s="23"/>
      <c r="G874" s="19" t="n">
        <f aca="false">IF($E874="",0,MAX(0,ROUNDDOWN((TecilRaporTarihi-$E874)/30,0)))</f>
        <v>0</v>
      </c>
      <c r="H874" s="19" t="n">
        <f aca="false">IF($C874="",0,$C874+$D874)</f>
        <v>0</v>
      </c>
      <c r="I874" s="19" t="n">
        <f aca="false">IF($C874="",0,$C874*$F874)</f>
        <v>0</v>
      </c>
      <c r="J874" s="19" t="str">
        <f aca="false">IF($B874="","",CONCATENATE("Borç: ",$B874," | Toplam: ",TEXT($H874,"#,##0")))</f>
        <v/>
      </c>
    </row>
    <row r="875" customFormat="false" ht="15" hidden="false" customHeight="false" outlineLevel="0" collapsed="false">
      <c r="A875" s="20"/>
      <c r="B875" s="20"/>
      <c r="C875" s="21"/>
      <c r="D875" s="21"/>
      <c r="E875" s="22"/>
      <c r="F875" s="23"/>
      <c r="G875" s="19" t="n">
        <f aca="false">IF($E875="",0,MAX(0,ROUNDDOWN((TecilRaporTarihi-$E875)/30,0)))</f>
        <v>0</v>
      </c>
      <c r="H875" s="19" t="n">
        <f aca="false">IF($C875="",0,$C875+$D875)</f>
        <v>0</v>
      </c>
      <c r="I875" s="19" t="n">
        <f aca="false">IF($C875="",0,$C875*$F875)</f>
        <v>0</v>
      </c>
      <c r="J875" s="19" t="str">
        <f aca="false">IF($B875="","",CONCATENATE("Borç: ",$B875," | Toplam: ",TEXT($H875,"#,##0")))</f>
        <v/>
      </c>
    </row>
    <row r="876" customFormat="false" ht="15" hidden="false" customHeight="false" outlineLevel="0" collapsed="false">
      <c r="A876" s="20"/>
      <c r="B876" s="20"/>
      <c r="C876" s="21"/>
      <c r="D876" s="21"/>
      <c r="E876" s="22"/>
      <c r="F876" s="23"/>
      <c r="G876" s="19" t="n">
        <f aca="false">IF($E876="",0,MAX(0,ROUNDDOWN((TecilRaporTarihi-$E876)/30,0)))</f>
        <v>0</v>
      </c>
      <c r="H876" s="19" t="n">
        <f aca="false">IF($C876="",0,$C876+$D876)</f>
        <v>0</v>
      </c>
      <c r="I876" s="19" t="n">
        <f aca="false">IF($C876="",0,$C876*$F876)</f>
        <v>0</v>
      </c>
      <c r="J876" s="19" t="str">
        <f aca="false">IF($B876="","",CONCATENATE("Borç: ",$B876," | Toplam: ",TEXT($H876,"#,##0")))</f>
        <v/>
      </c>
    </row>
    <row r="877" customFormat="false" ht="15" hidden="false" customHeight="false" outlineLevel="0" collapsed="false">
      <c r="A877" s="20"/>
      <c r="B877" s="20"/>
      <c r="C877" s="21"/>
      <c r="D877" s="21"/>
      <c r="E877" s="22"/>
      <c r="F877" s="23"/>
      <c r="G877" s="19" t="n">
        <f aca="false">IF($E877="",0,MAX(0,ROUNDDOWN((TecilRaporTarihi-$E877)/30,0)))</f>
        <v>0</v>
      </c>
      <c r="H877" s="19" t="n">
        <f aca="false">IF($C877="",0,$C877+$D877)</f>
        <v>0</v>
      </c>
      <c r="I877" s="19" t="n">
        <f aca="false">IF($C877="",0,$C877*$F877)</f>
        <v>0</v>
      </c>
      <c r="J877" s="19" t="str">
        <f aca="false">IF($B877="","",CONCATENATE("Borç: ",$B877," | Toplam: ",TEXT($H877,"#,##0")))</f>
        <v/>
      </c>
    </row>
    <row r="878" customFormat="false" ht="15" hidden="false" customHeight="false" outlineLevel="0" collapsed="false">
      <c r="A878" s="20"/>
      <c r="B878" s="20"/>
      <c r="C878" s="21"/>
      <c r="D878" s="21"/>
      <c r="E878" s="22"/>
      <c r="F878" s="23"/>
      <c r="G878" s="19" t="n">
        <f aca="false">IF($E878="",0,MAX(0,ROUNDDOWN((TecilRaporTarihi-$E878)/30,0)))</f>
        <v>0</v>
      </c>
      <c r="H878" s="19" t="n">
        <f aca="false">IF($C878="",0,$C878+$D878)</f>
        <v>0</v>
      </c>
      <c r="I878" s="19" t="n">
        <f aca="false">IF($C878="",0,$C878*$F878)</f>
        <v>0</v>
      </c>
      <c r="J878" s="19" t="str">
        <f aca="false">IF($B878="","",CONCATENATE("Borç: ",$B878," | Toplam: ",TEXT($H878,"#,##0")))</f>
        <v/>
      </c>
    </row>
    <row r="879" customFormat="false" ht="15" hidden="false" customHeight="false" outlineLevel="0" collapsed="false">
      <c r="A879" s="20"/>
      <c r="B879" s="20"/>
      <c r="C879" s="21"/>
      <c r="D879" s="21"/>
      <c r="E879" s="22"/>
      <c r="F879" s="23"/>
      <c r="G879" s="19" t="n">
        <f aca="false">IF($E879="",0,MAX(0,ROUNDDOWN((TecilRaporTarihi-$E879)/30,0)))</f>
        <v>0</v>
      </c>
      <c r="H879" s="19" t="n">
        <f aca="false">IF($C879="",0,$C879+$D879)</f>
        <v>0</v>
      </c>
      <c r="I879" s="19" t="n">
        <f aca="false">IF($C879="",0,$C879*$F879)</f>
        <v>0</v>
      </c>
      <c r="J879" s="19" t="str">
        <f aca="false">IF($B879="","",CONCATENATE("Borç: ",$B879," | Toplam: ",TEXT($H879,"#,##0")))</f>
        <v/>
      </c>
    </row>
    <row r="880" customFormat="false" ht="15" hidden="false" customHeight="false" outlineLevel="0" collapsed="false">
      <c r="A880" s="20"/>
      <c r="B880" s="20"/>
      <c r="C880" s="21"/>
      <c r="D880" s="21"/>
      <c r="E880" s="22"/>
      <c r="F880" s="23"/>
      <c r="G880" s="19" t="n">
        <f aca="false">IF($E880="",0,MAX(0,ROUNDDOWN((TecilRaporTarihi-$E880)/30,0)))</f>
        <v>0</v>
      </c>
      <c r="H880" s="19" t="n">
        <f aca="false">IF($C880="",0,$C880+$D880)</f>
        <v>0</v>
      </c>
      <c r="I880" s="19" t="n">
        <f aca="false">IF($C880="",0,$C880*$F880)</f>
        <v>0</v>
      </c>
      <c r="J880" s="19" t="str">
        <f aca="false">IF($B880="","",CONCATENATE("Borç: ",$B880," | Toplam: ",TEXT($H880,"#,##0")))</f>
        <v/>
      </c>
    </row>
    <row r="881" customFormat="false" ht="15" hidden="false" customHeight="false" outlineLevel="0" collapsed="false">
      <c r="A881" s="20"/>
      <c r="B881" s="20"/>
      <c r="C881" s="21"/>
      <c r="D881" s="21"/>
      <c r="E881" s="22"/>
      <c r="F881" s="23"/>
      <c r="G881" s="19" t="n">
        <f aca="false">IF($E881="",0,MAX(0,ROUNDDOWN((TecilRaporTarihi-$E881)/30,0)))</f>
        <v>0</v>
      </c>
      <c r="H881" s="19" t="n">
        <f aca="false">IF($C881="",0,$C881+$D881)</f>
        <v>0</v>
      </c>
      <c r="I881" s="19" t="n">
        <f aca="false">IF($C881="",0,$C881*$F881)</f>
        <v>0</v>
      </c>
      <c r="J881" s="19" t="str">
        <f aca="false">IF($B881="","",CONCATENATE("Borç: ",$B881," | Toplam: ",TEXT($H881,"#,##0")))</f>
        <v/>
      </c>
    </row>
    <row r="882" customFormat="false" ht="15" hidden="false" customHeight="false" outlineLevel="0" collapsed="false">
      <c r="A882" s="20"/>
      <c r="B882" s="20"/>
      <c r="C882" s="21"/>
      <c r="D882" s="21"/>
      <c r="E882" s="22"/>
      <c r="F882" s="23"/>
      <c r="G882" s="19" t="n">
        <f aca="false">IF($E882="",0,MAX(0,ROUNDDOWN((TecilRaporTarihi-$E882)/30,0)))</f>
        <v>0</v>
      </c>
      <c r="H882" s="19" t="n">
        <f aca="false">IF($C882="",0,$C882+$D882)</f>
        <v>0</v>
      </c>
      <c r="I882" s="19" t="n">
        <f aca="false">IF($C882="",0,$C882*$F882)</f>
        <v>0</v>
      </c>
      <c r="J882" s="19" t="str">
        <f aca="false">IF($B882="","",CONCATENATE("Borç: ",$B882," | Toplam: ",TEXT($H882,"#,##0")))</f>
        <v/>
      </c>
    </row>
    <row r="883" customFormat="false" ht="15" hidden="false" customHeight="false" outlineLevel="0" collapsed="false">
      <c r="A883" s="20"/>
      <c r="B883" s="20"/>
      <c r="C883" s="21"/>
      <c r="D883" s="21"/>
      <c r="E883" s="22"/>
      <c r="F883" s="23"/>
      <c r="G883" s="19" t="n">
        <f aca="false">IF($E883="",0,MAX(0,ROUNDDOWN((TecilRaporTarihi-$E883)/30,0)))</f>
        <v>0</v>
      </c>
      <c r="H883" s="19" t="n">
        <f aca="false">IF($C883="",0,$C883+$D883)</f>
        <v>0</v>
      </c>
      <c r="I883" s="19" t="n">
        <f aca="false">IF($C883="",0,$C883*$F883)</f>
        <v>0</v>
      </c>
      <c r="J883" s="19" t="str">
        <f aca="false">IF($B883="","",CONCATENATE("Borç: ",$B883," | Toplam: ",TEXT($H883,"#,##0")))</f>
        <v/>
      </c>
    </row>
    <row r="884" customFormat="false" ht="15" hidden="false" customHeight="false" outlineLevel="0" collapsed="false">
      <c r="A884" s="20"/>
      <c r="B884" s="20"/>
      <c r="C884" s="21"/>
      <c r="D884" s="21"/>
      <c r="E884" s="22"/>
      <c r="F884" s="23"/>
      <c r="G884" s="19" t="n">
        <f aca="false">IF($E884="",0,MAX(0,ROUNDDOWN((TecilRaporTarihi-$E884)/30,0)))</f>
        <v>0</v>
      </c>
      <c r="H884" s="19" t="n">
        <f aca="false">IF($C884="",0,$C884+$D884)</f>
        <v>0</v>
      </c>
      <c r="I884" s="19" t="n">
        <f aca="false">IF($C884="",0,$C884*$F884)</f>
        <v>0</v>
      </c>
      <c r="J884" s="19" t="str">
        <f aca="false">IF($B884="","",CONCATENATE("Borç: ",$B884," | Toplam: ",TEXT($H884,"#,##0")))</f>
        <v/>
      </c>
    </row>
    <row r="885" customFormat="false" ht="15" hidden="false" customHeight="false" outlineLevel="0" collapsed="false">
      <c r="A885" s="20"/>
      <c r="B885" s="20"/>
      <c r="C885" s="21"/>
      <c r="D885" s="21"/>
      <c r="E885" s="22"/>
      <c r="F885" s="23"/>
      <c r="G885" s="19" t="n">
        <f aca="false">IF($E885="",0,MAX(0,ROUNDDOWN((TecilRaporTarihi-$E885)/30,0)))</f>
        <v>0</v>
      </c>
      <c r="H885" s="19" t="n">
        <f aca="false">IF($C885="",0,$C885+$D885)</f>
        <v>0</v>
      </c>
      <c r="I885" s="19" t="n">
        <f aca="false">IF($C885="",0,$C885*$F885)</f>
        <v>0</v>
      </c>
      <c r="J885" s="19" t="str">
        <f aca="false">IF($B885="","",CONCATENATE("Borç: ",$B885," | Toplam: ",TEXT($H885,"#,##0")))</f>
        <v/>
      </c>
    </row>
    <row r="886" customFormat="false" ht="15" hidden="false" customHeight="false" outlineLevel="0" collapsed="false">
      <c r="A886" s="20"/>
      <c r="B886" s="20"/>
      <c r="C886" s="21"/>
      <c r="D886" s="21"/>
      <c r="E886" s="22"/>
      <c r="F886" s="23"/>
      <c r="G886" s="19" t="n">
        <f aca="false">IF($E886="",0,MAX(0,ROUNDDOWN((TecilRaporTarihi-$E886)/30,0)))</f>
        <v>0</v>
      </c>
      <c r="H886" s="19" t="n">
        <f aca="false">IF($C886="",0,$C886+$D886)</f>
        <v>0</v>
      </c>
      <c r="I886" s="19" t="n">
        <f aca="false">IF($C886="",0,$C886*$F886)</f>
        <v>0</v>
      </c>
      <c r="J886" s="19" t="str">
        <f aca="false">IF($B886="","",CONCATENATE("Borç: ",$B886," | Toplam: ",TEXT($H886,"#,##0")))</f>
        <v/>
      </c>
    </row>
    <row r="887" customFormat="false" ht="15" hidden="false" customHeight="false" outlineLevel="0" collapsed="false">
      <c r="A887" s="20"/>
      <c r="B887" s="20"/>
      <c r="C887" s="21"/>
      <c r="D887" s="21"/>
      <c r="E887" s="22"/>
      <c r="F887" s="23"/>
      <c r="G887" s="19" t="n">
        <f aca="false">IF($E887="",0,MAX(0,ROUNDDOWN((TecilRaporTarihi-$E887)/30,0)))</f>
        <v>0</v>
      </c>
      <c r="H887" s="19" t="n">
        <f aca="false">IF($C887="",0,$C887+$D887)</f>
        <v>0</v>
      </c>
      <c r="I887" s="19" t="n">
        <f aca="false">IF($C887="",0,$C887*$F887)</f>
        <v>0</v>
      </c>
      <c r="J887" s="19" t="str">
        <f aca="false">IF($B887="","",CONCATENATE("Borç: ",$B887," | Toplam: ",TEXT($H887,"#,##0")))</f>
        <v/>
      </c>
    </row>
    <row r="888" customFormat="false" ht="15" hidden="false" customHeight="false" outlineLevel="0" collapsed="false">
      <c r="A888" s="20"/>
      <c r="B888" s="20"/>
      <c r="C888" s="21"/>
      <c r="D888" s="21"/>
      <c r="E888" s="22"/>
      <c r="F888" s="23"/>
      <c r="G888" s="19" t="n">
        <f aca="false">IF($E888="",0,MAX(0,ROUNDDOWN((TecilRaporTarihi-$E888)/30,0)))</f>
        <v>0</v>
      </c>
      <c r="H888" s="19" t="n">
        <f aca="false">IF($C888="",0,$C888+$D888)</f>
        <v>0</v>
      </c>
      <c r="I888" s="19" t="n">
        <f aca="false">IF($C888="",0,$C888*$F888)</f>
        <v>0</v>
      </c>
      <c r="J888" s="19" t="str">
        <f aca="false">IF($B888="","",CONCATENATE("Borç: ",$B888," | Toplam: ",TEXT($H888,"#,##0")))</f>
        <v/>
      </c>
    </row>
    <row r="889" customFormat="false" ht="15" hidden="false" customHeight="false" outlineLevel="0" collapsed="false">
      <c r="A889" s="20"/>
      <c r="B889" s="20"/>
      <c r="C889" s="21"/>
      <c r="D889" s="21"/>
      <c r="E889" s="22"/>
      <c r="F889" s="23"/>
      <c r="G889" s="19" t="n">
        <f aca="false">IF($E889="",0,MAX(0,ROUNDDOWN((TecilRaporTarihi-$E889)/30,0)))</f>
        <v>0</v>
      </c>
      <c r="H889" s="19" t="n">
        <f aca="false">IF($C889="",0,$C889+$D889)</f>
        <v>0</v>
      </c>
      <c r="I889" s="19" t="n">
        <f aca="false">IF($C889="",0,$C889*$F889)</f>
        <v>0</v>
      </c>
      <c r="J889" s="19" t="str">
        <f aca="false">IF($B889="","",CONCATENATE("Borç: ",$B889," | Toplam: ",TEXT($H889,"#,##0")))</f>
        <v/>
      </c>
    </row>
    <row r="890" customFormat="false" ht="15" hidden="false" customHeight="false" outlineLevel="0" collapsed="false">
      <c r="A890" s="20"/>
      <c r="B890" s="20"/>
      <c r="C890" s="21"/>
      <c r="D890" s="21"/>
      <c r="E890" s="22"/>
      <c r="F890" s="23"/>
      <c r="G890" s="19" t="n">
        <f aca="false">IF($E890="",0,MAX(0,ROUNDDOWN((TecilRaporTarihi-$E890)/30,0)))</f>
        <v>0</v>
      </c>
      <c r="H890" s="19" t="n">
        <f aca="false">IF($C890="",0,$C890+$D890)</f>
        <v>0</v>
      </c>
      <c r="I890" s="19" t="n">
        <f aca="false">IF($C890="",0,$C890*$F890)</f>
        <v>0</v>
      </c>
      <c r="J890" s="19" t="str">
        <f aca="false">IF($B890="","",CONCATENATE("Borç: ",$B890," | Toplam: ",TEXT($H890,"#,##0")))</f>
        <v/>
      </c>
    </row>
    <row r="891" customFormat="false" ht="15" hidden="false" customHeight="false" outlineLevel="0" collapsed="false">
      <c r="A891" s="20"/>
      <c r="B891" s="20"/>
      <c r="C891" s="21"/>
      <c r="D891" s="21"/>
      <c r="E891" s="22"/>
      <c r="F891" s="23"/>
      <c r="G891" s="19" t="n">
        <f aca="false">IF($E891="",0,MAX(0,ROUNDDOWN((TecilRaporTarihi-$E891)/30,0)))</f>
        <v>0</v>
      </c>
      <c r="H891" s="19" t="n">
        <f aca="false">IF($C891="",0,$C891+$D891)</f>
        <v>0</v>
      </c>
      <c r="I891" s="19" t="n">
        <f aca="false">IF($C891="",0,$C891*$F891)</f>
        <v>0</v>
      </c>
      <c r="J891" s="19" t="str">
        <f aca="false">IF($B891="","",CONCATENATE("Borç: ",$B891," | Toplam: ",TEXT($H891,"#,##0")))</f>
        <v/>
      </c>
    </row>
    <row r="892" customFormat="false" ht="15" hidden="false" customHeight="false" outlineLevel="0" collapsed="false">
      <c r="A892" s="20"/>
      <c r="B892" s="20"/>
      <c r="C892" s="21"/>
      <c r="D892" s="21"/>
      <c r="E892" s="22"/>
      <c r="F892" s="23"/>
      <c r="G892" s="19" t="n">
        <f aca="false">IF($E892="",0,MAX(0,ROUNDDOWN((TecilRaporTarihi-$E892)/30,0)))</f>
        <v>0</v>
      </c>
      <c r="H892" s="19" t="n">
        <f aca="false">IF($C892="",0,$C892+$D892)</f>
        <v>0</v>
      </c>
      <c r="I892" s="19" t="n">
        <f aca="false">IF($C892="",0,$C892*$F892)</f>
        <v>0</v>
      </c>
      <c r="J892" s="19" t="str">
        <f aca="false">IF($B892="","",CONCATENATE("Borç: ",$B892," | Toplam: ",TEXT($H892,"#,##0")))</f>
        <v/>
      </c>
    </row>
    <row r="893" customFormat="false" ht="15" hidden="false" customHeight="false" outlineLevel="0" collapsed="false">
      <c r="A893" s="20"/>
      <c r="B893" s="20"/>
      <c r="C893" s="21"/>
      <c r="D893" s="21"/>
      <c r="E893" s="22"/>
      <c r="F893" s="23"/>
      <c r="G893" s="19" t="n">
        <f aca="false">IF($E893="",0,MAX(0,ROUNDDOWN((TecilRaporTarihi-$E893)/30,0)))</f>
        <v>0</v>
      </c>
      <c r="H893" s="19" t="n">
        <f aca="false">IF($C893="",0,$C893+$D893)</f>
        <v>0</v>
      </c>
      <c r="I893" s="19" t="n">
        <f aca="false">IF($C893="",0,$C893*$F893)</f>
        <v>0</v>
      </c>
      <c r="J893" s="19" t="str">
        <f aca="false">IF($B893="","",CONCATENATE("Borç: ",$B893," | Toplam: ",TEXT($H893,"#,##0")))</f>
        <v/>
      </c>
    </row>
    <row r="894" customFormat="false" ht="15" hidden="false" customHeight="false" outlineLevel="0" collapsed="false">
      <c r="A894" s="20"/>
      <c r="B894" s="20"/>
      <c r="C894" s="21"/>
      <c r="D894" s="21"/>
      <c r="E894" s="22"/>
      <c r="F894" s="23"/>
      <c r="G894" s="19" t="n">
        <f aca="false">IF($E894="",0,MAX(0,ROUNDDOWN((TecilRaporTarihi-$E894)/30,0)))</f>
        <v>0</v>
      </c>
      <c r="H894" s="19" t="n">
        <f aca="false">IF($C894="",0,$C894+$D894)</f>
        <v>0</v>
      </c>
      <c r="I894" s="19" t="n">
        <f aca="false">IF($C894="",0,$C894*$F894)</f>
        <v>0</v>
      </c>
      <c r="J894" s="19" t="str">
        <f aca="false">IF($B894="","",CONCATENATE("Borç: ",$B894," | Toplam: ",TEXT($H894,"#,##0")))</f>
        <v/>
      </c>
    </row>
    <row r="895" customFormat="false" ht="15" hidden="false" customHeight="false" outlineLevel="0" collapsed="false">
      <c r="A895" s="20"/>
      <c r="B895" s="20"/>
      <c r="C895" s="21"/>
      <c r="D895" s="21"/>
      <c r="E895" s="22"/>
      <c r="F895" s="23"/>
      <c r="G895" s="19" t="n">
        <f aca="false">IF($E895="",0,MAX(0,ROUNDDOWN((TecilRaporTarihi-$E895)/30,0)))</f>
        <v>0</v>
      </c>
      <c r="H895" s="19" t="n">
        <f aca="false">IF($C895="",0,$C895+$D895)</f>
        <v>0</v>
      </c>
      <c r="I895" s="19" t="n">
        <f aca="false">IF($C895="",0,$C895*$F895)</f>
        <v>0</v>
      </c>
      <c r="J895" s="19" t="str">
        <f aca="false">IF($B895="","",CONCATENATE("Borç: ",$B895," | Toplam: ",TEXT($H895,"#,##0")))</f>
        <v/>
      </c>
    </row>
    <row r="896" customFormat="false" ht="15" hidden="false" customHeight="false" outlineLevel="0" collapsed="false">
      <c r="A896" s="20"/>
      <c r="B896" s="20"/>
      <c r="C896" s="21"/>
      <c r="D896" s="21"/>
      <c r="E896" s="22"/>
      <c r="F896" s="23"/>
      <c r="G896" s="19" t="n">
        <f aca="false">IF($E896="",0,MAX(0,ROUNDDOWN((TecilRaporTarihi-$E896)/30,0)))</f>
        <v>0</v>
      </c>
      <c r="H896" s="19" t="n">
        <f aca="false">IF($C896="",0,$C896+$D896)</f>
        <v>0</v>
      </c>
      <c r="I896" s="19" t="n">
        <f aca="false">IF($C896="",0,$C896*$F896)</f>
        <v>0</v>
      </c>
      <c r="J896" s="19" t="str">
        <f aca="false">IF($B896="","",CONCATENATE("Borç: ",$B896," | Toplam: ",TEXT($H896,"#,##0")))</f>
        <v/>
      </c>
    </row>
    <row r="897" customFormat="false" ht="15" hidden="false" customHeight="false" outlineLevel="0" collapsed="false">
      <c r="A897" s="20"/>
      <c r="B897" s="20"/>
      <c r="C897" s="21"/>
      <c r="D897" s="21"/>
      <c r="E897" s="22"/>
      <c r="F897" s="23"/>
      <c r="G897" s="19" t="n">
        <f aca="false">IF($E897="",0,MAX(0,ROUNDDOWN((TecilRaporTarihi-$E897)/30,0)))</f>
        <v>0</v>
      </c>
      <c r="H897" s="19" t="n">
        <f aca="false">IF($C897="",0,$C897+$D897)</f>
        <v>0</v>
      </c>
      <c r="I897" s="19" t="n">
        <f aca="false">IF($C897="",0,$C897*$F897)</f>
        <v>0</v>
      </c>
      <c r="J897" s="19" t="str">
        <f aca="false">IF($B897="","",CONCATENATE("Borç: ",$B897," | Toplam: ",TEXT($H897,"#,##0")))</f>
        <v/>
      </c>
    </row>
    <row r="898" customFormat="false" ht="15" hidden="false" customHeight="false" outlineLevel="0" collapsed="false">
      <c r="A898" s="20"/>
      <c r="B898" s="20"/>
      <c r="C898" s="21"/>
      <c r="D898" s="21"/>
      <c r="E898" s="22"/>
      <c r="F898" s="23"/>
      <c r="G898" s="19" t="n">
        <f aca="false">IF($E898="",0,MAX(0,ROUNDDOWN((TecilRaporTarihi-$E898)/30,0)))</f>
        <v>0</v>
      </c>
      <c r="H898" s="19" t="n">
        <f aca="false">IF($C898="",0,$C898+$D898)</f>
        <v>0</v>
      </c>
      <c r="I898" s="19" t="n">
        <f aca="false">IF($C898="",0,$C898*$F898)</f>
        <v>0</v>
      </c>
      <c r="J898" s="19" t="str">
        <f aca="false">IF($B898="","",CONCATENATE("Borç: ",$B898," | Toplam: ",TEXT($H898,"#,##0")))</f>
        <v/>
      </c>
    </row>
    <row r="899" customFormat="false" ht="15" hidden="false" customHeight="false" outlineLevel="0" collapsed="false">
      <c r="A899" s="20"/>
      <c r="B899" s="20"/>
      <c r="C899" s="21"/>
      <c r="D899" s="21"/>
      <c r="E899" s="22"/>
      <c r="F899" s="23"/>
      <c r="G899" s="19" t="n">
        <f aca="false">IF($E899="",0,MAX(0,ROUNDDOWN((TecilRaporTarihi-$E899)/30,0)))</f>
        <v>0</v>
      </c>
      <c r="H899" s="19" t="n">
        <f aca="false">IF($C899="",0,$C899+$D899)</f>
        <v>0</v>
      </c>
      <c r="I899" s="19" t="n">
        <f aca="false">IF($C899="",0,$C899*$F899)</f>
        <v>0</v>
      </c>
      <c r="J899" s="19" t="str">
        <f aca="false">IF($B899="","",CONCATENATE("Borç: ",$B899," | Toplam: ",TEXT($H899,"#,##0")))</f>
        <v/>
      </c>
    </row>
    <row r="900" customFormat="false" ht="15" hidden="false" customHeight="false" outlineLevel="0" collapsed="false">
      <c r="A900" s="20"/>
      <c r="B900" s="20"/>
      <c r="C900" s="21"/>
      <c r="D900" s="21"/>
      <c r="E900" s="22"/>
      <c r="F900" s="23"/>
      <c r="G900" s="19" t="n">
        <f aca="false">IF($E900="",0,MAX(0,ROUNDDOWN((TecilRaporTarihi-$E900)/30,0)))</f>
        <v>0</v>
      </c>
      <c r="H900" s="19" t="n">
        <f aca="false">IF($C900="",0,$C900+$D900)</f>
        <v>0</v>
      </c>
      <c r="I900" s="19" t="n">
        <f aca="false">IF($C900="",0,$C900*$F900)</f>
        <v>0</v>
      </c>
      <c r="J900" s="19" t="str">
        <f aca="false">IF($B900="","",CONCATENATE("Borç: ",$B900," | Toplam: ",TEXT($H900,"#,##0")))</f>
        <v/>
      </c>
    </row>
    <row r="901" customFormat="false" ht="15" hidden="false" customHeight="false" outlineLevel="0" collapsed="false">
      <c r="A901" s="20"/>
      <c r="B901" s="20"/>
      <c r="C901" s="21"/>
      <c r="D901" s="21"/>
      <c r="E901" s="22"/>
      <c r="F901" s="23"/>
      <c r="G901" s="19" t="n">
        <f aca="false">IF($E901="",0,MAX(0,ROUNDDOWN((TecilRaporTarihi-$E901)/30,0)))</f>
        <v>0</v>
      </c>
      <c r="H901" s="19" t="n">
        <f aca="false">IF($C901="",0,$C901+$D901)</f>
        <v>0</v>
      </c>
      <c r="I901" s="19" t="n">
        <f aca="false">IF($C901="",0,$C901*$F901)</f>
        <v>0</v>
      </c>
      <c r="J901" s="19" t="str">
        <f aca="false">IF($B901="","",CONCATENATE("Borç: ",$B901," | Toplam: ",TEXT($H901,"#,##0")))</f>
        <v/>
      </c>
    </row>
    <row r="902" customFormat="false" ht="15" hidden="false" customHeight="false" outlineLevel="0" collapsed="false">
      <c r="A902" s="20"/>
      <c r="B902" s="20"/>
      <c r="C902" s="21"/>
      <c r="D902" s="21"/>
      <c r="E902" s="22"/>
      <c r="F902" s="23"/>
      <c r="G902" s="19" t="n">
        <f aca="false">IF($E902="",0,MAX(0,ROUNDDOWN((TecilRaporTarihi-$E902)/30,0)))</f>
        <v>0</v>
      </c>
      <c r="H902" s="19" t="n">
        <f aca="false">IF($C902="",0,$C902+$D902)</f>
        <v>0</v>
      </c>
      <c r="I902" s="19" t="n">
        <f aca="false">IF($C902="",0,$C902*$F902)</f>
        <v>0</v>
      </c>
      <c r="J902" s="19" t="str">
        <f aca="false">IF($B902="","",CONCATENATE("Borç: ",$B902," | Toplam: ",TEXT($H902,"#,##0")))</f>
        <v/>
      </c>
    </row>
    <row r="903" customFormat="false" ht="15" hidden="false" customHeight="false" outlineLevel="0" collapsed="false">
      <c r="A903" s="20"/>
      <c r="B903" s="20"/>
      <c r="C903" s="21"/>
      <c r="D903" s="21"/>
      <c r="E903" s="22"/>
      <c r="F903" s="23"/>
      <c r="G903" s="19" t="n">
        <f aca="false">IF($E903="",0,MAX(0,ROUNDDOWN((TecilRaporTarihi-$E903)/30,0)))</f>
        <v>0</v>
      </c>
      <c r="H903" s="19" t="n">
        <f aca="false">IF($C903="",0,$C903+$D903)</f>
        <v>0</v>
      </c>
      <c r="I903" s="19" t="n">
        <f aca="false">IF($C903="",0,$C903*$F903)</f>
        <v>0</v>
      </c>
      <c r="J903" s="19" t="str">
        <f aca="false">IF($B903="","",CONCATENATE("Borç: ",$B903," | Toplam: ",TEXT($H903,"#,##0")))</f>
        <v/>
      </c>
    </row>
    <row r="904" customFormat="false" ht="15" hidden="false" customHeight="false" outlineLevel="0" collapsed="false">
      <c r="A904" s="20"/>
      <c r="B904" s="20"/>
      <c r="C904" s="21"/>
      <c r="D904" s="21"/>
      <c r="E904" s="22"/>
      <c r="F904" s="23"/>
      <c r="G904" s="19" t="n">
        <f aca="false">IF($E904="",0,MAX(0,ROUNDDOWN((TecilRaporTarihi-$E904)/30,0)))</f>
        <v>0</v>
      </c>
      <c r="H904" s="19" t="n">
        <f aca="false">IF($C904="",0,$C904+$D904)</f>
        <v>0</v>
      </c>
      <c r="I904" s="19" t="n">
        <f aca="false">IF($C904="",0,$C904*$F904)</f>
        <v>0</v>
      </c>
      <c r="J904" s="19" t="str">
        <f aca="false">IF($B904="","",CONCATENATE("Borç: ",$B904," | Toplam: ",TEXT($H904,"#,##0")))</f>
        <v/>
      </c>
    </row>
    <row r="905" customFormat="false" ht="15" hidden="false" customHeight="false" outlineLevel="0" collapsed="false">
      <c r="A905" s="20"/>
      <c r="B905" s="20"/>
      <c r="C905" s="21"/>
      <c r="D905" s="21"/>
      <c r="E905" s="22"/>
      <c r="F905" s="23"/>
      <c r="G905" s="19" t="n">
        <f aca="false">IF($E905="",0,MAX(0,ROUNDDOWN((TecilRaporTarihi-$E905)/30,0)))</f>
        <v>0</v>
      </c>
      <c r="H905" s="19" t="n">
        <f aca="false">IF($C905="",0,$C905+$D905)</f>
        <v>0</v>
      </c>
      <c r="I905" s="19" t="n">
        <f aca="false">IF($C905="",0,$C905*$F905)</f>
        <v>0</v>
      </c>
      <c r="J905" s="19" t="str">
        <f aca="false">IF($B905="","",CONCATENATE("Borç: ",$B905," | Toplam: ",TEXT($H905,"#,##0")))</f>
        <v/>
      </c>
    </row>
    <row r="906" customFormat="false" ht="15" hidden="false" customHeight="false" outlineLevel="0" collapsed="false">
      <c r="A906" s="20"/>
      <c r="B906" s="20"/>
      <c r="C906" s="21"/>
      <c r="D906" s="21"/>
      <c r="E906" s="22"/>
      <c r="F906" s="23"/>
      <c r="G906" s="19" t="n">
        <f aca="false">IF($E906="",0,MAX(0,ROUNDDOWN((TecilRaporTarihi-$E906)/30,0)))</f>
        <v>0</v>
      </c>
      <c r="H906" s="19" t="n">
        <f aca="false">IF($C906="",0,$C906+$D906)</f>
        <v>0</v>
      </c>
      <c r="I906" s="19" t="n">
        <f aca="false">IF($C906="",0,$C906*$F906)</f>
        <v>0</v>
      </c>
      <c r="J906" s="19" t="str">
        <f aca="false">IF($B906="","",CONCATENATE("Borç: ",$B906," | Toplam: ",TEXT($H906,"#,##0")))</f>
        <v/>
      </c>
    </row>
    <row r="907" customFormat="false" ht="15" hidden="false" customHeight="false" outlineLevel="0" collapsed="false">
      <c r="A907" s="20"/>
      <c r="B907" s="20"/>
      <c r="C907" s="21"/>
      <c r="D907" s="21"/>
      <c r="E907" s="22"/>
      <c r="F907" s="23"/>
      <c r="G907" s="19" t="n">
        <f aca="false">IF($E907="",0,MAX(0,ROUNDDOWN((TecilRaporTarihi-$E907)/30,0)))</f>
        <v>0</v>
      </c>
      <c r="H907" s="19" t="n">
        <f aca="false">IF($C907="",0,$C907+$D907)</f>
        <v>0</v>
      </c>
      <c r="I907" s="19" t="n">
        <f aca="false">IF($C907="",0,$C907*$F907)</f>
        <v>0</v>
      </c>
      <c r="J907" s="19" t="str">
        <f aca="false">IF($B907="","",CONCATENATE("Borç: ",$B907," | Toplam: ",TEXT($H907,"#,##0")))</f>
        <v/>
      </c>
    </row>
    <row r="908" customFormat="false" ht="15" hidden="false" customHeight="false" outlineLevel="0" collapsed="false">
      <c r="A908" s="20"/>
      <c r="B908" s="20"/>
      <c r="C908" s="21"/>
      <c r="D908" s="21"/>
      <c r="E908" s="22"/>
      <c r="F908" s="23"/>
      <c r="G908" s="19" t="n">
        <f aca="false">IF($E908="",0,MAX(0,ROUNDDOWN((TecilRaporTarihi-$E908)/30,0)))</f>
        <v>0</v>
      </c>
      <c r="H908" s="19" t="n">
        <f aca="false">IF($C908="",0,$C908+$D908)</f>
        <v>0</v>
      </c>
      <c r="I908" s="19" t="n">
        <f aca="false">IF($C908="",0,$C908*$F908)</f>
        <v>0</v>
      </c>
      <c r="J908" s="19" t="str">
        <f aca="false">IF($B908="","",CONCATENATE("Borç: ",$B908," | Toplam: ",TEXT($H908,"#,##0")))</f>
        <v/>
      </c>
    </row>
    <row r="909" customFormat="false" ht="15" hidden="false" customHeight="false" outlineLevel="0" collapsed="false">
      <c r="A909" s="20"/>
      <c r="B909" s="20"/>
      <c r="C909" s="21"/>
      <c r="D909" s="21"/>
      <c r="E909" s="22"/>
      <c r="F909" s="23"/>
      <c r="G909" s="19" t="n">
        <f aca="false">IF($E909="",0,MAX(0,ROUNDDOWN((TecilRaporTarihi-$E909)/30,0)))</f>
        <v>0</v>
      </c>
      <c r="H909" s="19" t="n">
        <f aca="false">IF($C909="",0,$C909+$D909)</f>
        <v>0</v>
      </c>
      <c r="I909" s="19" t="n">
        <f aca="false">IF($C909="",0,$C909*$F909)</f>
        <v>0</v>
      </c>
      <c r="J909" s="19" t="str">
        <f aca="false">IF($B909="","",CONCATENATE("Borç: ",$B909," | Toplam: ",TEXT($H909,"#,##0")))</f>
        <v/>
      </c>
    </row>
    <row r="910" customFormat="false" ht="15" hidden="false" customHeight="false" outlineLevel="0" collapsed="false">
      <c r="A910" s="20"/>
      <c r="B910" s="20"/>
      <c r="C910" s="21"/>
      <c r="D910" s="21"/>
      <c r="E910" s="22"/>
      <c r="F910" s="23"/>
      <c r="G910" s="19" t="n">
        <f aca="false">IF($E910="",0,MAX(0,ROUNDDOWN((TecilRaporTarihi-$E910)/30,0)))</f>
        <v>0</v>
      </c>
      <c r="H910" s="19" t="n">
        <f aca="false">IF($C910="",0,$C910+$D910)</f>
        <v>0</v>
      </c>
      <c r="I910" s="19" t="n">
        <f aca="false">IF($C910="",0,$C910*$F910)</f>
        <v>0</v>
      </c>
      <c r="J910" s="19" t="str">
        <f aca="false">IF($B910="","",CONCATENATE("Borç: ",$B910," | Toplam: ",TEXT($H910,"#,##0")))</f>
        <v/>
      </c>
    </row>
    <row r="911" customFormat="false" ht="15" hidden="false" customHeight="false" outlineLevel="0" collapsed="false">
      <c r="A911" s="20"/>
      <c r="B911" s="20"/>
      <c r="C911" s="21"/>
      <c r="D911" s="21"/>
      <c r="E911" s="22"/>
      <c r="F911" s="23"/>
      <c r="G911" s="19" t="n">
        <f aca="false">IF($E911="",0,MAX(0,ROUNDDOWN((TecilRaporTarihi-$E911)/30,0)))</f>
        <v>0</v>
      </c>
      <c r="H911" s="19" t="n">
        <f aca="false">IF($C911="",0,$C911+$D911)</f>
        <v>0</v>
      </c>
      <c r="I911" s="19" t="n">
        <f aca="false">IF($C911="",0,$C911*$F911)</f>
        <v>0</v>
      </c>
      <c r="J911" s="19" t="str">
        <f aca="false">IF($B911="","",CONCATENATE("Borç: ",$B911," | Toplam: ",TEXT($H911,"#,##0")))</f>
        <v/>
      </c>
    </row>
    <row r="912" customFormat="false" ht="15" hidden="false" customHeight="false" outlineLevel="0" collapsed="false">
      <c r="A912" s="20"/>
      <c r="B912" s="20"/>
      <c r="C912" s="21"/>
      <c r="D912" s="21"/>
      <c r="E912" s="22"/>
      <c r="F912" s="23"/>
      <c r="G912" s="19" t="n">
        <f aca="false">IF($E912="",0,MAX(0,ROUNDDOWN((TecilRaporTarihi-$E912)/30,0)))</f>
        <v>0</v>
      </c>
      <c r="H912" s="19" t="n">
        <f aca="false">IF($C912="",0,$C912+$D912)</f>
        <v>0</v>
      </c>
      <c r="I912" s="19" t="n">
        <f aca="false">IF($C912="",0,$C912*$F912)</f>
        <v>0</v>
      </c>
      <c r="J912" s="19" t="str">
        <f aca="false">IF($B912="","",CONCATENATE("Borç: ",$B912," | Toplam: ",TEXT($H912,"#,##0")))</f>
        <v/>
      </c>
    </row>
    <row r="913" customFormat="false" ht="15" hidden="false" customHeight="false" outlineLevel="0" collapsed="false">
      <c r="A913" s="20"/>
      <c r="B913" s="20"/>
      <c r="C913" s="21"/>
      <c r="D913" s="21"/>
      <c r="E913" s="22"/>
      <c r="F913" s="23"/>
      <c r="G913" s="19" t="n">
        <f aca="false">IF($E913="",0,MAX(0,ROUNDDOWN((TecilRaporTarihi-$E913)/30,0)))</f>
        <v>0</v>
      </c>
      <c r="H913" s="19" t="n">
        <f aca="false">IF($C913="",0,$C913+$D913)</f>
        <v>0</v>
      </c>
      <c r="I913" s="19" t="n">
        <f aca="false">IF($C913="",0,$C913*$F913)</f>
        <v>0</v>
      </c>
      <c r="J913" s="19" t="str">
        <f aca="false">IF($B913="","",CONCATENATE("Borç: ",$B913," | Toplam: ",TEXT($H913,"#,##0")))</f>
        <v/>
      </c>
    </row>
    <row r="914" customFormat="false" ht="15" hidden="false" customHeight="false" outlineLevel="0" collapsed="false">
      <c r="A914" s="20"/>
      <c r="B914" s="20"/>
      <c r="C914" s="21"/>
      <c r="D914" s="21"/>
      <c r="E914" s="22"/>
      <c r="F914" s="23"/>
      <c r="G914" s="19" t="n">
        <f aca="false">IF($E914="",0,MAX(0,ROUNDDOWN((TecilRaporTarihi-$E914)/30,0)))</f>
        <v>0</v>
      </c>
      <c r="H914" s="19" t="n">
        <f aca="false">IF($C914="",0,$C914+$D914)</f>
        <v>0</v>
      </c>
      <c r="I914" s="19" t="n">
        <f aca="false">IF($C914="",0,$C914*$F914)</f>
        <v>0</v>
      </c>
      <c r="J914" s="19" t="str">
        <f aca="false">IF($B914="","",CONCATENATE("Borç: ",$B914," | Toplam: ",TEXT($H914,"#,##0")))</f>
        <v/>
      </c>
    </row>
    <row r="915" customFormat="false" ht="15" hidden="false" customHeight="false" outlineLevel="0" collapsed="false">
      <c r="A915" s="20"/>
      <c r="B915" s="20"/>
      <c r="C915" s="21"/>
      <c r="D915" s="21"/>
      <c r="E915" s="22"/>
      <c r="F915" s="23"/>
      <c r="G915" s="19" t="n">
        <f aca="false">IF($E915="",0,MAX(0,ROUNDDOWN((TecilRaporTarihi-$E915)/30,0)))</f>
        <v>0</v>
      </c>
      <c r="H915" s="19" t="n">
        <f aca="false">IF($C915="",0,$C915+$D915)</f>
        <v>0</v>
      </c>
      <c r="I915" s="19" t="n">
        <f aca="false">IF($C915="",0,$C915*$F915)</f>
        <v>0</v>
      </c>
      <c r="J915" s="19" t="str">
        <f aca="false">IF($B915="","",CONCATENATE("Borç: ",$B915," | Toplam: ",TEXT($H915,"#,##0")))</f>
        <v/>
      </c>
    </row>
    <row r="916" customFormat="false" ht="15" hidden="false" customHeight="false" outlineLevel="0" collapsed="false">
      <c r="A916" s="20"/>
      <c r="B916" s="20"/>
      <c r="C916" s="21"/>
      <c r="D916" s="21"/>
      <c r="E916" s="22"/>
      <c r="F916" s="23"/>
      <c r="G916" s="19" t="n">
        <f aca="false">IF($E916="",0,MAX(0,ROUNDDOWN((TecilRaporTarihi-$E916)/30,0)))</f>
        <v>0</v>
      </c>
      <c r="H916" s="19" t="n">
        <f aca="false">IF($C916="",0,$C916+$D916)</f>
        <v>0</v>
      </c>
      <c r="I916" s="19" t="n">
        <f aca="false">IF($C916="",0,$C916*$F916)</f>
        <v>0</v>
      </c>
      <c r="J916" s="19" t="str">
        <f aca="false">IF($B916="","",CONCATENATE("Borç: ",$B916," | Toplam: ",TEXT($H916,"#,##0")))</f>
        <v/>
      </c>
    </row>
    <row r="917" customFormat="false" ht="15" hidden="false" customHeight="false" outlineLevel="0" collapsed="false">
      <c r="A917" s="20"/>
      <c r="B917" s="20"/>
      <c r="C917" s="21"/>
      <c r="D917" s="21"/>
      <c r="E917" s="22"/>
      <c r="F917" s="23"/>
      <c r="G917" s="19" t="n">
        <f aca="false">IF($E917="",0,MAX(0,ROUNDDOWN((TecilRaporTarihi-$E917)/30,0)))</f>
        <v>0</v>
      </c>
      <c r="H917" s="19" t="n">
        <f aca="false">IF($C917="",0,$C917+$D917)</f>
        <v>0</v>
      </c>
      <c r="I917" s="19" t="n">
        <f aca="false">IF($C917="",0,$C917*$F917)</f>
        <v>0</v>
      </c>
      <c r="J917" s="19" t="str">
        <f aca="false">IF($B917="","",CONCATENATE("Borç: ",$B917," | Toplam: ",TEXT($H917,"#,##0")))</f>
        <v/>
      </c>
    </row>
    <row r="918" customFormat="false" ht="15" hidden="false" customHeight="false" outlineLevel="0" collapsed="false">
      <c r="A918" s="20"/>
      <c r="B918" s="20"/>
      <c r="C918" s="21"/>
      <c r="D918" s="21"/>
      <c r="E918" s="22"/>
      <c r="F918" s="23"/>
      <c r="G918" s="19" t="n">
        <f aca="false">IF($E918="",0,MAX(0,ROUNDDOWN((TecilRaporTarihi-$E918)/30,0)))</f>
        <v>0</v>
      </c>
      <c r="H918" s="19" t="n">
        <f aca="false">IF($C918="",0,$C918+$D918)</f>
        <v>0</v>
      </c>
      <c r="I918" s="19" t="n">
        <f aca="false">IF($C918="",0,$C918*$F918)</f>
        <v>0</v>
      </c>
      <c r="J918" s="19" t="str">
        <f aca="false">IF($B918="","",CONCATENATE("Borç: ",$B918," | Toplam: ",TEXT($H918,"#,##0")))</f>
        <v/>
      </c>
    </row>
    <row r="919" customFormat="false" ht="15" hidden="false" customHeight="false" outlineLevel="0" collapsed="false">
      <c r="A919" s="20"/>
      <c r="B919" s="20"/>
      <c r="C919" s="21"/>
      <c r="D919" s="21"/>
      <c r="E919" s="22"/>
      <c r="F919" s="23"/>
      <c r="G919" s="19" t="n">
        <f aca="false">IF($E919="",0,MAX(0,ROUNDDOWN((TecilRaporTarihi-$E919)/30,0)))</f>
        <v>0</v>
      </c>
      <c r="H919" s="19" t="n">
        <f aca="false">IF($C919="",0,$C919+$D919)</f>
        <v>0</v>
      </c>
      <c r="I919" s="19" t="n">
        <f aca="false">IF($C919="",0,$C919*$F919)</f>
        <v>0</v>
      </c>
      <c r="J919" s="19" t="str">
        <f aca="false">IF($B919="","",CONCATENATE("Borç: ",$B919," | Toplam: ",TEXT($H919,"#,##0")))</f>
        <v/>
      </c>
    </row>
    <row r="920" customFormat="false" ht="15" hidden="false" customHeight="false" outlineLevel="0" collapsed="false">
      <c r="A920" s="20"/>
      <c r="B920" s="20"/>
      <c r="C920" s="21"/>
      <c r="D920" s="21"/>
      <c r="E920" s="22"/>
      <c r="F920" s="23"/>
      <c r="G920" s="19" t="n">
        <f aca="false">IF($E920="",0,MAX(0,ROUNDDOWN((TecilRaporTarihi-$E920)/30,0)))</f>
        <v>0</v>
      </c>
      <c r="H920" s="19" t="n">
        <f aca="false">IF($C920="",0,$C920+$D920)</f>
        <v>0</v>
      </c>
      <c r="I920" s="19" t="n">
        <f aca="false">IF($C920="",0,$C920*$F920)</f>
        <v>0</v>
      </c>
      <c r="J920" s="19" t="str">
        <f aca="false">IF($B920="","",CONCATENATE("Borç: ",$B920," | Toplam: ",TEXT($H920,"#,##0")))</f>
        <v/>
      </c>
    </row>
    <row r="921" customFormat="false" ht="15" hidden="false" customHeight="false" outlineLevel="0" collapsed="false">
      <c r="A921" s="20"/>
      <c r="B921" s="20"/>
      <c r="C921" s="21"/>
      <c r="D921" s="21"/>
      <c r="E921" s="22"/>
      <c r="F921" s="23"/>
      <c r="G921" s="19" t="n">
        <f aca="false">IF($E921="",0,MAX(0,ROUNDDOWN((TecilRaporTarihi-$E921)/30,0)))</f>
        <v>0</v>
      </c>
      <c r="H921" s="19" t="n">
        <f aca="false">IF($C921="",0,$C921+$D921)</f>
        <v>0</v>
      </c>
      <c r="I921" s="19" t="n">
        <f aca="false">IF($C921="",0,$C921*$F921)</f>
        <v>0</v>
      </c>
      <c r="J921" s="19" t="str">
        <f aca="false">IF($B921="","",CONCATENATE("Borç: ",$B921," | Toplam: ",TEXT($H921,"#,##0")))</f>
        <v/>
      </c>
    </row>
    <row r="922" customFormat="false" ht="15" hidden="false" customHeight="false" outlineLevel="0" collapsed="false">
      <c r="A922" s="20"/>
      <c r="B922" s="20"/>
      <c r="C922" s="21"/>
      <c r="D922" s="21"/>
      <c r="E922" s="22"/>
      <c r="F922" s="23"/>
      <c r="G922" s="19" t="n">
        <f aca="false">IF($E922="",0,MAX(0,ROUNDDOWN((TecilRaporTarihi-$E922)/30,0)))</f>
        <v>0</v>
      </c>
      <c r="H922" s="19" t="n">
        <f aca="false">IF($C922="",0,$C922+$D922)</f>
        <v>0</v>
      </c>
      <c r="I922" s="19" t="n">
        <f aca="false">IF($C922="",0,$C922*$F922)</f>
        <v>0</v>
      </c>
      <c r="J922" s="19" t="str">
        <f aca="false">IF($B922="","",CONCATENATE("Borç: ",$B922," | Toplam: ",TEXT($H922,"#,##0")))</f>
        <v/>
      </c>
    </row>
    <row r="923" customFormat="false" ht="15" hidden="false" customHeight="false" outlineLevel="0" collapsed="false">
      <c r="A923" s="20"/>
      <c r="B923" s="20"/>
      <c r="C923" s="21"/>
      <c r="D923" s="21"/>
      <c r="E923" s="22"/>
      <c r="F923" s="23"/>
      <c r="G923" s="19" t="n">
        <f aca="false">IF($E923="",0,MAX(0,ROUNDDOWN((TecilRaporTarihi-$E923)/30,0)))</f>
        <v>0</v>
      </c>
      <c r="H923" s="19" t="n">
        <f aca="false">IF($C923="",0,$C923+$D923)</f>
        <v>0</v>
      </c>
      <c r="I923" s="19" t="n">
        <f aca="false">IF($C923="",0,$C923*$F923)</f>
        <v>0</v>
      </c>
      <c r="J923" s="19" t="str">
        <f aca="false">IF($B923="","",CONCATENATE("Borç: ",$B923," | Toplam: ",TEXT($H923,"#,##0")))</f>
        <v/>
      </c>
    </row>
    <row r="924" customFormat="false" ht="15" hidden="false" customHeight="false" outlineLevel="0" collapsed="false">
      <c r="A924" s="20"/>
      <c r="B924" s="20"/>
      <c r="C924" s="21"/>
      <c r="D924" s="21"/>
      <c r="E924" s="22"/>
      <c r="F924" s="23"/>
      <c r="G924" s="19" t="n">
        <f aca="false">IF($E924="",0,MAX(0,ROUNDDOWN((TecilRaporTarihi-$E924)/30,0)))</f>
        <v>0</v>
      </c>
      <c r="H924" s="19" t="n">
        <f aca="false">IF($C924="",0,$C924+$D924)</f>
        <v>0</v>
      </c>
      <c r="I924" s="19" t="n">
        <f aca="false">IF($C924="",0,$C924*$F924)</f>
        <v>0</v>
      </c>
      <c r="J924" s="19" t="str">
        <f aca="false">IF($B924="","",CONCATENATE("Borç: ",$B924," | Toplam: ",TEXT($H924,"#,##0")))</f>
        <v/>
      </c>
    </row>
    <row r="925" customFormat="false" ht="15" hidden="false" customHeight="false" outlineLevel="0" collapsed="false">
      <c r="A925" s="20"/>
      <c r="B925" s="20"/>
      <c r="C925" s="21"/>
      <c r="D925" s="21"/>
      <c r="E925" s="22"/>
      <c r="F925" s="23"/>
      <c r="G925" s="19" t="n">
        <f aca="false">IF($E925="",0,MAX(0,ROUNDDOWN((TecilRaporTarihi-$E925)/30,0)))</f>
        <v>0</v>
      </c>
      <c r="H925" s="19" t="n">
        <f aca="false">IF($C925="",0,$C925+$D925)</f>
        <v>0</v>
      </c>
      <c r="I925" s="19" t="n">
        <f aca="false">IF($C925="",0,$C925*$F925)</f>
        <v>0</v>
      </c>
      <c r="J925" s="19" t="str">
        <f aca="false">IF($B925="","",CONCATENATE("Borç: ",$B925," | Toplam: ",TEXT($H925,"#,##0")))</f>
        <v/>
      </c>
    </row>
    <row r="926" customFormat="false" ht="15" hidden="false" customHeight="false" outlineLevel="0" collapsed="false">
      <c r="A926" s="20"/>
      <c r="B926" s="20"/>
      <c r="C926" s="21"/>
      <c r="D926" s="21"/>
      <c r="E926" s="22"/>
      <c r="F926" s="23"/>
      <c r="G926" s="19" t="n">
        <f aca="false">IF($E926="",0,MAX(0,ROUNDDOWN((TecilRaporTarihi-$E926)/30,0)))</f>
        <v>0</v>
      </c>
      <c r="H926" s="19" t="n">
        <f aca="false">IF($C926="",0,$C926+$D926)</f>
        <v>0</v>
      </c>
      <c r="I926" s="19" t="n">
        <f aca="false">IF($C926="",0,$C926*$F926)</f>
        <v>0</v>
      </c>
      <c r="J926" s="19" t="str">
        <f aca="false">IF($B926="","",CONCATENATE("Borç: ",$B926," | Toplam: ",TEXT($H926,"#,##0")))</f>
        <v/>
      </c>
    </row>
    <row r="927" customFormat="false" ht="15" hidden="false" customHeight="false" outlineLevel="0" collapsed="false">
      <c r="A927" s="20"/>
      <c r="B927" s="20"/>
      <c r="C927" s="21"/>
      <c r="D927" s="21"/>
      <c r="E927" s="22"/>
      <c r="F927" s="23"/>
      <c r="G927" s="19" t="n">
        <f aca="false">IF($E927="",0,MAX(0,ROUNDDOWN((TecilRaporTarihi-$E927)/30,0)))</f>
        <v>0</v>
      </c>
      <c r="H927" s="19" t="n">
        <f aca="false">IF($C927="",0,$C927+$D927)</f>
        <v>0</v>
      </c>
      <c r="I927" s="19" t="n">
        <f aca="false">IF($C927="",0,$C927*$F927)</f>
        <v>0</v>
      </c>
      <c r="J927" s="19" t="str">
        <f aca="false">IF($B927="","",CONCATENATE("Borç: ",$B927," | Toplam: ",TEXT($H927,"#,##0")))</f>
        <v/>
      </c>
    </row>
    <row r="928" customFormat="false" ht="15" hidden="false" customHeight="false" outlineLevel="0" collapsed="false">
      <c r="A928" s="20"/>
      <c r="B928" s="20"/>
      <c r="C928" s="21"/>
      <c r="D928" s="21"/>
      <c r="E928" s="22"/>
      <c r="F928" s="23"/>
      <c r="G928" s="19" t="n">
        <f aca="false">IF($E928="",0,MAX(0,ROUNDDOWN((TecilRaporTarihi-$E928)/30,0)))</f>
        <v>0</v>
      </c>
      <c r="H928" s="19" t="n">
        <f aca="false">IF($C928="",0,$C928+$D928)</f>
        <v>0</v>
      </c>
      <c r="I928" s="19" t="n">
        <f aca="false">IF($C928="",0,$C928*$F928)</f>
        <v>0</v>
      </c>
      <c r="J928" s="19" t="str">
        <f aca="false">IF($B928="","",CONCATENATE("Borç: ",$B928," | Toplam: ",TEXT($H928,"#,##0")))</f>
        <v/>
      </c>
    </row>
    <row r="929" customFormat="false" ht="15" hidden="false" customHeight="false" outlineLevel="0" collapsed="false">
      <c r="A929" s="20"/>
      <c r="B929" s="20"/>
      <c r="C929" s="21"/>
      <c r="D929" s="21"/>
      <c r="E929" s="22"/>
      <c r="F929" s="23"/>
      <c r="G929" s="19" t="n">
        <f aca="false">IF($E929="",0,MAX(0,ROUNDDOWN((TecilRaporTarihi-$E929)/30,0)))</f>
        <v>0</v>
      </c>
      <c r="H929" s="19" t="n">
        <f aca="false">IF($C929="",0,$C929+$D929)</f>
        <v>0</v>
      </c>
      <c r="I929" s="19" t="n">
        <f aca="false">IF($C929="",0,$C929*$F929)</f>
        <v>0</v>
      </c>
      <c r="J929" s="19" t="str">
        <f aca="false">IF($B929="","",CONCATENATE("Borç: ",$B929," | Toplam: ",TEXT($H929,"#,##0")))</f>
        <v/>
      </c>
    </row>
    <row r="930" customFormat="false" ht="15" hidden="false" customHeight="false" outlineLevel="0" collapsed="false">
      <c r="A930" s="20"/>
      <c r="B930" s="20"/>
      <c r="C930" s="21"/>
      <c r="D930" s="21"/>
      <c r="E930" s="22"/>
      <c r="F930" s="23"/>
      <c r="G930" s="19" t="n">
        <f aca="false">IF($E930="",0,MAX(0,ROUNDDOWN((TecilRaporTarihi-$E930)/30,0)))</f>
        <v>0</v>
      </c>
      <c r="H930" s="19" t="n">
        <f aca="false">IF($C930="",0,$C930+$D930)</f>
        <v>0</v>
      </c>
      <c r="I930" s="19" t="n">
        <f aca="false">IF($C930="",0,$C930*$F930)</f>
        <v>0</v>
      </c>
      <c r="J930" s="19" t="str">
        <f aca="false">IF($B930="","",CONCATENATE("Borç: ",$B930," | Toplam: ",TEXT($H930,"#,##0")))</f>
        <v/>
      </c>
    </row>
    <row r="931" customFormat="false" ht="15" hidden="false" customHeight="false" outlineLevel="0" collapsed="false">
      <c r="A931" s="20"/>
      <c r="B931" s="20"/>
      <c r="C931" s="21"/>
      <c r="D931" s="21"/>
      <c r="E931" s="22"/>
      <c r="F931" s="23"/>
      <c r="G931" s="19" t="n">
        <f aca="false">IF($E931="",0,MAX(0,ROUNDDOWN((TecilRaporTarihi-$E931)/30,0)))</f>
        <v>0</v>
      </c>
      <c r="H931" s="19" t="n">
        <f aca="false">IF($C931="",0,$C931+$D931)</f>
        <v>0</v>
      </c>
      <c r="I931" s="19" t="n">
        <f aca="false">IF($C931="",0,$C931*$F931)</f>
        <v>0</v>
      </c>
      <c r="J931" s="19" t="str">
        <f aca="false">IF($B931="","",CONCATENATE("Borç: ",$B931," | Toplam: ",TEXT($H931,"#,##0")))</f>
        <v/>
      </c>
    </row>
    <row r="932" customFormat="false" ht="15" hidden="false" customHeight="false" outlineLevel="0" collapsed="false">
      <c r="A932" s="20"/>
      <c r="B932" s="20"/>
      <c r="C932" s="21"/>
      <c r="D932" s="21"/>
      <c r="E932" s="22"/>
      <c r="F932" s="23"/>
      <c r="G932" s="19" t="n">
        <f aca="false">IF($E932="",0,MAX(0,ROUNDDOWN((TecilRaporTarihi-$E932)/30,0)))</f>
        <v>0</v>
      </c>
      <c r="H932" s="19" t="n">
        <f aca="false">IF($C932="",0,$C932+$D932)</f>
        <v>0</v>
      </c>
      <c r="I932" s="19" t="n">
        <f aca="false">IF($C932="",0,$C932*$F932)</f>
        <v>0</v>
      </c>
      <c r="J932" s="19" t="str">
        <f aca="false">IF($B932="","",CONCATENATE("Borç: ",$B932," | Toplam: ",TEXT($H932,"#,##0")))</f>
        <v/>
      </c>
    </row>
    <row r="933" customFormat="false" ht="15" hidden="false" customHeight="false" outlineLevel="0" collapsed="false">
      <c r="A933" s="20"/>
      <c r="B933" s="20"/>
      <c r="C933" s="21"/>
      <c r="D933" s="21"/>
      <c r="E933" s="22"/>
      <c r="F933" s="23"/>
      <c r="G933" s="19" t="n">
        <f aca="false">IF($E933="",0,MAX(0,ROUNDDOWN((TecilRaporTarihi-$E933)/30,0)))</f>
        <v>0</v>
      </c>
      <c r="H933" s="19" t="n">
        <f aca="false">IF($C933="",0,$C933+$D933)</f>
        <v>0</v>
      </c>
      <c r="I933" s="19" t="n">
        <f aca="false">IF($C933="",0,$C933*$F933)</f>
        <v>0</v>
      </c>
      <c r="J933" s="19" t="str">
        <f aca="false">IF($B933="","",CONCATENATE("Borç: ",$B933," | Toplam: ",TEXT($H933,"#,##0")))</f>
        <v/>
      </c>
    </row>
    <row r="934" customFormat="false" ht="15" hidden="false" customHeight="false" outlineLevel="0" collapsed="false">
      <c r="A934" s="20"/>
      <c r="B934" s="20"/>
      <c r="C934" s="21"/>
      <c r="D934" s="21"/>
      <c r="E934" s="22"/>
      <c r="F934" s="23"/>
      <c r="G934" s="19" t="n">
        <f aca="false">IF($E934="",0,MAX(0,ROUNDDOWN((TecilRaporTarihi-$E934)/30,0)))</f>
        <v>0</v>
      </c>
      <c r="H934" s="19" t="n">
        <f aca="false">IF($C934="",0,$C934+$D934)</f>
        <v>0</v>
      </c>
      <c r="I934" s="19" t="n">
        <f aca="false">IF($C934="",0,$C934*$F934)</f>
        <v>0</v>
      </c>
      <c r="J934" s="19" t="str">
        <f aca="false">IF($B934="","",CONCATENATE("Borç: ",$B934," | Toplam: ",TEXT($H934,"#,##0")))</f>
        <v/>
      </c>
    </row>
    <row r="935" customFormat="false" ht="15" hidden="false" customHeight="false" outlineLevel="0" collapsed="false">
      <c r="A935" s="20"/>
      <c r="B935" s="20"/>
      <c r="C935" s="21"/>
      <c r="D935" s="21"/>
      <c r="E935" s="22"/>
      <c r="F935" s="23"/>
      <c r="G935" s="19" t="n">
        <f aca="false">IF($E935="",0,MAX(0,ROUNDDOWN((TecilRaporTarihi-$E935)/30,0)))</f>
        <v>0</v>
      </c>
      <c r="H935" s="19" t="n">
        <f aca="false">IF($C935="",0,$C935+$D935)</f>
        <v>0</v>
      </c>
      <c r="I935" s="19" t="n">
        <f aca="false">IF($C935="",0,$C935*$F935)</f>
        <v>0</v>
      </c>
      <c r="J935" s="19" t="str">
        <f aca="false">IF($B935="","",CONCATENATE("Borç: ",$B935," | Toplam: ",TEXT($H935,"#,##0")))</f>
        <v/>
      </c>
    </row>
    <row r="936" customFormat="false" ht="15" hidden="false" customHeight="false" outlineLevel="0" collapsed="false">
      <c r="A936" s="20"/>
      <c r="B936" s="20"/>
      <c r="C936" s="21"/>
      <c r="D936" s="21"/>
      <c r="E936" s="22"/>
      <c r="F936" s="23"/>
      <c r="G936" s="19" t="n">
        <f aca="false">IF($E936="",0,MAX(0,ROUNDDOWN((TecilRaporTarihi-$E936)/30,0)))</f>
        <v>0</v>
      </c>
      <c r="H936" s="19" t="n">
        <f aca="false">IF($C936="",0,$C936+$D936)</f>
        <v>0</v>
      </c>
      <c r="I936" s="19" t="n">
        <f aca="false">IF($C936="",0,$C936*$F936)</f>
        <v>0</v>
      </c>
      <c r="J936" s="19" t="str">
        <f aca="false">IF($B936="","",CONCATENATE("Borç: ",$B936," | Toplam: ",TEXT($H936,"#,##0")))</f>
        <v/>
      </c>
    </row>
    <row r="937" customFormat="false" ht="15" hidden="false" customHeight="false" outlineLevel="0" collapsed="false">
      <c r="A937" s="20"/>
      <c r="B937" s="20"/>
      <c r="C937" s="21"/>
      <c r="D937" s="21"/>
      <c r="E937" s="22"/>
      <c r="F937" s="23"/>
      <c r="G937" s="19" t="n">
        <f aca="false">IF($E937="",0,MAX(0,ROUNDDOWN((TecilRaporTarihi-$E937)/30,0)))</f>
        <v>0</v>
      </c>
      <c r="H937" s="19" t="n">
        <f aca="false">IF($C937="",0,$C937+$D937)</f>
        <v>0</v>
      </c>
      <c r="I937" s="19" t="n">
        <f aca="false">IF($C937="",0,$C937*$F937)</f>
        <v>0</v>
      </c>
      <c r="J937" s="19" t="str">
        <f aca="false">IF($B937="","",CONCATENATE("Borç: ",$B937," | Toplam: ",TEXT($H937,"#,##0")))</f>
        <v/>
      </c>
    </row>
    <row r="938" customFormat="false" ht="15" hidden="false" customHeight="false" outlineLevel="0" collapsed="false">
      <c r="A938" s="20"/>
      <c r="B938" s="20"/>
      <c r="C938" s="21"/>
      <c r="D938" s="21"/>
      <c r="E938" s="22"/>
      <c r="F938" s="23"/>
      <c r="G938" s="19" t="n">
        <f aca="false">IF($E938="",0,MAX(0,ROUNDDOWN((TecilRaporTarihi-$E938)/30,0)))</f>
        <v>0</v>
      </c>
      <c r="H938" s="19" t="n">
        <f aca="false">IF($C938="",0,$C938+$D938)</f>
        <v>0</v>
      </c>
      <c r="I938" s="19" t="n">
        <f aca="false">IF($C938="",0,$C938*$F938)</f>
        <v>0</v>
      </c>
      <c r="J938" s="19" t="str">
        <f aca="false">IF($B938="","",CONCATENATE("Borç: ",$B938," | Toplam: ",TEXT($H938,"#,##0")))</f>
        <v/>
      </c>
    </row>
    <row r="939" customFormat="false" ht="15" hidden="false" customHeight="false" outlineLevel="0" collapsed="false">
      <c r="A939" s="20"/>
      <c r="B939" s="20"/>
      <c r="C939" s="21"/>
      <c r="D939" s="21"/>
      <c r="E939" s="22"/>
      <c r="F939" s="23"/>
      <c r="G939" s="19" t="n">
        <f aca="false">IF($E939="",0,MAX(0,ROUNDDOWN((TecilRaporTarihi-$E939)/30,0)))</f>
        <v>0</v>
      </c>
      <c r="H939" s="19" t="n">
        <f aca="false">IF($C939="",0,$C939+$D939)</f>
        <v>0</v>
      </c>
      <c r="I939" s="19" t="n">
        <f aca="false">IF($C939="",0,$C939*$F939)</f>
        <v>0</v>
      </c>
      <c r="J939" s="19" t="str">
        <f aca="false">IF($B939="","",CONCATENATE("Borç: ",$B939," | Toplam: ",TEXT($H939,"#,##0")))</f>
        <v/>
      </c>
    </row>
    <row r="940" customFormat="false" ht="15" hidden="false" customHeight="false" outlineLevel="0" collapsed="false">
      <c r="A940" s="20"/>
      <c r="B940" s="20"/>
      <c r="C940" s="21"/>
      <c r="D940" s="21"/>
      <c r="E940" s="22"/>
      <c r="F940" s="23"/>
      <c r="G940" s="19" t="n">
        <f aca="false">IF($E940="",0,MAX(0,ROUNDDOWN((TecilRaporTarihi-$E940)/30,0)))</f>
        <v>0</v>
      </c>
      <c r="H940" s="19" t="n">
        <f aca="false">IF($C940="",0,$C940+$D940)</f>
        <v>0</v>
      </c>
      <c r="I940" s="19" t="n">
        <f aca="false">IF($C940="",0,$C940*$F940)</f>
        <v>0</v>
      </c>
      <c r="J940" s="19" t="str">
        <f aca="false">IF($B940="","",CONCATENATE("Borç: ",$B940," | Toplam: ",TEXT($H940,"#,##0")))</f>
        <v/>
      </c>
    </row>
    <row r="941" customFormat="false" ht="15" hidden="false" customHeight="false" outlineLevel="0" collapsed="false">
      <c r="A941" s="20"/>
      <c r="B941" s="20"/>
      <c r="C941" s="21"/>
      <c r="D941" s="21"/>
      <c r="E941" s="22"/>
      <c r="F941" s="23"/>
      <c r="G941" s="19" t="n">
        <f aca="false">IF($E941="",0,MAX(0,ROUNDDOWN((TecilRaporTarihi-$E941)/30,0)))</f>
        <v>0</v>
      </c>
      <c r="H941" s="19" t="n">
        <f aca="false">IF($C941="",0,$C941+$D941)</f>
        <v>0</v>
      </c>
      <c r="I941" s="19" t="n">
        <f aca="false">IF($C941="",0,$C941*$F941)</f>
        <v>0</v>
      </c>
      <c r="J941" s="19" t="str">
        <f aca="false">IF($B941="","",CONCATENATE("Borç: ",$B941," | Toplam: ",TEXT($H941,"#,##0")))</f>
        <v/>
      </c>
    </row>
    <row r="942" customFormat="false" ht="15" hidden="false" customHeight="false" outlineLevel="0" collapsed="false">
      <c r="A942" s="20"/>
      <c r="B942" s="20"/>
      <c r="C942" s="21"/>
      <c r="D942" s="21"/>
      <c r="E942" s="22"/>
      <c r="F942" s="23"/>
      <c r="G942" s="19" t="n">
        <f aca="false">IF($E942="",0,MAX(0,ROUNDDOWN((TecilRaporTarihi-$E942)/30,0)))</f>
        <v>0</v>
      </c>
      <c r="H942" s="19" t="n">
        <f aca="false">IF($C942="",0,$C942+$D942)</f>
        <v>0</v>
      </c>
      <c r="I942" s="19" t="n">
        <f aca="false">IF($C942="",0,$C942*$F942)</f>
        <v>0</v>
      </c>
      <c r="J942" s="19" t="str">
        <f aca="false">IF($B942="","",CONCATENATE("Borç: ",$B942," | Toplam: ",TEXT($H942,"#,##0")))</f>
        <v/>
      </c>
    </row>
    <row r="943" customFormat="false" ht="15" hidden="false" customHeight="false" outlineLevel="0" collapsed="false">
      <c r="A943" s="20"/>
      <c r="B943" s="20"/>
      <c r="C943" s="21"/>
      <c r="D943" s="21"/>
      <c r="E943" s="22"/>
      <c r="F943" s="23"/>
      <c r="G943" s="19" t="n">
        <f aca="false">IF($E943="",0,MAX(0,ROUNDDOWN((TecilRaporTarihi-$E943)/30,0)))</f>
        <v>0</v>
      </c>
      <c r="H943" s="19" t="n">
        <f aca="false">IF($C943="",0,$C943+$D943)</f>
        <v>0</v>
      </c>
      <c r="I943" s="19" t="n">
        <f aca="false">IF($C943="",0,$C943*$F943)</f>
        <v>0</v>
      </c>
      <c r="J943" s="19" t="str">
        <f aca="false">IF($B943="","",CONCATENATE("Borç: ",$B943," | Toplam: ",TEXT($H943,"#,##0")))</f>
        <v/>
      </c>
    </row>
    <row r="944" customFormat="false" ht="15" hidden="false" customHeight="false" outlineLevel="0" collapsed="false">
      <c r="A944" s="20"/>
      <c r="B944" s="20"/>
      <c r="C944" s="21"/>
      <c r="D944" s="21"/>
      <c r="E944" s="22"/>
      <c r="F944" s="23"/>
      <c r="G944" s="19" t="n">
        <f aca="false">IF($E944="",0,MAX(0,ROUNDDOWN((TecilRaporTarihi-$E944)/30,0)))</f>
        <v>0</v>
      </c>
      <c r="H944" s="19" t="n">
        <f aca="false">IF($C944="",0,$C944+$D944)</f>
        <v>0</v>
      </c>
      <c r="I944" s="19" t="n">
        <f aca="false">IF($C944="",0,$C944*$F944)</f>
        <v>0</v>
      </c>
      <c r="J944" s="19" t="str">
        <f aca="false">IF($B944="","",CONCATENATE("Borç: ",$B944," | Toplam: ",TEXT($H944,"#,##0")))</f>
        <v/>
      </c>
    </row>
    <row r="945" customFormat="false" ht="15" hidden="false" customHeight="false" outlineLevel="0" collapsed="false">
      <c r="A945" s="20"/>
      <c r="B945" s="20"/>
      <c r="C945" s="21"/>
      <c r="D945" s="21"/>
      <c r="E945" s="22"/>
      <c r="F945" s="23"/>
      <c r="G945" s="19" t="n">
        <f aca="false">IF($E945="",0,MAX(0,ROUNDDOWN((TecilRaporTarihi-$E945)/30,0)))</f>
        <v>0</v>
      </c>
      <c r="H945" s="19" t="n">
        <f aca="false">IF($C945="",0,$C945+$D945)</f>
        <v>0</v>
      </c>
      <c r="I945" s="19" t="n">
        <f aca="false">IF($C945="",0,$C945*$F945)</f>
        <v>0</v>
      </c>
      <c r="J945" s="19" t="str">
        <f aca="false">IF($B945="","",CONCATENATE("Borç: ",$B945," | Toplam: ",TEXT($H945,"#,##0")))</f>
        <v/>
      </c>
    </row>
    <row r="946" customFormat="false" ht="15" hidden="false" customHeight="false" outlineLevel="0" collapsed="false">
      <c r="A946" s="20"/>
      <c r="B946" s="20"/>
      <c r="C946" s="21"/>
      <c r="D946" s="21"/>
      <c r="E946" s="22"/>
      <c r="F946" s="23"/>
      <c r="G946" s="19" t="n">
        <f aca="false">IF($E946="",0,MAX(0,ROUNDDOWN((TecilRaporTarihi-$E946)/30,0)))</f>
        <v>0</v>
      </c>
      <c r="H946" s="19" t="n">
        <f aca="false">IF($C946="",0,$C946+$D946)</f>
        <v>0</v>
      </c>
      <c r="I946" s="19" t="n">
        <f aca="false">IF($C946="",0,$C946*$F946)</f>
        <v>0</v>
      </c>
      <c r="J946" s="19" t="str">
        <f aca="false">IF($B946="","",CONCATENATE("Borç: ",$B946," | Toplam: ",TEXT($H946,"#,##0")))</f>
        <v/>
      </c>
    </row>
    <row r="947" customFormat="false" ht="15" hidden="false" customHeight="false" outlineLevel="0" collapsed="false">
      <c r="A947" s="20"/>
      <c r="B947" s="20"/>
      <c r="C947" s="21"/>
      <c r="D947" s="21"/>
      <c r="E947" s="22"/>
      <c r="F947" s="23"/>
      <c r="G947" s="19" t="n">
        <f aca="false">IF($E947="",0,MAX(0,ROUNDDOWN((TecilRaporTarihi-$E947)/30,0)))</f>
        <v>0</v>
      </c>
      <c r="H947" s="19" t="n">
        <f aca="false">IF($C947="",0,$C947+$D947)</f>
        <v>0</v>
      </c>
      <c r="I947" s="19" t="n">
        <f aca="false">IF($C947="",0,$C947*$F947)</f>
        <v>0</v>
      </c>
      <c r="J947" s="19" t="str">
        <f aca="false">IF($B947="","",CONCATENATE("Borç: ",$B947," | Toplam: ",TEXT($H947,"#,##0")))</f>
        <v/>
      </c>
    </row>
    <row r="948" customFormat="false" ht="15" hidden="false" customHeight="false" outlineLevel="0" collapsed="false">
      <c r="A948" s="20"/>
      <c r="B948" s="20"/>
      <c r="C948" s="21"/>
      <c r="D948" s="21"/>
      <c r="E948" s="22"/>
      <c r="F948" s="23"/>
      <c r="G948" s="19" t="n">
        <f aca="false">IF($E948="",0,MAX(0,ROUNDDOWN((TecilRaporTarihi-$E948)/30,0)))</f>
        <v>0</v>
      </c>
      <c r="H948" s="19" t="n">
        <f aca="false">IF($C948="",0,$C948+$D948)</f>
        <v>0</v>
      </c>
      <c r="I948" s="19" t="n">
        <f aca="false">IF($C948="",0,$C948*$F948)</f>
        <v>0</v>
      </c>
      <c r="J948" s="19" t="str">
        <f aca="false">IF($B948="","",CONCATENATE("Borç: ",$B948," | Toplam: ",TEXT($H948,"#,##0")))</f>
        <v/>
      </c>
    </row>
    <row r="949" customFormat="false" ht="15" hidden="false" customHeight="false" outlineLevel="0" collapsed="false">
      <c r="A949" s="20"/>
      <c r="B949" s="20"/>
      <c r="C949" s="21"/>
      <c r="D949" s="21"/>
      <c r="E949" s="22"/>
      <c r="F949" s="23"/>
      <c r="G949" s="19" t="n">
        <f aca="false">IF($E949="",0,MAX(0,ROUNDDOWN((TecilRaporTarihi-$E949)/30,0)))</f>
        <v>0</v>
      </c>
      <c r="H949" s="19" t="n">
        <f aca="false">IF($C949="",0,$C949+$D949)</f>
        <v>0</v>
      </c>
      <c r="I949" s="19" t="n">
        <f aca="false">IF($C949="",0,$C949*$F949)</f>
        <v>0</v>
      </c>
      <c r="J949" s="19" t="str">
        <f aca="false">IF($B949="","",CONCATENATE("Borç: ",$B949," | Toplam: ",TEXT($H949,"#,##0")))</f>
        <v/>
      </c>
    </row>
    <row r="950" customFormat="false" ht="15" hidden="false" customHeight="false" outlineLevel="0" collapsed="false">
      <c r="A950" s="20"/>
      <c r="B950" s="20"/>
      <c r="C950" s="21"/>
      <c r="D950" s="21"/>
      <c r="E950" s="22"/>
      <c r="F950" s="23"/>
      <c r="G950" s="19" t="n">
        <f aca="false">IF($E950="",0,MAX(0,ROUNDDOWN((TecilRaporTarihi-$E950)/30,0)))</f>
        <v>0</v>
      </c>
      <c r="H950" s="19" t="n">
        <f aca="false">IF($C950="",0,$C950+$D950)</f>
        <v>0</v>
      </c>
      <c r="I950" s="19" t="n">
        <f aca="false">IF($C950="",0,$C950*$F950)</f>
        <v>0</v>
      </c>
      <c r="J950" s="19" t="str">
        <f aca="false">IF($B950="","",CONCATENATE("Borç: ",$B950," | Toplam: ",TEXT($H950,"#,##0")))</f>
        <v/>
      </c>
    </row>
    <row r="951" customFormat="false" ht="15" hidden="false" customHeight="false" outlineLevel="0" collapsed="false">
      <c r="A951" s="20"/>
      <c r="B951" s="20"/>
      <c r="C951" s="21"/>
      <c r="D951" s="21"/>
      <c r="E951" s="22"/>
      <c r="F951" s="23"/>
      <c r="G951" s="19" t="n">
        <f aca="false">IF($E951="",0,MAX(0,ROUNDDOWN((TecilRaporTarihi-$E951)/30,0)))</f>
        <v>0</v>
      </c>
      <c r="H951" s="19" t="n">
        <f aca="false">IF($C951="",0,$C951+$D951)</f>
        <v>0</v>
      </c>
      <c r="I951" s="19" t="n">
        <f aca="false">IF($C951="",0,$C951*$F951)</f>
        <v>0</v>
      </c>
      <c r="J951" s="19" t="str">
        <f aca="false">IF($B951="","",CONCATENATE("Borç: ",$B951," | Toplam: ",TEXT($H951,"#,##0")))</f>
        <v/>
      </c>
    </row>
    <row r="952" customFormat="false" ht="15" hidden="false" customHeight="false" outlineLevel="0" collapsed="false">
      <c r="A952" s="20"/>
      <c r="B952" s="20"/>
      <c r="C952" s="21"/>
      <c r="D952" s="21"/>
      <c r="E952" s="22"/>
      <c r="F952" s="23"/>
      <c r="G952" s="19" t="n">
        <f aca="false">IF($E952="",0,MAX(0,ROUNDDOWN((TecilRaporTarihi-$E952)/30,0)))</f>
        <v>0</v>
      </c>
      <c r="H952" s="19" t="n">
        <f aca="false">IF($C952="",0,$C952+$D952)</f>
        <v>0</v>
      </c>
      <c r="I952" s="19" t="n">
        <f aca="false">IF($C952="",0,$C952*$F952)</f>
        <v>0</v>
      </c>
      <c r="J952" s="19" t="str">
        <f aca="false">IF($B952="","",CONCATENATE("Borç: ",$B952," | Toplam: ",TEXT($H952,"#,##0")))</f>
        <v/>
      </c>
    </row>
    <row r="953" customFormat="false" ht="15" hidden="false" customHeight="false" outlineLevel="0" collapsed="false">
      <c r="A953" s="20"/>
      <c r="B953" s="20"/>
      <c r="C953" s="21"/>
      <c r="D953" s="21"/>
      <c r="E953" s="22"/>
      <c r="F953" s="23"/>
      <c r="G953" s="19" t="n">
        <f aca="false">IF($E953="",0,MAX(0,ROUNDDOWN((TecilRaporTarihi-$E953)/30,0)))</f>
        <v>0</v>
      </c>
      <c r="H953" s="19" t="n">
        <f aca="false">IF($C953="",0,$C953+$D953)</f>
        <v>0</v>
      </c>
      <c r="I953" s="19" t="n">
        <f aca="false">IF($C953="",0,$C953*$F953)</f>
        <v>0</v>
      </c>
      <c r="J953" s="19" t="str">
        <f aca="false">IF($B953="","",CONCATENATE("Borç: ",$B953," | Toplam: ",TEXT($H953,"#,##0")))</f>
        <v/>
      </c>
    </row>
    <row r="954" customFormat="false" ht="15" hidden="false" customHeight="false" outlineLevel="0" collapsed="false">
      <c r="A954" s="20"/>
      <c r="B954" s="20"/>
      <c r="C954" s="21"/>
      <c r="D954" s="21"/>
      <c r="E954" s="22"/>
      <c r="F954" s="23"/>
      <c r="G954" s="19" t="n">
        <f aca="false">IF($E954="",0,MAX(0,ROUNDDOWN((TecilRaporTarihi-$E954)/30,0)))</f>
        <v>0</v>
      </c>
      <c r="H954" s="19" t="n">
        <f aca="false">IF($C954="",0,$C954+$D954)</f>
        <v>0</v>
      </c>
      <c r="I954" s="19" t="n">
        <f aca="false">IF($C954="",0,$C954*$F954)</f>
        <v>0</v>
      </c>
      <c r="J954" s="19" t="str">
        <f aca="false">IF($B954="","",CONCATENATE("Borç: ",$B954," | Toplam: ",TEXT($H954,"#,##0")))</f>
        <v/>
      </c>
    </row>
    <row r="955" customFormat="false" ht="15" hidden="false" customHeight="false" outlineLevel="0" collapsed="false">
      <c r="A955" s="20"/>
      <c r="B955" s="20"/>
      <c r="C955" s="21"/>
      <c r="D955" s="21"/>
      <c r="E955" s="22"/>
      <c r="F955" s="23"/>
      <c r="G955" s="19" t="n">
        <f aca="false">IF($E955="",0,MAX(0,ROUNDDOWN((TecilRaporTarihi-$E955)/30,0)))</f>
        <v>0</v>
      </c>
      <c r="H955" s="19" t="n">
        <f aca="false">IF($C955="",0,$C955+$D955)</f>
        <v>0</v>
      </c>
      <c r="I955" s="19" t="n">
        <f aca="false">IF($C955="",0,$C955*$F955)</f>
        <v>0</v>
      </c>
      <c r="J955" s="19" t="str">
        <f aca="false">IF($B955="","",CONCATENATE("Borç: ",$B955," | Toplam: ",TEXT($H955,"#,##0")))</f>
        <v/>
      </c>
    </row>
    <row r="956" customFormat="false" ht="15" hidden="false" customHeight="false" outlineLevel="0" collapsed="false">
      <c r="A956" s="20"/>
      <c r="B956" s="20"/>
      <c r="C956" s="21"/>
      <c r="D956" s="21"/>
      <c r="E956" s="22"/>
      <c r="F956" s="23"/>
      <c r="G956" s="19" t="n">
        <f aca="false">IF($E956="",0,MAX(0,ROUNDDOWN((TecilRaporTarihi-$E956)/30,0)))</f>
        <v>0</v>
      </c>
      <c r="H956" s="19" t="n">
        <f aca="false">IF($C956="",0,$C956+$D956)</f>
        <v>0</v>
      </c>
      <c r="I956" s="19" t="n">
        <f aca="false">IF($C956="",0,$C956*$F956)</f>
        <v>0</v>
      </c>
      <c r="J956" s="19" t="str">
        <f aca="false">IF($B956="","",CONCATENATE("Borç: ",$B956," | Toplam: ",TEXT($H956,"#,##0")))</f>
        <v/>
      </c>
    </row>
    <row r="957" customFormat="false" ht="15" hidden="false" customHeight="false" outlineLevel="0" collapsed="false">
      <c r="A957" s="20"/>
      <c r="B957" s="20"/>
      <c r="C957" s="21"/>
      <c r="D957" s="21"/>
      <c r="E957" s="22"/>
      <c r="F957" s="23"/>
      <c r="G957" s="19" t="n">
        <f aca="false">IF($E957="",0,MAX(0,ROUNDDOWN((TecilRaporTarihi-$E957)/30,0)))</f>
        <v>0</v>
      </c>
      <c r="H957" s="19" t="n">
        <f aca="false">IF($C957="",0,$C957+$D957)</f>
        <v>0</v>
      </c>
      <c r="I957" s="19" t="n">
        <f aca="false">IF($C957="",0,$C957*$F957)</f>
        <v>0</v>
      </c>
      <c r="J957" s="19" t="str">
        <f aca="false">IF($B957="","",CONCATENATE("Borç: ",$B957," | Toplam: ",TEXT($H957,"#,##0")))</f>
        <v/>
      </c>
    </row>
    <row r="958" customFormat="false" ht="15" hidden="false" customHeight="false" outlineLevel="0" collapsed="false">
      <c r="A958" s="20"/>
      <c r="B958" s="20"/>
      <c r="C958" s="21"/>
      <c r="D958" s="21"/>
      <c r="E958" s="22"/>
      <c r="F958" s="23"/>
      <c r="G958" s="19" t="n">
        <f aca="false">IF($E958="",0,MAX(0,ROUNDDOWN((TecilRaporTarihi-$E958)/30,0)))</f>
        <v>0</v>
      </c>
      <c r="H958" s="19" t="n">
        <f aca="false">IF($C958="",0,$C958+$D958)</f>
        <v>0</v>
      </c>
      <c r="I958" s="19" t="n">
        <f aca="false">IF($C958="",0,$C958*$F958)</f>
        <v>0</v>
      </c>
      <c r="J958" s="19" t="str">
        <f aca="false">IF($B958="","",CONCATENATE("Borç: ",$B958," | Toplam: ",TEXT($H958,"#,##0")))</f>
        <v/>
      </c>
    </row>
    <row r="959" customFormat="false" ht="15" hidden="false" customHeight="false" outlineLevel="0" collapsed="false">
      <c r="A959" s="20"/>
      <c r="B959" s="20"/>
      <c r="C959" s="21"/>
      <c r="D959" s="21"/>
      <c r="E959" s="22"/>
      <c r="F959" s="23"/>
      <c r="G959" s="19" t="n">
        <f aca="false">IF($E959="",0,MAX(0,ROUNDDOWN((TecilRaporTarihi-$E959)/30,0)))</f>
        <v>0</v>
      </c>
      <c r="H959" s="19" t="n">
        <f aca="false">IF($C959="",0,$C959+$D959)</f>
        <v>0</v>
      </c>
      <c r="I959" s="19" t="n">
        <f aca="false">IF($C959="",0,$C959*$F959)</f>
        <v>0</v>
      </c>
      <c r="J959" s="19" t="str">
        <f aca="false">IF($B959="","",CONCATENATE("Borç: ",$B959," | Toplam: ",TEXT($H959,"#,##0")))</f>
        <v/>
      </c>
    </row>
    <row r="960" customFormat="false" ht="15" hidden="false" customHeight="false" outlineLevel="0" collapsed="false">
      <c r="A960" s="20"/>
      <c r="B960" s="20"/>
      <c r="C960" s="21"/>
      <c r="D960" s="21"/>
      <c r="E960" s="22"/>
      <c r="F960" s="23"/>
      <c r="G960" s="19" t="n">
        <f aca="false">IF($E960="",0,MAX(0,ROUNDDOWN((TecilRaporTarihi-$E960)/30,0)))</f>
        <v>0</v>
      </c>
      <c r="H960" s="19" t="n">
        <f aca="false">IF($C960="",0,$C960+$D960)</f>
        <v>0</v>
      </c>
      <c r="I960" s="19" t="n">
        <f aca="false">IF($C960="",0,$C960*$F960)</f>
        <v>0</v>
      </c>
      <c r="J960" s="19" t="str">
        <f aca="false">IF($B960="","",CONCATENATE("Borç: ",$B960," | Toplam: ",TEXT($H960,"#,##0")))</f>
        <v/>
      </c>
    </row>
    <row r="961" customFormat="false" ht="15" hidden="false" customHeight="false" outlineLevel="0" collapsed="false">
      <c r="A961" s="20"/>
      <c r="B961" s="20"/>
      <c r="C961" s="21"/>
      <c r="D961" s="21"/>
      <c r="E961" s="22"/>
      <c r="F961" s="23"/>
      <c r="G961" s="19" t="n">
        <f aca="false">IF($E961="",0,MAX(0,ROUNDDOWN((TecilRaporTarihi-$E961)/30,0)))</f>
        <v>0</v>
      </c>
      <c r="H961" s="19" t="n">
        <f aca="false">IF($C961="",0,$C961+$D961)</f>
        <v>0</v>
      </c>
      <c r="I961" s="19" t="n">
        <f aca="false">IF($C961="",0,$C961*$F961)</f>
        <v>0</v>
      </c>
      <c r="J961" s="19" t="str">
        <f aca="false">IF($B961="","",CONCATENATE("Borç: ",$B961," | Toplam: ",TEXT($H961,"#,##0")))</f>
        <v/>
      </c>
    </row>
    <row r="962" customFormat="false" ht="15" hidden="false" customHeight="false" outlineLevel="0" collapsed="false">
      <c r="A962" s="20"/>
      <c r="B962" s="20"/>
      <c r="C962" s="21"/>
      <c r="D962" s="21"/>
      <c r="E962" s="22"/>
      <c r="F962" s="23"/>
      <c r="G962" s="19" t="n">
        <f aca="false">IF($E962="",0,MAX(0,ROUNDDOWN((TecilRaporTarihi-$E962)/30,0)))</f>
        <v>0</v>
      </c>
      <c r="H962" s="19" t="n">
        <f aca="false">IF($C962="",0,$C962+$D962)</f>
        <v>0</v>
      </c>
      <c r="I962" s="19" t="n">
        <f aca="false">IF($C962="",0,$C962*$F962)</f>
        <v>0</v>
      </c>
      <c r="J962" s="19" t="str">
        <f aca="false">IF($B962="","",CONCATENATE("Borç: ",$B962," | Toplam: ",TEXT($H962,"#,##0")))</f>
        <v/>
      </c>
    </row>
    <row r="963" customFormat="false" ht="15" hidden="false" customHeight="false" outlineLevel="0" collapsed="false">
      <c r="A963" s="20"/>
      <c r="B963" s="20"/>
      <c r="C963" s="21"/>
      <c r="D963" s="21"/>
      <c r="E963" s="22"/>
      <c r="F963" s="23"/>
      <c r="G963" s="19" t="n">
        <f aca="false">IF($E963="",0,MAX(0,ROUNDDOWN((TecilRaporTarihi-$E963)/30,0)))</f>
        <v>0</v>
      </c>
      <c r="H963" s="19" t="n">
        <f aca="false">IF($C963="",0,$C963+$D963)</f>
        <v>0</v>
      </c>
      <c r="I963" s="19" t="n">
        <f aca="false">IF($C963="",0,$C963*$F963)</f>
        <v>0</v>
      </c>
      <c r="J963" s="19" t="str">
        <f aca="false">IF($B963="","",CONCATENATE("Borç: ",$B963," | Toplam: ",TEXT($H963,"#,##0")))</f>
        <v/>
      </c>
    </row>
    <row r="964" customFormat="false" ht="15" hidden="false" customHeight="false" outlineLevel="0" collapsed="false">
      <c r="A964" s="20"/>
      <c r="B964" s="20"/>
      <c r="C964" s="21"/>
      <c r="D964" s="21"/>
      <c r="E964" s="22"/>
      <c r="F964" s="23"/>
      <c r="G964" s="19" t="n">
        <f aca="false">IF($E964="",0,MAX(0,ROUNDDOWN((TecilRaporTarihi-$E964)/30,0)))</f>
        <v>0</v>
      </c>
      <c r="H964" s="19" t="n">
        <f aca="false">IF($C964="",0,$C964+$D964)</f>
        <v>0</v>
      </c>
      <c r="I964" s="19" t="n">
        <f aca="false">IF($C964="",0,$C964*$F964)</f>
        <v>0</v>
      </c>
      <c r="J964" s="19" t="str">
        <f aca="false">IF($B964="","",CONCATENATE("Borç: ",$B964," | Toplam: ",TEXT($H964,"#,##0")))</f>
        <v/>
      </c>
    </row>
    <row r="965" customFormat="false" ht="15" hidden="false" customHeight="false" outlineLevel="0" collapsed="false">
      <c r="A965" s="20"/>
      <c r="B965" s="20"/>
      <c r="C965" s="21"/>
      <c r="D965" s="21"/>
      <c r="E965" s="22"/>
      <c r="F965" s="23"/>
      <c r="G965" s="19" t="n">
        <f aca="false">IF($E965="",0,MAX(0,ROUNDDOWN((TecilRaporTarihi-$E965)/30,0)))</f>
        <v>0</v>
      </c>
      <c r="H965" s="19" t="n">
        <f aca="false">IF($C965="",0,$C965+$D965)</f>
        <v>0</v>
      </c>
      <c r="I965" s="19" t="n">
        <f aca="false">IF($C965="",0,$C965*$F965)</f>
        <v>0</v>
      </c>
      <c r="J965" s="19" t="str">
        <f aca="false">IF($B965="","",CONCATENATE("Borç: ",$B965," | Toplam: ",TEXT($H965,"#,##0")))</f>
        <v/>
      </c>
    </row>
    <row r="966" customFormat="false" ht="15" hidden="false" customHeight="false" outlineLevel="0" collapsed="false">
      <c r="A966" s="20"/>
      <c r="B966" s="20"/>
      <c r="C966" s="21"/>
      <c r="D966" s="21"/>
      <c r="E966" s="22"/>
      <c r="F966" s="23"/>
      <c r="G966" s="19" t="n">
        <f aca="false">IF($E966="",0,MAX(0,ROUNDDOWN((TecilRaporTarihi-$E966)/30,0)))</f>
        <v>0</v>
      </c>
      <c r="H966" s="19" t="n">
        <f aca="false">IF($C966="",0,$C966+$D966)</f>
        <v>0</v>
      </c>
      <c r="I966" s="19" t="n">
        <f aca="false">IF($C966="",0,$C966*$F966)</f>
        <v>0</v>
      </c>
      <c r="J966" s="19" t="str">
        <f aca="false">IF($B966="","",CONCATENATE("Borç: ",$B966," | Toplam: ",TEXT($H966,"#,##0")))</f>
        <v/>
      </c>
    </row>
    <row r="967" customFormat="false" ht="15" hidden="false" customHeight="false" outlineLevel="0" collapsed="false">
      <c r="A967" s="20"/>
      <c r="B967" s="20"/>
      <c r="C967" s="21"/>
      <c r="D967" s="21"/>
      <c r="E967" s="22"/>
      <c r="F967" s="23"/>
      <c r="G967" s="19" t="n">
        <f aca="false">IF($E967="",0,MAX(0,ROUNDDOWN((TecilRaporTarihi-$E967)/30,0)))</f>
        <v>0</v>
      </c>
      <c r="H967" s="19" t="n">
        <f aca="false">IF($C967="",0,$C967+$D967)</f>
        <v>0</v>
      </c>
      <c r="I967" s="19" t="n">
        <f aca="false">IF($C967="",0,$C967*$F967)</f>
        <v>0</v>
      </c>
      <c r="J967" s="19" t="str">
        <f aca="false">IF($B967="","",CONCATENATE("Borç: ",$B967," | Toplam: ",TEXT($H967,"#,##0")))</f>
        <v/>
      </c>
    </row>
    <row r="968" customFormat="false" ht="15" hidden="false" customHeight="false" outlineLevel="0" collapsed="false">
      <c r="A968" s="20"/>
      <c r="B968" s="20"/>
      <c r="C968" s="21"/>
      <c r="D968" s="21"/>
      <c r="E968" s="22"/>
      <c r="F968" s="23"/>
      <c r="G968" s="19" t="n">
        <f aca="false">IF($E968="",0,MAX(0,ROUNDDOWN((TecilRaporTarihi-$E968)/30,0)))</f>
        <v>0</v>
      </c>
      <c r="H968" s="19" t="n">
        <f aca="false">IF($C968="",0,$C968+$D968)</f>
        <v>0</v>
      </c>
      <c r="I968" s="19" t="n">
        <f aca="false">IF($C968="",0,$C968*$F968)</f>
        <v>0</v>
      </c>
      <c r="J968" s="19" t="str">
        <f aca="false">IF($B968="","",CONCATENATE("Borç: ",$B968," | Toplam: ",TEXT($H968,"#,##0")))</f>
        <v/>
      </c>
    </row>
    <row r="969" customFormat="false" ht="15" hidden="false" customHeight="false" outlineLevel="0" collapsed="false">
      <c r="A969" s="20"/>
      <c r="B969" s="20"/>
      <c r="C969" s="21"/>
      <c r="D969" s="21"/>
      <c r="E969" s="22"/>
      <c r="F969" s="23"/>
      <c r="G969" s="19" t="n">
        <f aca="false">IF($E969="",0,MAX(0,ROUNDDOWN((TecilRaporTarihi-$E969)/30,0)))</f>
        <v>0</v>
      </c>
      <c r="H969" s="19" t="n">
        <f aca="false">IF($C969="",0,$C969+$D969)</f>
        <v>0</v>
      </c>
      <c r="I969" s="19" t="n">
        <f aca="false">IF($C969="",0,$C969*$F969)</f>
        <v>0</v>
      </c>
      <c r="J969" s="19" t="str">
        <f aca="false">IF($B969="","",CONCATENATE("Borç: ",$B969," | Toplam: ",TEXT($H969,"#,##0")))</f>
        <v/>
      </c>
    </row>
    <row r="970" customFormat="false" ht="15" hidden="false" customHeight="false" outlineLevel="0" collapsed="false">
      <c r="A970" s="20"/>
      <c r="B970" s="20"/>
      <c r="C970" s="21"/>
      <c r="D970" s="21"/>
      <c r="E970" s="22"/>
      <c r="F970" s="23"/>
      <c r="G970" s="19" t="n">
        <f aca="false">IF($E970="",0,MAX(0,ROUNDDOWN((TecilRaporTarihi-$E970)/30,0)))</f>
        <v>0</v>
      </c>
      <c r="H970" s="19" t="n">
        <f aca="false">IF($C970="",0,$C970+$D970)</f>
        <v>0</v>
      </c>
      <c r="I970" s="19" t="n">
        <f aca="false">IF($C970="",0,$C970*$F970)</f>
        <v>0</v>
      </c>
      <c r="J970" s="19" t="str">
        <f aca="false">IF($B970="","",CONCATENATE("Borç: ",$B970," | Toplam: ",TEXT($H970,"#,##0")))</f>
        <v/>
      </c>
    </row>
    <row r="971" customFormat="false" ht="15" hidden="false" customHeight="false" outlineLevel="0" collapsed="false">
      <c r="A971" s="20"/>
      <c r="B971" s="20"/>
      <c r="C971" s="21"/>
      <c r="D971" s="21"/>
      <c r="E971" s="22"/>
      <c r="F971" s="23"/>
      <c r="G971" s="19" t="n">
        <f aca="false">IF($E971="",0,MAX(0,ROUNDDOWN((TecilRaporTarihi-$E971)/30,0)))</f>
        <v>0</v>
      </c>
      <c r="H971" s="19" t="n">
        <f aca="false">IF($C971="",0,$C971+$D971)</f>
        <v>0</v>
      </c>
      <c r="I971" s="19" t="n">
        <f aca="false">IF($C971="",0,$C971*$F971)</f>
        <v>0</v>
      </c>
      <c r="J971" s="19" t="str">
        <f aca="false">IF($B971="","",CONCATENATE("Borç: ",$B971," | Toplam: ",TEXT($H971,"#,##0")))</f>
        <v/>
      </c>
    </row>
    <row r="972" customFormat="false" ht="15" hidden="false" customHeight="false" outlineLevel="0" collapsed="false">
      <c r="A972" s="20"/>
      <c r="B972" s="20"/>
      <c r="C972" s="21"/>
      <c r="D972" s="21"/>
      <c r="E972" s="22"/>
      <c r="F972" s="23"/>
      <c r="G972" s="19" t="n">
        <f aca="false">IF($E972="",0,MAX(0,ROUNDDOWN((TecilRaporTarihi-$E972)/30,0)))</f>
        <v>0</v>
      </c>
      <c r="H972" s="19" t="n">
        <f aca="false">IF($C972="",0,$C972+$D972)</f>
        <v>0</v>
      </c>
      <c r="I972" s="19" t="n">
        <f aca="false">IF($C972="",0,$C972*$F972)</f>
        <v>0</v>
      </c>
      <c r="J972" s="19" t="str">
        <f aca="false">IF($B972="","",CONCATENATE("Borç: ",$B972," | Toplam: ",TEXT($H972,"#,##0")))</f>
        <v/>
      </c>
    </row>
    <row r="973" customFormat="false" ht="15" hidden="false" customHeight="false" outlineLevel="0" collapsed="false">
      <c r="A973" s="20"/>
      <c r="B973" s="20"/>
      <c r="C973" s="21"/>
      <c r="D973" s="21"/>
      <c r="E973" s="22"/>
      <c r="F973" s="23"/>
      <c r="G973" s="19" t="n">
        <f aca="false">IF($E973="",0,MAX(0,ROUNDDOWN((TecilRaporTarihi-$E973)/30,0)))</f>
        <v>0</v>
      </c>
      <c r="H973" s="19" t="n">
        <f aca="false">IF($C973="",0,$C973+$D973)</f>
        <v>0</v>
      </c>
      <c r="I973" s="19" t="n">
        <f aca="false">IF($C973="",0,$C973*$F973)</f>
        <v>0</v>
      </c>
      <c r="J973" s="19" t="str">
        <f aca="false">IF($B973="","",CONCATENATE("Borç: ",$B973," | Toplam: ",TEXT($H973,"#,##0")))</f>
        <v/>
      </c>
    </row>
    <row r="974" customFormat="false" ht="15" hidden="false" customHeight="false" outlineLevel="0" collapsed="false">
      <c r="A974" s="20"/>
      <c r="B974" s="20"/>
      <c r="C974" s="21"/>
      <c r="D974" s="21"/>
      <c r="E974" s="22"/>
      <c r="F974" s="23"/>
      <c r="G974" s="19" t="n">
        <f aca="false">IF($E974="",0,MAX(0,ROUNDDOWN((TecilRaporTarihi-$E974)/30,0)))</f>
        <v>0</v>
      </c>
      <c r="H974" s="19" t="n">
        <f aca="false">IF($C974="",0,$C974+$D974)</f>
        <v>0</v>
      </c>
      <c r="I974" s="19" t="n">
        <f aca="false">IF($C974="",0,$C974*$F974)</f>
        <v>0</v>
      </c>
      <c r="J974" s="19" t="str">
        <f aca="false">IF($B974="","",CONCATENATE("Borç: ",$B974," | Toplam: ",TEXT($H974,"#,##0")))</f>
        <v/>
      </c>
    </row>
    <row r="975" customFormat="false" ht="15" hidden="false" customHeight="false" outlineLevel="0" collapsed="false">
      <c r="A975" s="20"/>
      <c r="B975" s="20"/>
      <c r="C975" s="21"/>
      <c r="D975" s="21"/>
      <c r="E975" s="22"/>
      <c r="F975" s="23"/>
      <c r="G975" s="19" t="n">
        <f aca="false">IF($E975="",0,MAX(0,ROUNDDOWN((TecilRaporTarihi-$E975)/30,0)))</f>
        <v>0</v>
      </c>
      <c r="H975" s="19" t="n">
        <f aca="false">IF($C975="",0,$C975+$D975)</f>
        <v>0</v>
      </c>
      <c r="I975" s="19" t="n">
        <f aca="false">IF($C975="",0,$C975*$F975)</f>
        <v>0</v>
      </c>
      <c r="J975" s="19" t="str">
        <f aca="false">IF($B975="","",CONCATENATE("Borç: ",$B975," | Toplam: ",TEXT($H975,"#,##0")))</f>
        <v/>
      </c>
    </row>
    <row r="976" customFormat="false" ht="15" hidden="false" customHeight="false" outlineLevel="0" collapsed="false">
      <c r="A976" s="20"/>
      <c r="B976" s="20"/>
      <c r="C976" s="21"/>
      <c r="D976" s="21"/>
      <c r="E976" s="22"/>
      <c r="F976" s="23"/>
      <c r="G976" s="19" t="n">
        <f aca="false">IF($E976="",0,MAX(0,ROUNDDOWN((TecilRaporTarihi-$E976)/30,0)))</f>
        <v>0</v>
      </c>
      <c r="H976" s="19" t="n">
        <f aca="false">IF($C976="",0,$C976+$D976)</f>
        <v>0</v>
      </c>
      <c r="I976" s="19" t="n">
        <f aca="false">IF($C976="",0,$C976*$F976)</f>
        <v>0</v>
      </c>
      <c r="J976" s="19" t="str">
        <f aca="false">IF($B976="","",CONCATENATE("Borç: ",$B976," | Toplam: ",TEXT($H976,"#,##0")))</f>
        <v/>
      </c>
    </row>
    <row r="977" customFormat="false" ht="15" hidden="false" customHeight="false" outlineLevel="0" collapsed="false">
      <c r="A977" s="20"/>
      <c r="B977" s="20"/>
      <c r="C977" s="21"/>
      <c r="D977" s="21"/>
      <c r="E977" s="22"/>
      <c r="F977" s="23"/>
      <c r="G977" s="19" t="n">
        <f aca="false">IF($E977="",0,MAX(0,ROUNDDOWN((TecilRaporTarihi-$E977)/30,0)))</f>
        <v>0</v>
      </c>
      <c r="H977" s="19" t="n">
        <f aca="false">IF($C977="",0,$C977+$D977)</f>
        <v>0</v>
      </c>
      <c r="I977" s="19" t="n">
        <f aca="false">IF($C977="",0,$C977*$F977)</f>
        <v>0</v>
      </c>
      <c r="J977" s="19" t="str">
        <f aca="false">IF($B977="","",CONCATENATE("Borç: ",$B977," | Toplam: ",TEXT($H977,"#,##0")))</f>
        <v/>
      </c>
    </row>
    <row r="978" customFormat="false" ht="15" hidden="false" customHeight="false" outlineLevel="0" collapsed="false">
      <c r="A978" s="20"/>
      <c r="B978" s="20"/>
      <c r="C978" s="21"/>
      <c r="D978" s="21"/>
      <c r="E978" s="22"/>
      <c r="F978" s="23"/>
      <c r="G978" s="19" t="n">
        <f aca="false">IF($E978="",0,MAX(0,ROUNDDOWN((TecilRaporTarihi-$E978)/30,0)))</f>
        <v>0</v>
      </c>
      <c r="H978" s="19" t="n">
        <f aca="false">IF($C978="",0,$C978+$D978)</f>
        <v>0</v>
      </c>
      <c r="I978" s="19" t="n">
        <f aca="false">IF($C978="",0,$C978*$F978)</f>
        <v>0</v>
      </c>
      <c r="J978" s="19" t="str">
        <f aca="false">IF($B978="","",CONCATENATE("Borç: ",$B978," | Toplam: ",TEXT($H978,"#,##0")))</f>
        <v/>
      </c>
    </row>
    <row r="979" customFormat="false" ht="15" hidden="false" customHeight="false" outlineLevel="0" collapsed="false">
      <c r="A979" s="20"/>
      <c r="B979" s="20"/>
      <c r="C979" s="21"/>
      <c r="D979" s="21"/>
      <c r="E979" s="22"/>
      <c r="F979" s="23"/>
      <c r="G979" s="19" t="n">
        <f aca="false">IF($E979="",0,MAX(0,ROUNDDOWN((TecilRaporTarihi-$E979)/30,0)))</f>
        <v>0</v>
      </c>
      <c r="H979" s="19" t="n">
        <f aca="false">IF($C979="",0,$C979+$D979)</f>
        <v>0</v>
      </c>
      <c r="I979" s="19" t="n">
        <f aca="false">IF($C979="",0,$C979*$F979)</f>
        <v>0</v>
      </c>
      <c r="J979" s="19" t="str">
        <f aca="false">IF($B979="","",CONCATENATE("Borç: ",$B979," | Toplam: ",TEXT($H979,"#,##0")))</f>
        <v/>
      </c>
    </row>
    <row r="980" customFormat="false" ht="15" hidden="false" customHeight="false" outlineLevel="0" collapsed="false">
      <c r="A980" s="20"/>
      <c r="B980" s="20"/>
      <c r="C980" s="21"/>
      <c r="D980" s="21"/>
      <c r="E980" s="22"/>
      <c r="F980" s="23"/>
      <c r="G980" s="19" t="n">
        <f aca="false">IF($E980="",0,MAX(0,ROUNDDOWN((TecilRaporTarihi-$E980)/30,0)))</f>
        <v>0</v>
      </c>
      <c r="H980" s="19" t="n">
        <f aca="false">IF($C980="",0,$C980+$D980)</f>
        <v>0</v>
      </c>
      <c r="I980" s="19" t="n">
        <f aca="false">IF($C980="",0,$C980*$F980)</f>
        <v>0</v>
      </c>
      <c r="J980" s="19" t="str">
        <f aca="false">IF($B980="","",CONCATENATE("Borç: ",$B980," | Toplam: ",TEXT($H980,"#,##0")))</f>
        <v/>
      </c>
    </row>
    <row r="981" customFormat="false" ht="15" hidden="false" customHeight="false" outlineLevel="0" collapsed="false">
      <c r="A981" s="20"/>
      <c r="B981" s="20"/>
      <c r="C981" s="21"/>
      <c r="D981" s="21"/>
      <c r="E981" s="22"/>
      <c r="F981" s="23"/>
      <c r="G981" s="19" t="n">
        <f aca="false">IF($E981="",0,MAX(0,ROUNDDOWN((TecilRaporTarihi-$E981)/30,0)))</f>
        <v>0</v>
      </c>
      <c r="H981" s="19" t="n">
        <f aca="false">IF($C981="",0,$C981+$D981)</f>
        <v>0</v>
      </c>
      <c r="I981" s="19" t="n">
        <f aca="false">IF($C981="",0,$C981*$F981)</f>
        <v>0</v>
      </c>
      <c r="J981" s="19" t="str">
        <f aca="false">IF($B981="","",CONCATENATE("Borç: ",$B981," | Toplam: ",TEXT($H981,"#,##0")))</f>
        <v/>
      </c>
    </row>
    <row r="982" customFormat="false" ht="15" hidden="false" customHeight="false" outlineLevel="0" collapsed="false">
      <c r="A982" s="20"/>
      <c r="B982" s="20"/>
      <c r="C982" s="21"/>
      <c r="D982" s="21"/>
      <c r="E982" s="22"/>
      <c r="F982" s="23"/>
      <c r="G982" s="19" t="n">
        <f aca="false">IF($E982="",0,MAX(0,ROUNDDOWN((TecilRaporTarihi-$E982)/30,0)))</f>
        <v>0</v>
      </c>
      <c r="H982" s="19" t="n">
        <f aca="false">IF($C982="",0,$C982+$D982)</f>
        <v>0</v>
      </c>
      <c r="I982" s="19" t="n">
        <f aca="false">IF($C982="",0,$C982*$F982)</f>
        <v>0</v>
      </c>
      <c r="J982" s="19" t="str">
        <f aca="false">IF($B982="","",CONCATENATE("Borç: ",$B982," | Toplam: ",TEXT($H982,"#,##0")))</f>
        <v/>
      </c>
    </row>
    <row r="983" customFormat="false" ht="15" hidden="false" customHeight="false" outlineLevel="0" collapsed="false">
      <c r="A983" s="20"/>
      <c r="B983" s="20"/>
      <c r="C983" s="21"/>
      <c r="D983" s="21"/>
      <c r="E983" s="22"/>
      <c r="F983" s="23"/>
      <c r="G983" s="19" t="n">
        <f aca="false">IF($E983="",0,MAX(0,ROUNDDOWN((TecilRaporTarihi-$E983)/30,0)))</f>
        <v>0</v>
      </c>
      <c r="H983" s="19" t="n">
        <f aca="false">IF($C983="",0,$C983+$D983)</f>
        <v>0</v>
      </c>
      <c r="I983" s="19" t="n">
        <f aca="false">IF($C983="",0,$C983*$F983)</f>
        <v>0</v>
      </c>
      <c r="J983" s="19" t="str">
        <f aca="false">IF($B983="","",CONCATENATE("Borç: ",$B983," | Toplam: ",TEXT($H983,"#,##0")))</f>
        <v/>
      </c>
    </row>
    <row r="984" customFormat="false" ht="15" hidden="false" customHeight="false" outlineLevel="0" collapsed="false">
      <c r="A984" s="20"/>
      <c r="B984" s="20"/>
      <c r="C984" s="21"/>
      <c r="D984" s="21"/>
      <c r="E984" s="22"/>
      <c r="F984" s="23"/>
      <c r="G984" s="19" t="n">
        <f aca="false">IF($E984="",0,MAX(0,ROUNDDOWN((TecilRaporTarihi-$E984)/30,0)))</f>
        <v>0</v>
      </c>
      <c r="H984" s="19" t="n">
        <f aca="false">IF($C984="",0,$C984+$D984)</f>
        <v>0</v>
      </c>
      <c r="I984" s="19" t="n">
        <f aca="false">IF($C984="",0,$C984*$F984)</f>
        <v>0</v>
      </c>
      <c r="J984" s="19" t="str">
        <f aca="false">IF($B984="","",CONCATENATE("Borç: ",$B984," | Toplam: ",TEXT($H984,"#,##0")))</f>
        <v/>
      </c>
    </row>
    <row r="985" customFormat="false" ht="15" hidden="false" customHeight="false" outlineLevel="0" collapsed="false">
      <c r="A985" s="20"/>
      <c r="B985" s="20"/>
      <c r="C985" s="21"/>
      <c r="D985" s="21"/>
      <c r="E985" s="22"/>
      <c r="F985" s="23"/>
      <c r="G985" s="19" t="n">
        <f aca="false">IF($E985="",0,MAX(0,ROUNDDOWN((TecilRaporTarihi-$E985)/30,0)))</f>
        <v>0</v>
      </c>
      <c r="H985" s="19" t="n">
        <f aca="false">IF($C985="",0,$C985+$D985)</f>
        <v>0</v>
      </c>
      <c r="I985" s="19" t="n">
        <f aca="false">IF($C985="",0,$C985*$F985)</f>
        <v>0</v>
      </c>
      <c r="J985" s="19" t="str">
        <f aca="false">IF($B985="","",CONCATENATE("Borç: ",$B985," | Toplam: ",TEXT($H985,"#,##0")))</f>
        <v/>
      </c>
    </row>
    <row r="986" customFormat="false" ht="15" hidden="false" customHeight="false" outlineLevel="0" collapsed="false">
      <c r="A986" s="20"/>
      <c r="B986" s="20"/>
      <c r="C986" s="21"/>
      <c r="D986" s="21"/>
      <c r="E986" s="22"/>
      <c r="F986" s="23"/>
      <c r="G986" s="19" t="n">
        <f aca="false">IF($E986="",0,MAX(0,ROUNDDOWN((TecilRaporTarihi-$E986)/30,0)))</f>
        <v>0</v>
      </c>
      <c r="H986" s="19" t="n">
        <f aca="false">IF($C986="",0,$C986+$D986)</f>
        <v>0</v>
      </c>
      <c r="I986" s="19" t="n">
        <f aca="false">IF($C986="",0,$C986*$F986)</f>
        <v>0</v>
      </c>
      <c r="J986" s="19" t="str">
        <f aca="false">IF($B986="","",CONCATENATE("Borç: ",$B986," | Toplam: ",TEXT($H986,"#,##0")))</f>
        <v/>
      </c>
    </row>
    <row r="987" customFormat="false" ht="15" hidden="false" customHeight="false" outlineLevel="0" collapsed="false">
      <c r="A987" s="20"/>
      <c r="B987" s="20"/>
      <c r="C987" s="21"/>
      <c r="D987" s="21"/>
      <c r="E987" s="22"/>
      <c r="F987" s="23"/>
      <c r="G987" s="19" t="n">
        <f aca="false">IF($E987="",0,MAX(0,ROUNDDOWN((TecilRaporTarihi-$E987)/30,0)))</f>
        <v>0</v>
      </c>
      <c r="H987" s="19" t="n">
        <f aca="false">IF($C987="",0,$C987+$D987)</f>
        <v>0</v>
      </c>
      <c r="I987" s="19" t="n">
        <f aca="false">IF($C987="",0,$C987*$F987)</f>
        <v>0</v>
      </c>
      <c r="J987" s="19" t="str">
        <f aca="false">IF($B987="","",CONCATENATE("Borç: ",$B987," | Toplam: ",TEXT($H987,"#,##0")))</f>
        <v/>
      </c>
    </row>
    <row r="988" customFormat="false" ht="15" hidden="false" customHeight="false" outlineLevel="0" collapsed="false">
      <c r="A988" s="20"/>
      <c r="B988" s="20"/>
      <c r="C988" s="21"/>
      <c r="D988" s="21"/>
      <c r="E988" s="22"/>
      <c r="F988" s="23"/>
      <c r="G988" s="19" t="n">
        <f aca="false">IF($E988="",0,MAX(0,ROUNDDOWN((TecilRaporTarihi-$E988)/30,0)))</f>
        <v>0</v>
      </c>
      <c r="H988" s="19" t="n">
        <f aca="false">IF($C988="",0,$C988+$D988)</f>
        <v>0</v>
      </c>
      <c r="I988" s="19" t="n">
        <f aca="false">IF($C988="",0,$C988*$F988)</f>
        <v>0</v>
      </c>
      <c r="J988" s="19" t="str">
        <f aca="false">IF($B988="","",CONCATENATE("Borç: ",$B988," | Toplam: ",TEXT($H988,"#,##0")))</f>
        <v/>
      </c>
    </row>
    <row r="989" customFormat="false" ht="15" hidden="false" customHeight="false" outlineLevel="0" collapsed="false">
      <c r="A989" s="20"/>
      <c r="B989" s="20"/>
      <c r="C989" s="21"/>
      <c r="D989" s="21"/>
      <c r="E989" s="22"/>
      <c r="F989" s="23"/>
      <c r="G989" s="19" t="n">
        <f aca="false">IF($E989="",0,MAX(0,ROUNDDOWN((TecilRaporTarihi-$E989)/30,0)))</f>
        <v>0</v>
      </c>
      <c r="H989" s="19" t="n">
        <f aca="false">IF($C989="",0,$C989+$D989)</f>
        <v>0</v>
      </c>
      <c r="I989" s="19" t="n">
        <f aca="false">IF($C989="",0,$C989*$F989)</f>
        <v>0</v>
      </c>
      <c r="J989" s="19" t="str">
        <f aca="false">IF($B989="","",CONCATENATE("Borç: ",$B989," | Toplam: ",TEXT($H989,"#,##0")))</f>
        <v/>
      </c>
    </row>
    <row r="990" customFormat="false" ht="15" hidden="false" customHeight="false" outlineLevel="0" collapsed="false">
      <c r="A990" s="20"/>
      <c r="B990" s="20"/>
      <c r="C990" s="21"/>
      <c r="D990" s="21"/>
      <c r="E990" s="22"/>
      <c r="F990" s="23"/>
      <c r="G990" s="19" t="n">
        <f aca="false">IF($E990="",0,MAX(0,ROUNDDOWN((TecilRaporTarihi-$E990)/30,0)))</f>
        <v>0</v>
      </c>
      <c r="H990" s="19" t="n">
        <f aca="false">IF($C990="",0,$C990+$D990)</f>
        <v>0</v>
      </c>
      <c r="I990" s="19" t="n">
        <f aca="false">IF($C990="",0,$C990*$F990)</f>
        <v>0</v>
      </c>
      <c r="J990" s="19" t="str">
        <f aca="false">IF($B990="","",CONCATENATE("Borç: ",$B990," | Toplam: ",TEXT($H990,"#,##0")))</f>
        <v/>
      </c>
    </row>
    <row r="991" customFormat="false" ht="15" hidden="false" customHeight="false" outlineLevel="0" collapsed="false">
      <c r="A991" s="20"/>
      <c r="B991" s="20"/>
      <c r="C991" s="21"/>
      <c r="D991" s="21"/>
      <c r="E991" s="22"/>
      <c r="F991" s="23"/>
      <c r="G991" s="19" t="n">
        <f aca="false">IF($E991="",0,MAX(0,ROUNDDOWN((TecilRaporTarihi-$E991)/30,0)))</f>
        <v>0</v>
      </c>
      <c r="H991" s="19" t="n">
        <f aca="false">IF($C991="",0,$C991+$D991)</f>
        <v>0</v>
      </c>
      <c r="I991" s="19" t="n">
        <f aca="false">IF($C991="",0,$C991*$F991)</f>
        <v>0</v>
      </c>
      <c r="J991" s="19" t="str">
        <f aca="false">IF($B991="","",CONCATENATE("Borç: ",$B991," | Toplam: ",TEXT($H991,"#,##0")))</f>
        <v/>
      </c>
    </row>
    <row r="992" customFormat="false" ht="15" hidden="false" customHeight="false" outlineLevel="0" collapsed="false">
      <c r="A992" s="20"/>
      <c r="B992" s="20"/>
      <c r="C992" s="21"/>
      <c r="D992" s="21"/>
      <c r="E992" s="22"/>
      <c r="F992" s="23"/>
      <c r="G992" s="19" t="n">
        <f aca="false">IF($E992="",0,MAX(0,ROUNDDOWN((TecilRaporTarihi-$E992)/30,0)))</f>
        <v>0</v>
      </c>
      <c r="H992" s="19" t="n">
        <f aca="false">IF($C992="",0,$C992+$D992)</f>
        <v>0</v>
      </c>
      <c r="I992" s="19" t="n">
        <f aca="false">IF($C992="",0,$C992*$F992)</f>
        <v>0</v>
      </c>
      <c r="J992" s="19" t="str">
        <f aca="false">IF($B992="","",CONCATENATE("Borç: ",$B992," | Toplam: ",TEXT($H992,"#,##0")))</f>
        <v/>
      </c>
    </row>
    <row r="993" customFormat="false" ht="15" hidden="false" customHeight="false" outlineLevel="0" collapsed="false">
      <c r="A993" s="20"/>
      <c r="B993" s="20"/>
      <c r="C993" s="21"/>
      <c r="D993" s="21"/>
      <c r="E993" s="22"/>
      <c r="F993" s="23"/>
      <c r="G993" s="19" t="n">
        <f aca="false">IF($E993="",0,MAX(0,ROUNDDOWN((TecilRaporTarihi-$E993)/30,0)))</f>
        <v>0</v>
      </c>
      <c r="H993" s="19" t="n">
        <f aca="false">IF($C993="",0,$C993+$D993)</f>
        <v>0</v>
      </c>
      <c r="I993" s="19" t="n">
        <f aca="false">IF($C993="",0,$C993*$F993)</f>
        <v>0</v>
      </c>
      <c r="J993" s="19" t="str">
        <f aca="false">IF($B993="","",CONCATENATE("Borç: ",$B993," | Toplam: ",TEXT($H993,"#,##0")))</f>
        <v/>
      </c>
    </row>
    <row r="994" customFormat="false" ht="15" hidden="false" customHeight="false" outlineLevel="0" collapsed="false">
      <c r="A994" s="20"/>
      <c r="B994" s="20"/>
      <c r="C994" s="21"/>
      <c r="D994" s="21"/>
      <c r="E994" s="22"/>
      <c r="F994" s="23"/>
      <c r="G994" s="19" t="n">
        <f aca="false">IF($E994="",0,MAX(0,ROUNDDOWN((TecilRaporTarihi-$E994)/30,0)))</f>
        <v>0</v>
      </c>
      <c r="H994" s="19" t="n">
        <f aca="false">IF($C994="",0,$C994+$D994)</f>
        <v>0</v>
      </c>
      <c r="I994" s="19" t="n">
        <f aca="false">IF($C994="",0,$C994*$F994)</f>
        <v>0</v>
      </c>
      <c r="J994" s="19" t="str">
        <f aca="false">IF($B994="","",CONCATENATE("Borç: ",$B994," | Toplam: ",TEXT($H994,"#,##0")))</f>
        <v/>
      </c>
    </row>
    <row r="995" customFormat="false" ht="15" hidden="false" customHeight="false" outlineLevel="0" collapsed="false">
      <c r="A995" s="20"/>
      <c r="B995" s="20"/>
      <c r="C995" s="21"/>
      <c r="D995" s="21"/>
      <c r="E995" s="22"/>
      <c r="F995" s="23"/>
      <c r="G995" s="19" t="n">
        <f aca="false">IF($E995="",0,MAX(0,ROUNDDOWN((TecilRaporTarihi-$E995)/30,0)))</f>
        <v>0</v>
      </c>
      <c r="H995" s="19" t="n">
        <f aca="false">IF($C995="",0,$C995+$D995)</f>
        <v>0</v>
      </c>
      <c r="I995" s="19" t="n">
        <f aca="false">IF($C995="",0,$C995*$F995)</f>
        <v>0</v>
      </c>
      <c r="J995" s="19" t="str">
        <f aca="false">IF($B995="","",CONCATENATE("Borç: ",$B995," | Toplam: ",TEXT($H995,"#,##0")))</f>
        <v/>
      </c>
    </row>
    <row r="996" customFormat="false" ht="15" hidden="false" customHeight="false" outlineLevel="0" collapsed="false">
      <c r="A996" s="20"/>
      <c r="B996" s="20"/>
      <c r="C996" s="21"/>
      <c r="D996" s="21"/>
      <c r="E996" s="22"/>
      <c r="F996" s="23"/>
      <c r="G996" s="19" t="n">
        <f aca="false">IF($E996="",0,MAX(0,ROUNDDOWN((TecilRaporTarihi-$E996)/30,0)))</f>
        <v>0</v>
      </c>
      <c r="H996" s="19" t="n">
        <f aca="false">IF($C996="",0,$C996+$D996)</f>
        <v>0</v>
      </c>
      <c r="I996" s="19" t="n">
        <f aca="false">IF($C996="",0,$C996*$F996)</f>
        <v>0</v>
      </c>
      <c r="J996" s="19" t="str">
        <f aca="false">IF($B996="","",CONCATENATE("Borç: ",$B996," | Toplam: ",TEXT($H996,"#,##0")))</f>
        <v/>
      </c>
    </row>
    <row r="997" customFormat="false" ht="15" hidden="false" customHeight="false" outlineLevel="0" collapsed="false">
      <c r="A997" s="20"/>
      <c r="B997" s="20"/>
      <c r="C997" s="21"/>
      <c r="D997" s="21"/>
      <c r="E997" s="22"/>
      <c r="F997" s="23"/>
      <c r="G997" s="19" t="n">
        <f aca="false">IF($E997="",0,MAX(0,ROUNDDOWN((TecilRaporTarihi-$E997)/30,0)))</f>
        <v>0</v>
      </c>
      <c r="H997" s="19" t="n">
        <f aca="false">IF($C997="",0,$C997+$D997)</f>
        <v>0</v>
      </c>
      <c r="I997" s="19" t="n">
        <f aca="false">IF($C997="",0,$C997*$F997)</f>
        <v>0</v>
      </c>
      <c r="J997" s="19" t="str">
        <f aca="false">IF($B997="","",CONCATENATE("Borç: ",$B997," | Toplam: ",TEXT($H997,"#,##0")))</f>
        <v/>
      </c>
    </row>
    <row r="998" customFormat="false" ht="15" hidden="false" customHeight="false" outlineLevel="0" collapsed="false">
      <c r="A998" s="20"/>
      <c r="B998" s="20"/>
      <c r="C998" s="21"/>
      <c r="D998" s="21"/>
      <c r="E998" s="22"/>
      <c r="F998" s="23"/>
      <c r="G998" s="19" t="n">
        <f aca="false">IF($E998="",0,MAX(0,ROUNDDOWN((TecilRaporTarihi-$E998)/30,0)))</f>
        <v>0</v>
      </c>
      <c r="H998" s="19" t="n">
        <f aca="false">IF($C998="",0,$C998+$D998)</f>
        <v>0</v>
      </c>
      <c r="I998" s="19" t="n">
        <f aca="false">IF($C998="",0,$C998*$F998)</f>
        <v>0</v>
      </c>
      <c r="J998" s="19" t="str">
        <f aca="false">IF($B998="","",CONCATENATE("Borç: ",$B998," | Toplam: ",TEXT($H998,"#,##0")))</f>
        <v/>
      </c>
    </row>
    <row r="999" customFormat="false" ht="15" hidden="false" customHeight="false" outlineLevel="0" collapsed="false">
      <c r="A999" s="20"/>
      <c r="B999" s="20"/>
      <c r="C999" s="21"/>
      <c r="D999" s="21"/>
      <c r="E999" s="22"/>
      <c r="F999" s="23"/>
      <c r="G999" s="19" t="n">
        <f aca="false">IF($E999="",0,MAX(0,ROUNDDOWN((TecilRaporTarihi-$E999)/30,0)))</f>
        <v>0</v>
      </c>
      <c r="H999" s="19" t="n">
        <f aca="false">IF($C999="",0,$C999+$D999)</f>
        <v>0</v>
      </c>
      <c r="I999" s="19" t="n">
        <f aca="false">IF($C999="",0,$C999*$F999)</f>
        <v>0</v>
      </c>
      <c r="J999" s="19" t="str">
        <f aca="false">IF($B999="","",CONCATENATE("Borç: ",$B999," | Toplam: ",TEXT($H999,"#,##0")))</f>
        <v/>
      </c>
    </row>
    <row r="1000" customFormat="false" ht="15" hidden="false" customHeight="false" outlineLevel="0" collapsed="false">
      <c r="A1000" s="20"/>
      <c r="B1000" s="20"/>
      <c r="C1000" s="21"/>
      <c r="D1000" s="21"/>
      <c r="E1000" s="22"/>
      <c r="F1000" s="23"/>
      <c r="G1000" s="19" t="n">
        <f aca="false">IF($E1000="",0,MAX(0,ROUNDDOWN((TecilRaporTarihi-$E1000)/30,0)))</f>
        <v>0</v>
      </c>
      <c r="H1000" s="19" t="n">
        <f aca="false">IF($C1000="",0,$C1000+$D1000)</f>
        <v>0</v>
      </c>
      <c r="I1000" s="19" t="n">
        <f aca="false">IF($C1000="",0,$C1000*$F1000)</f>
        <v>0</v>
      </c>
      <c r="J1000" s="19" t="str">
        <f aca="false">IF($B1000="","",CONCATENATE("Borç: ",$B1000," | Toplam: ",TEXT($H1000,"#,##0")))</f>
        <v/>
      </c>
    </row>
    <row r="1001" customFormat="false" ht="15" hidden="false" customHeight="false" outlineLevel="0" collapsed="false">
      <c r="A1001" s="20"/>
      <c r="B1001" s="20"/>
      <c r="C1001" s="21"/>
      <c r="D1001" s="21"/>
      <c r="E1001" s="22"/>
      <c r="F1001" s="23"/>
      <c r="G1001" s="19" t="n">
        <f aca="false">IF($E1001="",0,MAX(0,ROUNDDOWN((TecilRaporTarihi-$E1001)/30,0)))</f>
        <v>0</v>
      </c>
      <c r="H1001" s="19" t="n">
        <f aca="false">IF($C1001="",0,$C1001+$D1001)</f>
        <v>0</v>
      </c>
      <c r="I1001" s="19" t="n">
        <f aca="false">IF($C1001="",0,$C1001*$F1001)</f>
        <v>0</v>
      </c>
      <c r="J1001" s="19" t="str">
        <f aca="false">IF($B1001="","",CONCATENATE("Borç: ",$B1001," | Toplam: ",TEXT($H1001,"#,##0")))</f>
        <v/>
      </c>
    </row>
    <row r="1002" customFormat="false" ht="15" hidden="false" customHeight="false" outlineLevel="0" collapsed="false">
      <c r="A1002" s="20"/>
      <c r="B1002" s="20"/>
      <c r="C1002" s="21"/>
      <c r="D1002" s="21"/>
      <c r="E1002" s="22"/>
      <c r="F1002" s="23"/>
      <c r="G1002" s="19" t="n">
        <f aca="false">IF($E1002="",0,MAX(0,ROUNDDOWN((TecilRaporTarihi-$E1002)/30,0)))</f>
        <v>0</v>
      </c>
      <c r="H1002" s="19" t="n">
        <f aca="false">IF($C1002="",0,$C1002+$D1002)</f>
        <v>0</v>
      </c>
      <c r="I1002" s="19" t="n">
        <f aca="false">IF($C1002="",0,$C1002*$F1002)</f>
        <v>0</v>
      </c>
      <c r="J1002" s="19" t="str">
        <f aca="false">IF($B1002="","",CONCATENATE("Borç: ",$B1002," | Toplam: ",TEXT($H1002,"#,##0")))</f>
        <v/>
      </c>
    </row>
    <row r="1003" customFormat="false" ht="15" hidden="false" customHeight="false" outlineLevel="0" collapsed="false">
      <c r="A1003" s="20"/>
      <c r="B1003" s="20"/>
      <c r="C1003" s="21"/>
      <c r="D1003" s="21"/>
      <c r="E1003" s="22"/>
      <c r="F1003" s="23"/>
      <c r="G1003" s="19" t="n">
        <f aca="false">IF($E1003="",0,MAX(0,ROUNDDOWN((TecilRaporTarihi-$E1003)/30,0)))</f>
        <v>0</v>
      </c>
      <c r="H1003" s="19" t="n">
        <f aca="false">IF($C1003="",0,$C1003+$D1003)</f>
        <v>0</v>
      </c>
      <c r="I1003" s="19" t="n">
        <f aca="false">IF($C1003="",0,$C1003*$F1003)</f>
        <v>0</v>
      </c>
      <c r="J1003" s="19" t="str">
        <f aca="false">IF($B1003="","",CONCATENATE("Borç: ",$B1003," | Toplam: ",TEXT($H1003,"#,##0")))</f>
        <v/>
      </c>
    </row>
    <row r="1004" customFormat="false" ht="15" hidden="false" customHeight="false" outlineLevel="0" collapsed="false">
      <c r="A1004" s="20"/>
      <c r="B1004" s="20"/>
      <c r="C1004" s="20"/>
      <c r="D1004" s="20"/>
      <c r="E1004" s="20"/>
      <c r="F1004" s="20"/>
      <c r="G1004" s="19" t="n">
        <f aca="false">IF($E1004="",0,MAX(0,ROUNDDOWN((TecilRaporTarihi-$E1004)/30,0)))</f>
        <v>0</v>
      </c>
      <c r="H1004" s="19" t="n">
        <f aca="false">IF($C1004="",0,$C1004+$D1004)</f>
        <v>0</v>
      </c>
      <c r="I1004" s="19" t="n">
        <f aca="false">IF($C1004="",0,$C1004*$F1004)</f>
        <v>0</v>
      </c>
      <c r="J1004" s="19" t="str">
        <f aca="false">IF($B1004="","",CONCATENATE("Borç: ",$B1004," | Toplam: ",TEXT($H1004,"#,##0")))</f>
        <v/>
      </c>
    </row>
    <row r="1006" customFormat="false" ht="19.5" hidden="false" customHeight="true" outlineLevel="0" collapsed="false">
      <c r="A1006" s="24" t="s">
        <v>57</v>
      </c>
      <c r="B1006" s="24"/>
      <c r="C1006" s="24"/>
      <c r="D1006" s="24"/>
      <c r="E1006" s="24"/>
      <c r="F1006" s="24"/>
      <c r="G1006" s="24"/>
      <c r="H1006" s="24"/>
      <c r="I1006" s="24"/>
      <c r="J1006" s="24"/>
      <c r="K1006" s="24"/>
      <c r="L1006" s="24"/>
      <c r="M1006" s="24"/>
      <c r="N1006" s="24"/>
      <c r="O1006" s="24"/>
      <c r="P1006" s="24"/>
      <c r="Q1006" s="24"/>
      <c r="R1006" s="24"/>
      <c r="S1006" s="24"/>
      <c r="T1006" s="24"/>
      <c r="U1006" s="24"/>
      <c r="V1006" s="24"/>
      <c r="W1006" s="24"/>
      <c r="X1006" s="24"/>
      <c r="Y1006" s="24"/>
      <c r="Z1006" s="24"/>
      <c r="AA1006" s="24"/>
      <c r="AB1006" s="24"/>
      <c r="AC1006" s="24"/>
      <c r="AD1006" s="24"/>
      <c r="AE1006" s="24"/>
      <c r="AF1006" s="24"/>
      <c r="AG1006" s="24"/>
      <c r="AH1006" s="24"/>
      <c r="AI1006" s="24"/>
      <c r="AJ1006" s="24"/>
      <c r="AK1006" s="24"/>
      <c r="AL1006" s="24"/>
      <c r="AM1006" s="24"/>
      <c r="AN1006" s="24"/>
    </row>
  </sheetData>
  <sheetProtection sheet="true" password="cc3d" objects="true" scenarios="true" deleteColumns="false" deleteRows="false"/>
  <mergeCells count="2">
    <mergeCell ref="A1:AD1"/>
    <mergeCell ref="A1006:AN1006"/>
  </mergeCells>
  <conditionalFormatting sqref="C6:C1004">
    <cfRule type="cellIs" priority="2" operator="lessThan" aboveAverage="0" equalAverage="0" bottom="0" percent="0" rank="0" text="" dxfId="6">
      <formula>0</formula>
    </cfRule>
  </conditionalFormatting>
  <conditionalFormatting sqref="D6:D1004">
    <cfRule type="cellIs" priority="3" operator="lessThan" aboveAverage="0" equalAverage="0" bottom="0" percent="0" rank="0" text="" dxfId="6">
      <formula>0</formula>
    </cfRule>
  </conditionalFormatting>
  <conditionalFormatting sqref="G6:G1004">
    <cfRule type="cellIs" priority="4" operator="greaterThan" aboveAverage="0" equalAverage="0" bottom="0" percent="0" rank="0" text="" dxfId="7">
      <formula>36</formula>
    </cfRule>
  </conditionalFormatting>
  <conditionalFormatting sqref="H6:H1004">
    <cfRule type="cellIs" priority="5" operator="greaterThan" aboveAverage="0" equalAverage="0" bottom="0" percent="0" rank="0" text="" dxfId="8">
      <formula>200000</formula>
    </cfRule>
  </conditionalFormatting>
  <conditionalFormatting sqref="F6:F1004">
    <cfRule type="cellIs" priority="6" operator="greaterThan" aboveAverage="0" equalAverage="0" bottom="0" percent="0" rank="0" text="" dxfId="6">
      <formula>1</formula>
    </cfRule>
  </conditionalFormatting>
  <dataValidations count="5">
    <dataValidation allowBlank="true" error="Listede olmayan tür giremezsiniz." errorStyle="stop" errorTitle="Geçersiz tür" operator="between" prompt="Listeden bir borç türü seçin." promptTitle="Borç Türü" showDropDown="false" showErrorMessage="true" showInputMessage="true" sqref="B6:B1004" type="list">
      <formula1>ListeBorcTurleri</formula1>
      <formula2>0</formula2>
    </dataValidation>
    <dataValidation allowBlank="true" error="0 ile 100.000.000.000 arasında olmalı." errorStyle="stop" errorTitle="Geçersiz değer" operator="between" prompt="Borç aslını TL olarak girin." promptTitle="Borç Aslı" showDropDown="false" showErrorMessage="true" showInputMessage="true" sqref="C6:C1004" type="decimal">
      <formula1>0</formula1>
      <formula2>100000000000</formula2>
    </dataValidation>
    <dataValidation allowBlank="true" error="0 ile 100.000.000.000 arasında olmalı." errorStyle="stop" errorTitle="Geçersiz değer" operator="between" prompt="Bugüne kadar işlemiş gecikme zammını TL girin." promptTitle="Gecikme Zammı" showDropDown="false" showErrorMessage="true" showInputMessage="true" sqref="D6:D1004" type="decimal">
      <formula1>0</formula1>
      <formula2>100000000000</formula2>
    </dataValidation>
    <dataValidation allowBlank="true" error="Tarih 01.01.2020 ile 31.12.2100 arasında olmalı." errorStyle="stop" errorTitle="Geçersiz tarih" operator="between" prompt="Borç kaleminin vade tarihini girin." promptTitle="Vade Tarihi" showDropDown="false" showErrorMessage="true" showInputMessage="true" sqref="E6:E1004" type="date">
      <formula1>01.01.2020</formula1>
      <formula2>31.12.2100</formula2>
    </dataValidation>
    <dataValidation allowBlank="true" error="Oran 0 ile 1 arasında olmalı." errorStyle="stop" errorTitle="Geçersiz oran" operator="between" prompt="Aylık gecikme zammı oranını 0-1 arasında girin (örn. %4 için 0,04)." promptTitle="Aylık Zam Oranı" showDropDown="false" showErrorMessage="true" showInputMessage="true" sqref="F6:F1004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6" min="2" style="0" width="18"/>
  </cols>
  <sheetData>
    <row r="1" customFormat="false" ht="25.5" hidden="false" customHeight="true" outlineLevel="0" collapsed="false">
      <c r="A1" s="1" t="s">
        <v>58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6.15" hidden="false" customHeight="false" outlineLevel="0" collapsed="false">
      <c r="A3" s="8" t="s">
        <v>59</v>
      </c>
    </row>
    <row r="4" customFormat="false" ht="41.75" hidden="false" customHeight="false" outlineLevel="0" collapsed="false">
      <c r="A4" s="13" t="s">
        <v>60</v>
      </c>
    </row>
    <row r="5" customFormat="false" ht="30" hidden="false" customHeight="true" outlineLevel="0" collapsed="false">
      <c r="A5" s="14" t="s">
        <v>35</v>
      </c>
      <c r="B5" s="14" t="s">
        <v>61</v>
      </c>
      <c r="C5" s="14" t="s">
        <v>62</v>
      </c>
      <c r="D5" s="14" t="s">
        <v>63</v>
      </c>
      <c r="E5" s="14" t="s">
        <v>64</v>
      </c>
      <c r="F5" s="14" t="s">
        <v>65</v>
      </c>
    </row>
    <row r="6" customFormat="false" ht="15" hidden="false" customHeight="false" outlineLevel="0" collapsed="false">
      <c r="A6" s="25" t="s">
        <v>55</v>
      </c>
      <c r="B6" s="26" t="n">
        <f aca="false">SUMIFS(tblBorc[Borç Aslı (TL)],tblBorc[Borç Türü],$A6)</f>
        <v>60000</v>
      </c>
      <c r="C6" s="26" t="n">
        <f aca="false">SUMIFS(tblBorc[Gecikme Zammı (TL)],tblBorc[Borç Türü],$A6)</f>
        <v>9000</v>
      </c>
      <c r="D6" s="26" t="n">
        <f aca="false">SUMIFS(tblBorc[Toplam Borç (TL)],tblBorc[Borç Türü],$A6)</f>
        <v>69000</v>
      </c>
      <c r="E6" s="26" t="n">
        <f aca="false">SUMIFS(tblBorc[Aylık Zam Yükü (TL)],tblBorc[Borç Türü],$A6)</f>
        <v>2400</v>
      </c>
      <c r="F6" s="27" t="n">
        <f aca="false">IFERROR(AVERAGEIFS(tblBorc[Geciken Ay],tblBorc[Borç Türü],$A6),0)</f>
        <v>8</v>
      </c>
    </row>
    <row r="7" customFormat="false" ht="15" hidden="false" customHeight="false" outlineLevel="0" collapsed="false">
      <c r="A7" s="25" t="s">
        <v>49</v>
      </c>
      <c r="B7" s="26" t="n">
        <f aca="false">SUMIFS(tblBorc[Borç Aslı (TL)],tblBorc[Borç Türü],$A7)</f>
        <v>240000</v>
      </c>
      <c r="C7" s="26" t="n">
        <f aca="false">SUMIFS(tblBorc[Gecikme Zammı (TL)],tblBorc[Borç Türü],$A7)</f>
        <v>61000</v>
      </c>
      <c r="D7" s="26" t="n">
        <f aca="false">SUMIFS(tblBorc[Toplam Borç (TL)],tblBorc[Borç Türü],$A7)</f>
        <v>301000</v>
      </c>
      <c r="E7" s="26" t="n">
        <f aca="false">SUMIFS(tblBorc[Aylık Zam Yükü (TL)],tblBorc[Borç Türü],$A7)</f>
        <v>9600</v>
      </c>
      <c r="F7" s="27" t="n">
        <f aca="false">IFERROR(AVERAGEIFS(tblBorc[Geciken Ay],tblBorc[Borç Türü],$A7),0)</f>
        <v>14</v>
      </c>
    </row>
    <row r="8" customFormat="false" ht="15" hidden="false" customHeight="false" outlineLevel="0" collapsed="false">
      <c r="A8" s="25" t="s">
        <v>45</v>
      </c>
      <c r="B8" s="26" t="n">
        <f aca="false">SUMIFS(tblBorc[Borç Aslı (TL)],tblBorc[Borç Türü],$A8)</f>
        <v>240000</v>
      </c>
      <c r="C8" s="26" t="n">
        <f aca="false">SUMIFS(tblBorc[Gecikme Zammı (TL)],tblBorc[Borç Türü],$A8)</f>
        <v>50000</v>
      </c>
      <c r="D8" s="26" t="n">
        <f aca="false">SUMIFS(tblBorc[Toplam Borç (TL)],tblBorc[Borç Türü],$A8)</f>
        <v>290000</v>
      </c>
      <c r="E8" s="26" t="n">
        <f aca="false">SUMIFS(tblBorc[Aylık Zam Yükü (TL)],tblBorc[Borç Türü],$A8)</f>
        <v>9600</v>
      </c>
      <c r="F8" s="27" t="n">
        <f aca="false">IFERROR(AVERAGEIFS(tblBorc[Geciken Ay],tblBorc[Borç Türü],$A8),0)</f>
        <v>10.5</v>
      </c>
    </row>
    <row r="9" customFormat="false" ht="15" hidden="false" customHeight="false" outlineLevel="0" collapsed="false">
      <c r="A9" s="25" t="s">
        <v>47</v>
      </c>
      <c r="B9" s="26" t="n">
        <f aca="false">SUMIFS(tblBorc[Borç Aslı (TL)],tblBorc[Borç Türü],$A9)</f>
        <v>80000</v>
      </c>
      <c r="C9" s="26" t="n">
        <f aca="false">SUMIFS(tblBorc[Gecikme Zammı (TL)],tblBorc[Borç Türü],$A9)</f>
        <v>19000</v>
      </c>
      <c r="D9" s="26" t="n">
        <f aca="false">SUMIFS(tblBorc[Toplam Borç (TL)],tblBorc[Borç Türü],$A9)</f>
        <v>99000</v>
      </c>
      <c r="E9" s="26" t="n">
        <f aca="false">SUMIFS(tblBorc[Aylık Zam Yükü (TL)],tblBorc[Borç Türü],$A9)</f>
        <v>3200</v>
      </c>
      <c r="F9" s="27" t="n">
        <f aca="false">IFERROR(AVERAGEIFS(tblBorc[Geciken Ay],tblBorc[Borç Türü],$A9),0)</f>
        <v>13</v>
      </c>
    </row>
    <row r="10" customFormat="false" ht="15" hidden="false" customHeight="false" outlineLevel="0" collapsed="false">
      <c r="A10" s="25" t="s">
        <v>51</v>
      </c>
      <c r="B10" s="26" t="n">
        <f aca="false">SUMIFS(tblBorc[Borç Aslı (TL)],tblBorc[Borç Türü],$A10)</f>
        <v>120000</v>
      </c>
      <c r="C10" s="26" t="n">
        <f aca="false">SUMIFS(tblBorc[Gecikme Zammı (TL)],tblBorc[Borç Türü],$A10)</f>
        <v>31000</v>
      </c>
      <c r="D10" s="26" t="n">
        <f aca="false">SUMIFS(tblBorc[Toplam Borç (TL)],tblBorc[Borç Türü],$A10)</f>
        <v>151000</v>
      </c>
      <c r="E10" s="26" t="n">
        <f aca="false">SUMIFS(tblBorc[Aylık Zam Yükü (TL)],tblBorc[Borç Türü],$A10)</f>
        <v>3600</v>
      </c>
      <c r="F10" s="27" t="n">
        <f aca="false">IFERROR(AVERAGEIFS(tblBorc[Geciken Ay],tblBorc[Borç Türü],$A10),0)</f>
        <v>11</v>
      </c>
    </row>
    <row r="11" customFormat="false" ht="15" hidden="false" customHeight="false" outlineLevel="0" collapsed="false">
      <c r="A11" s="25" t="s">
        <v>53</v>
      </c>
      <c r="B11" s="26" t="n">
        <f aca="false">SUMIFS(tblBorc[Borç Aslı (TL)],tblBorc[Borç Türü],$A11)</f>
        <v>40000</v>
      </c>
      <c r="C11" s="26" t="n">
        <f aca="false">SUMIFS(tblBorc[Gecikme Zammı (TL)],tblBorc[Borç Türü],$A11)</f>
        <v>14000</v>
      </c>
      <c r="D11" s="26" t="n">
        <f aca="false">SUMIFS(tblBorc[Toplam Borç (TL)],tblBorc[Borç Türü],$A11)</f>
        <v>54000</v>
      </c>
      <c r="E11" s="26" t="n">
        <f aca="false">SUMIFS(tblBorc[Aylık Zam Yükü (TL)],tblBorc[Borç Türü],$A11)</f>
        <v>1600</v>
      </c>
      <c r="F11" s="27" t="n">
        <f aca="false">IFERROR(AVERAGEIFS(tblBorc[Geciken Ay],tblBorc[Borç Türü],$A11),0)</f>
        <v>9</v>
      </c>
    </row>
    <row r="12" customFormat="false" ht="15" hidden="false" customHeight="false" outlineLevel="0" collapsed="false">
      <c r="A12" s="25" t="s">
        <v>66</v>
      </c>
      <c r="B12" s="26" t="n">
        <f aca="false">SUMIFS(tblBorc[Borç Aslı (TL)],tblBorc[Borç Türü],$A12)</f>
        <v>0</v>
      </c>
      <c r="C12" s="26" t="n">
        <f aca="false">SUMIFS(tblBorc[Gecikme Zammı (TL)],tblBorc[Borç Türü],$A12)</f>
        <v>0</v>
      </c>
      <c r="D12" s="26" t="n">
        <f aca="false">SUMIFS(tblBorc[Toplam Borç (TL)],tblBorc[Borç Türü],$A12)</f>
        <v>0</v>
      </c>
      <c r="E12" s="26" t="n">
        <f aca="false">SUMIFS(tblBorc[Aylık Zam Yükü (TL)],tblBorc[Borç Türü],$A12)</f>
        <v>0</v>
      </c>
      <c r="F12" s="27" t="n">
        <f aca="false">IFERROR(AVERAGEIFS(tblBorc[Geciken Ay],tblBorc[Borç Türü],$A12),0)</f>
        <v>0</v>
      </c>
    </row>
    <row r="14" customFormat="false" ht="15" hidden="false" customHeight="false" outlineLevel="0" collapsed="false">
      <c r="A14" s="28" t="s">
        <v>67</v>
      </c>
    </row>
    <row r="15" customFormat="false" ht="15" hidden="false" customHeight="false" outlineLevel="0" collapsed="false">
      <c r="A15" s="6" t="s">
        <v>68</v>
      </c>
      <c r="B15" s="29" t="n">
        <f aca="false">SUM(B6:B12)</f>
        <v>780000</v>
      </c>
    </row>
    <row r="16" customFormat="false" ht="15" hidden="false" customHeight="false" outlineLevel="0" collapsed="false">
      <c r="A16" s="6" t="s">
        <v>69</v>
      </c>
      <c r="B16" s="26" t="n">
        <f aca="false">SUM(C6:C12)</f>
        <v>184000</v>
      </c>
    </row>
    <row r="17" customFormat="false" ht="15" hidden="false" customHeight="false" outlineLevel="0" collapsed="false">
      <c r="A17" s="25" t="s">
        <v>70</v>
      </c>
      <c r="B17" s="29" t="n">
        <f aca="false">SUM(D6:D12)</f>
        <v>964000</v>
      </c>
    </row>
    <row r="18" customFormat="false" ht="15" hidden="false" customHeight="false" outlineLevel="0" collapsed="false">
      <c r="A18" s="6" t="s">
        <v>71</v>
      </c>
      <c r="B18" s="26" t="n">
        <f aca="false">SUM(E6:E12)</f>
        <v>30000</v>
      </c>
    </row>
    <row r="19" customFormat="false" ht="15" hidden="false" customHeight="false" outlineLevel="0" collapsed="false">
      <c r="A19" s="6" t="s">
        <v>65</v>
      </c>
      <c r="B19" s="27" t="n">
        <f aca="false">IFERROR(AVERAGE(tblBorc[Geciken Ay]),0)</f>
        <v>0.0760760760760761</v>
      </c>
    </row>
    <row r="20" customFormat="false" ht="15" hidden="false" customHeight="false" outlineLevel="0" collapsed="false">
      <c r="A20" s="6" t="s">
        <v>72</v>
      </c>
      <c r="B20" s="30" t="n">
        <f aca="false">COUNTA(tblBorc[Borç Kodu])</f>
        <v>7</v>
      </c>
    </row>
    <row r="21" customFormat="false" ht="15" hidden="false" customHeight="false" outlineLevel="0" collapsed="false">
      <c r="A21" s="6" t="s">
        <v>73</v>
      </c>
      <c r="B21" s="30" t="n">
        <f aca="false">IFERROR(SUMPRODUCT((tblBorc[Borç Türü]&lt;&gt;"")/COUNTIF(tblBorc[Borç Türü],tblBorc[Borç Türü]&amp;"")),0)</f>
        <v>6</v>
      </c>
    </row>
    <row r="23" customFormat="false" ht="15" hidden="false" customHeight="false" outlineLevel="0" collapsed="false">
      <c r="A23" s="31" t="s">
        <v>74</v>
      </c>
      <c r="B23" s="31"/>
      <c r="C23" s="31"/>
      <c r="D23" s="31"/>
      <c r="E23" s="31"/>
      <c r="F23" s="31"/>
    </row>
    <row r="24" customFormat="false" ht="15" hidden="false" customHeight="false" outlineLevel="0" collapsed="false">
      <c r="A24" s="6" t="s">
        <v>75</v>
      </c>
      <c r="B24" s="32" t="n">
        <f aca="false">AYARLAR!$B$11</f>
        <v>0.1</v>
      </c>
    </row>
    <row r="25" customFormat="false" ht="15" hidden="false" customHeight="false" outlineLevel="0" collapsed="false">
      <c r="A25" s="6" t="s">
        <v>76</v>
      </c>
      <c r="B25" s="26" t="n">
        <f aca="false">B17*B24</f>
        <v>96400</v>
      </c>
    </row>
    <row r="26" customFormat="false" ht="15" hidden="false" customHeight="false" outlineLevel="0" collapsed="false">
      <c r="A26" s="6" t="s">
        <v>77</v>
      </c>
      <c r="B26" s="26" t="n">
        <f aca="false">B17-B25</f>
        <v>867600</v>
      </c>
    </row>
    <row r="27" customFormat="false" ht="15" hidden="false" customHeight="false" outlineLevel="0" collapsed="false">
      <c r="A27" s="6" t="s">
        <v>78</v>
      </c>
      <c r="B27" s="32" t="n">
        <f aca="false">AYARLAR!$B$13/12</f>
        <v>0.015</v>
      </c>
    </row>
    <row r="28" customFormat="false" ht="15" hidden="false" customHeight="false" outlineLevel="0" collapsed="false">
      <c r="A28" s="6" t="s">
        <v>79</v>
      </c>
      <c r="B28" s="30" t="n">
        <f aca="false">AYARLAR!$B$12</f>
        <v>12</v>
      </c>
    </row>
    <row r="29" customFormat="false" ht="15" hidden="false" customHeight="false" outlineLevel="0" collapsed="false">
      <c r="A29" s="25" t="s">
        <v>80</v>
      </c>
      <c r="B29" s="29" t="n">
        <f aca="false">IF(OR(B26&lt;=0,B28=0),0,B26*B27/(1-(1+B27)^-B28))</f>
        <v>79541.5618454447</v>
      </c>
    </row>
    <row r="30" customFormat="false" ht="15" hidden="false" customHeight="false" outlineLevel="0" collapsed="false">
      <c r="A30" s="25" t="s">
        <v>81</v>
      </c>
      <c r="B30" s="29" t="n">
        <f aca="false">B29*B28+B25</f>
        <v>1050898.74214534</v>
      </c>
    </row>
    <row r="32" customFormat="false" ht="15" hidden="false" customHeight="false" outlineLevel="0" collapsed="false">
      <c r="A32" s="31" t="s">
        <v>82</v>
      </c>
      <c r="B32" s="31"/>
      <c r="C32" s="31"/>
      <c r="D32" s="31"/>
      <c r="E32" s="31"/>
      <c r="F32" s="31"/>
    </row>
    <row r="33" customFormat="false" ht="15" hidden="false" customHeight="false" outlineLevel="0" collapsed="false">
      <c r="A33" s="6" t="s">
        <v>83</v>
      </c>
      <c r="B33" s="32" t="n">
        <f aca="false">AYARLAR!$B$15</f>
        <v>0.02</v>
      </c>
    </row>
    <row r="34" customFormat="false" ht="15" hidden="false" customHeight="false" outlineLevel="0" collapsed="false">
      <c r="A34" s="6" t="s">
        <v>84</v>
      </c>
      <c r="B34" s="26" t="n">
        <f aca="false">B17*B33</f>
        <v>19280</v>
      </c>
    </row>
    <row r="35" customFormat="false" ht="15" hidden="false" customHeight="false" outlineLevel="0" collapsed="false">
      <c r="A35" s="6" t="s">
        <v>85</v>
      </c>
      <c r="B35" s="26" t="n">
        <f aca="false">B17</f>
        <v>964000</v>
      </c>
    </row>
    <row r="36" customFormat="false" ht="15" hidden="false" customHeight="false" outlineLevel="0" collapsed="false">
      <c r="A36" s="6" t="s">
        <v>86</v>
      </c>
      <c r="B36" s="32" t="n">
        <f aca="false">AYARLAR!$B$14/12</f>
        <v>0.0291666666666667</v>
      </c>
    </row>
    <row r="37" customFormat="false" ht="15" hidden="false" customHeight="false" outlineLevel="0" collapsed="false">
      <c r="A37" s="6" t="s">
        <v>87</v>
      </c>
      <c r="B37" s="30" t="n">
        <f aca="false">AYARLAR!$B$16</f>
        <v>12</v>
      </c>
    </row>
    <row r="38" customFormat="false" ht="15" hidden="false" customHeight="false" outlineLevel="0" collapsed="false">
      <c r="A38" s="25" t="s">
        <v>80</v>
      </c>
      <c r="B38" s="29" t="n">
        <f aca="false">IF(OR(B35&lt;=0,B37=0),0,B35*B36/(1-(1+B36)^-B37))</f>
        <v>96364.3197920131</v>
      </c>
    </row>
    <row r="39" customFormat="false" ht="15" hidden="false" customHeight="false" outlineLevel="0" collapsed="false">
      <c r="A39" s="25" t="s">
        <v>88</v>
      </c>
      <c r="B39" s="29" t="n">
        <f aca="false">B38*B37+B34</f>
        <v>1175651.83750416</v>
      </c>
    </row>
    <row r="41" customFormat="false" ht="15" hidden="false" customHeight="false" outlineLevel="0" collapsed="false">
      <c r="A41" s="31" t="s">
        <v>89</v>
      </c>
      <c r="B41" s="31"/>
      <c r="C41" s="31"/>
      <c r="D41" s="31"/>
      <c r="E41" s="31"/>
      <c r="F41" s="31"/>
    </row>
    <row r="42" customFormat="false" ht="15" hidden="false" customHeight="false" outlineLevel="0" collapsed="false">
      <c r="A42" s="6" t="s">
        <v>90</v>
      </c>
      <c r="B42" s="32" t="n">
        <f aca="false">AYARLAR!$B$18</f>
        <v>0.5</v>
      </c>
    </row>
    <row r="43" customFormat="false" ht="15" hidden="false" customHeight="false" outlineLevel="0" collapsed="false">
      <c r="A43" s="6" t="s">
        <v>91</v>
      </c>
      <c r="B43" s="26" t="n">
        <f aca="false">B16*B42</f>
        <v>92000</v>
      </c>
    </row>
    <row r="44" customFormat="false" ht="15" hidden="false" customHeight="false" outlineLevel="0" collapsed="false">
      <c r="A44" s="25" t="s">
        <v>92</v>
      </c>
      <c r="B44" s="29" t="n">
        <f aca="false">B17-B43</f>
        <v>872000</v>
      </c>
    </row>
    <row r="46" customFormat="false" ht="15" hidden="false" customHeight="false" outlineLevel="0" collapsed="false">
      <c r="A46" s="31" t="s">
        <v>93</v>
      </c>
      <c r="B46" s="31"/>
      <c r="C46" s="31"/>
      <c r="D46" s="31"/>
      <c r="E46" s="31"/>
      <c r="F46" s="31"/>
    </row>
    <row r="47" customFormat="false" ht="15" hidden="false" customHeight="false" outlineLevel="0" collapsed="false">
      <c r="A47" s="6" t="s">
        <v>81</v>
      </c>
      <c r="B47" s="26" t="n">
        <f aca="false">B30</f>
        <v>1050898.74214534</v>
      </c>
    </row>
    <row r="48" customFormat="false" ht="15" hidden="false" customHeight="false" outlineLevel="0" collapsed="false">
      <c r="A48" s="6" t="s">
        <v>88</v>
      </c>
      <c r="B48" s="26" t="n">
        <f aca="false">B39</f>
        <v>1175651.83750416</v>
      </c>
    </row>
    <row r="49" customFormat="false" ht="15" hidden="false" customHeight="false" outlineLevel="0" collapsed="false">
      <c r="A49" s="6" t="s">
        <v>94</v>
      </c>
      <c r="B49" s="26" t="n">
        <f aca="false">B44</f>
        <v>872000</v>
      </c>
    </row>
    <row r="50" customFormat="false" ht="15" hidden="false" customHeight="false" outlineLevel="0" collapsed="false">
      <c r="A50" s="25" t="s">
        <v>95</v>
      </c>
      <c r="B50" s="33" t="str">
        <f aca="false">IF(AND(B47&lt;=B48,B47&lt;=B49),"TECİL",IF(B49&lt;=B48,"PEŞİN","KREDİ"))</f>
        <v>PEŞİN</v>
      </c>
    </row>
    <row r="51" customFormat="false" ht="15" hidden="false" customHeight="false" outlineLevel="0" collapsed="false">
      <c r="A51" s="6" t="s">
        <v>96</v>
      </c>
      <c r="B51" s="26" t="n">
        <f aca="false">MIN(B47:B49)</f>
        <v>872000</v>
      </c>
    </row>
    <row r="52" customFormat="false" ht="15" hidden="false" customHeight="false" outlineLevel="0" collapsed="false">
      <c r="A52" s="6" t="s">
        <v>97</v>
      </c>
      <c r="B52" s="26" t="n">
        <f aca="false">B47-B48</f>
        <v>-124753.095358821</v>
      </c>
    </row>
    <row r="54" customFormat="false" ht="15" hidden="false" customHeight="false" outlineLevel="0" collapsed="false">
      <c r="A54" s="31" t="s">
        <v>98</v>
      </c>
      <c r="B54" s="31"/>
      <c r="C54" s="31"/>
      <c r="D54" s="31"/>
      <c r="E54" s="31"/>
      <c r="F54" s="31"/>
    </row>
    <row r="55" customFormat="false" ht="15" hidden="false" customHeight="false" outlineLevel="0" collapsed="false">
      <c r="A55" s="6" t="s">
        <v>99</v>
      </c>
      <c r="B55" s="26" t="n">
        <f aca="false">IF(OR(B28=0,AYARLAR!$B$19/12&lt;=0),B30,B25+B29*(1-(1+AYARLAR!$B$19/12)^-B28)/(AYARLAR!$B$19/12))</f>
        <v>912318.617182757</v>
      </c>
    </row>
    <row r="56" customFormat="false" ht="15" hidden="false" customHeight="false" outlineLevel="0" collapsed="false">
      <c r="A56" s="6" t="s">
        <v>100</v>
      </c>
      <c r="B56" s="26" t="n">
        <f aca="false">IF(OR(B37=0,AYARLAR!$B$19/12&lt;=0),B39,B34+B38*(1-(1+AYARLAR!$B$19/12)^-B37)/(AYARLAR!$B$19/12))</f>
        <v>1007762.50809095</v>
      </c>
    </row>
    <row r="57" customFormat="false" ht="15" hidden="false" customHeight="false" outlineLevel="0" collapsed="false">
      <c r="A57" s="6" t="s">
        <v>101</v>
      </c>
      <c r="B57" s="26" t="n">
        <f aca="false">B49</f>
        <v>872000</v>
      </c>
    </row>
    <row r="58" customFormat="false" ht="15" hidden="false" customHeight="false" outlineLevel="0" collapsed="false">
      <c r="A58" s="25" t="s">
        <v>102</v>
      </c>
      <c r="B58" s="29" t="n">
        <f aca="false">B55-B56</f>
        <v>-95443.8909081892</v>
      </c>
    </row>
    <row r="60" customFormat="false" ht="19.5" hidden="false" customHeight="true" outlineLevel="0" collapsed="false">
      <c r="A60" s="24" t="s">
        <v>103</v>
      </c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</row>
  </sheetData>
  <sheetProtection sheet="true" password="cc3d" objects="true" scenarios="true" deleteColumns="false" deleteRows="false"/>
  <mergeCells count="7">
    <mergeCell ref="A1:AD1"/>
    <mergeCell ref="A23:F23"/>
    <mergeCell ref="A32:F32"/>
    <mergeCell ref="A41:F41"/>
    <mergeCell ref="A46:F46"/>
    <mergeCell ref="A54:F54"/>
    <mergeCell ref="A60:AN60"/>
  </mergeCells>
  <conditionalFormatting sqref="B29">
    <cfRule type="cellIs" priority="2" operator="lessThan" aboveAverage="0" equalAverage="0" bottom="0" percent="0" rank="0" text="" dxfId="6">
      <formula>0</formula>
    </cfRule>
  </conditionalFormatting>
  <conditionalFormatting sqref="B38">
    <cfRule type="cellIs" priority="3" operator="lessThan" aboveAverage="0" equalAverage="0" bottom="0" percent="0" rank="0" text="" dxfId="6">
      <formula>0</formula>
    </cfRule>
  </conditionalFormatting>
  <conditionalFormatting sqref="B44">
    <cfRule type="cellIs" priority="4" operator="lessThan" aboveAverage="0" equalAverage="0" bottom="0" percent="0" rank="0" text="" dxfId="6">
      <formula>0</formula>
    </cfRule>
  </conditionalFormatting>
  <conditionalFormatting sqref="B50">
    <cfRule type="cellIs" priority="5" operator="lessThan" aboveAverage="0" equalAverage="0" bottom="0" percent="0" rank="0" text="" dxfId="6">
      <formula>0</formula>
    </cfRule>
  </conditionalFormatting>
  <conditionalFormatting sqref="B51">
    <cfRule type="cellIs" priority="6" operator="lessThan" aboveAverage="0" equalAverage="0" bottom="0" percent="0" rank="0" text="" dxfId="6">
      <formula>0</formula>
    </cfRule>
  </conditionalFormatting>
  <conditionalFormatting sqref="B58">
    <cfRule type="cellIs" priority="7" operator="lessThan" aboveAverage="0" equalAverage="0" bottom="0" percent="0" rank="0" text="" dxfId="6">
      <formula>0</formula>
    </cfRule>
  </conditionalFormatting>
  <conditionalFormatting sqref="B17">
    <cfRule type="cellIs" priority="8" operator="greaterThan" aboveAverage="0" equalAverage="0" bottom="0" percent="0" rank="0" text="" dxfId="6">
      <formula>TecilYuksekBorcEsik</formula>
    </cfRule>
  </conditionalFormatting>
  <conditionalFormatting sqref="B30">
    <cfRule type="cellIs" priority="9" operator="lessThanOrEqual" aboveAverage="0" equalAverage="0" bottom="0" percent="0" rank="0" text="" dxfId="9">
      <formula>B39</formula>
    </cfRule>
  </conditionalFormatting>
  <conditionalFormatting sqref="B39">
    <cfRule type="cellIs" priority="10" operator="lessThan" aboveAverage="0" equalAverage="0" bottom="0" percent="0" rank="0" text="" dxfId="8">
      <formula>B30</formula>
    </cfRule>
  </conditionalFormatting>
  <conditionalFormatting sqref="D6">
    <cfRule type="cellIs" priority="11" operator="lessThan" aboveAverage="0" equalAverage="0" bottom="0" percent="0" rank="0" text="" dxfId="6">
      <formula>0</formula>
    </cfRule>
  </conditionalFormatting>
  <conditionalFormatting sqref="D7">
    <cfRule type="cellIs" priority="12" operator="lessThan" aboveAverage="0" equalAverage="0" bottom="0" percent="0" rank="0" text="" dxfId="6">
      <formula>0</formula>
    </cfRule>
  </conditionalFormatting>
  <conditionalFormatting sqref="D8">
    <cfRule type="cellIs" priority="13" operator="lessThan" aboveAverage="0" equalAverage="0" bottom="0" percent="0" rank="0" text="" dxfId="6">
      <formula>0</formula>
    </cfRule>
  </conditionalFormatting>
  <conditionalFormatting sqref="D9">
    <cfRule type="cellIs" priority="14" operator="lessThan" aboveAverage="0" equalAverage="0" bottom="0" percent="0" rank="0" text="" dxfId="6">
      <formula>0</formula>
    </cfRule>
  </conditionalFormatting>
  <conditionalFormatting sqref="D10">
    <cfRule type="cellIs" priority="15" operator="lessThan" aboveAverage="0" equalAverage="0" bottom="0" percent="0" rank="0" text="" dxfId="6">
      <formula>0</formula>
    </cfRule>
  </conditionalFormatting>
  <conditionalFormatting sqref="D11">
    <cfRule type="cellIs" priority="16" operator="lessThan" aboveAverage="0" equalAverage="0" bottom="0" percent="0" rank="0" text="" dxfId="6">
      <formula>0</formula>
    </cfRule>
  </conditionalFormatting>
  <conditionalFormatting sqref="D12">
    <cfRule type="cellIs" priority="17" operator="lessThan" aboveAverage="0" equalAverage="0" bottom="0" percent="0" rank="0" text="" dxfId="6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55"/>
    <col collapsed="false" customWidth="true" hidden="false" outlineLevel="0" max="4" min="4" style="0" width="72"/>
  </cols>
  <sheetData>
    <row r="1" customFormat="false" ht="25.5" hidden="false" customHeight="true" outlineLevel="0" collapsed="false">
      <c r="A1" s="1" t="s">
        <v>104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5" hidden="false" customHeight="false" outlineLevel="0" collapsed="false">
      <c r="A3" s="31" t="s">
        <v>105</v>
      </c>
      <c r="B3" s="31"/>
      <c r="C3" s="31"/>
      <c r="D3" s="31"/>
    </row>
    <row r="5" customFormat="false" ht="30" hidden="false" customHeight="true" outlineLevel="0" collapsed="false">
      <c r="A5" s="14" t="s">
        <v>106</v>
      </c>
      <c r="B5" s="14" t="s">
        <v>107</v>
      </c>
      <c r="C5" s="14" t="s">
        <v>108</v>
      </c>
      <c r="D5" s="14" t="s">
        <v>109</v>
      </c>
    </row>
    <row r="6" customFormat="false" ht="30" hidden="false" customHeight="true" outlineLevel="0" collapsed="false">
      <c r="A6" s="34" t="s">
        <v>110</v>
      </c>
      <c r="B6" s="35" t="s">
        <v>111</v>
      </c>
      <c r="C6" s="36" t="n">
        <f aca="false">IFERROR(AVERAGE(tblBorc[Gecikme Zammı (TL)])/AVERAGE(tblBorc[Borç Aslı (TL)]),0)</f>
        <v>0.235897435897436</v>
      </c>
      <c r="D6" s="37" t="str">
        <f aca="false">_xlfn.TEXTJOIN("; ",TRUE(),"Ortalama gecikme zammı oranı ",TEXT(C6,"0.0%")," — zammın borç aslına oranı vade yapısının ne kadar esnediğini gösterir")</f>
        <v>Ortalama gecikme zammı oranı ; 24%;  — zammın borç aslına oranı vade yapısının ne kadar esnediğini gösterir</v>
      </c>
    </row>
    <row r="7" customFormat="false" ht="30" hidden="false" customHeight="true" outlineLevel="0" collapsed="false">
      <c r="A7" s="34" t="s">
        <v>112</v>
      </c>
      <c r="B7" s="35" t="s">
        <v>113</v>
      </c>
      <c r="C7" s="36" t="n">
        <f aca="false">IFERROR(AVERAGE(tblBorc[Toplam Borç (TL)]),0)</f>
        <v>964.964964964965</v>
      </c>
      <c r="D7" s="37" t="str">
        <f aca="false">_xlfn.TEXTJOIN("; ",TRUE(),"Ortalama toplam borç kalemi ",TEXT(C7,"₺ #,##0")," TL — borç portföyünün ortalama büyüklüğünü gösterir")</f>
        <v>Ortalama toplam borç kalemi ; ₺ 964,965;  TL — borç portföyünün ortalama büyüklüğünü gösterir</v>
      </c>
    </row>
    <row r="8" customFormat="false" ht="30" hidden="false" customHeight="true" outlineLevel="0" collapsed="false">
      <c r="A8" s="34" t="s">
        <v>114</v>
      </c>
      <c r="B8" s="35" t="s">
        <v>115</v>
      </c>
      <c r="C8" s="36" t="n">
        <f aca="false">IFERROR(AVEDEV(tblBorc[Toplam Borç (TL)]),0)</f>
        <v>1916.40689738788</v>
      </c>
      <c r="D8" s="37" t="str">
        <f aca="false">_xlfn.TEXTJOIN("; ",TRUE(),"Toplam borç ortalama mutlak sapması ",TEXT(C8,"₺ #,##0")," TL — sapma yüksekse borç kalemleri heterojendir")</f>
        <v>Toplam borç ortalama mutlak sapması ; ₺ 1916,407;  TL — sapma yüksekse borç kalemleri heterojendir</v>
      </c>
    </row>
    <row r="9" customFormat="false" ht="30" hidden="false" customHeight="true" outlineLevel="0" collapsed="false">
      <c r="A9" s="34" t="s">
        <v>116</v>
      </c>
      <c r="B9" s="35" t="s">
        <v>117</v>
      </c>
      <c r="C9" s="36" t="n">
        <f aca="false">IFERROR(MAX(tblBorc[Toplam Borç (TL)]),0)</f>
        <v>301000</v>
      </c>
      <c r="D9" s="37" t="str">
        <f aca="false">_xlfn.TEXTJOIN("; ",TRUE(),"En yüksek toplam borç kalemi ",TEXT(C9,"₺ #,##0")," TL — bu kalem tecil/kredi kararında önceliklidir")</f>
        <v>En yüksek toplam borç kalemi ; ₺ 301000,000;  TL — bu kalem tecil/kredi kararında önceliklidir</v>
      </c>
    </row>
    <row r="10" customFormat="false" ht="30" hidden="false" customHeight="true" outlineLevel="0" collapsed="false">
      <c r="A10" s="34" t="s">
        <v>118</v>
      </c>
      <c r="B10" s="35" t="s">
        <v>119</v>
      </c>
      <c r="C10" s="26" t="n">
        <f aca="false">SENARYO_DUYARLILIK!C11</f>
        <v>-115712.145065791</v>
      </c>
      <c r="D10" s="37" t="str">
        <f aca="false">_xlfn.TEXTJOIN("; ",TRUE(),"İyimser ile kritik senaryo tecil maliyet farkı ",TEXT(C10,"₺ #,##0")," TL — faiz belirsizliğinin etkisini gösterir")</f>
        <v>İyimser ile kritik senaryo tecil maliyet farkı ; -₺ 115712,145;  TL — faiz belirsizliğinin etkisini gösterir</v>
      </c>
    </row>
    <row r="11" customFormat="false" ht="30" hidden="false" customHeight="true" outlineLevel="0" collapsed="false">
      <c r="A11" s="34" t="s">
        <v>120</v>
      </c>
      <c r="B11" s="35" t="s">
        <v>121</v>
      </c>
      <c r="C11" s="36" t="n">
        <f aca="false">IFERROR(IF(SUM(HESAP!$D$6:$D$12)=0,0,SUMPRODUCT((HESAP!$D$6:$D$12/SUM(HESAP!$D$6:$D$12))^2)),0)</f>
        <v>0.231336409497082</v>
      </c>
      <c r="D11" s="37" t="str">
        <f aca="false">_xlfn.TEXTJOIN("; ",TRUE(),"Borç yoğunlaşma endeksi ",TEXT(C11,"0.000")," — 1 e yaklaştıkça borç tek türde toplanır")</f>
        <v>Borç yoğunlaşma endeksi ; 0.000;  — 1 e yaklaştıkça borç tek türde toplanır</v>
      </c>
    </row>
    <row r="12" customFormat="false" ht="30" hidden="false" customHeight="true" outlineLevel="0" collapsed="false">
      <c r="A12" s="34" t="s">
        <v>122</v>
      </c>
      <c r="B12" s="35" t="s">
        <v>123</v>
      </c>
      <c r="C12" s="30" t="n">
        <f aca="false">KONTROLLER!B19</f>
        <v>100</v>
      </c>
      <c r="D12" s="37" t="str">
        <f aca="false">_xlfn.TEXTJOIN("; ",TRUE(),"Veri kalite skoru ",TEXT(C12,"0")," puan — ",IF(C12&gt;=TecilKaliteIyi,"yüksek güven","veri girişi tamamlanmalı"))</f>
        <v>Veri kalite skoru ; 100;  puan — ; yüksek güven</v>
      </c>
    </row>
    <row r="13" customFormat="false" ht="30" hidden="false" customHeight="true" outlineLevel="0" collapsed="false">
      <c r="A13" s="34" t="s">
        <v>124</v>
      </c>
      <c r="B13" s="35" t="s">
        <v>125</v>
      </c>
      <c r="C13" s="36" t="n">
        <f aca="false">PANO!B30</f>
        <v>0</v>
      </c>
      <c r="D13" s="37" t="str">
        <f aca="false">_xlfn.TEXTJOIN("; ",TRUE(),"Gelecek dönem toplam borç tahmini ",TEXT(C13,"₺ #,##0")," TL — güven bandı için alt/üst sınır PANO sayfasındadır")</f>
        <v>Gelecek dönem toplam borç tahmini ; ₺ ,000;  TL — güven bandı için alt/üst sınır PANO sayfasındadır</v>
      </c>
    </row>
    <row r="14" customFormat="false" ht="30" hidden="false" customHeight="true" outlineLevel="0" collapsed="false">
      <c r="A14" s="34" t="s">
        <v>126</v>
      </c>
      <c r="B14" s="35" t="s">
        <v>127</v>
      </c>
      <c r="C14" s="36" t="n">
        <f aca="false">IFERROR(_xlfn.PERCENTILE.INC(tblBorc[Toplam Borç (TL)],TecilP90Oran),0)</f>
        <v>0</v>
      </c>
      <c r="D14" s="37" t="str">
        <f aca="false">_xlfn.TEXTJOIN("; ",TRUE(),"Toplam borç kalemlerinin %90 ı ",TEXT(C14,"₺ #,##0")," TL altında gerçekleşir — üst sınır planlamada kullanılabilir")</f>
        <v>Toplam borç kalemlerinin %90 ı ; ₺ ,000;  TL altında gerçekleşir — üst sınır planlamada kullanılabilir</v>
      </c>
    </row>
    <row r="15" customFormat="false" ht="30" hidden="false" customHeight="true" outlineLevel="0" collapsed="false">
      <c r="A15" s="34" t="s">
        <v>128</v>
      </c>
      <c r="B15" s="35" t="s">
        <v>129</v>
      </c>
      <c r="C15" s="26" t="n">
        <f aca="false">HESAP!B58</f>
        <v>-95443.8909081892</v>
      </c>
      <c r="D15" s="37" t="str">
        <f aca="false">_xlfn.TEXTJOIN("; ",TRUE(),"NBD farkı ",TEXT(C15,"₺ #,##0")," TL — fark pozitifse tecil bugünkü değerde daha pahalı, kredi avantajlıdır")</f>
        <v>NBD farkı ; -₺ 95443,891;  TL — fark pozitifse tecil bugünkü değerde daha pahalı, kredi avantajlıdır</v>
      </c>
    </row>
  </sheetData>
  <sheetProtection sheet="true" password="cc3d" objects="true" scenarios="true" deleteColumns="false" deleteRows="false"/>
  <mergeCells count="2">
    <mergeCell ref="A1:AD1"/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60"/>
  </cols>
  <sheetData>
    <row r="1" customFormat="false" ht="25.5" hidden="false" customHeight="true" outlineLevel="0" collapsed="false">
      <c r="A1" s="1" t="s">
        <v>130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6.15" hidden="false" customHeight="false" outlineLevel="0" collapsed="false">
      <c r="A3" s="8" t="s">
        <v>131</v>
      </c>
    </row>
    <row r="4" customFormat="false" ht="28.35" hidden="false" customHeight="false" outlineLevel="0" collapsed="false">
      <c r="A4" s="13" t="s">
        <v>132</v>
      </c>
    </row>
    <row r="6" customFormat="false" ht="15" hidden="false" customHeight="false" outlineLevel="0" collapsed="false">
      <c r="A6" s="6" t="s">
        <v>133</v>
      </c>
      <c r="B6" s="36" t="str">
        <f aca="false">IF(COUNTBLANK(tblBorc[Borç Aslı (TL)])=0,"TEMİZ","BOŞ VAR")</f>
        <v>BOŞ VAR</v>
      </c>
    </row>
    <row r="7" customFormat="false" ht="15" hidden="false" customHeight="false" outlineLevel="0" collapsed="false">
      <c r="A7" s="6" t="s">
        <v>134</v>
      </c>
      <c r="B7" s="36" t="str">
        <f aca="false">IF(COUNTIF(tblBorc[Borç Aslı (TL)],"&lt;0")=0,"TEMİZ","NEGATİF VAR")</f>
        <v>TEMİZ</v>
      </c>
    </row>
    <row r="8" customFormat="false" ht="15" hidden="false" customHeight="false" outlineLevel="0" collapsed="false">
      <c r="A8" s="6" t="s">
        <v>135</v>
      </c>
      <c r="B8" s="36" t="str">
        <f aca="false">IF(COUNTIF(tblBorc[Gecikme Zammı (TL)],"&lt;0")=0,"TEMİZ","NEGATİF VAR")</f>
        <v>TEMİZ</v>
      </c>
    </row>
    <row r="9" customFormat="false" ht="15" hidden="false" customHeight="false" outlineLevel="0" collapsed="false">
      <c r="A9" s="6" t="s">
        <v>136</v>
      </c>
      <c r="B9" s="36" t="str">
        <f aca="false">IF(COUNTIF(tblBorc[Geciken Ay],"&gt;36")=0,"TEMİZ","GEÇİKMİŞ")</f>
        <v>TEMİZ</v>
      </c>
    </row>
    <row r="10" customFormat="false" ht="15" hidden="false" customHeight="false" outlineLevel="0" collapsed="false">
      <c r="A10" s="6" t="s">
        <v>137</v>
      </c>
      <c r="B10" s="36" t="str">
        <f aca="false">IF(COUNTIF(tblBorc[Aylık Zam Oranı],"&gt;1")=0,"TEMİZ","ORAN &gt;1 VAR")</f>
        <v>TEMİZ</v>
      </c>
    </row>
    <row r="11" customFormat="false" ht="15" hidden="false" customHeight="false" outlineLevel="0" collapsed="false">
      <c r="A11" s="6" t="s">
        <v>138</v>
      </c>
      <c r="B11" s="36" t="str">
        <f aca="false">IF(HESAP!B17&gt;TecilYuksekBorcEsik,"AŞIYOR","NORMAL")</f>
        <v>AŞIYOR</v>
      </c>
    </row>
    <row r="12" customFormat="false" ht="15" hidden="false" customHeight="false" outlineLevel="0" collapsed="false">
      <c r="A12" s="6" t="s">
        <v>139</v>
      </c>
      <c r="B12" s="36" t="str">
        <f aca="false">IF(HESAP!B29&gt;AYARLAR!$B$27,"AŞIYOR","NORMAL")</f>
        <v>NORMAL</v>
      </c>
    </row>
    <row r="13" customFormat="false" ht="15" hidden="false" customHeight="false" outlineLevel="0" collapsed="false">
      <c r="A13" s="6" t="s">
        <v>140</v>
      </c>
      <c r="B13" s="36" t="str">
        <f aca="false">IF(HESAP!B58&lt;0,"KREDİ AVANTAJLI","TECİL AVANTAJLI")</f>
        <v>KREDİ AVANTAJLI</v>
      </c>
    </row>
    <row r="15" customFormat="false" ht="15" hidden="false" customHeight="false" outlineLevel="0" collapsed="false">
      <c r="A15" s="4" t="s">
        <v>141</v>
      </c>
    </row>
    <row r="16" customFormat="false" ht="28.35" hidden="false" customHeight="false" outlineLevel="0" collapsed="false">
      <c r="A16" s="13" t="s">
        <v>142</v>
      </c>
    </row>
    <row r="17" customFormat="false" ht="15" hidden="false" customHeight="false" outlineLevel="0" collapsed="false">
      <c r="A17" s="6" t="s">
        <v>143</v>
      </c>
      <c r="B17" s="30" t="n">
        <f aca="false">COUNTA(tblBorc[Borç Türü])*TecilTemelKolonSayisi</f>
        <v>35</v>
      </c>
    </row>
    <row r="18" customFormat="false" ht="15" hidden="false" customHeight="false" outlineLevel="0" collapsed="false">
      <c r="A18" s="6" t="s">
        <v>144</v>
      </c>
      <c r="B18" s="30" t="n">
        <f aca="false">COUNTA(tblBorc[Borç Türü])+COUNTA(tblBorc[Borç Aslı (TL)])+COUNTA(tblBorc[Gecikme Zammı (TL)])+COUNTA(tblBorc[Vade Tarihi])+COUNTA(tblBorc[Aylık Zam Oranı])</f>
        <v>35</v>
      </c>
    </row>
    <row r="19" customFormat="false" ht="15" hidden="false" customHeight="false" outlineLevel="0" collapsed="false">
      <c r="A19" s="25" t="s">
        <v>145</v>
      </c>
      <c r="B19" s="38" t="n">
        <f aca="false">ROUND(IF(TecilToplamGiris=0,0,TecilDoluGiris/TecilToplamGiris*100),0)</f>
        <v>100</v>
      </c>
    </row>
    <row r="20" customFormat="false" ht="15" hidden="false" customHeight="false" outlineLevel="0" collapsed="false">
      <c r="A20" s="6" t="s">
        <v>146</v>
      </c>
      <c r="B20" s="36" t="str">
        <f aca="false">IF(B19&gt;=TecilKaliteIyi,"YÜKSEK",IF(B19&gt;=TecilKaliteOrta,"ORTA","DÜŞÜK"))</f>
        <v>YÜKSEK</v>
      </c>
    </row>
    <row r="22" customFormat="false" ht="19.5" hidden="false" customHeight="true" outlineLevel="0" collapsed="false">
      <c r="A22" s="24" t="s">
        <v>147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</row>
  </sheetData>
  <sheetProtection sheet="true" password="cc3d" objects="true" scenarios="true" deleteColumns="false" deleteRows="false"/>
  <mergeCells count="2">
    <mergeCell ref="A1:AD1"/>
    <mergeCell ref="A22:AN22"/>
  </mergeCells>
  <conditionalFormatting sqref="B6">
    <cfRule type="cellIs" priority="2" operator="equal" aboveAverage="0" equalAverage="0" bottom="0" percent="0" rank="0" text="" dxfId="10">
      <formula>"TEMİZ"</formula>
    </cfRule>
    <cfRule type="cellIs" priority="3" operator="notEqual" aboveAverage="0" equalAverage="0" bottom="0" percent="0" rank="0" text="" dxfId="6">
      <formula>"TEMİZ"</formula>
    </cfRule>
  </conditionalFormatting>
  <conditionalFormatting sqref="B7">
    <cfRule type="cellIs" priority="4" operator="equal" aboveAverage="0" equalAverage="0" bottom="0" percent="0" rank="0" text="" dxfId="10">
      <formula>"TEMİZ"</formula>
    </cfRule>
    <cfRule type="cellIs" priority="5" operator="notEqual" aboveAverage="0" equalAverage="0" bottom="0" percent="0" rank="0" text="" dxfId="6">
      <formula>"TEMİZ"</formula>
    </cfRule>
  </conditionalFormatting>
  <conditionalFormatting sqref="B8">
    <cfRule type="cellIs" priority="6" operator="equal" aboveAverage="0" equalAverage="0" bottom="0" percent="0" rank="0" text="" dxfId="10">
      <formula>"TEMİZ"</formula>
    </cfRule>
    <cfRule type="cellIs" priority="7" operator="notEqual" aboveAverage="0" equalAverage="0" bottom="0" percent="0" rank="0" text="" dxfId="6">
      <formula>"TEMİZ"</formula>
    </cfRule>
  </conditionalFormatting>
  <conditionalFormatting sqref="B9">
    <cfRule type="cellIs" priority="8" operator="equal" aboveAverage="0" equalAverage="0" bottom="0" percent="0" rank="0" text="" dxfId="10">
      <formula>"TEMİZ"</formula>
    </cfRule>
    <cfRule type="cellIs" priority="9" operator="notEqual" aboveAverage="0" equalAverage="0" bottom="0" percent="0" rank="0" text="" dxfId="6">
      <formula>"TEMİZ"</formula>
    </cfRule>
  </conditionalFormatting>
  <conditionalFormatting sqref="B10">
    <cfRule type="cellIs" priority="10" operator="equal" aboveAverage="0" equalAverage="0" bottom="0" percent="0" rank="0" text="" dxfId="10">
      <formula>"TEMİZ"</formula>
    </cfRule>
    <cfRule type="cellIs" priority="11" operator="notEqual" aboveAverage="0" equalAverage="0" bottom="0" percent="0" rank="0" text="" dxfId="6">
      <formula>"TEMİZ"</formula>
    </cfRule>
  </conditionalFormatting>
  <conditionalFormatting sqref="B11">
    <cfRule type="cellIs" priority="12" operator="equal" aboveAverage="0" equalAverage="0" bottom="0" percent="0" rank="0" text="" dxfId="10">
      <formula>"TEMİZ"</formula>
    </cfRule>
    <cfRule type="cellIs" priority="13" operator="notEqual" aboveAverage="0" equalAverage="0" bottom="0" percent="0" rank="0" text="" dxfId="6">
      <formula>"TEMİZ"</formula>
    </cfRule>
  </conditionalFormatting>
  <conditionalFormatting sqref="B12">
    <cfRule type="cellIs" priority="14" operator="equal" aboveAverage="0" equalAverage="0" bottom="0" percent="0" rank="0" text="" dxfId="10">
      <formula>"TEMİZ"</formula>
    </cfRule>
    <cfRule type="cellIs" priority="15" operator="notEqual" aboveAverage="0" equalAverage="0" bottom="0" percent="0" rank="0" text="" dxfId="6">
      <formula>"TEMİZ"</formula>
    </cfRule>
  </conditionalFormatting>
  <conditionalFormatting sqref="B13">
    <cfRule type="cellIs" priority="16" operator="equal" aboveAverage="0" equalAverage="0" bottom="0" percent="0" rank="0" text="" dxfId="10">
      <formula>"TEMİZ"</formula>
    </cfRule>
    <cfRule type="cellIs" priority="17" operator="notEqual" aboveAverage="0" equalAverage="0" bottom="0" percent="0" rank="0" text="" dxfId="6">
      <formula>"TEMİZ"</formula>
    </cfRule>
  </conditionalFormatting>
  <conditionalFormatting sqref="B19">
    <cfRule type="cellIs" priority="18" operator="greaterThanOrEqual" aboveAverage="0" equalAverage="0" bottom="0" percent="0" rank="0" text="" dxfId="10">
      <formula>90</formula>
    </cfRule>
    <cfRule type="cellIs" priority="19" operator="between" aboveAverage="0" equalAverage="0" bottom="0" percent="0" rank="0" text="" dxfId="8">
      <formula>70</formula>
      <formula>89</formula>
    </cfRule>
    <cfRule type="cellIs" priority="20" operator="lessThan" aboveAverage="0" equalAverage="0" bottom="0" percent="0" rank="0" text="" dxfId="6">
      <formula>70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60"/>
  </cols>
  <sheetData>
    <row r="1" customFormat="false" ht="25.5" hidden="false" customHeight="true" outlineLevel="0" collapsed="false">
      <c r="A1" s="1" t="s">
        <v>148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6.15" hidden="false" customHeight="false" outlineLevel="0" collapsed="false">
      <c r="A3" s="8" t="s">
        <v>149</v>
      </c>
    </row>
    <row r="4" customFormat="false" ht="28.35" hidden="false" customHeight="false" outlineLevel="0" collapsed="false">
      <c r="A4" s="13" t="s">
        <v>150</v>
      </c>
    </row>
    <row r="6" customFormat="false" ht="15" hidden="false" customHeight="false" outlineLevel="0" collapsed="false">
      <c r="A6" s="6" t="s">
        <v>41</v>
      </c>
      <c r="B6" s="29" t="n">
        <f aca="false">HESAP!B17</f>
        <v>964000</v>
      </c>
    </row>
    <row r="7" customFormat="false" ht="15" hidden="false" customHeight="false" outlineLevel="0" collapsed="false">
      <c r="A7" s="6" t="s">
        <v>95</v>
      </c>
      <c r="B7" s="36" t="str">
        <f aca="false">HESAP!B50</f>
        <v>PEŞİN</v>
      </c>
    </row>
    <row r="8" customFormat="false" ht="15" hidden="false" customHeight="false" outlineLevel="0" collapsed="false">
      <c r="A8" s="6" t="s">
        <v>96</v>
      </c>
      <c r="B8" s="26" t="n">
        <f aca="false">HESAP!B51</f>
        <v>872000</v>
      </c>
    </row>
    <row r="9" customFormat="false" ht="15" hidden="false" customHeight="false" outlineLevel="0" collapsed="false">
      <c r="A9" s="6" t="s">
        <v>102</v>
      </c>
      <c r="B9" s="26" t="n">
        <f aca="false">HESAP!B58</f>
        <v>-95443.8909081892</v>
      </c>
    </row>
    <row r="11" customFormat="false" ht="17.35" hidden="false" customHeight="false" outlineLevel="0" collapsed="false">
      <c r="A11" s="39" t="s">
        <v>151</v>
      </c>
      <c r="B11" s="40" t="str">
        <f aca="false">IF(COUNTA(tblBorc[Borç Aslı (TL)])=0,"VERİ YOK",IF(OR(COUNTIF(tblBorc[Borç Aslı (TL)],"&lt;0")&gt;0,COUNTIF(tblBorc[Gecikme Zammı (TL)],"&lt;0")&gt;0),"DURDUR",IF(HESAP!B17&lt;=0,"VERİ YOK",IF(AYARLAR!$B$17="Hayır",IF(HESAP!B49&lt;=HESAP!B30,"PEŞİN ÖDE","TECİL YAP"),IF(HESAP!B50="TECİL","TECİL YAP",IF(HESAP!B50="PEŞİN","PEŞİN ÖDE","KREDİ KULLAN"))))))</f>
        <v>PEŞİN ÖDE</v>
      </c>
    </row>
    <row r="12" customFormat="false" ht="15" hidden="false" customHeight="false" outlineLevel="0" collapsed="false">
      <c r="A12" s="25" t="s">
        <v>152</v>
      </c>
      <c r="B12" s="41" t="str">
        <f aca="false">IF(COUNTIF(tblBorc[Borç Aslı (TL)],"&lt;0")&gt;0,"Negatif borç aslı girişi tespit edildi; veriler mutlaka düzeltilmeli.",IF(COUNTIF(tblBorc[Gecikme Zammı (TL)],"&lt;0")&gt;0,"Negatif gecikme zammı girişi tespit edildi; veriler mutlaka düzeltilmeli.",IF(HESAP!B17&lt;=0,"Borç kaydı bulunmuyor; ödeme yolu kararı üretilemiyor.",IF(AYARLAR!$B$17="Hayır",IF(HESAP!B49&lt;=HESAP!B30,"Peşin ödeme toplam maliyeti tecilden düşük; borç peşin kapatılabilir.","Tecil toplam maliyeti peşin ödemenin altında; krediye erişim olmadığından tecil önerilir."),IF(HESAP!B50="TECİL","Tecil toplam maliyeti hem kredi hem peşin ödemeden düşük; tecil en avantajlı yoldur.",IF(HESAP!B50="PEŞİN","Peşin ödeme toplam maliyeti en düşük; terkin avantajıyla borç tek seferde kapatılabilir.","Kredi toplam maliyeti en düşük; borç kredi ile kapatılıp vadeye yayılabilir."))))))</f>
        <v>Peşin ödeme toplam maliyeti en düşük; terkin avantajıyla borç tek seferde kapatılabilir.</v>
      </c>
      <c r="C12" s="41"/>
      <c r="D12" s="41"/>
      <c r="E12" s="41"/>
      <c r="F12" s="41"/>
      <c r="G12" s="41"/>
      <c r="H12" s="41"/>
      <c r="I12" s="41"/>
      <c r="J12" s="41"/>
    </row>
    <row r="14" customFormat="false" ht="15" hidden="false" customHeight="false" outlineLevel="0" collapsed="false">
      <c r="A14" s="4" t="s">
        <v>153</v>
      </c>
    </row>
    <row r="15" customFormat="false" ht="15" hidden="false" customHeight="false" outlineLevel="0" collapsed="false">
      <c r="A15" s="6" t="s">
        <v>154</v>
      </c>
      <c r="B15" s="41" t="str">
        <f aca="false">TecilAksiyon1_ACIKLAMA</f>
        <v>Karara göre önerilen aksiyon.</v>
      </c>
      <c r="C15" s="41"/>
      <c r="D15" s="41"/>
      <c r="E15" s="41"/>
      <c r="F15" s="41"/>
      <c r="G15" s="41"/>
      <c r="H15" s="41"/>
      <c r="I15" s="41"/>
      <c r="J15" s="41"/>
    </row>
    <row r="16" customFormat="false" ht="15" hidden="false" customHeight="false" outlineLevel="0" collapsed="false">
      <c r="A16" s="6" t="s">
        <v>155</v>
      </c>
      <c r="B16" s="41" t="str">
        <f aca="false">TecilAksiyon2_ACIKLAMA</f>
        <v>Karara göre önerilen aksiyon.</v>
      </c>
      <c r="C16" s="41"/>
      <c r="D16" s="41"/>
      <c r="E16" s="41"/>
      <c r="F16" s="41"/>
      <c r="G16" s="41"/>
      <c r="H16" s="41"/>
      <c r="I16" s="41"/>
      <c r="J16" s="41"/>
    </row>
    <row r="17" customFormat="false" ht="15" hidden="false" customHeight="false" outlineLevel="0" collapsed="false">
      <c r="A17" s="6" t="s">
        <v>156</v>
      </c>
      <c r="B17" s="41" t="str">
        <f aca="false">TecilAksiyon3_ACIKLAMA</f>
        <v>Karara göre önerilen aksiyon.</v>
      </c>
      <c r="C17" s="41"/>
      <c r="D17" s="41"/>
      <c r="E17" s="41"/>
      <c r="F17" s="41"/>
      <c r="G17" s="41"/>
      <c r="H17" s="41"/>
      <c r="I17" s="41"/>
      <c r="J17" s="41"/>
    </row>
    <row r="19" customFormat="false" ht="19.5" hidden="false" customHeight="true" outlineLevel="0" collapsed="false">
      <c r="A19" s="24" t="s">
        <v>157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</sheetData>
  <sheetProtection sheet="true" password="cc3d" objects="true" scenarios="true" deleteColumns="false" deleteRows="false"/>
  <mergeCells count="6">
    <mergeCell ref="A1:AD1"/>
    <mergeCell ref="B12:J12"/>
    <mergeCell ref="B15:J15"/>
    <mergeCell ref="B16:J16"/>
    <mergeCell ref="B17:J17"/>
    <mergeCell ref="A19:AN19"/>
  </mergeCells>
  <conditionalFormatting sqref="B11">
    <cfRule type="cellIs" priority="2" operator="equal" aboveAverage="0" equalAverage="0" bottom="0" percent="0" rank="0" text="" dxfId="10">
      <formula>"VERİ YOK"</formula>
    </cfRule>
    <cfRule type="cellIs" priority="3" operator="equal" aboveAverage="0" equalAverage="0" bottom="0" percent="0" rank="0" text="" dxfId="6">
      <formula>"DURDUR"</formula>
    </cfRule>
    <cfRule type="cellIs" priority="4" operator="equal" aboveAverage="0" equalAverage="0" bottom="0" percent="0" rank="0" text="" dxfId="10">
      <formula>"TECİL YAP"</formula>
    </cfRule>
    <cfRule type="cellIs" priority="5" operator="equal" aboveAverage="0" equalAverage="0" bottom="0" percent="0" rank="0" text="" dxfId="8">
      <formula>"KREDİ KULLAN"</formula>
    </cfRule>
    <cfRule type="cellIs" priority="6" operator="equal" aboveAverage="0" equalAverage="0" bottom="0" percent="0" rank="0" text="" dxfId="10">
      <formula>"PEŞİN ÖDE"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N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8" min="2" style="0" width="20"/>
  </cols>
  <sheetData>
    <row r="1" customFormat="false" ht="25.5" hidden="false" customHeight="true" outlineLevel="0" collapsed="false">
      <c r="A1" s="1" t="s">
        <v>158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7.35" hidden="false" customHeight="false" outlineLevel="0" collapsed="false">
      <c r="A3" s="39" t="s">
        <v>159</v>
      </c>
      <c r="B3" s="42" t="s">
        <v>41</v>
      </c>
      <c r="C3" s="42" t="s">
        <v>160</v>
      </c>
      <c r="D3" s="42" t="s">
        <v>161</v>
      </c>
      <c r="E3" s="42" t="s">
        <v>92</v>
      </c>
      <c r="F3" s="42" t="s">
        <v>162</v>
      </c>
      <c r="G3" s="42" t="s">
        <v>163</v>
      </c>
    </row>
    <row r="4" customFormat="false" ht="15" hidden="false" customHeight="false" outlineLevel="0" collapsed="false">
      <c r="B4" s="43" t="n">
        <f aca="false">HESAP!B17</f>
        <v>964000</v>
      </c>
      <c r="C4" s="43" t="n">
        <f aca="false">HESAP!B30</f>
        <v>1050898.74214534</v>
      </c>
      <c r="D4" s="43" t="n">
        <f aca="false">HESAP!B39</f>
        <v>1175651.83750416</v>
      </c>
      <c r="E4" s="43" t="n">
        <f aca="false">HESAP!B44</f>
        <v>872000</v>
      </c>
      <c r="F4" s="44" t="str">
        <f aca="false">HESAP!B50</f>
        <v>PEŞİN</v>
      </c>
      <c r="G4" s="43" t="n">
        <f aca="false">HESAP!B58</f>
        <v>-95443.8909081892</v>
      </c>
    </row>
    <row r="6" customFormat="false" ht="18.65" hidden="false" customHeight="false" outlineLevel="0" collapsed="false">
      <c r="A6" s="28" t="s">
        <v>164</v>
      </c>
      <c r="B6" s="45" t="str">
        <f aca="false">KARAR!B11</f>
        <v>PEŞİN ÖDE</v>
      </c>
      <c r="D6" s="28" t="s">
        <v>145</v>
      </c>
      <c r="E6" s="46" t="n">
        <f aca="false">KONTROLLER!B19</f>
        <v>100</v>
      </c>
      <c r="G6" s="28" t="s">
        <v>165</v>
      </c>
      <c r="H6" s="46" t="n">
        <f aca="false">HESAP!B20</f>
        <v>7</v>
      </c>
    </row>
    <row r="10" customFormat="false" ht="28.35" hidden="false" customHeight="false" outlineLevel="0" collapsed="false">
      <c r="A10" s="47" t="s">
        <v>35</v>
      </c>
      <c r="B10" s="47" t="s">
        <v>166</v>
      </c>
      <c r="C10" s="47" t="s">
        <v>167</v>
      </c>
      <c r="D10" s="47" t="s">
        <v>41</v>
      </c>
      <c r="E10" s="48" t="s">
        <v>42</v>
      </c>
    </row>
    <row r="11" customFormat="false" ht="15" hidden="false" customHeight="false" outlineLevel="0" collapsed="false">
      <c r="A11" s="49" t="s">
        <v>55</v>
      </c>
      <c r="B11" s="26" t="n">
        <f aca="false">HESAP!B6</f>
        <v>60000</v>
      </c>
      <c r="C11" s="26" t="n">
        <f aca="false">HESAP!C6</f>
        <v>9000</v>
      </c>
      <c r="D11" s="26" t="n">
        <f aca="false">HESAP!D6</f>
        <v>69000</v>
      </c>
      <c r="E11" s="26" t="n">
        <f aca="false">HESAP!E6</f>
        <v>2400</v>
      </c>
    </row>
    <row r="12" customFormat="false" ht="15" hidden="false" customHeight="false" outlineLevel="0" collapsed="false">
      <c r="A12" s="49" t="s">
        <v>49</v>
      </c>
      <c r="B12" s="26" t="n">
        <f aca="false">HESAP!B7</f>
        <v>240000</v>
      </c>
      <c r="C12" s="26" t="n">
        <f aca="false">HESAP!C7</f>
        <v>61000</v>
      </c>
      <c r="D12" s="26" t="n">
        <f aca="false">HESAP!D7</f>
        <v>301000</v>
      </c>
      <c r="E12" s="26" t="n">
        <f aca="false">HESAP!E7</f>
        <v>9600</v>
      </c>
    </row>
    <row r="13" customFormat="false" ht="15" hidden="false" customHeight="false" outlineLevel="0" collapsed="false">
      <c r="A13" s="49" t="s">
        <v>45</v>
      </c>
      <c r="B13" s="26" t="n">
        <f aca="false">HESAP!B8</f>
        <v>240000</v>
      </c>
      <c r="C13" s="26" t="n">
        <f aca="false">HESAP!C8</f>
        <v>50000</v>
      </c>
      <c r="D13" s="26" t="n">
        <f aca="false">HESAP!D8</f>
        <v>290000</v>
      </c>
      <c r="E13" s="26" t="n">
        <f aca="false">HESAP!E8</f>
        <v>9600</v>
      </c>
    </row>
    <row r="14" customFormat="false" ht="15" hidden="false" customHeight="false" outlineLevel="0" collapsed="false">
      <c r="A14" s="49" t="s">
        <v>47</v>
      </c>
      <c r="B14" s="26" t="n">
        <f aca="false">HESAP!B9</f>
        <v>80000</v>
      </c>
      <c r="C14" s="26" t="n">
        <f aca="false">HESAP!C9</f>
        <v>19000</v>
      </c>
      <c r="D14" s="26" t="n">
        <f aca="false">HESAP!D9</f>
        <v>99000</v>
      </c>
      <c r="E14" s="26" t="n">
        <f aca="false">HESAP!E9</f>
        <v>3200</v>
      </c>
    </row>
    <row r="15" customFormat="false" ht="15" hidden="false" customHeight="false" outlineLevel="0" collapsed="false">
      <c r="A15" s="49" t="s">
        <v>51</v>
      </c>
      <c r="B15" s="26" t="n">
        <f aca="false">HESAP!B10</f>
        <v>120000</v>
      </c>
      <c r="C15" s="26" t="n">
        <f aca="false">HESAP!C10</f>
        <v>31000</v>
      </c>
      <c r="D15" s="26" t="n">
        <f aca="false">HESAP!D10</f>
        <v>151000</v>
      </c>
      <c r="E15" s="26" t="n">
        <f aca="false">HESAP!E10</f>
        <v>3600</v>
      </c>
    </row>
    <row r="16" customFormat="false" ht="15" hidden="false" customHeight="false" outlineLevel="0" collapsed="false">
      <c r="A16" s="49" t="s">
        <v>53</v>
      </c>
      <c r="B16" s="26" t="n">
        <f aca="false">HESAP!B11</f>
        <v>40000</v>
      </c>
      <c r="C16" s="26" t="n">
        <f aca="false">HESAP!C11</f>
        <v>14000</v>
      </c>
      <c r="D16" s="26" t="n">
        <f aca="false">HESAP!D11</f>
        <v>54000</v>
      </c>
      <c r="E16" s="26" t="n">
        <f aca="false">HESAP!E11</f>
        <v>1600</v>
      </c>
    </row>
    <row r="17" customFormat="false" ht="15" hidden="false" customHeight="false" outlineLevel="0" collapsed="false">
      <c r="A17" s="49" t="s">
        <v>66</v>
      </c>
      <c r="B17" s="26" t="n">
        <f aca="false">HESAP!B12</f>
        <v>0</v>
      </c>
      <c r="C17" s="26" t="n">
        <f aca="false">HESAP!C12</f>
        <v>0</v>
      </c>
      <c r="D17" s="26" t="n">
        <f aca="false">HESAP!D12</f>
        <v>0</v>
      </c>
      <c r="E17" s="26" t="n">
        <f aca="false">HESAP!E12</f>
        <v>0</v>
      </c>
    </row>
    <row r="20" customFormat="false" ht="15" hidden="false" customHeight="false" outlineLevel="0" collapsed="false">
      <c r="G20" s="47" t="s">
        <v>168</v>
      </c>
      <c r="H20" s="47" t="s">
        <v>41</v>
      </c>
    </row>
    <row r="21" customFormat="false" ht="15" hidden="false" customHeight="false" outlineLevel="0" collapsed="false">
      <c r="G21" s="50" t="n">
        <v>1</v>
      </c>
      <c r="H21" s="26" t="n">
        <f aca="false">IFERROR(INDEX(tblBorc[Toplam Borç (TL)],AYARLAR!$B$34),0)</f>
        <v>0</v>
      </c>
    </row>
    <row r="22" customFormat="false" ht="15" hidden="false" customHeight="false" outlineLevel="0" collapsed="false">
      <c r="G22" s="50" t="n">
        <v>2</v>
      </c>
      <c r="H22" s="26" t="n">
        <f aca="false">IFERROR(INDEX(tblBorc[Toplam Borç (TL)],AYARLAR!$B$35),0)</f>
        <v>192000</v>
      </c>
    </row>
    <row r="23" customFormat="false" ht="15" hidden="false" customHeight="false" outlineLevel="0" collapsed="false">
      <c r="G23" s="50" t="n">
        <v>3</v>
      </c>
      <c r="H23" s="26" t="n">
        <f aca="false">IFERROR(INDEX(tblBorc[Toplam Borç (TL)],AYARLAR!$B$36),0)</f>
        <v>99000</v>
      </c>
    </row>
    <row r="24" customFormat="false" ht="15" hidden="false" customHeight="false" outlineLevel="0" collapsed="false">
      <c r="G24" s="50" t="n">
        <v>4</v>
      </c>
      <c r="H24" s="26" t="n">
        <f aca="false">IFERROR(INDEX(tblBorc[Toplam Borç (TL)],AYARLAR!$B$37),0)</f>
        <v>301000</v>
      </c>
    </row>
    <row r="25" customFormat="false" ht="15" hidden="false" customHeight="false" outlineLevel="0" collapsed="false">
      <c r="G25" s="50" t="n">
        <v>5</v>
      </c>
      <c r="H25" s="26" t="n">
        <f aca="false">IFERROR(INDEX(tblBorc[Toplam Borç (TL)],AYARLAR!$B$38),0)</f>
        <v>151000</v>
      </c>
    </row>
    <row r="26" customFormat="false" ht="15" hidden="false" customHeight="false" outlineLevel="0" collapsed="false">
      <c r="G26" s="50" t="n">
        <v>6</v>
      </c>
      <c r="H26" s="26" t="n">
        <f aca="false">IFERROR(INDEX(tblBorc[Toplam Borç (TL)],AYARLAR!$B$39),0)</f>
        <v>54000</v>
      </c>
    </row>
    <row r="27" customFormat="false" ht="15" hidden="false" customHeight="false" outlineLevel="0" collapsed="false">
      <c r="G27" s="50" t="n">
        <v>7</v>
      </c>
      <c r="H27" s="26" t="n">
        <f aca="false">IFERROR(INDEX(tblBorc[Toplam Borç (TL)],AYARLAR!$B$40),0)</f>
        <v>69000</v>
      </c>
    </row>
    <row r="28" customFormat="false" ht="15" hidden="false" customHeight="false" outlineLevel="0" collapsed="false">
      <c r="G28" s="50" t="n">
        <v>8</v>
      </c>
      <c r="H28" s="26" t="n">
        <f aca="false">IFERROR(INDEX(tblBorc[Toplam Borç (TL)],AYARLAR!$B$41),0)</f>
        <v>98000</v>
      </c>
    </row>
    <row r="29" customFormat="false" ht="15" hidden="false" customHeight="false" outlineLevel="0" collapsed="false">
      <c r="G29" s="50" t="n">
        <v>9</v>
      </c>
      <c r="H29" s="26" t="n">
        <f aca="false">IFERROR(INDEX(tblBorc[Toplam Borç (TL)],AYARLAR!$B$42),0)</f>
        <v>0</v>
      </c>
    </row>
    <row r="30" customFormat="false" ht="15" hidden="false" customHeight="false" outlineLevel="0" collapsed="false">
      <c r="G30" s="50" t="n">
        <v>10</v>
      </c>
      <c r="H30" s="26" t="n">
        <f aca="false">IFERROR(INDEX(tblBorc[Toplam Borç (TL)],AYARLAR!$B$43),0)</f>
        <v>0</v>
      </c>
    </row>
    <row r="31" customFormat="false" ht="15" hidden="false" customHeight="false" outlineLevel="0" collapsed="false">
      <c r="G31" s="50" t="n">
        <v>11</v>
      </c>
      <c r="H31" s="26" t="n">
        <f aca="false">IFERROR(INDEX(tblBorc[Toplam Borç (TL)],AYARLAR!$B$44),0)</f>
        <v>0</v>
      </c>
    </row>
    <row r="32" customFormat="false" ht="15" hidden="false" customHeight="false" outlineLevel="0" collapsed="false">
      <c r="G32" s="50" t="n">
        <v>12</v>
      </c>
      <c r="H32" s="26" t="n">
        <f aca="false">IFERROR(INDEX(tblBorc[Toplam Borç (TL)],AYARLAR!$B$45),0)</f>
        <v>0</v>
      </c>
    </row>
    <row r="34" customFormat="false" ht="15" hidden="false" customHeight="false" outlineLevel="0" collapsed="false">
      <c r="A34" s="51" t="s">
        <v>169</v>
      </c>
      <c r="B34" s="26" t="n">
        <f aca="false">ROUND(IFERROR(forecast.lınear(TecilPanelSatir12,tblBorc[Toplam Borç (TL)],ROW(tblBorc[Toplam Borç (TL)])-ROW(tblBorc[[#Headers],[Toplam Borç (TL)]])),0),0)</f>
        <v>0</v>
      </c>
    </row>
    <row r="35" customFormat="false" ht="15" hidden="false" customHeight="false" outlineLevel="0" collapsed="false">
      <c r="A35" s="6" t="s">
        <v>113</v>
      </c>
      <c r="B35" s="26" t="n">
        <f aca="false">ROUND(IFERROR(AVERAGE(tblBorc[Toplam Borç (TL)]),0),0)</f>
        <v>965</v>
      </c>
    </row>
    <row r="36" customFormat="false" ht="15" hidden="false" customHeight="false" outlineLevel="0" collapsed="false">
      <c r="A36" s="6" t="s">
        <v>170</v>
      </c>
      <c r="B36" s="26" t="n">
        <f aca="false">ROUND(IFERROR(stdev.p(INDEX(tblBorc[Toplam Borç (TL)],TecilPanelSatir1):INDEX(tblBorc[Toplam Borç (TL)],TecilPanelSatir12)),0),0)</f>
        <v>0</v>
      </c>
    </row>
    <row r="37" customFormat="false" ht="15" hidden="false" customHeight="false" outlineLevel="0" collapsed="false">
      <c r="A37" s="6" t="s">
        <v>171</v>
      </c>
      <c r="B37" s="26" t="n">
        <f aca="false">B35-B36*TecilTahminCarpan</f>
        <v>965</v>
      </c>
    </row>
    <row r="38" customFormat="false" ht="15" hidden="false" customHeight="false" outlineLevel="0" collapsed="false">
      <c r="A38" s="6" t="s">
        <v>172</v>
      </c>
      <c r="B38" s="26" t="n">
        <f aca="false">B35+B36*TecilTahminCarpan</f>
        <v>965</v>
      </c>
    </row>
    <row r="40" customFormat="false" ht="15" hidden="false" customHeight="false" outlineLevel="0" collapsed="false">
      <c r="A40" s="47" t="s">
        <v>173</v>
      </c>
      <c r="B40" s="47" t="s">
        <v>174</v>
      </c>
      <c r="C40" s="47" t="s">
        <v>175</v>
      </c>
    </row>
    <row r="41" customFormat="false" ht="15" hidden="false" customHeight="false" outlineLevel="0" collapsed="false">
      <c r="A41" s="49" t="s">
        <v>176</v>
      </c>
      <c r="B41" s="26" t="n">
        <f aca="false">HESAP!B30</f>
        <v>1050898.74214534</v>
      </c>
      <c r="C41" s="26" t="n">
        <f aca="false">HESAP!B55</f>
        <v>912318.617182757</v>
      </c>
    </row>
    <row r="42" customFormat="false" ht="15" hidden="false" customHeight="false" outlineLevel="0" collapsed="false">
      <c r="A42" s="49" t="s">
        <v>177</v>
      </c>
      <c r="B42" s="26" t="n">
        <f aca="false">HESAP!B39</f>
        <v>1175651.83750416</v>
      </c>
      <c r="C42" s="26" t="n">
        <f aca="false">HESAP!B56</f>
        <v>1007762.50809095</v>
      </c>
    </row>
    <row r="43" customFormat="false" ht="15" hidden="false" customHeight="false" outlineLevel="0" collapsed="false">
      <c r="A43" s="49" t="s">
        <v>178</v>
      </c>
      <c r="B43" s="26" t="n">
        <f aca="false">HESAP!B44</f>
        <v>872000</v>
      </c>
      <c r="C43" s="26" t="n">
        <f aca="false">HESAP!B57</f>
        <v>872000</v>
      </c>
    </row>
    <row r="45" customFormat="false" ht="15" hidden="false" customHeight="false" outlineLevel="0" collapsed="false">
      <c r="E45" s="48" t="s">
        <v>179</v>
      </c>
      <c r="F45" s="48" t="s">
        <v>180</v>
      </c>
    </row>
    <row r="46" customFormat="false" ht="15" hidden="false" customHeight="false" outlineLevel="0" collapsed="false">
      <c r="E46" s="49" t="s">
        <v>181</v>
      </c>
      <c r="F46" s="26" t="n">
        <f aca="false">SENARYO_DUYARLILIK!C7</f>
        <v>1021422.50868795</v>
      </c>
    </row>
    <row r="47" customFormat="false" ht="15" hidden="false" customHeight="false" outlineLevel="0" collapsed="false">
      <c r="E47" s="49" t="s">
        <v>182</v>
      </c>
      <c r="F47" s="26" t="n">
        <f aca="false">SENARYO_DUYARLILIK!C8</f>
        <v>1050898.74214534</v>
      </c>
    </row>
    <row r="48" customFormat="false" ht="15" hidden="false" customHeight="false" outlineLevel="0" collapsed="false">
      <c r="E48" s="49" t="s">
        <v>183</v>
      </c>
      <c r="F48" s="26" t="n">
        <f aca="false">SENARYO_DUYARLILIK!C9</f>
        <v>1085924.20902122</v>
      </c>
    </row>
    <row r="49" customFormat="false" ht="15" hidden="false" customHeight="false" outlineLevel="0" collapsed="false">
      <c r="E49" s="49" t="s">
        <v>184</v>
      </c>
      <c r="F49" s="26" t="n">
        <f aca="false">SENARYO_DUYARLILIK!C10</f>
        <v>1137134.65375374</v>
      </c>
    </row>
    <row r="50" customFormat="false" ht="19.5" hidden="false" customHeight="true" outlineLevel="0" collapsed="false">
      <c r="A50" s="24" t="s">
        <v>185</v>
      </c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</row>
  </sheetData>
  <sheetProtection sheet="true" password="cc3d" objects="true" scenarios="true" deleteColumns="false" deleteRows="false"/>
  <mergeCells count="2">
    <mergeCell ref="A1:AD1"/>
    <mergeCell ref="A50:AN50"/>
  </mergeCells>
  <conditionalFormatting sqref="B4">
    <cfRule type="cellIs" priority="2" operator="equal" aboveAverage="0" equalAverage="0" bottom="0" percent="0" rank="0" text="" dxfId="10">
      <formula>"VERİ YOK"</formula>
    </cfRule>
    <cfRule type="cellIs" priority="3" operator="equal" aboveAverage="0" equalAverage="0" bottom="0" percent="0" rank="0" text="" dxfId="6">
      <formula>"DURDUR"</formula>
    </cfRule>
  </conditionalFormatting>
  <conditionalFormatting sqref="B6">
    <cfRule type="cellIs" priority="4" operator="equal" aboveAverage="0" equalAverage="0" bottom="0" percent="0" rank="0" text="" dxfId="10">
      <formula>"VERİ YOK"</formula>
    </cfRule>
    <cfRule type="cellIs" priority="5" operator="equal" aboveAverage="0" equalAverage="0" bottom="0" percent="0" rank="0" text="" dxfId="6">
      <formula>"DURDUR"</formula>
    </cfRule>
  </conditionalFormatting>
  <conditionalFormatting sqref="B11">
    <cfRule type="cellIs" priority="6" operator="lessThan" aboveAverage="0" equalAverage="0" bottom="0" percent="0" rank="0" text="" dxfId="6">
      <formula>0</formula>
    </cfRule>
  </conditionalFormatting>
  <conditionalFormatting sqref="C11">
    <cfRule type="cellIs" priority="7" operator="lessThan" aboveAverage="0" equalAverage="0" bottom="0" percent="0" rank="0" text="" dxfId="6">
      <formula>0</formula>
    </cfRule>
  </conditionalFormatting>
  <conditionalFormatting sqref="D11">
    <cfRule type="cellIs" priority="8" operator="lessThan" aboveAverage="0" equalAverage="0" bottom="0" percent="0" rank="0" text="" dxfId="6">
      <formula>0</formula>
    </cfRule>
  </conditionalFormatting>
  <conditionalFormatting sqref="E11">
    <cfRule type="cellIs" priority="9" operator="lessThan" aboveAverage="0" equalAverage="0" bottom="0" percent="0" rank="0" text="" dxfId="6">
      <formula>0</formula>
    </cfRule>
  </conditionalFormatting>
  <conditionalFormatting sqref="B12">
    <cfRule type="cellIs" priority="10" operator="lessThan" aboveAverage="0" equalAverage="0" bottom="0" percent="0" rank="0" text="" dxfId="6">
      <formula>0</formula>
    </cfRule>
  </conditionalFormatting>
  <conditionalFormatting sqref="C12">
    <cfRule type="cellIs" priority="11" operator="lessThan" aboveAverage="0" equalAverage="0" bottom="0" percent="0" rank="0" text="" dxfId="6">
      <formula>0</formula>
    </cfRule>
  </conditionalFormatting>
  <conditionalFormatting sqref="D12">
    <cfRule type="cellIs" priority="12" operator="lessThan" aboveAverage="0" equalAverage="0" bottom="0" percent="0" rank="0" text="" dxfId="6">
      <formula>0</formula>
    </cfRule>
  </conditionalFormatting>
  <conditionalFormatting sqref="E12">
    <cfRule type="cellIs" priority="13" operator="lessThan" aboveAverage="0" equalAverage="0" bottom="0" percent="0" rank="0" text="" dxfId="6">
      <formula>0</formula>
    </cfRule>
  </conditionalFormatting>
  <conditionalFormatting sqref="B13">
    <cfRule type="cellIs" priority="14" operator="lessThan" aboveAverage="0" equalAverage="0" bottom="0" percent="0" rank="0" text="" dxfId="6">
      <formula>0</formula>
    </cfRule>
  </conditionalFormatting>
  <conditionalFormatting sqref="C13">
    <cfRule type="cellIs" priority="15" operator="lessThan" aboveAverage="0" equalAverage="0" bottom="0" percent="0" rank="0" text="" dxfId="6">
      <formula>0</formula>
    </cfRule>
  </conditionalFormatting>
  <conditionalFormatting sqref="D13">
    <cfRule type="cellIs" priority="16" operator="lessThan" aboveAverage="0" equalAverage="0" bottom="0" percent="0" rank="0" text="" dxfId="6">
      <formula>0</formula>
    </cfRule>
  </conditionalFormatting>
  <conditionalFormatting sqref="E13">
    <cfRule type="cellIs" priority="17" operator="lessThan" aboveAverage="0" equalAverage="0" bottom="0" percent="0" rank="0" text="" dxfId="6">
      <formula>0</formula>
    </cfRule>
  </conditionalFormatting>
  <conditionalFormatting sqref="B14">
    <cfRule type="cellIs" priority="18" operator="lessThan" aboveAverage="0" equalAverage="0" bottom="0" percent="0" rank="0" text="" dxfId="6">
      <formula>0</formula>
    </cfRule>
  </conditionalFormatting>
  <conditionalFormatting sqref="C14">
    <cfRule type="cellIs" priority="19" operator="lessThan" aboveAverage="0" equalAverage="0" bottom="0" percent="0" rank="0" text="" dxfId="6">
      <formula>0</formula>
    </cfRule>
  </conditionalFormatting>
  <conditionalFormatting sqref="D14">
    <cfRule type="cellIs" priority="20" operator="lessThan" aboveAverage="0" equalAverage="0" bottom="0" percent="0" rank="0" text="" dxfId="6">
      <formula>0</formula>
    </cfRule>
  </conditionalFormatting>
  <conditionalFormatting sqref="E14">
    <cfRule type="cellIs" priority="21" operator="lessThan" aboveAverage="0" equalAverage="0" bottom="0" percent="0" rank="0" text="" dxfId="6">
      <formula>0</formula>
    </cfRule>
  </conditionalFormatting>
  <conditionalFormatting sqref="B15">
    <cfRule type="cellIs" priority="22" operator="lessThan" aboveAverage="0" equalAverage="0" bottom="0" percent="0" rank="0" text="" dxfId="6">
      <formula>0</formula>
    </cfRule>
  </conditionalFormatting>
  <conditionalFormatting sqref="C15">
    <cfRule type="cellIs" priority="23" operator="lessThan" aboveAverage="0" equalAverage="0" bottom="0" percent="0" rank="0" text="" dxfId="6">
      <formula>0</formula>
    </cfRule>
  </conditionalFormatting>
  <conditionalFormatting sqref="D15">
    <cfRule type="cellIs" priority="24" operator="lessThan" aboveAverage="0" equalAverage="0" bottom="0" percent="0" rank="0" text="" dxfId="6">
      <formula>0</formula>
    </cfRule>
  </conditionalFormatting>
  <conditionalFormatting sqref="E15">
    <cfRule type="cellIs" priority="25" operator="lessThan" aboveAverage="0" equalAverage="0" bottom="0" percent="0" rank="0" text="" dxfId="6">
      <formula>0</formula>
    </cfRule>
  </conditionalFormatting>
  <conditionalFormatting sqref="B16">
    <cfRule type="cellIs" priority="26" operator="lessThan" aboveAverage="0" equalAverage="0" bottom="0" percent="0" rank="0" text="" dxfId="6">
      <formula>0</formula>
    </cfRule>
  </conditionalFormatting>
  <conditionalFormatting sqref="C16">
    <cfRule type="cellIs" priority="27" operator="lessThan" aboveAverage="0" equalAverage="0" bottom="0" percent="0" rank="0" text="" dxfId="6">
      <formula>0</formula>
    </cfRule>
  </conditionalFormatting>
  <conditionalFormatting sqref="D16">
    <cfRule type="cellIs" priority="28" operator="lessThan" aboveAverage="0" equalAverage="0" bottom="0" percent="0" rank="0" text="" dxfId="6">
      <formula>0</formula>
    </cfRule>
  </conditionalFormatting>
  <conditionalFormatting sqref="E16">
    <cfRule type="cellIs" priority="29" operator="lessThan" aboveAverage="0" equalAverage="0" bottom="0" percent="0" rank="0" text="" dxfId="6">
      <formula>0</formula>
    </cfRule>
  </conditionalFormatting>
  <conditionalFormatting sqref="B17">
    <cfRule type="cellIs" priority="30" operator="lessThan" aboveAverage="0" equalAverage="0" bottom="0" percent="0" rank="0" text="" dxfId="6">
      <formula>0</formula>
    </cfRule>
  </conditionalFormatting>
  <conditionalFormatting sqref="C17">
    <cfRule type="cellIs" priority="31" operator="lessThan" aboveAverage="0" equalAverage="0" bottom="0" percent="0" rank="0" text="" dxfId="6">
      <formula>0</formula>
    </cfRule>
  </conditionalFormatting>
  <conditionalFormatting sqref="D17">
    <cfRule type="cellIs" priority="32" operator="lessThan" aboveAverage="0" equalAverage="0" bottom="0" percent="0" rank="0" text="" dxfId="6">
      <formula>0</formula>
    </cfRule>
  </conditionalFormatting>
  <conditionalFormatting sqref="E17">
    <cfRule type="cellIs" priority="33" operator="lessThan" aboveAverage="0" equalAverage="0" bottom="0" percent="0" rank="0" text="" dxfId="6">
      <formula>0</formula>
    </cfRule>
  </conditionalFormatting>
  <conditionalFormatting sqref="B11:B17">
    <cfRule type="cellIs" priority="34" operator="greaterThan" aboveAverage="0" equalAverage="0" bottom="0" percent="0" rank="0" text="" dxfId="8">
      <formula>500000</formula>
    </cfRule>
  </conditionalFormatting>
  <conditionalFormatting sqref="C11:C17">
    <cfRule type="cellIs" priority="35" operator="greaterThan" aboveAverage="0" equalAverage="0" bottom="0" percent="0" rank="0" text="" dxfId="8">
      <formula>500000</formula>
    </cfRule>
  </conditionalFormatting>
  <conditionalFormatting sqref="D11:D17">
    <cfRule type="cellIs" priority="36" operator="greaterThan" aboveAverage="0" equalAverage="0" bottom="0" percent="0" rank="0" text="" dxfId="8">
      <formula>500000</formula>
    </cfRule>
  </conditionalFormatting>
  <conditionalFormatting sqref="E11:E17">
    <cfRule type="cellIs" priority="37" operator="greaterThan" aboveAverage="0" equalAverage="0" bottom="0" percent="0" rank="0" text="" dxfId="8">
      <formula>500000</formula>
    </cfRule>
  </conditionalFormatting>
  <conditionalFormatting sqref="B11:B22">
    <cfRule type="cellIs" priority="38" operator="greaterThan" aboveAverage="0" equalAverage="0" bottom="0" percent="0" rank="0" text="" dxfId="11">
      <formula>100000</formula>
    </cfRule>
  </conditionalFormatting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&amp;LVergi/SGK Borcunu Tecil Etmeli Miyim? (Kredi mi Tecil mi?)&amp;CExcelArşiv&amp;RSayfa &amp;P / 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18"/>
  </cols>
  <sheetData>
    <row r="1" customFormat="false" ht="25.5" hidden="false" customHeight="true" outlineLevel="0" collapsed="false">
      <c r="A1" s="1" t="s">
        <v>186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6.15" hidden="false" customHeight="false" outlineLevel="0" collapsed="false">
      <c r="A3" s="8" t="s">
        <v>187</v>
      </c>
    </row>
    <row r="4" customFormat="false" ht="41.75" hidden="false" customHeight="false" outlineLevel="0" collapsed="false">
      <c r="A4" s="13" t="s">
        <v>188</v>
      </c>
    </row>
    <row r="6" customFormat="false" ht="15" hidden="false" customHeight="false" outlineLevel="0" collapsed="false">
      <c r="A6" s="47" t="s">
        <v>179</v>
      </c>
      <c r="B6" s="47" t="s">
        <v>189</v>
      </c>
      <c r="C6" s="47" t="s">
        <v>180</v>
      </c>
      <c r="D6" s="47" t="s">
        <v>190</v>
      </c>
    </row>
    <row r="7" customFormat="false" ht="15" hidden="false" customHeight="false" outlineLevel="0" collapsed="false">
      <c r="A7" s="25" t="s">
        <v>191</v>
      </c>
      <c r="B7" s="32" t="n">
        <f aca="false">AYARLAR!$B$20/12</f>
        <v>0.01</v>
      </c>
      <c r="C7" s="26" t="n">
        <f aca="false">IFERROR(HESAP!B25+HESAP!B26*(B7/(1-(1+B7)^-HESAP!B28))*HESAP!B28,0)</f>
        <v>1021422.50868795</v>
      </c>
      <c r="D7" s="36" t="str">
        <f aca="false">IF(C7&lt;=HESAP!B30,"AVANTAJLI","DEĞERLENDİR")</f>
        <v>AVANTAJLI</v>
      </c>
    </row>
    <row r="8" customFormat="false" ht="15" hidden="false" customHeight="false" outlineLevel="0" collapsed="false">
      <c r="A8" s="25" t="s">
        <v>192</v>
      </c>
      <c r="B8" s="32" t="n">
        <f aca="false">AYARLAR!$B$21/12</f>
        <v>0.015</v>
      </c>
      <c r="C8" s="26" t="n">
        <f aca="false">IFERROR(HESAP!B25+HESAP!B26*(B8/(1-(1+B8)^-HESAP!B28))*HESAP!B28,0)</f>
        <v>1050898.74214534</v>
      </c>
      <c r="D8" s="36" t="str">
        <f aca="false">IF(C8&lt;=HESAP!B30,"AVANTAJLI","DEĞERLENDİR")</f>
        <v>AVANTAJLI</v>
      </c>
    </row>
    <row r="9" customFormat="false" ht="15" hidden="false" customHeight="false" outlineLevel="0" collapsed="false">
      <c r="A9" s="25" t="s">
        <v>193</v>
      </c>
      <c r="B9" s="32" t="n">
        <f aca="false">AYARLAR!$B$22/12</f>
        <v>0.0208333333333333</v>
      </c>
      <c r="C9" s="26" t="n">
        <f aca="false">IFERROR(HESAP!B25+HESAP!B26*(B9/(1-(1+B9)^-HESAP!B28))*HESAP!B28,0)</f>
        <v>1085924.20902122</v>
      </c>
      <c r="D9" s="36" t="str">
        <f aca="false">IF(C9&lt;=HESAP!B30,"AVANTAJLI","DEĞERLENDİR")</f>
        <v>DEĞERLENDİR</v>
      </c>
    </row>
    <row r="10" customFormat="false" ht="15" hidden="false" customHeight="false" outlineLevel="0" collapsed="false">
      <c r="A10" s="25" t="s">
        <v>194</v>
      </c>
      <c r="B10" s="32" t="n">
        <f aca="false">AYARLAR!$B$23/12</f>
        <v>0.0291666666666667</v>
      </c>
      <c r="C10" s="26" t="n">
        <f aca="false">IFERROR(HESAP!B25+HESAP!B26*(B10/(1-(1+B10)^-HESAP!B28))*HESAP!B28,0)</f>
        <v>1137134.65375374</v>
      </c>
      <c r="D10" s="36" t="str">
        <f aca="false">IF(C10&lt;=HESAP!B30,"AVANTAJLI","DEĞERLENDİR")</f>
        <v>DEĞERLENDİR</v>
      </c>
    </row>
    <row r="11" customFormat="false" ht="15" hidden="false" customHeight="false" outlineLevel="0" collapsed="false">
      <c r="A11" s="25" t="s">
        <v>195</v>
      </c>
      <c r="C11" s="29" t="n">
        <f aca="false">C7-C10</f>
        <v>-115712.145065791</v>
      </c>
    </row>
    <row r="13" customFormat="false" ht="15" hidden="false" customHeight="false" outlineLevel="0" collapsed="false">
      <c r="A13" s="4" t="s">
        <v>196</v>
      </c>
    </row>
    <row r="14" customFormat="false" ht="15" hidden="false" customHeight="false" outlineLevel="0" collapsed="false">
      <c r="A14" s="6" t="s">
        <v>197</v>
      </c>
      <c r="B14" s="26" t="n">
        <f aca="false">IFERROR(ABS((HESAP!B25+HESAP!B26*((AYARLAR!$B$13+TecilTornadoFaiz)/12)/(1-(1+(AYARLAR!$B$13+TecilTornadoFaiz)/12)^-HESAP!B28)*HESAP!B28)-HESAP!B30),0)</f>
        <v>4961.82507350831</v>
      </c>
    </row>
    <row r="15" customFormat="false" ht="15" hidden="false" customHeight="false" outlineLevel="0" collapsed="false">
      <c r="A15" s="6" t="s">
        <v>198</v>
      </c>
      <c r="B15" s="26" t="n">
        <f aca="false">IFERROR(ABS((HESAP!B34+HESAP!B35*((AYARLAR!$B$14+KrediTornadoFaiz)/12)/(1-(1+(AYARLAR!$B$14+KrediTornadoFaiz)/12)^-HESAP!B37)*HESAP!B37)-HESAP!B39),0)</f>
        <v>5773.56724707806</v>
      </c>
    </row>
    <row r="17" customFormat="false" ht="15" hidden="false" customHeight="false" outlineLevel="0" collapsed="false">
      <c r="A17" s="51" t="s">
        <v>199</v>
      </c>
      <c r="B17" s="33" t="str">
        <f aca="false">IF(B14&gt;=B15,"Tecil Faizi","Kredi Faizi")</f>
        <v>Kredi Faizi</v>
      </c>
    </row>
    <row r="19" customFormat="false" ht="19.5" hidden="false" customHeight="true" outlineLevel="0" collapsed="false">
      <c r="A19" s="24" t="s">
        <v>200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</sheetData>
  <sheetProtection sheet="true" password="cc3d" objects="true" scenarios="true" deleteColumns="false" deleteRows="false"/>
  <mergeCells count="2">
    <mergeCell ref="A1:AD1"/>
    <mergeCell ref="A19:AN19"/>
  </mergeCells>
  <conditionalFormatting sqref="C7">
    <cfRule type="cellIs" priority="2" operator="lessThanOrEqual" aboveAverage="0" equalAverage="0" bottom="0" percent="0" rank="0" text="" dxfId="9">
      <formula>$C$7</formula>
    </cfRule>
    <cfRule type="cellIs" priority="3" operator="greaterThan" aboveAverage="0" equalAverage="0" bottom="0" percent="0" rank="0" text="" dxfId="8">
      <formula>$C$7</formula>
    </cfRule>
  </conditionalFormatting>
  <conditionalFormatting sqref="C8">
    <cfRule type="cellIs" priority="4" operator="lessThanOrEqual" aboveAverage="0" equalAverage="0" bottom="0" percent="0" rank="0" text="" dxfId="9">
      <formula>$C$7</formula>
    </cfRule>
    <cfRule type="cellIs" priority="5" operator="greaterThan" aboveAverage="0" equalAverage="0" bottom="0" percent="0" rank="0" text="" dxfId="8">
      <formula>$C$7</formula>
    </cfRule>
  </conditionalFormatting>
  <conditionalFormatting sqref="C9">
    <cfRule type="cellIs" priority="6" operator="lessThanOrEqual" aboveAverage="0" equalAverage="0" bottom="0" percent="0" rank="0" text="" dxfId="9">
      <formula>$C$7</formula>
    </cfRule>
    <cfRule type="cellIs" priority="7" operator="greaterThan" aboveAverage="0" equalAverage="0" bottom="0" percent="0" rank="0" text="" dxfId="8">
      <formula>$C$7</formula>
    </cfRule>
  </conditionalFormatting>
  <conditionalFormatting sqref="C10">
    <cfRule type="cellIs" priority="8" operator="lessThanOrEqual" aboveAverage="0" equalAverage="0" bottom="0" percent="0" rank="0" text="" dxfId="9">
      <formula>$C$7</formula>
    </cfRule>
    <cfRule type="cellIs" priority="9" operator="greaterThan" aboveAverage="0" equalAverage="0" bottom="0" percent="0" rank="0" text="" dxfId="8">
      <formula>$C$7</formula>
    </cfRule>
  </conditionalFormatting>
  <conditionalFormatting sqref="C11">
    <cfRule type="cellIs" priority="10" operator="greaterThan" aboveAverage="0" equalAverage="0" bottom="0" percent="0" rank="0" text="" dxfId="6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N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40"/>
  </cols>
  <sheetData>
    <row r="1" customFormat="false" ht="25.5" hidden="false" customHeight="true" outlineLevel="0" collapsed="false">
      <c r="A1" s="52" t="s">
        <v>201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</row>
    <row r="2" customFormat="false" ht="15" hidden="false" customHeight="false" outlineLevel="0" collapsed="false">
      <c r="A2" s="53" t="str">
        <f aca="false">_xlfn.CONCAT("Rapor Tarihi: ",TEXT(RaporTarihi,"dd.mm.yyyy")," | Hazırlayan: ",RaporHazirlayan," | Sürüm: ",DosyaSurumu)</f>
        <v>Rapor Tarihi: 10.08.2026 | Hazırlayan: Mali İşler Direktörü | Sürüm: 1.0.0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</row>
    <row r="4" customFormat="false" ht="17.35" hidden="false" customHeight="false" outlineLevel="0" collapsed="false">
      <c r="A4" s="4" t="s">
        <v>164</v>
      </c>
      <c r="B4" s="40" t="str">
        <f aca="false">KARAR!B11</f>
        <v>PEŞİN ÖDE</v>
      </c>
    </row>
    <row r="6" customFormat="false" ht="15" hidden="false" customHeight="false" outlineLevel="0" collapsed="false">
      <c r="A6" s="6" t="s">
        <v>41</v>
      </c>
      <c r="B6" s="26" t="n">
        <f aca="false">HESAP!B17</f>
        <v>964000</v>
      </c>
    </row>
    <row r="7" customFormat="false" ht="15" hidden="false" customHeight="false" outlineLevel="0" collapsed="false">
      <c r="A7" s="6" t="s">
        <v>69</v>
      </c>
      <c r="B7" s="26" t="n">
        <f aca="false">HESAP!B16</f>
        <v>184000</v>
      </c>
    </row>
    <row r="8" customFormat="false" ht="15" hidden="false" customHeight="false" outlineLevel="0" collapsed="false">
      <c r="A8" s="6" t="s">
        <v>81</v>
      </c>
      <c r="B8" s="26" t="n">
        <f aca="false">HESAP!B30</f>
        <v>1050898.74214534</v>
      </c>
    </row>
    <row r="9" customFormat="false" ht="15" hidden="false" customHeight="false" outlineLevel="0" collapsed="false">
      <c r="A9" s="6" t="s">
        <v>88</v>
      </c>
      <c r="B9" s="26" t="n">
        <f aca="false">HESAP!B39</f>
        <v>1175651.83750416</v>
      </c>
    </row>
    <row r="10" customFormat="false" ht="15" hidden="false" customHeight="false" outlineLevel="0" collapsed="false">
      <c r="A10" s="6" t="s">
        <v>92</v>
      </c>
      <c r="B10" s="26" t="n">
        <f aca="false">HESAP!B44</f>
        <v>872000</v>
      </c>
    </row>
    <row r="11" customFormat="false" ht="15" hidden="false" customHeight="false" outlineLevel="0" collapsed="false">
      <c r="A11" s="6" t="s">
        <v>96</v>
      </c>
      <c r="B11" s="26" t="n">
        <f aca="false">HESAP!B51</f>
        <v>872000</v>
      </c>
    </row>
    <row r="12" customFormat="false" ht="15" hidden="false" customHeight="false" outlineLevel="0" collapsed="false">
      <c r="A12" s="6" t="s">
        <v>102</v>
      </c>
      <c r="B12" s="26" t="n">
        <f aca="false">HESAP!B58</f>
        <v>-95443.8909081892</v>
      </c>
    </row>
    <row r="13" customFormat="false" ht="15" hidden="false" customHeight="false" outlineLevel="0" collapsed="false">
      <c r="A13" s="6" t="s">
        <v>65</v>
      </c>
      <c r="B13" s="27" t="n">
        <f aca="false">HESAP!B19</f>
        <v>0.0760760760760761</v>
      </c>
    </row>
    <row r="14" customFormat="false" ht="15" hidden="false" customHeight="false" outlineLevel="0" collapsed="false">
      <c r="A14" s="6" t="s">
        <v>145</v>
      </c>
      <c r="B14" s="30" t="n">
        <f aca="false">KONTROLLER!B19</f>
        <v>100</v>
      </c>
    </row>
    <row r="16" customFormat="false" ht="15" hidden="false" customHeight="false" outlineLevel="0" collapsed="false">
      <c r="A16" s="28" t="s">
        <v>202</v>
      </c>
    </row>
    <row r="17" customFormat="false" ht="15" hidden="false" customHeight="true" outlineLevel="0" collapsed="false">
      <c r="A17" s="5" t="s">
        <v>203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customFormat="false" ht="15" hidden="false" customHeight="true" outlineLevel="0" collapsed="false">
      <c r="A18" s="5" t="s">
        <v>204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customFormat="false" ht="15" hidden="false" customHeight="true" outlineLevel="0" collapsed="false">
      <c r="A19" s="5" t="s">
        <v>205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customFormat="false" ht="15" hidden="false" customHeight="true" outlineLevel="0" collapsed="false">
      <c r="A20" s="5" t="s">
        <v>206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customFormat="false" ht="15" hidden="false" customHeight="true" outlineLevel="0" collapsed="false">
      <c r="A21" s="5" t="s">
        <v>207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customFormat="false" ht="15" hidden="false" customHeight="true" outlineLevel="0" collapsed="false">
      <c r="A22" s="5" t="s">
        <v>208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4" customFormat="false" ht="15" hidden="false" customHeight="false" outlineLevel="0" collapsed="false">
      <c r="A24" s="28" t="s">
        <v>153</v>
      </c>
    </row>
    <row r="25" customFormat="false" ht="15" hidden="false" customHeight="false" outlineLevel="0" collapsed="false">
      <c r="A25" s="5" t="str">
        <f aca="false">TecilAksiyon1_ACIKLAMA</f>
        <v>Karara göre önerilen aksiyon.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customFormat="false" ht="15" hidden="false" customHeight="false" outlineLevel="0" collapsed="false">
      <c r="A26" s="5" t="str">
        <f aca="false">TecilAksiyon2_ACIKLAMA</f>
        <v>Karara göre önerilen aksiyon.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customFormat="false" ht="15" hidden="false" customHeight="false" outlineLevel="0" collapsed="false">
      <c r="A27" s="5" t="str">
        <f aca="false">TecilAksiyon3_ACIKLAMA</f>
        <v>Karara göre önerilen aksiyon.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9" customFormat="false" ht="22.35" hidden="false" customHeight="false" outlineLevel="0" collapsed="false">
      <c r="A29" s="54" t="s">
        <v>209</v>
      </c>
    </row>
  </sheetData>
  <sheetProtection sheet="true" password="cc3d" objects="true" scenarios="true" deleteColumns="false" deleteRows="false"/>
  <mergeCells count="11">
    <mergeCell ref="A1:AN1"/>
    <mergeCell ref="A2:L2"/>
    <mergeCell ref="A17:L17"/>
    <mergeCell ref="A18:L18"/>
    <mergeCell ref="A19:L19"/>
    <mergeCell ref="A20:L20"/>
    <mergeCell ref="A21:L21"/>
    <mergeCell ref="A22:L22"/>
    <mergeCell ref="A25:L25"/>
    <mergeCell ref="A26:L26"/>
    <mergeCell ref="A27:L27"/>
  </mergeCells>
  <conditionalFormatting sqref="B4">
    <cfRule type="cellIs" priority="2" operator="equal" aboveAverage="0" equalAverage="0" bottom="0" percent="0" rank="0" text="" dxfId="6">
      <formula>"DURDUR"</formula>
    </cfRule>
    <cfRule type="cellIs" priority="3" operator="notEqual" aboveAverage="0" equalAverage="0" bottom="0" percent="0" rank="0" text="" dxfId="10">
      <formula>"DURDUR"</formula>
    </cfRule>
  </conditionalFormatting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&amp;LVergi/SGK Borcunu Tecil Etmeli Miyim? (Kredi mi Tecil mi?)&amp;CExcelArşiv&amp;RSayfa &amp;P /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0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0"/>
    <col collapsed="false" customWidth="true" hidden="false" outlineLevel="0" max="4" min="3" style="0" width="18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24"/>
  </cols>
  <sheetData>
    <row r="1" customFormat="false" ht="25.5" hidden="false" customHeight="true" outlineLevel="0" collapsed="false">
      <c r="A1" s="1" t="s">
        <v>210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5" hidden="false" customHeight="false" outlineLevel="0" collapsed="false">
      <c r="A3" s="4" t="s">
        <v>211</v>
      </c>
    </row>
    <row r="4" customFormat="false" ht="149.25" hidden="false" customHeight="false" outlineLevel="0" collapsed="false">
      <c r="A4" s="13" t="s">
        <v>212</v>
      </c>
    </row>
    <row r="5" customFormat="false" ht="30" hidden="false" customHeight="true" outlineLevel="0" collapsed="false">
      <c r="A5" s="14" t="s">
        <v>34</v>
      </c>
      <c r="B5" s="14" t="s">
        <v>35</v>
      </c>
      <c r="C5" s="14" t="s">
        <v>36</v>
      </c>
      <c r="D5" s="14" t="s">
        <v>37</v>
      </c>
      <c r="E5" s="14" t="s">
        <v>38</v>
      </c>
      <c r="F5" s="14" t="s">
        <v>39</v>
      </c>
      <c r="G5" s="14" t="s">
        <v>41</v>
      </c>
      <c r="H5" s="14" t="s">
        <v>43</v>
      </c>
    </row>
    <row r="6" customFormat="false" ht="15" hidden="false" customHeight="false" outlineLevel="0" collapsed="false">
      <c r="A6" s="55" t="s">
        <v>44</v>
      </c>
      <c r="B6" s="55" t="s">
        <v>45</v>
      </c>
      <c r="C6" s="56" t="n">
        <v>150000</v>
      </c>
      <c r="D6" s="56" t="n">
        <v>42000</v>
      </c>
      <c r="E6" s="57" t="n">
        <v>45742</v>
      </c>
      <c r="F6" s="58" t="n">
        <v>0.04</v>
      </c>
      <c r="G6" s="59" t="n">
        <f aca="false">IF($C6="",0,$C6+$D6)</f>
        <v>192000</v>
      </c>
      <c r="H6" s="19" t="str">
        <f aca="false">IF($B6="","",CONCATENATE("Örnek borç: ",$B6))</f>
        <v>Örnek borç: KDV</v>
      </c>
    </row>
    <row r="7" customFormat="false" ht="15" hidden="false" customHeight="false" outlineLevel="0" collapsed="false">
      <c r="A7" s="55" t="s">
        <v>46</v>
      </c>
      <c r="B7" s="55" t="s">
        <v>47</v>
      </c>
      <c r="C7" s="56" t="n">
        <v>80000</v>
      </c>
      <c r="D7" s="56" t="n">
        <v>19000</v>
      </c>
      <c r="E7" s="57" t="n">
        <v>45834</v>
      </c>
      <c r="F7" s="58" t="n">
        <v>0.04</v>
      </c>
      <c r="G7" s="59" t="n">
        <f aca="false">IF($C7="",0,$C7+$D7)</f>
        <v>99000</v>
      </c>
      <c r="H7" s="19" t="str">
        <f aca="false">IF($B7="","",CONCATENATE("Örnek borç: ",$B7))</f>
        <v>Örnek borç: Muhtasar Stopaj</v>
      </c>
    </row>
    <row r="8" customFormat="false" ht="15" hidden="false" customHeight="false" outlineLevel="0" collapsed="false">
      <c r="A8" s="55" t="s">
        <v>48</v>
      </c>
      <c r="B8" s="55" t="s">
        <v>49</v>
      </c>
      <c r="C8" s="56" t="n">
        <v>240000</v>
      </c>
      <c r="D8" s="56" t="n">
        <v>61000</v>
      </c>
      <c r="E8" s="57" t="n">
        <v>45808</v>
      </c>
      <c r="F8" s="58" t="n">
        <v>0.04</v>
      </c>
      <c r="G8" s="59" t="n">
        <f aca="false">IF($C8="",0,$C8+$D8)</f>
        <v>301000</v>
      </c>
      <c r="H8" s="19" t="str">
        <f aca="false">IF($B8="","",CONCATENATE("Örnek borç: ",$B8))</f>
        <v>Örnek borç: Kurumlar Vergisi</v>
      </c>
    </row>
    <row r="9" customFormat="false" ht="15" hidden="false" customHeight="false" outlineLevel="0" collapsed="false">
      <c r="A9" s="55" t="s">
        <v>50</v>
      </c>
      <c r="B9" s="55" t="s">
        <v>51</v>
      </c>
      <c r="C9" s="56" t="n">
        <v>120000</v>
      </c>
      <c r="D9" s="56" t="n">
        <v>31000</v>
      </c>
      <c r="E9" s="57" t="n">
        <v>45900</v>
      </c>
      <c r="F9" s="58" t="n">
        <v>0.03</v>
      </c>
      <c r="G9" s="59" t="n">
        <f aca="false">IF($C9="",0,$C9+$D9)</f>
        <v>151000</v>
      </c>
      <c r="H9" s="19" t="str">
        <f aca="false">IF($B9="","",CONCATENATE("Örnek borç: ",$B9))</f>
        <v>Örnek borç: SGK Primi</v>
      </c>
    </row>
    <row r="10" customFormat="false" ht="15" hidden="false" customHeight="false" outlineLevel="0" collapsed="false">
      <c r="A10" s="55" t="s">
        <v>52</v>
      </c>
      <c r="B10" s="55" t="s">
        <v>53</v>
      </c>
      <c r="C10" s="56" t="n">
        <v>40000</v>
      </c>
      <c r="D10" s="56" t="n">
        <v>14000</v>
      </c>
      <c r="E10" s="57" t="n">
        <v>45961</v>
      </c>
      <c r="F10" s="58" t="n">
        <v>0.04</v>
      </c>
      <c r="G10" s="59" t="n">
        <f aca="false">IF($C10="",0,$C10+$D10)</f>
        <v>54000</v>
      </c>
      <c r="H10" s="19" t="str">
        <f aca="false">IF($B10="","",CONCATENATE("Örnek borç: ",$B10))</f>
        <v>Örnek borç: SGK Cezası</v>
      </c>
    </row>
    <row r="11" customFormat="false" ht="15" hidden="false" customHeight="false" outlineLevel="0" collapsed="false">
      <c r="A11" s="55" t="s">
        <v>54</v>
      </c>
      <c r="B11" s="55" t="s">
        <v>55</v>
      </c>
      <c r="C11" s="56" t="n">
        <v>60000</v>
      </c>
      <c r="D11" s="56" t="n">
        <v>9000</v>
      </c>
      <c r="E11" s="57" t="n">
        <v>45991</v>
      </c>
      <c r="F11" s="58" t="n">
        <v>0.04</v>
      </c>
      <c r="G11" s="59" t="n">
        <f aca="false">IF($C11="",0,$C11+$D11)</f>
        <v>69000</v>
      </c>
      <c r="H11" s="19" t="str">
        <f aca="false">IF($B11="","",CONCATENATE("Örnek borç: ",$B11))</f>
        <v>Örnek borç: Gelir Vergisi</v>
      </c>
    </row>
    <row r="12" customFormat="false" ht="15" hidden="false" customHeight="false" outlineLevel="0" collapsed="false">
      <c r="G12" s="19" t="n">
        <f aca="false">IF($C12="",0,$C12+$D12)</f>
        <v>0</v>
      </c>
      <c r="H12" s="19" t="str">
        <f aca="false">IF($B12="","",CONCATENATE("Örnek borç: ",$B12))</f>
        <v/>
      </c>
    </row>
    <row r="13" customFormat="false" ht="15" hidden="false" customHeight="false" outlineLevel="0" collapsed="false">
      <c r="G13" s="19" t="n">
        <f aca="false">IF($C13="",0,$C13+$D13)</f>
        <v>0</v>
      </c>
      <c r="H13" s="19" t="str">
        <f aca="false">IF($B13="","",CONCATENATE("Örnek borç: ",$B13))</f>
        <v/>
      </c>
    </row>
    <row r="14" customFormat="false" ht="15" hidden="false" customHeight="false" outlineLevel="0" collapsed="false">
      <c r="G14" s="19" t="n">
        <f aca="false">IF($C14="",0,$C14+$D14)</f>
        <v>0</v>
      </c>
      <c r="H14" s="19" t="str">
        <f aca="false">IF($B14="","",CONCATENATE("Örnek borç: ",$B14))</f>
        <v/>
      </c>
    </row>
    <row r="15" customFormat="false" ht="15" hidden="false" customHeight="false" outlineLevel="0" collapsed="false">
      <c r="G15" s="19" t="n">
        <f aca="false">IF($C15="",0,$C15+$D15)</f>
        <v>0</v>
      </c>
      <c r="H15" s="19" t="str">
        <f aca="false">IF($B15="","",CONCATENATE("Örnek borç: ",$B15))</f>
        <v/>
      </c>
    </row>
    <row r="16" customFormat="false" ht="15" hidden="false" customHeight="false" outlineLevel="0" collapsed="false">
      <c r="G16" s="19" t="n">
        <f aca="false">IF($C16="",0,$C16+$D16)</f>
        <v>0</v>
      </c>
      <c r="H16" s="19" t="str">
        <f aca="false">IF($B16="","",CONCATENATE("Örnek borç: ",$B16))</f>
        <v/>
      </c>
    </row>
    <row r="17" customFormat="false" ht="15" hidden="false" customHeight="false" outlineLevel="0" collapsed="false">
      <c r="G17" s="19" t="n">
        <f aca="false">IF($C17="",0,$C17+$D17)</f>
        <v>0</v>
      </c>
      <c r="H17" s="19" t="str">
        <f aca="false">IF($B17="","",CONCATENATE("Örnek borç: ",$B17))</f>
        <v/>
      </c>
    </row>
    <row r="18" customFormat="false" ht="15" hidden="false" customHeight="false" outlineLevel="0" collapsed="false">
      <c r="G18" s="19" t="n">
        <f aca="false">IF($C18="",0,$C18+$D18)</f>
        <v>0</v>
      </c>
      <c r="H18" s="19" t="str">
        <f aca="false">IF($B18="","",CONCATENATE("Örnek borç: ",$B18))</f>
        <v/>
      </c>
    </row>
    <row r="19" customFormat="false" ht="15" hidden="false" customHeight="false" outlineLevel="0" collapsed="false">
      <c r="G19" s="19" t="n">
        <f aca="false">IF($C19="",0,$C19+$D19)</f>
        <v>0</v>
      </c>
      <c r="H19" s="19" t="str">
        <f aca="false">IF($B19="","",CONCATENATE("Örnek borç: ",$B19))</f>
        <v/>
      </c>
    </row>
    <row r="20" customFormat="false" ht="15" hidden="false" customHeight="false" outlineLevel="0" collapsed="false">
      <c r="G20" s="19" t="n">
        <f aca="false">IF($C20="",0,$C20+$D20)</f>
        <v>0</v>
      </c>
      <c r="H20" s="19" t="str">
        <f aca="false">IF($B20="","",CONCATENATE("Örnek borç: ",$B20))</f>
        <v/>
      </c>
    </row>
    <row r="21" customFormat="false" ht="15" hidden="false" customHeight="false" outlineLevel="0" collapsed="false">
      <c r="G21" s="19" t="n">
        <f aca="false">IF($C21="",0,$C21+$D21)</f>
        <v>0</v>
      </c>
      <c r="H21" s="19" t="str">
        <f aca="false">IF($B21="","",CONCATENATE("Örnek borç: ",$B21))</f>
        <v/>
      </c>
    </row>
    <row r="22" customFormat="false" ht="15" hidden="false" customHeight="false" outlineLevel="0" collapsed="false">
      <c r="G22" s="19" t="n">
        <f aca="false">IF($C22="",0,$C22+$D22)</f>
        <v>0</v>
      </c>
      <c r="H22" s="19" t="str">
        <f aca="false">IF($B22="","",CONCATENATE("Örnek borç: ",$B22))</f>
        <v/>
      </c>
    </row>
    <row r="23" customFormat="false" ht="15" hidden="false" customHeight="false" outlineLevel="0" collapsed="false">
      <c r="G23" s="19" t="n">
        <f aca="false">IF($C23="",0,$C23+$D23)</f>
        <v>0</v>
      </c>
      <c r="H23" s="19" t="str">
        <f aca="false">IF($B23="","",CONCATENATE("Örnek borç: ",$B23))</f>
        <v/>
      </c>
    </row>
    <row r="24" customFormat="false" ht="15" hidden="false" customHeight="false" outlineLevel="0" collapsed="false">
      <c r="G24" s="19" t="n">
        <f aca="false">IF($C24="",0,$C24+$D24)</f>
        <v>0</v>
      </c>
      <c r="H24" s="19" t="str">
        <f aca="false">IF($B24="","",CONCATENATE("Örnek borç: ",$B24))</f>
        <v/>
      </c>
    </row>
    <row r="25" customFormat="false" ht="15" hidden="false" customHeight="false" outlineLevel="0" collapsed="false">
      <c r="G25" s="19" t="n">
        <f aca="false">IF($C25="",0,$C25+$D25)</f>
        <v>0</v>
      </c>
      <c r="H25" s="19" t="str">
        <f aca="false">IF($B25="","",CONCATENATE("Örnek borç: ",$B25))</f>
        <v/>
      </c>
    </row>
    <row r="26" customFormat="false" ht="15" hidden="false" customHeight="false" outlineLevel="0" collapsed="false">
      <c r="G26" s="19" t="n">
        <f aca="false">IF($C26="",0,$C26+$D26)</f>
        <v>0</v>
      </c>
      <c r="H26" s="19" t="str">
        <f aca="false">IF($B26="","",CONCATENATE("Örnek borç: ",$B26))</f>
        <v/>
      </c>
    </row>
    <row r="27" customFormat="false" ht="15" hidden="false" customHeight="false" outlineLevel="0" collapsed="false">
      <c r="G27" s="19" t="n">
        <f aca="false">IF($C27="",0,$C27+$D27)</f>
        <v>0</v>
      </c>
      <c r="H27" s="19" t="str">
        <f aca="false">IF($B27="","",CONCATENATE("Örnek borç: ",$B27))</f>
        <v/>
      </c>
    </row>
    <row r="28" customFormat="false" ht="15" hidden="false" customHeight="false" outlineLevel="0" collapsed="false">
      <c r="G28" s="19" t="n">
        <f aca="false">IF($C28="",0,$C28+$D28)</f>
        <v>0</v>
      </c>
      <c r="H28" s="19" t="str">
        <f aca="false">IF($B28="","",CONCATENATE("Örnek borç: ",$B28))</f>
        <v/>
      </c>
    </row>
    <row r="29" customFormat="false" ht="15" hidden="false" customHeight="false" outlineLevel="0" collapsed="false">
      <c r="G29" s="19" t="n">
        <f aca="false">IF($C29="",0,$C29+$D29)</f>
        <v>0</v>
      </c>
      <c r="H29" s="19" t="str">
        <f aca="false">IF($B29="","",CONCATENATE("Örnek borç: ",$B29))</f>
        <v/>
      </c>
    </row>
    <row r="30" customFormat="false" ht="15" hidden="false" customHeight="false" outlineLevel="0" collapsed="false">
      <c r="G30" s="19" t="n">
        <f aca="false">IF($C30="",0,$C30+$D30)</f>
        <v>0</v>
      </c>
      <c r="H30" s="19" t="str">
        <f aca="false">IF($B30="","",CONCATENATE("Örnek borç: ",$B30))</f>
        <v/>
      </c>
    </row>
    <row r="31" customFormat="false" ht="15" hidden="false" customHeight="false" outlineLevel="0" collapsed="false">
      <c r="G31" s="19" t="n">
        <f aca="false">IF($C31="",0,$C31+$D31)</f>
        <v>0</v>
      </c>
      <c r="H31" s="19" t="str">
        <f aca="false">IF($B31="","",CONCATENATE("Örnek borç: ",$B31))</f>
        <v/>
      </c>
    </row>
    <row r="32" customFormat="false" ht="15" hidden="false" customHeight="false" outlineLevel="0" collapsed="false">
      <c r="G32" s="19" t="n">
        <f aca="false">IF($C32="",0,$C32+$D32)</f>
        <v>0</v>
      </c>
      <c r="H32" s="19" t="str">
        <f aca="false">IF($B32="","",CONCATENATE("Örnek borç: ",$B32))</f>
        <v/>
      </c>
    </row>
    <row r="33" customFormat="false" ht="15" hidden="false" customHeight="false" outlineLevel="0" collapsed="false">
      <c r="G33" s="19" t="n">
        <f aca="false">IF($C33="",0,$C33+$D33)</f>
        <v>0</v>
      </c>
      <c r="H33" s="19" t="str">
        <f aca="false">IF($B33="","",CONCATENATE("Örnek borç: ",$B33))</f>
        <v/>
      </c>
    </row>
    <row r="34" customFormat="false" ht="15" hidden="false" customHeight="false" outlineLevel="0" collapsed="false">
      <c r="G34" s="19" t="n">
        <f aca="false">IF($C34="",0,$C34+$D34)</f>
        <v>0</v>
      </c>
      <c r="H34" s="19" t="str">
        <f aca="false">IF($B34="","",CONCATENATE("Örnek borç: ",$B34))</f>
        <v/>
      </c>
    </row>
    <row r="35" customFormat="false" ht="15" hidden="false" customHeight="false" outlineLevel="0" collapsed="false">
      <c r="G35" s="19" t="n">
        <f aca="false">IF($C35="",0,$C35+$D35)</f>
        <v>0</v>
      </c>
      <c r="H35" s="19" t="str">
        <f aca="false">IF($B35="","",CONCATENATE("Örnek borç: ",$B35))</f>
        <v/>
      </c>
    </row>
    <row r="36" customFormat="false" ht="15" hidden="false" customHeight="false" outlineLevel="0" collapsed="false">
      <c r="G36" s="19" t="n">
        <f aca="false">IF($C36="",0,$C36+$D36)</f>
        <v>0</v>
      </c>
      <c r="H36" s="19" t="str">
        <f aca="false">IF($B36="","",CONCATENATE("Örnek borç: ",$B36))</f>
        <v/>
      </c>
    </row>
    <row r="37" customFormat="false" ht="15" hidden="false" customHeight="false" outlineLevel="0" collapsed="false">
      <c r="G37" s="19" t="n">
        <f aca="false">IF($C37="",0,$C37+$D37)</f>
        <v>0</v>
      </c>
      <c r="H37" s="19" t="str">
        <f aca="false">IF($B37="","",CONCATENATE("Örnek borç: ",$B37))</f>
        <v/>
      </c>
    </row>
    <row r="38" customFormat="false" ht="15" hidden="false" customHeight="false" outlineLevel="0" collapsed="false">
      <c r="G38" s="19" t="n">
        <f aca="false">IF($C38="",0,$C38+$D38)</f>
        <v>0</v>
      </c>
      <c r="H38" s="19" t="str">
        <f aca="false">IF($B38="","",CONCATENATE("Örnek borç: ",$B38))</f>
        <v/>
      </c>
    </row>
    <row r="39" customFormat="false" ht="15" hidden="false" customHeight="false" outlineLevel="0" collapsed="false">
      <c r="G39" s="19" t="n">
        <f aca="false">IF($C39="",0,$C39+$D39)</f>
        <v>0</v>
      </c>
      <c r="H39" s="19" t="str">
        <f aca="false">IF($B39="","",CONCATENATE("Örnek borç: ",$B39))</f>
        <v/>
      </c>
    </row>
    <row r="40" customFormat="false" ht="15" hidden="false" customHeight="false" outlineLevel="0" collapsed="false">
      <c r="G40" s="19" t="n">
        <f aca="false">IF($C40="",0,$C40+$D40)</f>
        <v>0</v>
      </c>
      <c r="H40" s="19" t="str">
        <f aca="false">IF($B40="","",CONCATENATE("Örnek borç: ",$B40))</f>
        <v/>
      </c>
    </row>
    <row r="41" customFormat="false" ht="15" hidden="false" customHeight="false" outlineLevel="0" collapsed="false">
      <c r="G41" s="19" t="n">
        <f aca="false">IF($C41="",0,$C41+$D41)</f>
        <v>0</v>
      </c>
      <c r="H41" s="19" t="str">
        <f aca="false">IF($B41="","",CONCATENATE("Örnek borç: ",$B41))</f>
        <v/>
      </c>
    </row>
    <row r="42" customFormat="false" ht="15" hidden="false" customHeight="false" outlineLevel="0" collapsed="false">
      <c r="G42" s="19" t="n">
        <f aca="false">IF($C42="",0,$C42+$D42)</f>
        <v>0</v>
      </c>
      <c r="H42" s="19" t="str">
        <f aca="false">IF($B42="","",CONCATENATE("Örnek borç: ",$B42))</f>
        <v/>
      </c>
    </row>
    <row r="43" customFormat="false" ht="15" hidden="false" customHeight="false" outlineLevel="0" collapsed="false">
      <c r="G43" s="19" t="n">
        <f aca="false">IF($C43="",0,$C43+$D43)</f>
        <v>0</v>
      </c>
      <c r="H43" s="19" t="str">
        <f aca="false">IF($B43="","",CONCATENATE("Örnek borç: ",$B43))</f>
        <v/>
      </c>
    </row>
    <row r="44" customFormat="false" ht="15" hidden="false" customHeight="false" outlineLevel="0" collapsed="false">
      <c r="G44" s="19" t="n">
        <f aca="false">IF($C44="",0,$C44+$D44)</f>
        <v>0</v>
      </c>
      <c r="H44" s="19" t="str">
        <f aca="false">IF($B44="","",CONCATENATE("Örnek borç: ",$B44))</f>
        <v/>
      </c>
    </row>
    <row r="45" customFormat="false" ht="15" hidden="false" customHeight="false" outlineLevel="0" collapsed="false">
      <c r="G45" s="19" t="n">
        <f aca="false">IF($C45="",0,$C45+$D45)</f>
        <v>0</v>
      </c>
      <c r="H45" s="19" t="str">
        <f aca="false">IF($B45="","",CONCATENATE("Örnek borç: ",$B45))</f>
        <v/>
      </c>
    </row>
    <row r="46" customFormat="false" ht="15" hidden="false" customHeight="false" outlineLevel="0" collapsed="false">
      <c r="G46" s="19" t="n">
        <f aca="false">IF($C46="",0,$C46+$D46)</f>
        <v>0</v>
      </c>
      <c r="H46" s="19" t="str">
        <f aca="false">IF($B46="","",CONCATENATE("Örnek borç: ",$B46))</f>
        <v/>
      </c>
    </row>
    <row r="47" customFormat="false" ht="15" hidden="false" customHeight="false" outlineLevel="0" collapsed="false">
      <c r="G47" s="19" t="n">
        <f aca="false">IF($C47="",0,$C47+$D47)</f>
        <v>0</v>
      </c>
      <c r="H47" s="19" t="str">
        <f aca="false">IF($B47="","",CONCATENATE("Örnek borç: ",$B47))</f>
        <v/>
      </c>
    </row>
    <row r="48" customFormat="false" ht="15" hidden="false" customHeight="false" outlineLevel="0" collapsed="false">
      <c r="G48" s="19" t="n">
        <f aca="false">IF($C48="",0,$C48+$D48)</f>
        <v>0</v>
      </c>
      <c r="H48" s="19" t="str">
        <f aca="false">IF($B48="","",CONCATENATE("Örnek borç: ",$B48))</f>
        <v/>
      </c>
    </row>
    <row r="49" customFormat="false" ht="15" hidden="false" customHeight="false" outlineLevel="0" collapsed="false">
      <c r="G49" s="19" t="n">
        <f aca="false">IF($C49="",0,$C49+$D49)</f>
        <v>0</v>
      </c>
      <c r="H49" s="19" t="str">
        <f aca="false">IF($B49="","",CONCATENATE("Örnek borç: ",$B49))</f>
        <v/>
      </c>
    </row>
    <row r="50" customFormat="false" ht="15" hidden="false" customHeight="false" outlineLevel="0" collapsed="false">
      <c r="G50" s="19" t="n">
        <f aca="false">IF($C50="",0,$C50+$D50)</f>
        <v>0</v>
      </c>
      <c r="H50" s="19" t="str">
        <f aca="false">IF($B50="","",CONCATENATE("Örnek borç: ",$B50))</f>
        <v/>
      </c>
    </row>
    <row r="51" customFormat="false" ht="15" hidden="false" customHeight="false" outlineLevel="0" collapsed="false">
      <c r="G51" s="19" t="n">
        <f aca="false">IF($C51="",0,$C51+$D51)</f>
        <v>0</v>
      </c>
      <c r="H51" s="19" t="str">
        <f aca="false">IF($B51="","",CONCATENATE("Örnek borç: ",$B51))</f>
        <v/>
      </c>
    </row>
    <row r="52" customFormat="false" ht="15" hidden="false" customHeight="false" outlineLevel="0" collapsed="false">
      <c r="G52" s="19" t="n">
        <f aca="false">IF($C52="",0,$C52+$D52)</f>
        <v>0</v>
      </c>
      <c r="H52" s="19" t="str">
        <f aca="false">IF($B52="","",CONCATENATE("Örnek borç: ",$B52))</f>
        <v/>
      </c>
    </row>
    <row r="53" customFormat="false" ht="15" hidden="false" customHeight="false" outlineLevel="0" collapsed="false">
      <c r="G53" s="19" t="n">
        <f aca="false">IF($C53="",0,$C53+$D53)</f>
        <v>0</v>
      </c>
      <c r="H53" s="19" t="str">
        <f aca="false">IF($B53="","",CONCATENATE("Örnek borç: ",$B53))</f>
        <v/>
      </c>
    </row>
    <row r="54" customFormat="false" ht="15" hidden="false" customHeight="false" outlineLevel="0" collapsed="false">
      <c r="G54" s="19" t="n">
        <f aca="false">IF($C54="",0,$C54+$D54)</f>
        <v>0</v>
      </c>
      <c r="H54" s="19" t="str">
        <f aca="false">IF($B54="","",CONCATENATE("Örnek borç: ",$B54))</f>
        <v/>
      </c>
    </row>
    <row r="55" customFormat="false" ht="15" hidden="false" customHeight="false" outlineLevel="0" collapsed="false">
      <c r="G55" s="19" t="n">
        <f aca="false">IF($C55="",0,$C55+$D55)</f>
        <v>0</v>
      </c>
      <c r="H55" s="19" t="str">
        <f aca="false">IF($B55="","",CONCATENATE("Örnek borç: ",$B55))</f>
        <v/>
      </c>
    </row>
    <row r="56" customFormat="false" ht="15" hidden="false" customHeight="false" outlineLevel="0" collapsed="false">
      <c r="G56" s="19" t="n">
        <f aca="false">IF($C56="",0,$C56+$D56)</f>
        <v>0</v>
      </c>
      <c r="H56" s="19" t="str">
        <f aca="false">IF($B56="","",CONCATENATE("Örnek borç: ",$B56))</f>
        <v/>
      </c>
    </row>
    <row r="57" customFormat="false" ht="15" hidden="false" customHeight="false" outlineLevel="0" collapsed="false">
      <c r="G57" s="19" t="n">
        <f aca="false">IF($C57="",0,$C57+$D57)</f>
        <v>0</v>
      </c>
      <c r="H57" s="19" t="str">
        <f aca="false">IF($B57="","",CONCATENATE("Örnek borç: ",$B57))</f>
        <v/>
      </c>
    </row>
    <row r="58" customFormat="false" ht="15" hidden="false" customHeight="false" outlineLevel="0" collapsed="false">
      <c r="G58" s="19" t="n">
        <f aca="false">IF($C58="",0,$C58+$D58)</f>
        <v>0</v>
      </c>
      <c r="H58" s="19" t="str">
        <f aca="false">IF($B58="","",CONCATENATE("Örnek borç: ",$B58))</f>
        <v/>
      </c>
    </row>
    <row r="59" customFormat="false" ht="15" hidden="false" customHeight="false" outlineLevel="0" collapsed="false">
      <c r="G59" s="19" t="n">
        <f aca="false">IF($C59="",0,$C59+$D59)</f>
        <v>0</v>
      </c>
      <c r="H59" s="19" t="str">
        <f aca="false">IF($B59="","",CONCATENATE("Örnek borç: ",$B59))</f>
        <v/>
      </c>
    </row>
    <row r="60" customFormat="false" ht="15" hidden="false" customHeight="false" outlineLevel="0" collapsed="false">
      <c r="G60" s="19" t="n">
        <f aca="false">IF($C60="",0,$C60+$D60)</f>
        <v>0</v>
      </c>
      <c r="H60" s="19" t="str">
        <f aca="false">IF($B60="","",CONCATENATE("Örnek borç: ",$B60))</f>
        <v/>
      </c>
    </row>
    <row r="61" customFormat="false" ht="15" hidden="false" customHeight="false" outlineLevel="0" collapsed="false">
      <c r="G61" s="19" t="n">
        <f aca="false">IF($C61="",0,$C61+$D61)</f>
        <v>0</v>
      </c>
      <c r="H61" s="19" t="str">
        <f aca="false">IF($B61="","",CONCATENATE("Örnek borç: ",$B61))</f>
        <v/>
      </c>
    </row>
    <row r="62" customFormat="false" ht="15" hidden="false" customHeight="false" outlineLevel="0" collapsed="false">
      <c r="G62" s="19" t="n">
        <f aca="false">IF($C62="",0,$C62+$D62)</f>
        <v>0</v>
      </c>
      <c r="H62" s="19" t="str">
        <f aca="false">IF($B62="","",CONCATENATE("Örnek borç: ",$B62))</f>
        <v/>
      </c>
    </row>
    <row r="63" customFormat="false" ht="15" hidden="false" customHeight="false" outlineLevel="0" collapsed="false">
      <c r="G63" s="19" t="n">
        <f aca="false">IF($C63="",0,$C63+$D63)</f>
        <v>0</v>
      </c>
      <c r="H63" s="19" t="str">
        <f aca="false">IF($B63="","",CONCATENATE("Örnek borç: ",$B63))</f>
        <v/>
      </c>
    </row>
    <row r="64" customFormat="false" ht="15" hidden="false" customHeight="false" outlineLevel="0" collapsed="false">
      <c r="G64" s="19" t="n">
        <f aca="false">IF($C64="",0,$C64+$D64)</f>
        <v>0</v>
      </c>
      <c r="H64" s="19" t="str">
        <f aca="false">IF($B64="","",CONCATENATE("Örnek borç: ",$B64))</f>
        <v/>
      </c>
    </row>
    <row r="65" customFormat="false" ht="15" hidden="false" customHeight="false" outlineLevel="0" collapsed="false">
      <c r="G65" s="19" t="n">
        <f aca="false">IF($C65="",0,$C65+$D65)</f>
        <v>0</v>
      </c>
      <c r="H65" s="19" t="str">
        <f aca="false">IF($B65="","",CONCATENATE("Örnek borç: ",$B65))</f>
        <v/>
      </c>
    </row>
    <row r="66" customFormat="false" ht="15" hidden="false" customHeight="false" outlineLevel="0" collapsed="false">
      <c r="G66" s="19" t="n">
        <f aca="false">IF($C66="",0,$C66+$D66)</f>
        <v>0</v>
      </c>
      <c r="H66" s="19" t="str">
        <f aca="false">IF($B66="","",CONCATENATE("Örnek borç: ",$B66))</f>
        <v/>
      </c>
    </row>
    <row r="67" customFormat="false" ht="15" hidden="false" customHeight="false" outlineLevel="0" collapsed="false">
      <c r="G67" s="19" t="n">
        <f aca="false">IF($C67="",0,$C67+$D67)</f>
        <v>0</v>
      </c>
      <c r="H67" s="19" t="str">
        <f aca="false">IF($B67="","",CONCATENATE("Örnek borç: ",$B67))</f>
        <v/>
      </c>
    </row>
    <row r="68" customFormat="false" ht="15" hidden="false" customHeight="false" outlineLevel="0" collapsed="false">
      <c r="G68" s="19" t="n">
        <f aca="false">IF($C68="",0,$C68+$D68)</f>
        <v>0</v>
      </c>
      <c r="H68" s="19" t="str">
        <f aca="false">IF($B68="","",CONCATENATE("Örnek borç: ",$B68))</f>
        <v/>
      </c>
    </row>
    <row r="69" customFormat="false" ht="15" hidden="false" customHeight="false" outlineLevel="0" collapsed="false">
      <c r="G69" s="19" t="n">
        <f aca="false">IF($C69="",0,$C69+$D69)</f>
        <v>0</v>
      </c>
      <c r="H69" s="19" t="str">
        <f aca="false">IF($B69="","",CONCATENATE("Örnek borç: ",$B69))</f>
        <v/>
      </c>
    </row>
    <row r="70" customFormat="false" ht="15" hidden="false" customHeight="false" outlineLevel="0" collapsed="false">
      <c r="G70" s="19" t="n">
        <f aca="false">IF($C70="",0,$C70+$D70)</f>
        <v>0</v>
      </c>
      <c r="H70" s="19" t="str">
        <f aca="false">IF($B70="","",CONCATENATE("Örnek borç: ",$B70))</f>
        <v/>
      </c>
    </row>
    <row r="71" customFormat="false" ht="15" hidden="false" customHeight="false" outlineLevel="0" collapsed="false">
      <c r="G71" s="19" t="n">
        <f aca="false">IF($C71="",0,$C71+$D71)</f>
        <v>0</v>
      </c>
      <c r="H71" s="19" t="str">
        <f aca="false">IF($B71="","",CONCATENATE("Örnek borç: ",$B71))</f>
        <v/>
      </c>
    </row>
    <row r="72" customFormat="false" ht="15" hidden="false" customHeight="false" outlineLevel="0" collapsed="false">
      <c r="G72" s="19" t="n">
        <f aca="false">IF($C72="",0,$C72+$D72)</f>
        <v>0</v>
      </c>
      <c r="H72" s="19" t="str">
        <f aca="false">IF($B72="","",CONCATENATE("Örnek borç: ",$B72))</f>
        <v/>
      </c>
    </row>
    <row r="73" customFormat="false" ht="15" hidden="false" customHeight="false" outlineLevel="0" collapsed="false">
      <c r="G73" s="19" t="n">
        <f aca="false">IF($C73="",0,$C73+$D73)</f>
        <v>0</v>
      </c>
      <c r="H73" s="19" t="str">
        <f aca="false">IF($B73="","",CONCATENATE("Örnek borç: ",$B73))</f>
        <v/>
      </c>
    </row>
    <row r="74" customFormat="false" ht="15" hidden="false" customHeight="false" outlineLevel="0" collapsed="false">
      <c r="G74" s="19" t="n">
        <f aca="false">IF($C74="",0,$C74+$D74)</f>
        <v>0</v>
      </c>
      <c r="H74" s="19" t="str">
        <f aca="false">IF($B74="","",CONCATENATE("Örnek borç: ",$B74))</f>
        <v/>
      </c>
    </row>
    <row r="75" customFormat="false" ht="15" hidden="false" customHeight="false" outlineLevel="0" collapsed="false">
      <c r="G75" s="19" t="n">
        <f aca="false">IF($C75="",0,$C75+$D75)</f>
        <v>0</v>
      </c>
      <c r="H75" s="19" t="str">
        <f aca="false">IF($B75="","",CONCATENATE("Örnek borç: ",$B75))</f>
        <v/>
      </c>
    </row>
    <row r="76" customFormat="false" ht="15" hidden="false" customHeight="false" outlineLevel="0" collapsed="false">
      <c r="G76" s="19" t="n">
        <f aca="false">IF($C76="",0,$C76+$D76)</f>
        <v>0</v>
      </c>
      <c r="H76" s="19" t="str">
        <f aca="false">IF($B76="","",CONCATENATE("Örnek borç: ",$B76))</f>
        <v/>
      </c>
    </row>
    <row r="77" customFormat="false" ht="15" hidden="false" customHeight="false" outlineLevel="0" collapsed="false">
      <c r="G77" s="19" t="n">
        <f aca="false">IF($C77="",0,$C77+$D77)</f>
        <v>0</v>
      </c>
      <c r="H77" s="19" t="str">
        <f aca="false">IF($B77="","",CONCATENATE("Örnek borç: ",$B77))</f>
        <v/>
      </c>
    </row>
    <row r="78" customFormat="false" ht="15" hidden="false" customHeight="false" outlineLevel="0" collapsed="false">
      <c r="G78" s="19" t="n">
        <f aca="false">IF($C78="",0,$C78+$D78)</f>
        <v>0</v>
      </c>
      <c r="H78" s="19" t="str">
        <f aca="false">IF($B78="","",CONCATENATE("Örnek borç: ",$B78))</f>
        <v/>
      </c>
    </row>
    <row r="79" customFormat="false" ht="15" hidden="false" customHeight="false" outlineLevel="0" collapsed="false">
      <c r="G79" s="19" t="n">
        <f aca="false">IF($C79="",0,$C79+$D79)</f>
        <v>0</v>
      </c>
      <c r="H79" s="19" t="str">
        <f aca="false">IF($B79="","",CONCATENATE("Örnek borç: ",$B79))</f>
        <v/>
      </c>
    </row>
    <row r="80" customFormat="false" ht="15" hidden="false" customHeight="false" outlineLevel="0" collapsed="false">
      <c r="G80" s="19" t="n">
        <f aca="false">IF($C80="",0,$C80+$D80)</f>
        <v>0</v>
      </c>
      <c r="H80" s="19" t="str">
        <f aca="false">IF($B80="","",CONCATENATE("Örnek borç: ",$B80))</f>
        <v/>
      </c>
    </row>
    <row r="81" customFormat="false" ht="15" hidden="false" customHeight="false" outlineLevel="0" collapsed="false">
      <c r="G81" s="19" t="n">
        <f aca="false">IF($C81="",0,$C81+$D81)</f>
        <v>0</v>
      </c>
      <c r="H81" s="19" t="str">
        <f aca="false">IF($B81="","",CONCATENATE("Örnek borç: ",$B81))</f>
        <v/>
      </c>
    </row>
    <row r="82" customFormat="false" ht="15" hidden="false" customHeight="false" outlineLevel="0" collapsed="false">
      <c r="G82" s="19" t="n">
        <f aca="false">IF($C82="",0,$C82+$D82)</f>
        <v>0</v>
      </c>
      <c r="H82" s="19" t="str">
        <f aca="false">IF($B82="","",CONCATENATE("Örnek borç: ",$B82))</f>
        <v/>
      </c>
    </row>
    <row r="83" customFormat="false" ht="15" hidden="false" customHeight="false" outlineLevel="0" collapsed="false">
      <c r="G83" s="19" t="n">
        <f aca="false">IF($C83="",0,$C83+$D83)</f>
        <v>0</v>
      </c>
      <c r="H83" s="19" t="str">
        <f aca="false">IF($B83="","",CONCATENATE("Örnek borç: ",$B83))</f>
        <v/>
      </c>
    </row>
    <row r="84" customFormat="false" ht="15" hidden="false" customHeight="false" outlineLevel="0" collapsed="false">
      <c r="G84" s="19" t="n">
        <f aca="false">IF($C84="",0,$C84+$D84)</f>
        <v>0</v>
      </c>
      <c r="H84" s="19" t="str">
        <f aca="false">IF($B84="","",CONCATENATE("Örnek borç: ",$B84))</f>
        <v/>
      </c>
    </row>
    <row r="85" customFormat="false" ht="15" hidden="false" customHeight="false" outlineLevel="0" collapsed="false">
      <c r="G85" s="19" t="n">
        <f aca="false">IF($C85="",0,$C85+$D85)</f>
        <v>0</v>
      </c>
      <c r="H85" s="19" t="str">
        <f aca="false">IF($B85="","",CONCATENATE("Örnek borç: ",$B85))</f>
        <v/>
      </c>
    </row>
    <row r="86" customFormat="false" ht="15" hidden="false" customHeight="false" outlineLevel="0" collapsed="false">
      <c r="G86" s="19" t="n">
        <f aca="false">IF($C86="",0,$C86+$D86)</f>
        <v>0</v>
      </c>
      <c r="H86" s="19" t="str">
        <f aca="false">IF($B86="","",CONCATENATE("Örnek borç: ",$B86))</f>
        <v/>
      </c>
    </row>
    <row r="87" customFormat="false" ht="15" hidden="false" customHeight="false" outlineLevel="0" collapsed="false">
      <c r="G87" s="19" t="n">
        <f aca="false">IF($C87="",0,$C87+$D87)</f>
        <v>0</v>
      </c>
      <c r="H87" s="19" t="str">
        <f aca="false">IF($B87="","",CONCATENATE("Örnek borç: ",$B87))</f>
        <v/>
      </c>
    </row>
    <row r="88" customFormat="false" ht="15" hidden="false" customHeight="false" outlineLevel="0" collapsed="false">
      <c r="G88" s="19" t="n">
        <f aca="false">IF($C88="",0,$C88+$D88)</f>
        <v>0</v>
      </c>
      <c r="H88" s="19" t="str">
        <f aca="false">IF($B88="","",CONCATENATE("Örnek borç: ",$B88))</f>
        <v/>
      </c>
    </row>
    <row r="89" customFormat="false" ht="15" hidden="false" customHeight="false" outlineLevel="0" collapsed="false">
      <c r="G89" s="19" t="n">
        <f aca="false">IF($C89="",0,$C89+$D89)</f>
        <v>0</v>
      </c>
      <c r="H89" s="19" t="str">
        <f aca="false">IF($B89="","",CONCATENATE("Örnek borç: ",$B89))</f>
        <v/>
      </c>
    </row>
    <row r="90" customFormat="false" ht="15" hidden="false" customHeight="false" outlineLevel="0" collapsed="false">
      <c r="G90" s="19" t="n">
        <f aca="false">IF($C90="",0,$C90+$D90)</f>
        <v>0</v>
      </c>
      <c r="H90" s="19" t="str">
        <f aca="false">IF($B90="","",CONCATENATE("Örnek borç: ",$B90))</f>
        <v/>
      </c>
    </row>
    <row r="91" customFormat="false" ht="15" hidden="false" customHeight="false" outlineLevel="0" collapsed="false">
      <c r="G91" s="19" t="n">
        <f aca="false">IF($C91="",0,$C91+$D91)</f>
        <v>0</v>
      </c>
      <c r="H91" s="19" t="str">
        <f aca="false">IF($B91="","",CONCATENATE("Örnek borç: ",$B91))</f>
        <v/>
      </c>
    </row>
    <row r="92" customFormat="false" ht="15" hidden="false" customHeight="false" outlineLevel="0" collapsed="false">
      <c r="G92" s="19" t="n">
        <f aca="false">IF($C92="",0,$C92+$D92)</f>
        <v>0</v>
      </c>
      <c r="H92" s="19" t="str">
        <f aca="false">IF($B92="","",CONCATENATE("Örnek borç: ",$B92))</f>
        <v/>
      </c>
    </row>
    <row r="93" customFormat="false" ht="15" hidden="false" customHeight="false" outlineLevel="0" collapsed="false">
      <c r="G93" s="19" t="n">
        <f aca="false">IF($C93="",0,$C93+$D93)</f>
        <v>0</v>
      </c>
      <c r="H93" s="19" t="str">
        <f aca="false">IF($B93="","",CONCATENATE("Örnek borç: ",$B93))</f>
        <v/>
      </c>
    </row>
    <row r="94" customFormat="false" ht="15" hidden="false" customHeight="false" outlineLevel="0" collapsed="false">
      <c r="G94" s="19" t="n">
        <f aca="false">IF($C94="",0,$C94+$D94)</f>
        <v>0</v>
      </c>
      <c r="H94" s="19" t="str">
        <f aca="false">IF($B94="","",CONCATENATE("Örnek borç: ",$B94))</f>
        <v/>
      </c>
    </row>
    <row r="95" customFormat="false" ht="15" hidden="false" customHeight="false" outlineLevel="0" collapsed="false">
      <c r="G95" s="19" t="n">
        <f aca="false">IF($C95="",0,$C95+$D95)</f>
        <v>0</v>
      </c>
      <c r="H95" s="19" t="str">
        <f aca="false">IF($B95="","",CONCATENATE("Örnek borç: ",$B95))</f>
        <v/>
      </c>
    </row>
    <row r="96" customFormat="false" ht="15" hidden="false" customHeight="false" outlineLevel="0" collapsed="false">
      <c r="G96" s="19" t="n">
        <f aca="false">IF($C96="",0,$C96+$D96)</f>
        <v>0</v>
      </c>
      <c r="H96" s="19" t="str">
        <f aca="false">IF($B96="","",CONCATENATE("Örnek borç: ",$B96))</f>
        <v/>
      </c>
    </row>
    <row r="97" customFormat="false" ht="15" hidden="false" customHeight="false" outlineLevel="0" collapsed="false">
      <c r="G97" s="19" t="n">
        <f aca="false">IF($C97="",0,$C97+$D97)</f>
        <v>0</v>
      </c>
      <c r="H97" s="19" t="str">
        <f aca="false">IF($B97="","",CONCATENATE("Örnek borç: ",$B97))</f>
        <v/>
      </c>
    </row>
    <row r="98" customFormat="false" ht="15" hidden="false" customHeight="false" outlineLevel="0" collapsed="false">
      <c r="G98" s="19" t="n">
        <f aca="false">IF($C98="",0,$C98+$D98)</f>
        <v>0</v>
      </c>
      <c r="H98" s="19" t="str">
        <f aca="false">IF($B98="","",CONCATENATE("Örnek borç: ",$B98))</f>
        <v/>
      </c>
    </row>
    <row r="99" customFormat="false" ht="15" hidden="false" customHeight="false" outlineLevel="0" collapsed="false">
      <c r="G99" s="19" t="n">
        <f aca="false">IF($C99="",0,$C99+$D99)</f>
        <v>0</v>
      </c>
      <c r="H99" s="19" t="str">
        <f aca="false">IF($B99="","",CONCATENATE("Örnek borç: ",$B99))</f>
        <v/>
      </c>
    </row>
    <row r="100" customFormat="false" ht="15" hidden="false" customHeight="false" outlineLevel="0" collapsed="false">
      <c r="G100" s="19" t="n">
        <f aca="false">IF($C100="",0,$C100+$D100)</f>
        <v>0</v>
      </c>
      <c r="H100" s="19" t="str">
        <f aca="false">IF($B100="","",CONCATENATE("Örnek borç: ",$B100))</f>
        <v/>
      </c>
    </row>
    <row r="101" customFormat="false" ht="15" hidden="false" customHeight="false" outlineLevel="0" collapsed="false">
      <c r="G101" s="19" t="n">
        <f aca="false">IF($C101="",0,$C101+$D101)</f>
        <v>0</v>
      </c>
      <c r="H101" s="19" t="str">
        <f aca="false">IF($B101="","",CONCATENATE("Örnek borç: ",$B101))</f>
        <v/>
      </c>
    </row>
    <row r="102" customFormat="false" ht="15" hidden="false" customHeight="false" outlineLevel="0" collapsed="false">
      <c r="G102" s="19" t="n">
        <f aca="false">IF($C102="",0,$C102+$D102)</f>
        <v>0</v>
      </c>
      <c r="H102" s="19" t="str">
        <f aca="false">IF($B102="","",CONCATENATE("Örnek borç: ",$B102))</f>
        <v/>
      </c>
    </row>
    <row r="103" customFormat="false" ht="15" hidden="false" customHeight="false" outlineLevel="0" collapsed="false">
      <c r="G103" s="19" t="n">
        <f aca="false">IF($C103="",0,$C103+$D103)</f>
        <v>0</v>
      </c>
      <c r="H103" s="19" t="str">
        <f aca="false">IF($B103="","",CONCATENATE("Örnek borç: ",$B103))</f>
        <v/>
      </c>
    </row>
    <row r="104" customFormat="false" ht="15" hidden="false" customHeight="false" outlineLevel="0" collapsed="false">
      <c r="G104" s="19" t="n">
        <f aca="false">IF($C104="",0,$C104+$D104)</f>
        <v>0</v>
      </c>
      <c r="H104" s="19" t="str">
        <f aca="false">IF($B104="","",CONCATENATE("Örnek borç: ",$B104))</f>
        <v/>
      </c>
    </row>
    <row r="105" customFormat="false" ht="15" hidden="false" customHeight="false" outlineLevel="0" collapsed="false">
      <c r="G105" s="19" t="n">
        <f aca="false">IF($C105="",0,$C105+$D105)</f>
        <v>0</v>
      </c>
      <c r="H105" s="19" t="str">
        <f aca="false">IF($B105="","",CONCATENATE("Örnek borç: ",$B105))</f>
        <v/>
      </c>
    </row>
    <row r="106" customFormat="false" ht="15" hidden="false" customHeight="false" outlineLevel="0" collapsed="false">
      <c r="G106" s="19" t="n">
        <f aca="false">IF($C106="",0,$C106+$D106)</f>
        <v>0</v>
      </c>
      <c r="H106" s="19" t="str">
        <f aca="false">IF($B106="","",CONCATENATE("Örnek borç: ",$B106))</f>
        <v/>
      </c>
    </row>
    <row r="107" customFormat="false" ht="15" hidden="false" customHeight="false" outlineLevel="0" collapsed="false">
      <c r="G107" s="19" t="n">
        <f aca="false">IF($C107="",0,$C107+$D107)</f>
        <v>0</v>
      </c>
      <c r="H107" s="19" t="str">
        <f aca="false">IF($B107="","",CONCATENATE("Örnek borç: ",$B107))</f>
        <v/>
      </c>
    </row>
    <row r="108" customFormat="false" ht="15" hidden="false" customHeight="false" outlineLevel="0" collapsed="false">
      <c r="G108" s="19" t="n">
        <f aca="false">IF($C108="",0,$C108+$D108)</f>
        <v>0</v>
      </c>
      <c r="H108" s="19" t="str">
        <f aca="false">IF($B108="","",CONCATENATE("Örnek borç: ",$B108))</f>
        <v/>
      </c>
    </row>
    <row r="109" customFormat="false" ht="15" hidden="false" customHeight="false" outlineLevel="0" collapsed="false">
      <c r="G109" s="19" t="n">
        <f aca="false">IF($C109="",0,$C109+$D109)</f>
        <v>0</v>
      </c>
      <c r="H109" s="19" t="str">
        <f aca="false">IF($B109="","",CONCATENATE("Örnek borç: ",$B109))</f>
        <v/>
      </c>
    </row>
    <row r="110" customFormat="false" ht="15" hidden="false" customHeight="false" outlineLevel="0" collapsed="false">
      <c r="G110" s="19" t="n">
        <f aca="false">IF($C110="",0,$C110+$D110)</f>
        <v>0</v>
      </c>
      <c r="H110" s="19" t="str">
        <f aca="false">IF($B110="","",CONCATENATE("Örnek borç: ",$B110))</f>
        <v/>
      </c>
    </row>
    <row r="111" customFormat="false" ht="15" hidden="false" customHeight="false" outlineLevel="0" collapsed="false">
      <c r="G111" s="19" t="n">
        <f aca="false">IF($C111="",0,$C111+$D111)</f>
        <v>0</v>
      </c>
      <c r="H111" s="19" t="str">
        <f aca="false">IF($B111="","",CONCATENATE("Örnek borç: ",$B111))</f>
        <v/>
      </c>
    </row>
    <row r="112" customFormat="false" ht="15" hidden="false" customHeight="false" outlineLevel="0" collapsed="false">
      <c r="G112" s="19" t="n">
        <f aca="false">IF($C112="",0,$C112+$D112)</f>
        <v>0</v>
      </c>
      <c r="H112" s="19" t="str">
        <f aca="false">IF($B112="","",CONCATENATE("Örnek borç: ",$B112))</f>
        <v/>
      </c>
    </row>
    <row r="113" customFormat="false" ht="15" hidden="false" customHeight="false" outlineLevel="0" collapsed="false">
      <c r="G113" s="19" t="n">
        <f aca="false">IF($C113="",0,$C113+$D113)</f>
        <v>0</v>
      </c>
      <c r="H113" s="19" t="str">
        <f aca="false">IF($B113="","",CONCATENATE("Örnek borç: ",$B113))</f>
        <v/>
      </c>
    </row>
    <row r="114" customFormat="false" ht="15" hidden="false" customHeight="false" outlineLevel="0" collapsed="false">
      <c r="G114" s="19" t="n">
        <f aca="false">IF($C114="",0,$C114+$D114)</f>
        <v>0</v>
      </c>
      <c r="H114" s="19" t="str">
        <f aca="false">IF($B114="","",CONCATENATE("Örnek borç: ",$B114))</f>
        <v/>
      </c>
    </row>
    <row r="115" customFormat="false" ht="15" hidden="false" customHeight="false" outlineLevel="0" collapsed="false">
      <c r="G115" s="19" t="n">
        <f aca="false">IF($C115="",0,$C115+$D115)</f>
        <v>0</v>
      </c>
      <c r="H115" s="19" t="str">
        <f aca="false">IF($B115="","",CONCATENATE("Örnek borç: ",$B115))</f>
        <v/>
      </c>
    </row>
    <row r="116" customFormat="false" ht="15" hidden="false" customHeight="false" outlineLevel="0" collapsed="false">
      <c r="G116" s="19" t="n">
        <f aca="false">IF($C116="",0,$C116+$D116)</f>
        <v>0</v>
      </c>
      <c r="H116" s="19" t="str">
        <f aca="false">IF($B116="","",CONCATENATE("Örnek borç: ",$B116))</f>
        <v/>
      </c>
    </row>
    <row r="117" customFormat="false" ht="15" hidden="false" customHeight="false" outlineLevel="0" collapsed="false">
      <c r="G117" s="19" t="n">
        <f aca="false">IF($C117="",0,$C117+$D117)</f>
        <v>0</v>
      </c>
      <c r="H117" s="19" t="str">
        <f aca="false">IF($B117="","",CONCATENATE("Örnek borç: ",$B117))</f>
        <v/>
      </c>
    </row>
    <row r="118" customFormat="false" ht="15" hidden="false" customHeight="false" outlineLevel="0" collapsed="false">
      <c r="G118" s="19" t="n">
        <f aca="false">IF($C118="",0,$C118+$D118)</f>
        <v>0</v>
      </c>
      <c r="H118" s="19" t="str">
        <f aca="false">IF($B118="","",CONCATENATE("Örnek borç: ",$B118))</f>
        <v/>
      </c>
    </row>
    <row r="119" customFormat="false" ht="15" hidden="false" customHeight="false" outlineLevel="0" collapsed="false">
      <c r="G119" s="19" t="n">
        <f aca="false">IF($C119="",0,$C119+$D119)</f>
        <v>0</v>
      </c>
      <c r="H119" s="19" t="str">
        <f aca="false">IF($B119="","",CONCATENATE("Örnek borç: ",$B119))</f>
        <v/>
      </c>
    </row>
    <row r="120" customFormat="false" ht="15" hidden="false" customHeight="false" outlineLevel="0" collapsed="false">
      <c r="G120" s="19" t="n">
        <f aca="false">IF($C120="",0,$C120+$D120)</f>
        <v>0</v>
      </c>
      <c r="H120" s="19" t="str">
        <f aca="false">IF($B120="","",CONCATENATE("Örnek borç: ",$B120))</f>
        <v/>
      </c>
    </row>
    <row r="121" customFormat="false" ht="15" hidden="false" customHeight="false" outlineLevel="0" collapsed="false">
      <c r="G121" s="19" t="n">
        <f aca="false">IF($C121="",0,$C121+$D121)</f>
        <v>0</v>
      </c>
      <c r="H121" s="19" t="str">
        <f aca="false">IF($B121="","",CONCATENATE("Örnek borç: ",$B121))</f>
        <v/>
      </c>
    </row>
    <row r="122" customFormat="false" ht="15" hidden="false" customHeight="false" outlineLevel="0" collapsed="false">
      <c r="G122" s="19" t="n">
        <f aca="false">IF($C122="",0,$C122+$D122)</f>
        <v>0</v>
      </c>
      <c r="H122" s="19" t="str">
        <f aca="false">IF($B122="","",CONCATENATE("Örnek borç: ",$B122))</f>
        <v/>
      </c>
    </row>
    <row r="123" customFormat="false" ht="15" hidden="false" customHeight="false" outlineLevel="0" collapsed="false">
      <c r="G123" s="19" t="n">
        <f aca="false">IF($C123="",0,$C123+$D123)</f>
        <v>0</v>
      </c>
      <c r="H123" s="19" t="str">
        <f aca="false">IF($B123="","",CONCATENATE("Örnek borç: ",$B123))</f>
        <v/>
      </c>
    </row>
    <row r="124" customFormat="false" ht="15" hidden="false" customHeight="false" outlineLevel="0" collapsed="false">
      <c r="G124" s="19" t="n">
        <f aca="false">IF($C124="",0,$C124+$D124)</f>
        <v>0</v>
      </c>
      <c r="H124" s="19" t="str">
        <f aca="false">IF($B124="","",CONCATENATE("Örnek borç: ",$B124))</f>
        <v/>
      </c>
    </row>
    <row r="125" customFormat="false" ht="15" hidden="false" customHeight="false" outlineLevel="0" collapsed="false">
      <c r="G125" s="19" t="n">
        <f aca="false">IF($C125="",0,$C125+$D125)</f>
        <v>0</v>
      </c>
      <c r="H125" s="19" t="str">
        <f aca="false">IF($B125="","",CONCATENATE("Örnek borç: ",$B125))</f>
        <v/>
      </c>
    </row>
    <row r="126" customFormat="false" ht="15" hidden="false" customHeight="false" outlineLevel="0" collapsed="false">
      <c r="G126" s="19" t="n">
        <f aca="false">IF($C126="",0,$C126+$D126)</f>
        <v>0</v>
      </c>
      <c r="H126" s="19" t="str">
        <f aca="false">IF($B126="","",CONCATENATE("Örnek borç: ",$B126))</f>
        <v/>
      </c>
    </row>
    <row r="127" customFormat="false" ht="15" hidden="false" customHeight="false" outlineLevel="0" collapsed="false">
      <c r="G127" s="19" t="n">
        <f aca="false">IF($C127="",0,$C127+$D127)</f>
        <v>0</v>
      </c>
      <c r="H127" s="19" t="str">
        <f aca="false">IF($B127="","",CONCATENATE("Örnek borç: ",$B127))</f>
        <v/>
      </c>
    </row>
    <row r="128" customFormat="false" ht="15" hidden="false" customHeight="false" outlineLevel="0" collapsed="false">
      <c r="G128" s="19" t="n">
        <f aca="false">IF($C128="",0,$C128+$D128)</f>
        <v>0</v>
      </c>
      <c r="H128" s="19" t="str">
        <f aca="false">IF($B128="","",CONCATENATE("Örnek borç: ",$B128))</f>
        <v/>
      </c>
    </row>
    <row r="129" customFormat="false" ht="15" hidden="false" customHeight="false" outlineLevel="0" collapsed="false">
      <c r="G129" s="19" t="n">
        <f aca="false">IF($C129="",0,$C129+$D129)</f>
        <v>0</v>
      </c>
      <c r="H129" s="19" t="str">
        <f aca="false">IF($B129="","",CONCATENATE("Örnek borç: ",$B129))</f>
        <v/>
      </c>
    </row>
    <row r="130" customFormat="false" ht="15" hidden="false" customHeight="false" outlineLevel="0" collapsed="false">
      <c r="G130" s="19" t="n">
        <f aca="false">IF($C130="",0,$C130+$D130)</f>
        <v>0</v>
      </c>
      <c r="H130" s="19" t="str">
        <f aca="false">IF($B130="","",CONCATENATE("Örnek borç: ",$B130))</f>
        <v/>
      </c>
    </row>
    <row r="131" customFormat="false" ht="15" hidden="false" customHeight="false" outlineLevel="0" collapsed="false">
      <c r="G131" s="19" t="n">
        <f aca="false">IF($C131="",0,$C131+$D131)</f>
        <v>0</v>
      </c>
      <c r="H131" s="19" t="str">
        <f aca="false">IF($B131="","",CONCATENATE("Örnek borç: ",$B131))</f>
        <v/>
      </c>
    </row>
    <row r="132" customFormat="false" ht="15" hidden="false" customHeight="false" outlineLevel="0" collapsed="false">
      <c r="G132" s="19" t="n">
        <f aca="false">IF($C132="",0,$C132+$D132)</f>
        <v>0</v>
      </c>
      <c r="H132" s="19" t="str">
        <f aca="false">IF($B132="","",CONCATENATE("Örnek borç: ",$B132))</f>
        <v/>
      </c>
    </row>
    <row r="133" customFormat="false" ht="15" hidden="false" customHeight="false" outlineLevel="0" collapsed="false">
      <c r="G133" s="19" t="n">
        <f aca="false">IF($C133="",0,$C133+$D133)</f>
        <v>0</v>
      </c>
      <c r="H133" s="19" t="str">
        <f aca="false">IF($B133="","",CONCATENATE("Örnek borç: ",$B133))</f>
        <v/>
      </c>
    </row>
    <row r="134" customFormat="false" ht="15" hidden="false" customHeight="false" outlineLevel="0" collapsed="false">
      <c r="G134" s="19" t="n">
        <f aca="false">IF($C134="",0,$C134+$D134)</f>
        <v>0</v>
      </c>
      <c r="H134" s="19" t="str">
        <f aca="false">IF($B134="","",CONCATENATE("Örnek borç: ",$B134))</f>
        <v/>
      </c>
    </row>
    <row r="135" customFormat="false" ht="15" hidden="false" customHeight="false" outlineLevel="0" collapsed="false">
      <c r="G135" s="19" t="n">
        <f aca="false">IF($C135="",0,$C135+$D135)</f>
        <v>0</v>
      </c>
      <c r="H135" s="19" t="str">
        <f aca="false">IF($B135="","",CONCATENATE("Örnek borç: ",$B135))</f>
        <v/>
      </c>
    </row>
    <row r="136" customFormat="false" ht="15" hidden="false" customHeight="false" outlineLevel="0" collapsed="false">
      <c r="G136" s="19" t="n">
        <f aca="false">IF($C136="",0,$C136+$D136)</f>
        <v>0</v>
      </c>
      <c r="H136" s="19" t="str">
        <f aca="false">IF($B136="","",CONCATENATE("Örnek borç: ",$B136))</f>
        <v/>
      </c>
    </row>
    <row r="137" customFormat="false" ht="15" hidden="false" customHeight="false" outlineLevel="0" collapsed="false">
      <c r="G137" s="19" t="n">
        <f aca="false">IF($C137="",0,$C137+$D137)</f>
        <v>0</v>
      </c>
      <c r="H137" s="19" t="str">
        <f aca="false">IF($B137="","",CONCATENATE("Örnek borç: ",$B137))</f>
        <v/>
      </c>
    </row>
    <row r="138" customFormat="false" ht="15" hidden="false" customHeight="false" outlineLevel="0" collapsed="false">
      <c r="G138" s="19" t="n">
        <f aca="false">IF($C138="",0,$C138+$D138)</f>
        <v>0</v>
      </c>
      <c r="H138" s="19" t="str">
        <f aca="false">IF($B138="","",CONCATENATE("Örnek borç: ",$B138))</f>
        <v/>
      </c>
    </row>
    <row r="139" customFormat="false" ht="15" hidden="false" customHeight="false" outlineLevel="0" collapsed="false">
      <c r="G139" s="19" t="n">
        <f aca="false">IF($C139="",0,$C139+$D139)</f>
        <v>0</v>
      </c>
      <c r="H139" s="19" t="str">
        <f aca="false">IF($B139="","",CONCATENATE("Örnek borç: ",$B139))</f>
        <v/>
      </c>
    </row>
    <row r="140" customFormat="false" ht="15" hidden="false" customHeight="false" outlineLevel="0" collapsed="false">
      <c r="G140" s="19" t="n">
        <f aca="false">IF($C140="",0,$C140+$D140)</f>
        <v>0</v>
      </c>
      <c r="H140" s="19" t="str">
        <f aca="false">IF($B140="","",CONCATENATE("Örnek borç: ",$B140))</f>
        <v/>
      </c>
    </row>
    <row r="141" customFormat="false" ht="15" hidden="false" customHeight="false" outlineLevel="0" collapsed="false">
      <c r="G141" s="19" t="n">
        <f aca="false">IF($C141="",0,$C141+$D141)</f>
        <v>0</v>
      </c>
      <c r="H141" s="19" t="str">
        <f aca="false">IF($B141="","",CONCATENATE("Örnek borç: ",$B141))</f>
        <v/>
      </c>
    </row>
    <row r="142" customFormat="false" ht="15" hidden="false" customHeight="false" outlineLevel="0" collapsed="false">
      <c r="G142" s="19" t="n">
        <f aca="false">IF($C142="",0,$C142+$D142)</f>
        <v>0</v>
      </c>
      <c r="H142" s="19" t="str">
        <f aca="false">IF($B142="","",CONCATENATE("Örnek borç: ",$B142))</f>
        <v/>
      </c>
    </row>
    <row r="143" customFormat="false" ht="15" hidden="false" customHeight="false" outlineLevel="0" collapsed="false">
      <c r="G143" s="19" t="n">
        <f aca="false">IF($C143="",0,$C143+$D143)</f>
        <v>0</v>
      </c>
      <c r="H143" s="19" t="str">
        <f aca="false">IF($B143="","",CONCATENATE("Örnek borç: ",$B143))</f>
        <v/>
      </c>
    </row>
    <row r="144" customFormat="false" ht="15" hidden="false" customHeight="false" outlineLevel="0" collapsed="false">
      <c r="G144" s="19" t="n">
        <f aca="false">IF($C144="",0,$C144+$D144)</f>
        <v>0</v>
      </c>
      <c r="H144" s="19" t="str">
        <f aca="false">IF($B144="","",CONCATENATE("Örnek borç: ",$B144))</f>
        <v/>
      </c>
    </row>
    <row r="145" customFormat="false" ht="15" hidden="false" customHeight="false" outlineLevel="0" collapsed="false">
      <c r="G145" s="19" t="n">
        <f aca="false">IF($C145="",0,$C145+$D145)</f>
        <v>0</v>
      </c>
      <c r="H145" s="19" t="str">
        <f aca="false">IF($B145="","",CONCATENATE("Örnek borç: ",$B145))</f>
        <v/>
      </c>
    </row>
    <row r="146" customFormat="false" ht="15" hidden="false" customHeight="false" outlineLevel="0" collapsed="false">
      <c r="G146" s="19" t="n">
        <f aca="false">IF($C146="",0,$C146+$D146)</f>
        <v>0</v>
      </c>
      <c r="H146" s="19" t="str">
        <f aca="false">IF($B146="","",CONCATENATE("Örnek borç: ",$B146))</f>
        <v/>
      </c>
    </row>
    <row r="147" customFormat="false" ht="15" hidden="false" customHeight="false" outlineLevel="0" collapsed="false">
      <c r="G147" s="19" t="n">
        <f aca="false">IF($C147="",0,$C147+$D147)</f>
        <v>0</v>
      </c>
      <c r="H147" s="19" t="str">
        <f aca="false">IF($B147="","",CONCATENATE("Örnek borç: ",$B147))</f>
        <v/>
      </c>
    </row>
    <row r="148" customFormat="false" ht="15" hidden="false" customHeight="false" outlineLevel="0" collapsed="false">
      <c r="G148" s="19" t="n">
        <f aca="false">IF($C148="",0,$C148+$D148)</f>
        <v>0</v>
      </c>
      <c r="H148" s="19" t="str">
        <f aca="false">IF($B148="","",CONCATENATE("Örnek borç: ",$B148))</f>
        <v/>
      </c>
    </row>
    <row r="149" customFormat="false" ht="15" hidden="false" customHeight="false" outlineLevel="0" collapsed="false">
      <c r="G149" s="19" t="n">
        <f aca="false">IF($C149="",0,$C149+$D149)</f>
        <v>0</v>
      </c>
      <c r="H149" s="19" t="str">
        <f aca="false">IF($B149="","",CONCATENATE("Örnek borç: ",$B149))</f>
        <v/>
      </c>
    </row>
    <row r="150" customFormat="false" ht="15" hidden="false" customHeight="false" outlineLevel="0" collapsed="false">
      <c r="G150" s="19" t="n">
        <f aca="false">IF($C150="",0,$C150+$D150)</f>
        <v>0</v>
      </c>
      <c r="H150" s="19" t="str">
        <f aca="false">IF($B150="","",CONCATENATE("Örnek borç: ",$B150))</f>
        <v/>
      </c>
    </row>
    <row r="151" customFormat="false" ht="15" hidden="false" customHeight="false" outlineLevel="0" collapsed="false">
      <c r="G151" s="19" t="n">
        <f aca="false">IF($C151="",0,$C151+$D151)</f>
        <v>0</v>
      </c>
      <c r="H151" s="19" t="str">
        <f aca="false">IF($B151="","",CONCATENATE("Örnek borç: ",$B151))</f>
        <v/>
      </c>
    </row>
    <row r="152" customFormat="false" ht="15" hidden="false" customHeight="false" outlineLevel="0" collapsed="false">
      <c r="G152" s="19" t="n">
        <f aca="false">IF($C152="",0,$C152+$D152)</f>
        <v>0</v>
      </c>
      <c r="H152" s="19" t="str">
        <f aca="false">IF($B152="","",CONCATENATE("Örnek borç: ",$B152))</f>
        <v/>
      </c>
    </row>
    <row r="153" customFormat="false" ht="15" hidden="false" customHeight="false" outlineLevel="0" collapsed="false">
      <c r="G153" s="19" t="n">
        <f aca="false">IF($C153="",0,$C153+$D153)</f>
        <v>0</v>
      </c>
      <c r="H153" s="19" t="str">
        <f aca="false">IF($B153="","",CONCATENATE("Örnek borç: ",$B153))</f>
        <v/>
      </c>
    </row>
    <row r="154" customFormat="false" ht="15" hidden="false" customHeight="false" outlineLevel="0" collapsed="false">
      <c r="G154" s="19" t="n">
        <f aca="false">IF($C154="",0,$C154+$D154)</f>
        <v>0</v>
      </c>
      <c r="H154" s="19" t="str">
        <f aca="false">IF($B154="","",CONCATENATE("Örnek borç: ",$B154))</f>
        <v/>
      </c>
    </row>
    <row r="155" customFormat="false" ht="15" hidden="false" customHeight="false" outlineLevel="0" collapsed="false">
      <c r="G155" s="19" t="n">
        <f aca="false">IF($C155="",0,$C155+$D155)</f>
        <v>0</v>
      </c>
      <c r="H155" s="19" t="str">
        <f aca="false">IF($B155="","",CONCATENATE("Örnek borç: ",$B155))</f>
        <v/>
      </c>
    </row>
    <row r="156" customFormat="false" ht="15" hidden="false" customHeight="false" outlineLevel="0" collapsed="false">
      <c r="G156" s="19" t="n">
        <f aca="false">IF($C156="",0,$C156+$D156)</f>
        <v>0</v>
      </c>
      <c r="H156" s="19" t="str">
        <f aca="false">IF($B156="","",CONCATENATE("Örnek borç: ",$B156))</f>
        <v/>
      </c>
    </row>
    <row r="157" customFormat="false" ht="15" hidden="false" customHeight="false" outlineLevel="0" collapsed="false">
      <c r="G157" s="19" t="n">
        <f aca="false">IF($C157="",0,$C157+$D157)</f>
        <v>0</v>
      </c>
      <c r="H157" s="19" t="str">
        <f aca="false">IF($B157="","",CONCATENATE("Örnek borç: ",$B157))</f>
        <v/>
      </c>
    </row>
    <row r="158" customFormat="false" ht="15" hidden="false" customHeight="false" outlineLevel="0" collapsed="false">
      <c r="G158" s="19" t="n">
        <f aca="false">IF($C158="",0,$C158+$D158)</f>
        <v>0</v>
      </c>
      <c r="H158" s="19" t="str">
        <f aca="false">IF($B158="","",CONCATENATE("Örnek borç: ",$B158))</f>
        <v/>
      </c>
    </row>
    <row r="159" customFormat="false" ht="15" hidden="false" customHeight="false" outlineLevel="0" collapsed="false">
      <c r="G159" s="19" t="n">
        <f aca="false">IF($C159="",0,$C159+$D159)</f>
        <v>0</v>
      </c>
      <c r="H159" s="19" t="str">
        <f aca="false">IF($B159="","",CONCATENATE("Örnek borç: ",$B159))</f>
        <v/>
      </c>
    </row>
    <row r="160" customFormat="false" ht="15" hidden="false" customHeight="false" outlineLevel="0" collapsed="false">
      <c r="G160" s="19" t="n">
        <f aca="false">IF($C160="",0,$C160+$D160)</f>
        <v>0</v>
      </c>
      <c r="H160" s="19" t="str">
        <f aca="false">IF($B160="","",CONCATENATE("Örnek borç: ",$B160))</f>
        <v/>
      </c>
    </row>
    <row r="161" customFormat="false" ht="15" hidden="false" customHeight="false" outlineLevel="0" collapsed="false">
      <c r="G161" s="19" t="n">
        <f aca="false">IF($C161="",0,$C161+$D161)</f>
        <v>0</v>
      </c>
      <c r="H161" s="19" t="str">
        <f aca="false">IF($B161="","",CONCATENATE("Örnek borç: ",$B161))</f>
        <v/>
      </c>
    </row>
    <row r="162" customFormat="false" ht="15" hidden="false" customHeight="false" outlineLevel="0" collapsed="false">
      <c r="G162" s="19" t="n">
        <f aca="false">IF($C162="",0,$C162+$D162)</f>
        <v>0</v>
      </c>
      <c r="H162" s="19" t="str">
        <f aca="false">IF($B162="","",CONCATENATE("Örnek borç: ",$B162))</f>
        <v/>
      </c>
    </row>
    <row r="163" customFormat="false" ht="15" hidden="false" customHeight="false" outlineLevel="0" collapsed="false">
      <c r="G163" s="19" t="n">
        <f aca="false">IF($C163="",0,$C163+$D163)</f>
        <v>0</v>
      </c>
      <c r="H163" s="19" t="str">
        <f aca="false">IF($B163="","",CONCATENATE("Örnek borç: ",$B163))</f>
        <v/>
      </c>
    </row>
    <row r="164" customFormat="false" ht="15" hidden="false" customHeight="false" outlineLevel="0" collapsed="false">
      <c r="G164" s="19" t="n">
        <f aca="false">IF($C164="",0,$C164+$D164)</f>
        <v>0</v>
      </c>
      <c r="H164" s="19" t="str">
        <f aca="false">IF($B164="","",CONCATENATE("Örnek borç: ",$B164))</f>
        <v/>
      </c>
    </row>
    <row r="165" customFormat="false" ht="15" hidden="false" customHeight="false" outlineLevel="0" collapsed="false">
      <c r="G165" s="19" t="n">
        <f aca="false">IF($C165="",0,$C165+$D165)</f>
        <v>0</v>
      </c>
      <c r="H165" s="19" t="str">
        <f aca="false">IF($B165="","",CONCATENATE("Örnek borç: ",$B165))</f>
        <v/>
      </c>
    </row>
    <row r="166" customFormat="false" ht="15" hidden="false" customHeight="false" outlineLevel="0" collapsed="false">
      <c r="G166" s="19" t="n">
        <f aca="false">IF($C166="",0,$C166+$D166)</f>
        <v>0</v>
      </c>
      <c r="H166" s="19" t="str">
        <f aca="false">IF($B166="","",CONCATENATE("Örnek borç: ",$B166))</f>
        <v/>
      </c>
    </row>
    <row r="167" customFormat="false" ht="15" hidden="false" customHeight="false" outlineLevel="0" collapsed="false">
      <c r="G167" s="19" t="n">
        <f aca="false">IF($C167="",0,$C167+$D167)</f>
        <v>0</v>
      </c>
      <c r="H167" s="19" t="str">
        <f aca="false">IF($B167="","",CONCATENATE("Örnek borç: ",$B167))</f>
        <v/>
      </c>
    </row>
    <row r="168" customFormat="false" ht="15" hidden="false" customHeight="false" outlineLevel="0" collapsed="false">
      <c r="G168" s="19" t="n">
        <f aca="false">IF($C168="",0,$C168+$D168)</f>
        <v>0</v>
      </c>
      <c r="H168" s="19" t="str">
        <f aca="false">IF($B168="","",CONCATENATE("Örnek borç: ",$B168))</f>
        <v/>
      </c>
    </row>
    <row r="169" customFormat="false" ht="15" hidden="false" customHeight="false" outlineLevel="0" collapsed="false">
      <c r="G169" s="19" t="n">
        <f aca="false">IF($C169="",0,$C169+$D169)</f>
        <v>0</v>
      </c>
      <c r="H169" s="19" t="str">
        <f aca="false">IF($B169="","",CONCATENATE("Örnek borç: ",$B169))</f>
        <v/>
      </c>
    </row>
    <row r="170" customFormat="false" ht="15" hidden="false" customHeight="false" outlineLevel="0" collapsed="false">
      <c r="G170" s="19" t="n">
        <f aca="false">IF($C170="",0,$C170+$D170)</f>
        <v>0</v>
      </c>
      <c r="H170" s="19" t="str">
        <f aca="false">IF($B170="","",CONCATENATE("Örnek borç: ",$B170))</f>
        <v/>
      </c>
    </row>
    <row r="171" customFormat="false" ht="15" hidden="false" customHeight="false" outlineLevel="0" collapsed="false">
      <c r="G171" s="19" t="n">
        <f aca="false">IF($C171="",0,$C171+$D171)</f>
        <v>0</v>
      </c>
      <c r="H171" s="19" t="str">
        <f aca="false">IF($B171="","",CONCATENATE("Örnek borç: ",$B171))</f>
        <v/>
      </c>
    </row>
    <row r="172" customFormat="false" ht="15" hidden="false" customHeight="false" outlineLevel="0" collapsed="false">
      <c r="G172" s="19" t="n">
        <f aca="false">IF($C172="",0,$C172+$D172)</f>
        <v>0</v>
      </c>
      <c r="H172" s="19" t="str">
        <f aca="false">IF($B172="","",CONCATENATE("Örnek borç: ",$B172))</f>
        <v/>
      </c>
    </row>
    <row r="173" customFormat="false" ht="15" hidden="false" customHeight="false" outlineLevel="0" collapsed="false">
      <c r="G173" s="19" t="n">
        <f aca="false">IF($C173="",0,$C173+$D173)</f>
        <v>0</v>
      </c>
      <c r="H173" s="19" t="str">
        <f aca="false">IF($B173="","",CONCATENATE("Örnek borç: ",$B173))</f>
        <v/>
      </c>
    </row>
    <row r="174" customFormat="false" ht="15" hidden="false" customHeight="false" outlineLevel="0" collapsed="false">
      <c r="G174" s="19" t="n">
        <f aca="false">IF($C174="",0,$C174+$D174)</f>
        <v>0</v>
      </c>
      <c r="H174" s="19" t="str">
        <f aca="false">IF($B174="","",CONCATENATE("Örnek borç: ",$B174))</f>
        <v/>
      </c>
    </row>
    <row r="175" customFormat="false" ht="15" hidden="false" customHeight="false" outlineLevel="0" collapsed="false">
      <c r="G175" s="19" t="n">
        <f aca="false">IF($C175="",0,$C175+$D175)</f>
        <v>0</v>
      </c>
      <c r="H175" s="19" t="str">
        <f aca="false">IF($B175="","",CONCATENATE("Örnek borç: ",$B175))</f>
        <v/>
      </c>
    </row>
    <row r="176" customFormat="false" ht="15" hidden="false" customHeight="false" outlineLevel="0" collapsed="false">
      <c r="G176" s="19" t="n">
        <f aca="false">IF($C176="",0,$C176+$D176)</f>
        <v>0</v>
      </c>
      <c r="H176" s="19" t="str">
        <f aca="false">IF($B176="","",CONCATENATE("Örnek borç: ",$B176))</f>
        <v/>
      </c>
    </row>
    <row r="177" customFormat="false" ht="15" hidden="false" customHeight="false" outlineLevel="0" collapsed="false">
      <c r="G177" s="19" t="n">
        <f aca="false">IF($C177="",0,$C177+$D177)</f>
        <v>0</v>
      </c>
      <c r="H177" s="19" t="str">
        <f aca="false">IF($B177="","",CONCATENATE("Örnek borç: ",$B177))</f>
        <v/>
      </c>
    </row>
    <row r="178" customFormat="false" ht="15" hidden="false" customHeight="false" outlineLevel="0" collapsed="false">
      <c r="G178" s="19" t="n">
        <f aca="false">IF($C178="",0,$C178+$D178)</f>
        <v>0</v>
      </c>
      <c r="H178" s="19" t="str">
        <f aca="false">IF($B178="","",CONCATENATE("Örnek borç: ",$B178))</f>
        <v/>
      </c>
    </row>
    <row r="179" customFormat="false" ht="15" hidden="false" customHeight="false" outlineLevel="0" collapsed="false">
      <c r="G179" s="19" t="n">
        <f aca="false">IF($C179="",0,$C179+$D179)</f>
        <v>0</v>
      </c>
      <c r="H179" s="19" t="str">
        <f aca="false">IF($B179="","",CONCATENATE("Örnek borç: ",$B179))</f>
        <v/>
      </c>
    </row>
    <row r="180" customFormat="false" ht="15" hidden="false" customHeight="false" outlineLevel="0" collapsed="false">
      <c r="G180" s="19" t="n">
        <f aca="false">IF($C180="",0,$C180+$D180)</f>
        <v>0</v>
      </c>
      <c r="H180" s="19" t="str">
        <f aca="false">IF($B180="","",CONCATENATE("Örnek borç: ",$B180))</f>
        <v/>
      </c>
    </row>
    <row r="181" customFormat="false" ht="15" hidden="false" customHeight="false" outlineLevel="0" collapsed="false">
      <c r="G181" s="19" t="n">
        <f aca="false">IF($C181="",0,$C181+$D181)</f>
        <v>0</v>
      </c>
      <c r="H181" s="19" t="str">
        <f aca="false">IF($B181="","",CONCATENATE("Örnek borç: ",$B181))</f>
        <v/>
      </c>
    </row>
    <row r="182" customFormat="false" ht="15" hidden="false" customHeight="false" outlineLevel="0" collapsed="false">
      <c r="G182" s="19" t="n">
        <f aca="false">IF($C182="",0,$C182+$D182)</f>
        <v>0</v>
      </c>
      <c r="H182" s="19" t="str">
        <f aca="false">IF($B182="","",CONCATENATE("Örnek borç: ",$B182))</f>
        <v/>
      </c>
    </row>
    <row r="183" customFormat="false" ht="15" hidden="false" customHeight="false" outlineLevel="0" collapsed="false">
      <c r="G183" s="19" t="n">
        <f aca="false">IF($C183="",0,$C183+$D183)</f>
        <v>0</v>
      </c>
      <c r="H183" s="19" t="str">
        <f aca="false">IF($B183="","",CONCATENATE("Örnek borç: ",$B183))</f>
        <v/>
      </c>
    </row>
    <row r="184" customFormat="false" ht="15" hidden="false" customHeight="false" outlineLevel="0" collapsed="false">
      <c r="G184" s="19" t="n">
        <f aca="false">IF($C184="",0,$C184+$D184)</f>
        <v>0</v>
      </c>
      <c r="H184" s="19" t="str">
        <f aca="false">IF($B184="","",CONCATENATE("Örnek borç: ",$B184))</f>
        <v/>
      </c>
    </row>
    <row r="185" customFormat="false" ht="15" hidden="false" customHeight="false" outlineLevel="0" collapsed="false">
      <c r="G185" s="19" t="n">
        <f aca="false">IF($C185="",0,$C185+$D185)</f>
        <v>0</v>
      </c>
      <c r="H185" s="19" t="str">
        <f aca="false">IF($B185="","",CONCATENATE("Örnek borç: ",$B185))</f>
        <v/>
      </c>
    </row>
    <row r="186" customFormat="false" ht="15" hidden="false" customHeight="false" outlineLevel="0" collapsed="false">
      <c r="G186" s="19" t="n">
        <f aca="false">IF($C186="",0,$C186+$D186)</f>
        <v>0</v>
      </c>
      <c r="H186" s="19" t="str">
        <f aca="false">IF($B186="","",CONCATENATE("Örnek borç: ",$B186))</f>
        <v/>
      </c>
    </row>
    <row r="187" customFormat="false" ht="15" hidden="false" customHeight="false" outlineLevel="0" collapsed="false">
      <c r="G187" s="19" t="n">
        <f aca="false">IF($C187="",0,$C187+$D187)</f>
        <v>0</v>
      </c>
      <c r="H187" s="19" t="str">
        <f aca="false">IF($B187="","",CONCATENATE("Örnek borç: ",$B187))</f>
        <v/>
      </c>
    </row>
    <row r="188" customFormat="false" ht="15" hidden="false" customHeight="false" outlineLevel="0" collapsed="false">
      <c r="G188" s="19" t="n">
        <f aca="false">IF($C188="",0,$C188+$D188)</f>
        <v>0</v>
      </c>
      <c r="H188" s="19" t="str">
        <f aca="false">IF($B188="","",CONCATENATE("Örnek borç: ",$B188))</f>
        <v/>
      </c>
    </row>
    <row r="189" customFormat="false" ht="15" hidden="false" customHeight="false" outlineLevel="0" collapsed="false">
      <c r="G189" s="19" t="n">
        <f aca="false">IF($C189="",0,$C189+$D189)</f>
        <v>0</v>
      </c>
      <c r="H189" s="19" t="str">
        <f aca="false">IF($B189="","",CONCATENATE("Örnek borç: ",$B189))</f>
        <v/>
      </c>
    </row>
    <row r="190" customFormat="false" ht="15" hidden="false" customHeight="false" outlineLevel="0" collapsed="false">
      <c r="G190" s="19" t="n">
        <f aca="false">IF($C190="",0,$C190+$D190)</f>
        <v>0</v>
      </c>
      <c r="H190" s="19" t="str">
        <f aca="false">IF($B190="","",CONCATENATE("Örnek borç: ",$B190))</f>
        <v/>
      </c>
    </row>
    <row r="191" customFormat="false" ht="15" hidden="false" customHeight="false" outlineLevel="0" collapsed="false">
      <c r="G191" s="19" t="n">
        <f aca="false">IF($C191="",0,$C191+$D191)</f>
        <v>0</v>
      </c>
      <c r="H191" s="19" t="str">
        <f aca="false">IF($B191="","",CONCATENATE("Örnek borç: ",$B191))</f>
        <v/>
      </c>
    </row>
    <row r="192" customFormat="false" ht="15" hidden="false" customHeight="false" outlineLevel="0" collapsed="false">
      <c r="G192" s="19" t="n">
        <f aca="false">IF($C192="",0,$C192+$D192)</f>
        <v>0</v>
      </c>
      <c r="H192" s="19" t="str">
        <f aca="false">IF($B192="","",CONCATENATE("Örnek borç: ",$B192))</f>
        <v/>
      </c>
    </row>
    <row r="193" customFormat="false" ht="15" hidden="false" customHeight="false" outlineLevel="0" collapsed="false">
      <c r="G193" s="19" t="n">
        <f aca="false">IF($C193="",0,$C193+$D193)</f>
        <v>0</v>
      </c>
      <c r="H193" s="19" t="str">
        <f aca="false">IF($B193="","",CONCATENATE("Örnek borç: ",$B193))</f>
        <v/>
      </c>
    </row>
    <row r="194" customFormat="false" ht="15" hidden="false" customHeight="false" outlineLevel="0" collapsed="false">
      <c r="G194" s="19" t="n">
        <f aca="false">IF($C194="",0,$C194+$D194)</f>
        <v>0</v>
      </c>
      <c r="H194" s="19" t="str">
        <f aca="false">IF($B194="","",CONCATENATE("Örnek borç: ",$B194))</f>
        <v/>
      </c>
    </row>
    <row r="195" customFormat="false" ht="15" hidden="false" customHeight="false" outlineLevel="0" collapsed="false">
      <c r="G195" s="19" t="n">
        <f aca="false">IF($C195="",0,$C195+$D195)</f>
        <v>0</v>
      </c>
      <c r="H195" s="19" t="str">
        <f aca="false">IF($B195="","",CONCATENATE("Örnek borç: ",$B195))</f>
        <v/>
      </c>
    </row>
    <row r="196" customFormat="false" ht="15" hidden="false" customHeight="false" outlineLevel="0" collapsed="false">
      <c r="G196" s="19" t="n">
        <f aca="false">IF($C196="",0,$C196+$D196)</f>
        <v>0</v>
      </c>
      <c r="H196" s="19" t="str">
        <f aca="false">IF($B196="","",CONCATENATE("Örnek borç: ",$B196))</f>
        <v/>
      </c>
    </row>
    <row r="197" customFormat="false" ht="15" hidden="false" customHeight="false" outlineLevel="0" collapsed="false">
      <c r="G197" s="19" t="n">
        <f aca="false">IF($C197="",0,$C197+$D197)</f>
        <v>0</v>
      </c>
      <c r="H197" s="19" t="str">
        <f aca="false">IF($B197="","",CONCATENATE("Örnek borç: ",$B197))</f>
        <v/>
      </c>
    </row>
    <row r="198" customFormat="false" ht="15" hidden="false" customHeight="false" outlineLevel="0" collapsed="false">
      <c r="G198" s="19" t="n">
        <f aca="false">IF($C198="",0,$C198+$D198)</f>
        <v>0</v>
      </c>
      <c r="H198" s="19" t="str">
        <f aca="false">IF($B198="","",CONCATENATE("Örnek borç: ",$B198))</f>
        <v/>
      </c>
    </row>
    <row r="199" customFormat="false" ht="15" hidden="false" customHeight="false" outlineLevel="0" collapsed="false">
      <c r="G199" s="19" t="n">
        <f aca="false">IF($C199="",0,$C199+$D199)</f>
        <v>0</v>
      </c>
      <c r="H199" s="19" t="str">
        <f aca="false">IF($B199="","",CONCATENATE("Örnek borç: ",$B199))</f>
        <v/>
      </c>
    </row>
    <row r="200" customFormat="false" ht="15" hidden="false" customHeight="false" outlineLevel="0" collapsed="false">
      <c r="G200" s="19" t="n">
        <f aca="false">IF($C200="",0,$C200+$D200)</f>
        <v>0</v>
      </c>
      <c r="H200" s="19" t="str">
        <f aca="false">IF($B200="","",CONCATENATE("Örnek borç: ",$B200))</f>
        <v/>
      </c>
    </row>
    <row r="201" customFormat="false" ht="15" hidden="false" customHeight="false" outlineLevel="0" collapsed="false">
      <c r="G201" s="19" t="n">
        <f aca="false">IF($C201="",0,$C201+$D201)</f>
        <v>0</v>
      </c>
      <c r="H201" s="19" t="str">
        <f aca="false">IF($B201="","",CONCATENATE("Örnek borç: ",$B201))</f>
        <v/>
      </c>
    </row>
    <row r="202" customFormat="false" ht="15" hidden="false" customHeight="false" outlineLevel="0" collapsed="false">
      <c r="G202" s="19" t="n">
        <f aca="false">IF($C202="",0,$C202+$D202)</f>
        <v>0</v>
      </c>
      <c r="H202" s="19" t="str">
        <f aca="false">IF($B202="","",CONCATENATE("Örnek borç: ",$B202))</f>
        <v/>
      </c>
    </row>
    <row r="203" customFormat="false" ht="15" hidden="false" customHeight="false" outlineLevel="0" collapsed="false">
      <c r="G203" s="19" t="n">
        <f aca="false">IF($C203="",0,$C203+$D203)</f>
        <v>0</v>
      </c>
      <c r="H203" s="19" t="str">
        <f aca="false">IF($B203="","",CONCATENATE("Örnek borç: ",$B203))</f>
        <v/>
      </c>
    </row>
    <row r="204" customFormat="false" ht="15" hidden="false" customHeight="false" outlineLevel="0" collapsed="false">
      <c r="G204" s="19" t="n">
        <f aca="false">IF($C204="",0,$C204+$D204)</f>
        <v>0</v>
      </c>
      <c r="H204" s="19" t="str">
        <f aca="false">IF($B204="","",CONCATENATE("Örnek borç: ",$B204))</f>
        <v/>
      </c>
    </row>
    <row r="205" customFormat="false" ht="15" hidden="false" customHeight="false" outlineLevel="0" collapsed="false">
      <c r="G205" s="19" t="n">
        <f aca="false">IF($C205="",0,$C205+$D205)</f>
        <v>0</v>
      </c>
      <c r="H205" s="19" t="str">
        <f aca="false">IF($B205="","",CONCATENATE("Örnek borç: ",$B205))</f>
        <v/>
      </c>
    </row>
    <row r="206" customFormat="false" ht="15" hidden="false" customHeight="false" outlineLevel="0" collapsed="false">
      <c r="G206" s="19" t="n">
        <f aca="false">IF($C206="",0,$C206+$D206)</f>
        <v>0</v>
      </c>
      <c r="H206" s="19" t="str">
        <f aca="false">IF($B206="","",CONCATENATE("Örnek borç: ",$B206))</f>
        <v/>
      </c>
    </row>
    <row r="207" customFormat="false" ht="15" hidden="false" customHeight="false" outlineLevel="0" collapsed="false">
      <c r="G207" s="19" t="n">
        <f aca="false">IF($C207="",0,$C207+$D207)</f>
        <v>0</v>
      </c>
      <c r="H207" s="19" t="str">
        <f aca="false">IF($B207="","",CONCATENATE("Örnek borç: ",$B207))</f>
        <v/>
      </c>
    </row>
    <row r="208" customFormat="false" ht="15" hidden="false" customHeight="false" outlineLevel="0" collapsed="false">
      <c r="G208" s="19" t="n">
        <f aca="false">IF($C208="",0,$C208+$D208)</f>
        <v>0</v>
      </c>
      <c r="H208" s="19" t="str">
        <f aca="false">IF($B208="","",CONCATENATE("Örnek borç: ",$B208))</f>
        <v/>
      </c>
    </row>
    <row r="209" customFormat="false" ht="15" hidden="false" customHeight="false" outlineLevel="0" collapsed="false">
      <c r="G209" s="19" t="n">
        <f aca="false">IF($C209="",0,$C209+$D209)</f>
        <v>0</v>
      </c>
      <c r="H209" s="19" t="str">
        <f aca="false">IF($B209="","",CONCATENATE("Örnek borç: ",$B209))</f>
        <v/>
      </c>
    </row>
    <row r="210" customFormat="false" ht="15" hidden="false" customHeight="false" outlineLevel="0" collapsed="false">
      <c r="G210" s="19" t="n">
        <f aca="false">IF($C210="",0,$C210+$D210)</f>
        <v>0</v>
      </c>
      <c r="H210" s="19" t="str">
        <f aca="false">IF($B210="","",CONCATENATE("Örnek borç: ",$B210))</f>
        <v/>
      </c>
    </row>
    <row r="211" customFormat="false" ht="15" hidden="false" customHeight="false" outlineLevel="0" collapsed="false">
      <c r="G211" s="19" t="n">
        <f aca="false">IF($C211="",0,$C211+$D211)</f>
        <v>0</v>
      </c>
      <c r="H211" s="19" t="str">
        <f aca="false">IF($B211="","",CONCATENATE("Örnek borç: ",$B211))</f>
        <v/>
      </c>
    </row>
    <row r="212" customFormat="false" ht="15" hidden="false" customHeight="false" outlineLevel="0" collapsed="false">
      <c r="G212" s="19" t="n">
        <f aca="false">IF($C212="",0,$C212+$D212)</f>
        <v>0</v>
      </c>
      <c r="H212" s="19" t="str">
        <f aca="false">IF($B212="","",CONCATENATE("Örnek borç: ",$B212))</f>
        <v/>
      </c>
    </row>
    <row r="213" customFormat="false" ht="15" hidden="false" customHeight="false" outlineLevel="0" collapsed="false">
      <c r="G213" s="19" t="n">
        <f aca="false">IF($C213="",0,$C213+$D213)</f>
        <v>0</v>
      </c>
      <c r="H213" s="19" t="str">
        <f aca="false">IF($B213="","",CONCATENATE("Örnek borç: ",$B213))</f>
        <v/>
      </c>
    </row>
    <row r="214" customFormat="false" ht="15" hidden="false" customHeight="false" outlineLevel="0" collapsed="false">
      <c r="G214" s="19" t="n">
        <f aca="false">IF($C214="",0,$C214+$D214)</f>
        <v>0</v>
      </c>
      <c r="H214" s="19" t="str">
        <f aca="false">IF($B214="","",CONCATENATE("Örnek borç: ",$B214))</f>
        <v/>
      </c>
    </row>
    <row r="215" customFormat="false" ht="15" hidden="false" customHeight="false" outlineLevel="0" collapsed="false">
      <c r="G215" s="19" t="n">
        <f aca="false">IF($C215="",0,$C215+$D215)</f>
        <v>0</v>
      </c>
      <c r="H215" s="19" t="str">
        <f aca="false">IF($B215="","",CONCATENATE("Örnek borç: ",$B215))</f>
        <v/>
      </c>
    </row>
    <row r="216" customFormat="false" ht="15" hidden="false" customHeight="false" outlineLevel="0" collapsed="false">
      <c r="G216" s="19" t="n">
        <f aca="false">IF($C216="",0,$C216+$D216)</f>
        <v>0</v>
      </c>
      <c r="H216" s="19" t="str">
        <f aca="false">IF($B216="","",CONCATENATE("Örnek borç: ",$B216))</f>
        <v/>
      </c>
    </row>
    <row r="217" customFormat="false" ht="15" hidden="false" customHeight="false" outlineLevel="0" collapsed="false">
      <c r="G217" s="19" t="n">
        <f aca="false">IF($C217="",0,$C217+$D217)</f>
        <v>0</v>
      </c>
      <c r="H217" s="19" t="str">
        <f aca="false">IF($B217="","",CONCATENATE("Örnek borç: ",$B217))</f>
        <v/>
      </c>
    </row>
    <row r="218" customFormat="false" ht="15" hidden="false" customHeight="false" outlineLevel="0" collapsed="false">
      <c r="G218" s="19" t="n">
        <f aca="false">IF($C218="",0,$C218+$D218)</f>
        <v>0</v>
      </c>
      <c r="H218" s="19" t="str">
        <f aca="false">IF($B218="","",CONCATENATE("Örnek borç: ",$B218))</f>
        <v/>
      </c>
    </row>
    <row r="219" customFormat="false" ht="15" hidden="false" customHeight="false" outlineLevel="0" collapsed="false">
      <c r="G219" s="19" t="n">
        <f aca="false">IF($C219="",0,$C219+$D219)</f>
        <v>0</v>
      </c>
      <c r="H219" s="19" t="str">
        <f aca="false">IF($B219="","",CONCATENATE("Örnek borç: ",$B219))</f>
        <v/>
      </c>
    </row>
    <row r="220" customFormat="false" ht="15" hidden="false" customHeight="false" outlineLevel="0" collapsed="false">
      <c r="G220" s="19" t="n">
        <f aca="false">IF($C220="",0,$C220+$D220)</f>
        <v>0</v>
      </c>
      <c r="H220" s="19" t="str">
        <f aca="false">IF($B220="","",CONCATENATE("Örnek borç: ",$B220))</f>
        <v/>
      </c>
    </row>
    <row r="221" customFormat="false" ht="15" hidden="false" customHeight="false" outlineLevel="0" collapsed="false">
      <c r="G221" s="19" t="n">
        <f aca="false">IF($C221="",0,$C221+$D221)</f>
        <v>0</v>
      </c>
      <c r="H221" s="19" t="str">
        <f aca="false">IF($B221="","",CONCATENATE("Örnek borç: ",$B221))</f>
        <v/>
      </c>
    </row>
    <row r="222" customFormat="false" ht="15" hidden="false" customHeight="false" outlineLevel="0" collapsed="false">
      <c r="G222" s="19" t="n">
        <f aca="false">IF($C222="",0,$C222+$D222)</f>
        <v>0</v>
      </c>
      <c r="H222" s="19" t="str">
        <f aca="false">IF($B222="","",CONCATENATE("Örnek borç: ",$B222))</f>
        <v/>
      </c>
    </row>
    <row r="223" customFormat="false" ht="15" hidden="false" customHeight="false" outlineLevel="0" collapsed="false">
      <c r="G223" s="19" t="n">
        <f aca="false">IF($C223="",0,$C223+$D223)</f>
        <v>0</v>
      </c>
      <c r="H223" s="19" t="str">
        <f aca="false">IF($B223="","",CONCATENATE("Örnek borç: ",$B223))</f>
        <v/>
      </c>
    </row>
    <row r="224" customFormat="false" ht="15" hidden="false" customHeight="false" outlineLevel="0" collapsed="false">
      <c r="G224" s="19" t="n">
        <f aca="false">IF($C224="",0,$C224+$D224)</f>
        <v>0</v>
      </c>
      <c r="H224" s="19" t="str">
        <f aca="false">IF($B224="","",CONCATENATE("Örnek borç: ",$B224))</f>
        <v/>
      </c>
    </row>
    <row r="225" customFormat="false" ht="15" hidden="false" customHeight="false" outlineLevel="0" collapsed="false">
      <c r="G225" s="19" t="n">
        <f aca="false">IF($C225="",0,$C225+$D225)</f>
        <v>0</v>
      </c>
      <c r="H225" s="19" t="str">
        <f aca="false">IF($B225="","",CONCATENATE("Örnek borç: ",$B225))</f>
        <v/>
      </c>
    </row>
    <row r="226" customFormat="false" ht="15" hidden="false" customHeight="false" outlineLevel="0" collapsed="false">
      <c r="G226" s="19" t="n">
        <f aca="false">IF($C226="",0,$C226+$D226)</f>
        <v>0</v>
      </c>
      <c r="H226" s="19" t="str">
        <f aca="false">IF($B226="","",CONCATENATE("Örnek borç: ",$B226))</f>
        <v/>
      </c>
    </row>
    <row r="227" customFormat="false" ht="15" hidden="false" customHeight="false" outlineLevel="0" collapsed="false">
      <c r="G227" s="19" t="n">
        <f aca="false">IF($C227="",0,$C227+$D227)</f>
        <v>0</v>
      </c>
      <c r="H227" s="19" t="str">
        <f aca="false">IF($B227="","",CONCATENATE("Örnek borç: ",$B227))</f>
        <v/>
      </c>
    </row>
    <row r="228" customFormat="false" ht="15" hidden="false" customHeight="false" outlineLevel="0" collapsed="false">
      <c r="G228" s="19" t="n">
        <f aca="false">IF($C228="",0,$C228+$D228)</f>
        <v>0</v>
      </c>
      <c r="H228" s="19" t="str">
        <f aca="false">IF($B228="","",CONCATENATE("Örnek borç: ",$B228))</f>
        <v/>
      </c>
    </row>
    <row r="229" customFormat="false" ht="15" hidden="false" customHeight="false" outlineLevel="0" collapsed="false">
      <c r="G229" s="19" t="n">
        <f aca="false">IF($C229="",0,$C229+$D229)</f>
        <v>0</v>
      </c>
      <c r="H229" s="19" t="str">
        <f aca="false">IF($B229="","",CONCATENATE("Örnek borç: ",$B229))</f>
        <v/>
      </c>
    </row>
    <row r="230" customFormat="false" ht="15" hidden="false" customHeight="false" outlineLevel="0" collapsed="false">
      <c r="G230" s="19" t="n">
        <f aca="false">IF($C230="",0,$C230+$D230)</f>
        <v>0</v>
      </c>
      <c r="H230" s="19" t="str">
        <f aca="false">IF($B230="","",CONCATENATE("Örnek borç: ",$B230))</f>
        <v/>
      </c>
    </row>
    <row r="231" customFormat="false" ht="15" hidden="false" customHeight="false" outlineLevel="0" collapsed="false">
      <c r="G231" s="19" t="n">
        <f aca="false">IF($C231="",0,$C231+$D231)</f>
        <v>0</v>
      </c>
      <c r="H231" s="19" t="str">
        <f aca="false">IF($B231="","",CONCATENATE("Örnek borç: ",$B231))</f>
        <v/>
      </c>
    </row>
    <row r="232" customFormat="false" ht="15" hidden="false" customHeight="false" outlineLevel="0" collapsed="false">
      <c r="G232" s="19" t="n">
        <f aca="false">IF($C232="",0,$C232+$D232)</f>
        <v>0</v>
      </c>
      <c r="H232" s="19" t="str">
        <f aca="false">IF($B232="","",CONCATENATE("Örnek borç: ",$B232))</f>
        <v/>
      </c>
    </row>
    <row r="233" customFormat="false" ht="15" hidden="false" customHeight="false" outlineLevel="0" collapsed="false">
      <c r="G233" s="19" t="n">
        <f aca="false">IF($C233="",0,$C233+$D233)</f>
        <v>0</v>
      </c>
      <c r="H233" s="19" t="str">
        <f aca="false">IF($B233="","",CONCATENATE("Örnek borç: ",$B233))</f>
        <v/>
      </c>
    </row>
    <row r="234" customFormat="false" ht="15" hidden="false" customHeight="false" outlineLevel="0" collapsed="false">
      <c r="G234" s="19" t="n">
        <f aca="false">IF($C234="",0,$C234+$D234)</f>
        <v>0</v>
      </c>
      <c r="H234" s="19" t="str">
        <f aca="false">IF($B234="","",CONCATENATE("Örnek borç: ",$B234))</f>
        <v/>
      </c>
    </row>
    <row r="235" customFormat="false" ht="15" hidden="false" customHeight="false" outlineLevel="0" collapsed="false">
      <c r="G235" s="19" t="n">
        <f aca="false">IF($C235="",0,$C235+$D235)</f>
        <v>0</v>
      </c>
      <c r="H235" s="19" t="str">
        <f aca="false">IF($B235="","",CONCATENATE("Örnek borç: ",$B235))</f>
        <v/>
      </c>
    </row>
    <row r="236" customFormat="false" ht="15" hidden="false" customHeight="false" outlineLevel="0" collapsed="false">
      <c r="G236" s="19" t="n">
        <f aca="false">IF($C236="",0,$C236+$D236)</f>
        <v>0</v>
      </c>
      <c r="H236" s="19" t="str">
        <f aca="false">IF($B236="","",CONCATENATE("Örnek borç: ",$B236))</f>
        <v/>
      </c>
    </row>
    <row r="237" customFormat="false" ht="15" hidden="false" customHeight="false" outlineLevel="0" collapsed="false">
      <c r="G237" s="19" t="n">
        <f aca="false">IF($C237="",0,$C237+$D237)</f>
        <v>0</v>
      </c>
      <c r="H237" s="19" t="str">
        <f aca="false">IF($B237="","",CONCATENATE("Örnek borç: ",$B237))</f>
        <v/>
      </c>
    </row>
    <row r="238" customFormat="false" ht="15" hidden="false" customHeight="false" outlineLevel="0" collapsed="false">
      <c r="G238" s="19" t="n">
        <f aca="false">IF($C238="",0,$C238+$D238)</f>
        <v>0</v>
      </c>
      <c r="H238" s="19" t="str">
        <f aca="false">IF($B238="","",CONCATENATE("Örnek borç: ",$B238))</f>
        <v/>
      </c>
    </row>
    <row r="239" customFormat="false" ht="15" hidden="false" customHeight="false" outlineLevel="0" collapsed="false">
      <c r="G239" s="19" t="n">
        <f aca="false">IF($C239="",0,$C239+$D239)</f>
        <v>0</v>
      </c>
      <c r="H239" s="19" t="str">
        <f aca="false">IF($B239="","",CONCATENATE("Örnek borç: ",$B239))</f>
        <v/>
      </c>
    </row>
    <row r="240" customFormat="false" ht="15" hidden="false" customHeight="false" outlineLevel="0" collapsed="false">
      <c r="G240" s="19" t="n">
        <f aca="false">IF($C240="",0,$C240+$D240)</f>
        <v>0</v>
      </c>
      <c r="H240" s="19" t="str">
        <f aca="false">IF($B240="","",CONCATENATE("Örnek borç: ",$B240))</f>
        <v/>
      </c>
    </row>
    <row r="241" customFormat="false" ht="15" hidden="false" customHeight="false" outlineLevel="0" collapsed="false">
      <c r="G241" s="19" t="n">
        <f aca="false">IF($C241="",0,$C241+$D241)</f>
        <v>0</v>
      </c>
      <c r="H241" s="19" t="str">
        <f aca="false">IF($B241="","",CONCATENATE("Örnek borç: ",$B241))</f>
        <v/>
      </c>
    </row>
    <row r="242" customFormat="false" ht="15" hidden="false" customHeight="false" outlineLevel="0" collapsed="false">
      <c r="G242" s="19" t="n">
        <f aca="false">IF($C242="",0,$C242+$D242)</f>
        <v>0</v>
      </c>
      <c r="H242" s="19" t="str">
        <f aca="false">IF($B242="","",CONCATENATE("Örnek borç: ",$B242))</f>
        <v/>
      </c>
    </row>
    <row r="243" customFormat="false" ht="15" hidden="false" customHeight="false" outlineLevel="0" collapsed="false">
      <c r="G243" s="19" t="n">
        <f aca="false">IF($C243="",0,$C243+$D243)</f>
        <v>0</v>
      </c>
      <c r="H243" s="19" t="str">
        <f aca="false">IF($B243="","",CONCATENATE("Örnek borç: ",$B243))</f>
        <v/>
      </c>
    </row>
    <row r="244" customFormat="false" ht="15" hidden="false" customHeight="false" outlineLevel="0" collapsed="false">
      <c r="G244" s="19" t="n">
        <f aca="false">IF($C244="",0,$C244+$D244)</f>
        <v>0</v>
      </c>
      <c r="H244" s="19" t="str">
        <f aca="false">IF($B244="","",CONCATENATE("Örnek borç: ",$B244))</f>
        <v/>
      </c>
    </row>
    <row r="245" customFormat="false" ht="15" hidden="false" customHeight="false" outlineLevel="0" collapsed="false">
      <c r="G245" s="19" t="n">
        <f aca="false">IF($C245="",0,$C245+$D245)</f>
        <v>0</v>
      </c>
      <c r="H245" s="19" t="str">
        <f aca="false">IF($B245="","",CONCATENATE("Örnek borç: ",$B245))</f>
        <v/>
      </c>
    </row>
    <row r="246" customFormat="false" ht="15" hidden="false" customHeight="false" outlineLevel="0" collapsed="false">
      <c r="G246" s="19" t="n">
        <f aca="false">IF($C246="",0,$C246+$D246)</f>
        <v>0</v>
      </c>
      <c r="H246" s="19" t="str">
        <f aca="false">IF($B246="","",CONCATENATE("Örnek borç: ",$B246))</f>
        <v/>
      </c>
    </row>
    <row r="247" customFormat="false" ht="15" hidden="false" customHeight="false" outlineLevel="0" collapsed="false">
      <c r="G247" s="19" t="n">
        <f aca="false">IF($C247="",0,$C247+$D247)</f>
        <v>0</v>
      </c>
      <c r="H247" s="19" t="str">
        <f aca="false">IF($B247="","",CONCATENATE("Örnek borç: ",$B247))</f>
        <v/>
      </c>
    </row>
    <row r="248" customFormat="false" ht="15" hidden="false" customHeight="false" outlineLevel="0" collapsed="false">
      <c r="G248" s="19" t="n">
        <f aca="false">IF($C248="",0,$C248+$D248)</f>
        <v>0</v>
      </c>
      <c r="H248" s="19" t="str">
        <f aca="false">IF($B248="","",CONCATENATE("Örnek borç: ",$B248))</f>
        <v/>
      </c>
    </row>
    <row r="249" customFormat="false" ht="15" hidden="false" customHeight="false" outlineLevel="0" collapsed="false">
      <c r="G249" s="19" t="n">
        <f aca="false">IF($C249="",0,$C249+$D249)</f>
        <v>0</v>
      </c>
      <c r="H249" s="19" t="str">
        <f aca="false">IF($B249="","",CONCATENATE("Örnek borç: ",$B249))</f>
        <v/>
      </c>
    </row>
    <row r="250" customFormat="false" ht="15" hidden="false" customHeight="false" outlineLevel="0" collapsed="false">
      <c r="G250" s="19" t="n">
        <f aca="false">IF($C250="",0,$C250+$D250)</f>
        <v>0</v>
      </c>
      <c r="H250" s="19" t="str">
        <f aca="false">IF($B250="","",CONCATENATE("Örnek borç: ",$B250))</f>
        <v/>
      </c>
    </row>
    <row r="251" customFormat="false" ht="15" hidden="false" customHeight="false" outlineLevel="0" collapsed="false">
      <c r="G251" s="19" t="n">
        <f aca="false">IF($C251="",0,$C251+$D251)</f>
        <v>0</v>
      </c>
      <c r="H251" s="19" t="str">
        <f aca="false">IF($B251="","",CONCATENATE("Örnek borç: ",$B251))</f>
        <v/>
      </c>
    </row>
    <row r="252" customFormat="false" ht="15" hidden="false" customHeight="false" outlineLevel="0" collapsed="false">
      <c r="G252" s="19" t="n">
        <f aca="false">IF($C252="",0,$C252+$D252)</f>
        <v>0</v>
      </c>
      <c r="H252" s="19" t="str">
        <f aca="false">IF($B252="","",CONCATENATE("Örnek borç: ",$B252))</f>
        <v/>
      </c>
    </row>
    <row r="253" customFormat="false" ht="15" hidden="false" customHeight="false" outlineLevel="0" collapsed="false">
      <c r="G253" s="19" t="n">
        <f aca="false">IF($C253="",0,$C253+$D253)</f>
        <v>0</v>
      </c>
      <c r="H253" s="19" t="str">
        <f aca="false">IF($B253="","",CONCATENATE("Örnek borç: ",$B253))</f>
        <v/>
      </c>
    </row>
    <row r="254" customFormat="false" ht="15" hidden="false" customHeight="false" outlineLevel="0" collapsed="false">
      <c r="G254" s="19" t="n">
        <f aca="false">IF($C254="",0,$C254+$D254)</f>
        <v>0</v>
      </c>
      <c r="H254" s="19" t="str">
        <f aca="false">IF($B254="","",CONCATENATE("Örnek borç: ",$B254))</f>
        <v/>
      </c>
    </row>
    <row r="255" customFormat="false" ht="15" hidden="false" customHeight="false" outlineLevel="0" collapsed="false">
      <c r="G255" s="19" t="n">
        <f aca="false">IF($C255="",0,$C255+$D255)</f>
        <v>0</v>
      </c>
      <c r="H255" s="19" t="str">
        <f aca="false">IF($B255="","",CONCATENATE("Örnek borç: ",$B255))</f>
        <v/>
      </c>
    </row>
    <row r="256" customFormat="false" ht="15" hidden="false" customHeight="false" outlineLevel="0" collapsed="false">
      <c r="G256" s="19" t="n">
        <f aca="false">IF($C256="",0,$C256+$D256)</f>
        <v>0</v>
      </c>
      <c r="H256" s="19" t="str">
        <f aca="false">IF($B256="","",CONCATENATE("Örnek borç: ",$B256))</f>
        <v/>
      </c>
    </row>
    <row r="257" customFormat="false" ht="15" hidden="false" customHeight="false" outlineLevel="0" collapsed="false">
      <c r="G257" s="19" t="n">
        <f aca="false">IF($C257="",0,$C257+$D257)</f>
        <v>0</v>
      </c>
      <c r="H257" s="19" t="str">
        <f aca="false">IF($B257="","",CONCATENATE("Örnek borç: ",$B257))</f>
        <v/>
      </c>
    </row>
    <row r="258" customFormat="false" ht="15" hidden="false" customHeight="false" outlineLevel="0" collapsed="false">
      <c r="G258" s="19" t="n">
        <f aca="false">IF($C258="",0,$C258+$D258)</f>
        <v>0</v>
      </c>
      <c r="H258" s="19" t="str">
        <f aca="false">IF($B258="","",CONCATENATE("Örnek borç: ",$B258))</f>
        <v/>
      </c>
    </row>
    <row r="259" customFormat="false" ht="15" hidden="false" customHeight="false" outlineLevel="0" collapsed="false">
      <c r="G259" s="19" t="n">
        <f aca="false">IF($C259="",0,$C259+$D259)</f>
        <v>0</v>
      </c>
      <c r="H259" s="19" t="str">
        <f aca="false">IF($B259="","",CONCATENATE("Örnek borç: ",$B259))</f>
        <v/>
      </c>
    </row>
    <row r="260" customFormat="false" ht="15" hidden="false" customHeight="false" outlineLevel="0" collapsed="false">
      <c r="G260" s="19" t="n">
        <f aca="false">IF($C260="",0,$C260+$D260)</f>
        <v>0</v>
      </c>
      <c r="H260" s="19" t="str">
        <f aca="false">IF($B260="","",CONCATENATE("Örnek borç: ",$B260))</f>
        <v/>
      </c>
    </row>
    <row r="261" customFormat="false" ht="15" hidden="false" customHeight="false" outlineLevel="0" collapsed="false">
      <c r="G261" s="19" t="n">
        <f aca="false">IF($C261="",0,$C261+$D261)</f>
        <v>0</v>
      </c>
      <c r="H261" s="19" t="str">
        <f aca="false">IF($B261="","",CONCATENATE("Örnek borç: ",$B261))</f>
        <v/>
      </c>
    </row>
    <row r="262" customFormat="false" ht="15" hidden="false" customHeight="false" outlineLevel="0" collapsed="false">
      <c r="G262" s="19" t="n">
        <f aca="false">IF($C262="",0,$C262+$D262)</f>
        <v>0</v>
      </c>
      <c r="H262" s="19" t="str">
        <f aca="false">IF($B262="","",CONCATENATE("Örnek borç: ",$B262))</f>
        <v/>
      </c>
    </row>
    <row r="263" customFormat="false" ht="15" hidden="false" customHeight="false" outlineLevel="0" collapsed="false">
      <c r="G263" s="19" t="n">
        <f aca="false">IF($C263="",0,$C263+$D263)</f>
        <v>0</v>
      </c>
      <c r="H263" s="19" t="str">
        <f aca="false">IF($B263="","",CONCATENATE("Örnek borç: ",$B263))</f>
        <v/>
      </c>
    </row>
    <row r="264" customFormat="false" ht="15" hidden="false" customHeight="false" outlineLevel="0" collapsed="false">
      <c r="G264" s="19" t="n">
        <f aca="false">IF($C264="",0,$C264+$D264)</f>
        <v>0</v>
      </c>
      <c r="H264" s="19" t="str">
        <f aca="false">IF($B264="","",CONCATENATE("Örnek borç: ",$B264))</f>
        <v/>
      </c>
    </row>
    <row r="265" customFormat="false" ht="15" hidden="false" customHeight="false" outlineLevel="0" collapsed="false">
      <c r="G265" s="19" t="n">
        <f aca="false">IF($C265="",0,$C265+$D265)</f>
        <v>0</v>
      </c>
      <c r="H265" s="19" t="str">
        <f aca="false">IF($B265="","",CONCATENATE("Örnek borç: ",$B265))</f>
        <v/>
      </c>
    </row>
    <row r="266" customFormat="false" ht="15" hidden="false" customHeight="false" outlineLevel="0" collapsed="false">
      <c r="G266" s="19" t="n">
        <f aca="false">IF($C266="",0,$C266+$D266)</f>
        <v>0</v>
      </c>
      <c r="H266" s="19" t="str">
        <f aca="false">IF($B266="","",CONCATENATE("Örnek borç: ",$B266))</f>
        <v/>
      </c>
    </row>
    <row r="267" customFormat="false" ht="15" hidden="false" customHeight="false" outlineLevel="0" collapsed="false">
      <c r="G267" s="19" t="n">
        <f aca="false">IF($C267="",0,$C267+$D267)</f>
        <v>0</v>
      </c>
      <c r="H267" s="19" t="str">
        <f aca="false">IF($B267="","",CONCATENATE("Örnek borç: ",$B267))</f>
        <v/>
      </c>
    </row>
    <row r="268" customFormat="false" ht="15" hidden="false" customHeight="false" outlineLevel="0" collapsed="false">
      <c r="G268" s="19" t="n">
        <f aca="false">IF($C268="",0,$C268+$D268)</f>
        <v>0</v>
      </c>
      <c r="H268" s="19" t="str">
        <f aca="false">IF($B268="","",CONCATENATE("Örnek borç: ",$B268))</f>
        <v/>
      </c>
    </row>
    <row r="269" customFormat="false" ht="15" hidden="false" customHeight="false" outlineLevel="0" collapsed="false">
      <c r="G269" s="19" t="n">
        <f aca="false">IF($C269="",0,$C269+$D269)</f>
        <v>0</v>
      </c>
      <c r="H269" s="19" t="str">
        <f aca="false">IF($B269="","",CONCATENATE("Örnek borç: ",$B269))</f>
        <v/>
      </c>
    </row>
    <row r="270" customFormat="false" ht="15" hidden="false" customHeight="false" outlineLevel="0" collapsed="false">
      <c r="G270" s="19" t="n">
        <f aca="false">IF($C270="",0,$C270+$D270)</f>
        <v>0</v>
      </c>
      <c r="H270" s="19" t="str">
        <f aca="false">IF($B270="","",CONCATENATE("Örnek borç: ",$B270))</f>
        <v/>
      </c>
    </row>
    <row r="271" customFormat="false" ht="15" hidden="false" customHeight="false" outlineLevel="0" collapsed="false">
      <c r="G271" s="19" t="n">
        <f aca="false">IF($C271="",0,$C271+$D271)</f>
        <v>0</v>
      </c>
      <c r="H271" s="19" t="str">
        <f aca="false">IF($B271="","",CONCATENATE("Örnek borç: ",$B271))</f>
        <v/>
      </c>
    </row>
    <row r="272" customFormat="false" ht="15" hidden="false" customHeight="false" outlineLevel="0" collapsed="false">
      <c r="G272" s="19" t="n">
        <f aca="false">IF($C272="",0,$C272+$D272)</f>
        <v>0</v>
      </c>
      <c r="H272" s="19" t="str">
        <f aca="false">IF($B272="","",CONCATENATE("Örnek borç: ",$B272))</f>
        <v/>
      </c>
    </row>
    <row r="273" customFormat="false" ht="15" hidden="false" customHeight="false" outlineLevel="0" collapsed="false">
      <c r="G273" s="19" t="n">
        <f aca="false">IF($C273="",0,$C273+$D273)</f>
        <v>0</v>
      </c>
      <c r="H273" s="19" t="str">
        <f aca="false">IF($B273="","",CONCATENATE("Örnek borç: ",$B273))</f>
        <v/>
      </c>
    </row>
    <row r="274" customFormat="false" ht="15" hidden="false" customHeight="false" outlineLevel="0" collapsed="false">
      <c r="G274" s="19" t="n">
        <f aca="false">IF($C274="",0,$C274+$D274)</f>
        <v>0</v>
      </c>
      <c r="H274" s="19" t="str">
        <f aca="false">IF($B274="","",CONCATENATE("Örnek borç: ",$B274))</f>
        <v/>
      </c>
    </row>
    <row r="275" customFormat="false" ht="15" hidden="false" customHeight="false" outlineLevel="0" collapsed="false">
      <c r="G275" s="19" t="n">
        <f aca="false">IF($C275="",0,$C275+$D275)</f>
        <v>0</v>
      </c>
      <c r="H275" s="19" t="str">
        <f aca="false">IF($B275="","",CONCATENATE("Örnek borç: ",$B275))</f>
        <v/>
      </c>
    </row>
    <row r="276" customFormat="false" ht="15" hidden="false" customHeight="false" outlineLevel="0" collapsed="false">
      <c r="G276" s="19" t="n">
        <f aca="false">IF($C276="",0,$C276+$D276)</f>
        <v>0</v>
      </c>
      <c r="H276" s="19" t="str">
        <f aca="false">IF($B276="","",CONCATENATE("Örnek borç: ",$B276))</f>
        <v/>
      </c>
    </row>
    <row r="277" customFormat="false" ht="15" hidden="false" customHeight="false" outlineLevel="0" collapsed="false">
      <c r="G277" s="19" t="n">
        <f aca="false">IF($C277="",0,$C277+$D277)</f>
        <v>0</v>
      </c>
      <c r="H277" s="19" t="str">
        <f aca="false">IF($B277="","",CONCATENATE("Örnek borç: ",$B277))</f>
        <v/>
      </c>
    </row>
    <row r="278" customFormat="false" ht="15" hidden="false" customHeight="false" outlineLevel="0" collapsed="false">
      <c r="G278" s="19" t="n">
        <f aca="false">IF($C278="",0,$C278+$D278)</f>
        <v>0</v>
      </c>
      <c r="H278" s="19" t="str">
        <f aca="false">IF($B278="","",CONCATENATE("Örnek borç: ",$B278))</f>
        <v/>
      </c>
    </row>
    <row r="279" customFormat="false" ht="15" hidden="false" customHeight="false" outlineLevel="0" collapsed="false">
      <c r="G279" s="19" t="n">
        <f aca="false">IF($C279="",0,$C279+$D279)</f>
        <v>0</v>
      </c>
      <c r="H279" s="19" t="str">
        <f aca="false">IF($B279="","",CONCATENATE("Örnek borç: ",$B279))</f>
        <v/>
      </c>
    </row>
    <row r="280" customFormat="false" ht="15" hidden="false" customHeight="false" outlineLevel="0" collapsed="false">
      <c r="G280" s="19" t="n">
        <f aca="false">IF($C280="",0,$C280+$D280)</f>
        <v>0</v>
      </c>
      <c r="H280" s="19" t="str">
        <f aca="false">IF($B280="","",CONCATENATE("Örnek borç: ",$B280))</f>
        <v/>
      </c>
    </row>
    <row r="281" customFormat="false" ht="15" hidden="false" customHeight="false" outlineLevel="0" collapsed="false">
      <c r="G281" s="19" t="n">
        <f aca="false">IF($C281="",0,$C281+$D281)</f>
        <v>0</v>
      </c>
      <c r="H281" s="19" t="str">
        <f aca="false">IF($B281="","",CONCATENATE("Örnek borç: ",$B281))</f>
        <v/>
      </c>
    </row>
    <row r="282" customFormat="false" ht="15" hidden="false" customHeight="false" outlineLevel="0" collapsed="false">
      <c r="G282" s="19" t="n">
        <f aca="false">IF($C282="",0,$C282+$D282)</f>
        <v>0</v>
      </c>
      <c r="H282" s="19" t="str">
        <f aca="false">IF($B282="","",CONCATENATE("Örnek borç: ",$B282))</f>
        <v/>
      </c>
    </row>
    <row r="283" customFormat="false" ht="15" hidden="false" customHeight="false" outlineLevel="0" collapsed="false">
      <c r="G283" s="19" t="n">
        <f aca="false">IF($C283="",0,$C283+$D283)</f>
        <v>0</v>
      </c>
      <c r="H283" s="19" t="str">
        <f aca="false">IF($B283="","",CONCATENATE("Örnek borç: ",$B283))</f>
        <v/>
      </c>
    </row>
    <row r="284" customFormat="false" ht="15" hidden="false" customHeight="false" outlineLevel="0" collapsed="false">
      <c r="G284" s="19" t="n">
        <f aca="false">IF($C284="",0,$C284+$D284)</f>
        <v>0</v>
      </c>
      <c r="H284" s="19" t="str">
        <f aca="false">IF($B284="","",CONCATENATE("Örnek borç: ",$B284))</f>
        <v/>
      </c>
    </row>
    <row r="285" customFormat="false" ht="15" hidden="false" customHeight="false" outlineLevel="0" collapsed="false">
      <c r="G285" s="19" t="n">
        <f aca="false">IF($C285="",0,$C285+$D285)</f>
        <v>0</v>
      </c>
      <c r="H285" s="19" t="str">
        <f aca="false">IF($B285="","",CONCATENATE("Örnek borç: ",$B285))</f>
        <v/>
      </c>
    </row>
    <row r="286" customFormat="false" ht="15" hidden="false" customHeight="false" outlineLevel="0" collapsed="false">
      <c r="G286" s="19" t="n">
        <f aca="false">IF($C286="",0,$C286+$D286)</f>
        <v>0</v>
      </c>
      <c r="H286" s="19" t="str">
        <f aca="false">IF($B286="","",CONCATENATE("Örnek borç: ",$B286))</f>
        <v/>
      </c>
    </row>
    <row r="287" customFormat="false" ht="15" hidden="false" customHeight="false" outlineLevel="0" collapsed="false">
      <c r="G287" s="19" t="n">
        <f aca="false">IF($C287="",0,$C287+$D287)</f>
        <v>0</v>
      </c>
      <c r="H287" s="19" t="str">
        <f aca="false">IF($B287="","",CONCATENATE("Örnek borç: ",$B287))</f>
        <v/>
      </c>
    </row>
    <row r="288" customFormat="false" ht="15" hidden="false" customHeight="false" outlineLevel="0" collapsed="false">
      <c r="G288" s="19" t="n">
        <f aca="false">IF($C288="",0,$C288+$D288)</f>
        <v>0</v>
      </c>
      <c r="H288" s="19" t="str">
        <f aca="false">IF($B288="","",CONCATENATE("Örnek borç: ",$B288))</f>
        <v/>
      </c>
    </row>
    <row r="289" customFormat="false" ht="15" hidden="false" customHeight="false" outlineLevel="0" collapsed="false">
      <c r="G289" s="19" t="n">
        <f aca="false">IF($C289="",0,$C289+$D289)</f>
        <v>0</v>
      </c>
      <c r="H289" s="19" t="str">
        <f aca="false">IF($B289="","",CONCATENATE("Örnek borç: ",$B289))</f>
        <v/>
      </c>
    </row>
    <row r="290" customFormat="false" ht="15" hidden="false" customHeight="false" outlineLevel="0" collapsed="false">
      <c r="G290" s="19" t="n">
        <f aca="false">IF($C290="",0,$C290+$D290)</f>
        <v>0</v>
      </c>
      <c r="H290" s="19" t="str">
        <f aca="false">IF($B290="","",CONCATENATE("Örnek borç: ",$B290))</f>
        <v/>
      </c>
    </row>
    <row r="291" customFormat="false" ht="15" hidden="false" customHeight="false" outlineLevel="0" collapsed="false">
      <c r="G291" s="19" t="n">
        <f aca="false">IF($C291="",0,$C291+$D291)</f>
        <v>0</v>
      </c>
      <c r="H291" s="19" t="str">
        <f aca="false">IF($B291="","",CONCATENATE("Örnek borç: ",$B291))</f>
        <v/>
      </c>
    </row>
    <row r="292" customFormat="false" ht="15" hidden="false" customHeight="false" outlineLevel="0" collapsed="false">
      <c r="G292" s="19" t="n">
        <f aca="false">IF($C292="",0,$C292+$D292)</f>
        <v>0</v>
      </c>
      <c r="H292" s="19" t="str">
        <f aca="false">IF($B292="","",CONCATENATE("Örnek borç: ",$B292))</f>
        <v/>
      </c>
    </row>
    <row r="293" customFormat="false" ht="15" hidden="false" customHeight="false" outlineLevel="0" collapsed="false">
      <c r="G293" s="19" t="n">
        <f aca="false">IF($C293="",0,$C293+$D293)</f>
        <v>0</v>
      </c>
      <c r="H293" s="19" t="str">
        <f aca="false">IF($B293="","",CONCATENATE("Örnek borç: ",$B293))</f>
        <v/>
      </c>
    </row>
    <row r="294" customFormat="false" ht="15" hidden="false" customHeight="false" outlineLevel="0" collapsed="false">
      <c r="G294" s="19" t="n">
        <f aca="false">IF($C294="",0,$C294+$D294)</f>
        <v>0</v>
      </c>
      <c r="H294" s="19" t="str">
        <f aca="false">IF($B294="","",CONCATENATE("Örnek borç: ",$B294))</f>
        <v/>
      </c>
    </row>
    <row r="295" customFormat="false" ht="15" hidden="false" customHeight="false" outlineLevel="0" collapsed="false">
      <c r="G295" s="19" t="n">
        <f aca="false">IF($C295="",0,$C295+$D295)</f>
        <v>0</v>
      </c>
      <c r="H295" s="19" t="str">
        <f aca="false">IF($B295="","",CONCATENATE("Örnek borç: ",$B295))</f>
        <v/>
      </c>
    </row>
    <row r="296" customFormat="false" ht="15" hidden="false" customHeight="false" outlineLevel="0" collapsed="false">
      <c r="G296" s="19" t="n">
        <f aca="false">IF($C296="",0,$C296+$D296)</f>
        <v>0</v>
      </c>
      <c r="H296" s="19" t="str">
        <f aca="false">IF($B296="","",CONCATENATE("Örnek borç: ",$B296))</f>
        <v/>
      </c>
    </row>
    <row r="297" customFormat="false" ht="15" hidden="false" customHeight="false" outlineLevel="0" collapsed="false">
      <c r="G297" s="19" t="n">
        <f aca="false">IF($C297="",0,$C297+$D297)</f>
        <v>0</v>
      </c>
      <c r="H297" s="19" t="str">
        <f aca="false">IF($B297="","",CONCATENATE("Örnek borç: ",$B297))</f>
        <v/>
      </c>
    </row>
    <row r="298" customFormat="false" ht="15" hidden="false" customHeight="false" outlineLevel="0" collapsed="false">
      <c r="G298" s="19" t="n">
        <f aca="false">IF($C298="",0,$C298+$D298)</f>
        <v>0</v>
      </c>
      <c r="H298" s="19" t="str">
        <f aca="false">IF($B298="","",CONCATENATE("Örnek borç: ",$B298))</f>
        <v/>
      </c>
    </row>
    <row r="299" customFormat="false" ht="15" hidden="false" customHeight="false" outlineLevel="0" collapsed="false">
      <c r="G299" s="19" t="n">
        <f aca="false">IF($C299="",0,$C299+$D299)</f>
        <v>0</v>
      </c>
      <c r="H299" s="19" t="str">
        <f aca="false">IF($B299="","",CONCATENATE("Örnek borç: ",$B299))</f>
        <v/>
      </c>
    </row>
    <row r="300" customFormat="false" ht="15" hidden="false" customHeight="false" outlineLevel="0" collapsed="false">
      <c r="G300" s="19" t="n">
        <f aca="false">IF($C300="",0,$C300+$D300)</f>
        <v>0</v>
      </c>
      <c r="H300" s="19" t="str">
        <f aca="false">IF($B300="","",CONCATENATE("Örnek borç: ",$B300))</f>
        <v/>
      </c>
    </row>
    <row r="301" customFormat="false" ht="15" hidden="false" customHeight="false" outlineLevel="0" collapsed="false">
      <c r="G301" s="19" t="n">
        <f aca="false">IF($C301="",0,$C301+$D301)</f>
        <v>0</v>
      </c>
      <c r="H301" s="19" t="str">
        <f aca="false">IF($B301="","",CONCATENATE("Örnek borç: ",$B301))</f>
        <v/>
      </c>
    </row>
    <row r="302" customFormat="false" ht="15" hidden="false" customHeight="false" outlineLevel="0" collapsed="false">
      <c r="G302" s="19" t="n">
        <f aca="false">IF($C302="",0,$C302+$D302)</f>
        <v>0</v>
      </c>
      <c r="H302" s="19" t="str">
        <f aca="false">IF($B302="","",CONCATENATE("Örnek borç: ",$B302))</f>
        <v/>
      </c>
    </row>
    <row r="303" customFormat="false" ht="15" hidden="false" customHeight="false" outlineLevel="0" collapsed="false">
      <c r="G303" s="19" t="n">
        <f aca="false">IF($C303="",0,$C303+$D303)</f>
        <v>0</v>
      </c>
      <c r="H303" s="19" t="str">
        <f aca="false">IF($B303="","",CONCATENATE("Örnek borç: ",$B303))</f>
        <v/>
      </c>
    </row>
    <row r="304" customFormat="false" ht="15" hidden="false" customHeight="false" outlineLevel="0" collapsed="false">
      <c r="G304" s="19" t="n">
        <f aca="false">IF($C304="",0,$C304+$D304)</f>
        <v>0</v>
      </c>
      <c r="H304" s="19" t="str">
        <f aca="false">IF($B304="","",CONCATENATE("Örnek borç: ",$B304))</f>
        <v/>
      </c>
    </row>
    <row r="305" customFormat="false" ht="15" hidden="false" customHeight="false" outlineLevel="0" collapsed="false">
      <c r="G305" s="19" t="n">
        <f aca="false">IF($C305="",0,$C305+$D305)</f>
        <v>0</v>
      </c>
      <c r="H305" s="19" t="str">
        <f aca="false">IF($B305="","",CONCATENATE("Örnek borç: ",$B305))</f>
        <v/>
      </c>
    </row>
    <row r="306" customFormat="false" ht="15" hidden="false" customHeight="false" outlineLevel="0" collapsed="false">
      <c r="G306" s="19" t="n">
        <f aca="false">IF($C306="",0,$C306+$D306)</f>
        <v>0</v>
      </c>
      <c r="H306" s="19" t="str">
        <f aca="false">IF($B306="","",CONCATENATE("Örnek borç: ",$B306))</f>
        <v/>
      </c>
    </row>
    <row r="307" customFormat="false" ht="15" hidden="false" customHeight="false" outlineLevel="0" collapsed="false">
      <c r="G307" s="19" t="n">
        <f aca="false">IF($C307="",0,$C307+$D307)</f>
        <v>0</v>
      </c>
      <c r="H307" s="19" t="str">
        <f aca="false">IF($B307="","",CONCATENATE("Örnek borç: ",$B307))</f>
        <v/>
      </c>
    </row>
    <row r="308" customFormat="false" ht="15" hidden="false" customHeight="false" outlineLevel="0" collapsed="false">
      <c r="G308" s="19" t="n">
        <f aca="false">IF($C308="",0,$C308+$D308)</f>
        <v>0</v>
      </c>
      <c r="H308" s="19" t="str">
        <f aca="false">IF($B308="","",CONCATENATE("Örnek borç: ",$B308))</f>
        <v/>
      </c>
    </row>
    <row r="309" customFormat="false" ht="15" hidden="false" customHeight="false" outlineLevel="0" collapsed="false">
      <c r="G309" s="19" t="n">
        <f aca="false">IF($C309="",0,$C309+$D309)</f>
        <v>0</v>
      </c>
      <c r="H309" s="19" t="str">
        <f aca="false">IF($B309="","",CONCATENATE("Örnek borç: ",$B309))</f>
        <v/>
      </c>
    </row>
    <row r="310" customFormat="false" ht="15" hidden="false" customHeight="false" outlineLevel="0" collapsed="false">
      <c r="G310" s="19" t="n">
        <f aca="false">IF($C310="",0,$C310+$D310)</f>
        <v>0</v>
      </c>
      <c r="H310" s="19" t="str">
        <f aca="false">IF($B310="","",CONCATENATE("Örnek borç: ",$B310))</f>
        <v/>
      </c>
    </row>
    <row r="311" customFormat="false" ht="15" hidden="false" customHeight="false" outlineLevel="0" collapsed="false">
      <c r="G311" s="19" t="n">
        <f aca="false">IF($C311="",0,$C311+$D311)</f>
        <v>0</v>
      </c>
      <c r="H311" s="19" t="str">
        <f aca="false">IF($B311="","",CONCATENATE("Örnek borç: ",$B311))</f>
        <v/>
      </c>
    </row>
    <row r="312" customFormat="false" ht="15" hidden="false" customHeight="false" outlineLevel="0" collapsed="false">
      <c r="G312" s="19" t="n">
        <f aca="false">IF($C312="",0,$C312+$D312)</f>
        <v>0</v>
      </c>
      <c r="H312" s="19" t="str">
        <f aca="false">IF($B312="","",CONCATENATE("Örnek borç: ",$B312))</f>
        <v/>
      </c>
    </row>
    <row r="313" customFormat="false" ht="15" hidden="false" customHeight="false" outlineLevel="0" collapsed="false">
      <c r="G313" s="19" t="n">
        <f aca="false">IF($C313="",0,$C313+$D313)</f>
        <v>0</v>
      </c>
      <c r="H313" s="19" t="str">
        <f aca="false">IF($B313="","",CONCATENATE("Örnek borç: ",$B313))</f>
        <v/>
      </c>
    </row>
    <row r="314" customFormat="false" ht="15" hidden="false" customHeight="false" outlineLevel="0" collapsed="false">
      <c r="G314" s="19" t="n">
        <f aca="false">IF($C314="",0,$C314+$D314)</f>
        <v>0</v>
      </c>
      <c r="H314" s="19" t="str">
        <f aca="false">IF($B314="","",CONCATENATE("Örnek borç: ",$B314))</f>
        <v/>
      </c>
    </row>
    <row r="315" customFormat="false" ht="15" hidden="false" customHeight="false" outlineLevel="0" collapsed="false">
      <c r="G315" s="19" t="n">
        <f aca="false">IF($C315="",0,$C315+$D315)</f>
        <v>0</v>
      </c>
      <c r="H315" s="19" t="str">
        <f aca="false">IF($B315="","",CONCATENATE("Örnek borç: ",$B315))</f>
        <v/>
      </c>
    </row>
    <row r="316" customFormat="false" ht="15" hidden="false" customHeight="false" outlineLevel="0" collapsed="false">
      <c r="G316" s="19" t="n">
        <f aca="false">IF($C316="",0,$C316+$D316)</f>
        <v>0</v>
      </c>
      <c r="H316" s="19" t="str">
        <f aca="false">IF($B316="","",CONCATENATE("Örnek borç: ",$B316))</f>
        <v/>
      </c>
    </row>
    <row r="317" customFormat="false" ht="15" hidden="false" customHeight="false" outlineLevel="0" collapsed="false">
      <c r="G317" s="19" t="n">
        <f aca="false">IF($C317="",0,$C317+$D317)</f>
        <v>0</v>
      </c>
      <c r="H317" s="19" t="str">
        <f aca="false">IF($B317="","",CONCATENATE("Örnek borç: ",$B317))</f>
        <v/>
      </c>
    </row>
    <row r="318" customFormat="false" ht="15" hidden="false" customHeight="false" outlineLevel="0" collapsed="false">
      <c r="G318" s="19" t="n">
        <f aca="false">IF($C318="",0,$C318+$D318)</f>
        <v>0</v>
      </c>
      <c r="H318" s="19" t="str">
        <f aca="false">IF($B318="","",CONCATENATE("Örnek borç: ",$B318))</f>
        <v/>
      </c>
    </row>
    <row r="319" customFormat="false" ht="15" hidden="false" customHeight="false" outlineLevel="0" collapsed="false">
      <c r="G319" s="19" t="n">
        <f aca="false">IF($C319="",0,$C319+$D319)</f>
        <v>0</v>
      </c>
      <c r="H319" s="19" t="str">
        <f aca="false">IF($B319="","",CONCATENATE("Örnek borç: ",$B319))</f>
        <v/>
      </c>
    </row>
    <row r="320" customFormat="false" ht="15" hidden="false" customHeight="false" outlineLevel="0" collapsed="false">
      <c r="G320" s="19" t="n">
        <f aca="false">IF($C320="",0,$C320+$D320)</f>
        <v>0</v>
      </c>
      <c r="H320" s="19" t="str">
        <f aca="false">IF($B320="","",CONCATENATE("Örnek borç: ",$B320))</f>
        <v/>
      </c>
    </row>
    <row r="321" customFormat="false" ht="15" hidden="false" customHeight="false" outlineLevel="0" collapsed="false">
      <c r="G321" s="19" t="n">
        <f aca="false">IF($C321="",0,$C321+$D321)</f>
        <v>0</v>
      </c>
      <c r="H321" s="19" t="str">
        <f aca="false">IF($B321="","",CONCATENATE("Örnek borç: ",$B321))</f>
        <v/>
      </c>
    </row>
    <row r="322" customFormat="false" ht="15" hidden="false" customHeight="false" outlineLevel="0" collapsed="false">
      <c r="G322" s="19" t="n">
        <f aca="false">IF($C322="",0,$C322+$D322)</f>
        <v>0</v>
      </c>
      <c r="H322" s="19" t="str">
        <f aca="false">IF($B322="","",CONCATENATE("Örnek borç: ",$B322))</f>
        <v/>
      </c>
    </row>
    <row r="323" customFormat="false" ht="15" hidden="false" customHeight="false" outlineLevel="0" collapsed="false">
      <c r="G323" s="19" t="n">
        <f aca="false">IF($C323="",0,$C323+$D323)</f>
        <v>0</v>
      </c>
      <c r="H323" s="19" t="str">
        <f aca="false">IF($B323="","",CONCATENATE("Örnek borç: ",$B323))</f>
        <v/>
      </c>
    </row>
    <row r="324" customFormat="false" ht="15" hidden="false" customHeight="false" outlineLevel="0" collapsed="false">
      <c r="G324" s="19" t="n">
        <f aca="false">IF($C324="",0,$C324+$D324)</f>
        <v>0</v>
      </c>
      <c r="H324" s="19" t="str">
        <f aca="false">IF($B324="","",CONCATENATE("Örnek borç: ",$B324))</f>
        <v/>
      </c>
    </row>
    <row r="325" customFormat="false" ht="15" hidden="false" customHeight="false" outlineLevel="0" collapsed="false">
      <c r="G325" s="19" t="n">
        <f aca="false">IF($C325="",0,$C325+$D325)</f>
        <v>0</v>
      </c>
      <c r="H325" s="19" t="str">
        <f aca="false">IF($B325="","",CONCATENATE("Örnek borç: ",$B325))</f>
        <v/>
      </c>
    </row>
    <row r="326" customFormat="false" ht="15" hidden="false" customHeight="false" outlineLevel="0" collapsed="false">
      <c r="G326" s="19" t="n">
        <f aca="false">IF($C326="",0,$C326+$D326)</f>
        <v>0</v>
      </c>
      <c r="H326" s="19" t="str">
        <f aca="false">IF($B326="","",CONCATENATE("Örnek borç: ",$B326))</f>
        <v/>
      </c>
    </row>
    <row r="327" customFormat="false" ht="15" hidden="false" customHeight="false" outlineLevel="0" collapsed="false">
      <c r="G327" s="19" t="n">
        <f aca="false">IF($C327="",0,$C327+$D327)</f>
        <v>0</v>
      </c>
      <c r="H327" s="19" t="str">
        <f aca="false">IF($B327="","",CONCATENATE("Örnek borç: ",$B327))</f>
        <v/>
      </c>
    </row>
    <row r="328" customFormat="false" ht="15" hidden="false" customHeight="false" outlineLevel="0" collapsed="false">
      <c r="G328" s="19" t="n">
        <f aca="false">IF($C328="",0,$C328+$D328)</f>
        <v>0</v>
      </c>
      <c r="H328" s="19" t="str">
        <f aca="false">IF($B328="","",CONCATENATE("Örnek borç: ",$B328))</f>
        <v/>
      </c>
    </row>
    <row r="329" customFormat="false" ht="15" hidden="false" customHeight="false" outlineLevel="0" collapsed="false">
      <c r="G329" s="19" t="n">
        <f aca="false">IF($C329="",0,$C329+$D329)</f>
        <v>0</v>
      </c>
      <c r="H329" s="19" t="str">
        <f aca="false">IF($B329="","",CONCATENATE("Örnek borç: ",$B329))</f>
        <v/>
      </c>
    </row>
    <row r="330" customFormat="false" ht="15" hidden="false" customHeight="false" outlineLevel="0" collapsed="false">
      <c r="G330" s="19" t="n">
        <f aca="false">IF($C330="",0,$C330+$D330)</f>
        <v>0</v>
      </c>
      <c r="H330" s="19" t="str">
        <f aca="false">IF($B330="","",CONCATENATE("Örnek borç: ",$B330))</f>
        <v/>
      </c>
    </row>
    <row r="331" customFormat="false" ht="15" hidden="false" customHeight="false" outlineLevel="0" collapsed="false">
      <c r="G331" s="19" t="n">
        <f aca="false">IF($C331="",0,$C331+$D331)</f>
        <v>0</v>
      </c>
      <c r="H331" s="19" t="str">
        <f aca="false">IF($B331="","",CONCATENATE("Örnek borç: ",$B331))</f>
        <v/>
      </c>
    </row>
    <row r="332" customFormat="false" ht="15" hidden="false" customHeight="false" outlineLevel="0" collapsed="false">
      <c r="G332" s="19" t="n">
        <f aca="false">IF($C332="",0,$C332+$D332)</f>
        <v>0</v>
      </c>
      <c r="H332" s="19" t="str">
        <f aca="false">IF($B332="","",CONCATENATE("Örnek borç: ",$B332))</f>
        <v/>
      </c>
    </row>
    <row r="333" customFormat="false" ht="15" hidden="false" customHeight="false" outlineLevel="0" collapsed="false">
      <c r="G333" s="19" t="n">
        <f aca="false">IF($C333="",0,$C333+$D333)</f>
        <v>0</v>
      </c>
      <c r="H333" s="19" t="str">
        <f aca="false">IF($B333="","",CONCATENATE("Örnek borç: ",$B333))</f>
        <v/>
      </c>
    </row>
    <row r="334" customFormat="false" ht="15" hidden="false" customHeight="false" outlineLevel="0" collapsed="false">
      <c r="G334" s="19" t="n">
        <f aca="false">IF($C334="",0,$C334+$D334)</f>
        <v>0</v>
      </c>
      <c r="H334" s="19" t="str">
        <f aca="false">IF($B334="","",CONCATENATE("Örnek borç: ",$B334))</f>
        <v/>
      </c>
    </row>
    <row r="335" customFormat="false" ht="15" hidden="false" customHeight="false" outlineLevel="0" collapsed="false">
      <c r="G335" s="19" t="n">
        <f aca="false">IF($C335="",0,$C335+$D335)</f>
        <v>0</v>
      </c>
      <c r="H335" s="19" t="str">
        <f aca="false">IF($B335="","",CONCATENATE("Örnek borç: ",$B335))</f>
        <v/>
      </c>
    </row>
    <row r="336" customFormat="false" ht="15" hidden="false" customHeight="false" outlineLevel="0" collapsed="false">
      <c r="G336" s="19" t="n">
        <f aca="false">IF($C336="",0,$C336+$D336)</f>
        <v>0</v>
      </c>
      <c r="H336" s="19" t="str">
        <f aca="false">IF($B336="","",CONCATENATE("Örnek borç: ",$B336))</f>
        <v/>
      </c>
    </row>
    <row r="337" customFormat="false" ht="15" hidden="false" customHeight="false" outlineLevel="0" collapsed="false">
      <c r="G337" s="19" t="n">
        <f aca="false">IF($C337="",0,$C337+$D337)</f>
        <v>0</v>
      </c>
      <c r="H337" s="19" t="str">
        <f aca="false">IF($B337="","",CONCATENATE("Örnek borç: ",$B337))</f>
        <v/>
      </c>
    </row>
    <row r="338" customFormat="false" ht="15" hidden="false" customHeight="false" outlineLevel="0" collapsed="false">
      <c r="G338" s="19" t="n">
        <f aca="false">IF($C338="",0,$C338+$D338)</f>
        <v>0</v>
      </c>
      <c r="H338" s="19" t="str">
        <f aca="false">IF($B338="","",CONCATENATE("Örnek borç: ",$B338))</f>
        <v/>
      </c>
    </row>
    <row r="339" customFormat="false" ht="15" hidden="false" customHeight="false" outlineLevel="0" collapsed="false">
      <c r="G339" s="19" t="n">
        <f aca="false">IF($C339="",0,$C339+$D339)</f>
        <v>0</v>
      </c>
      <c r="H339" s="19" t="str">
        <f aca="false">IF($B339="","",CONCATENATE("Örnek borç: ",$B339))</f>
        <v/>
      </c>
    </row>
    <row r="340" customFormat="false" ht="15" hidden="false" customHeight="false" outlineLevel="0" collapsed="false">
      <c r="G340" s="19" t="n">
        <f aca="false">IF($C340="",0,$C340+$D340)</f>
        <v>0</v>
      </c>
      <c r="H340" s="19" t="str">
        <f aca="false">IF($B340="","",CONCATENATE("Örnek borç: ",$B340))</f>
        <v/>
      </c>
    </row>
    <row r="341" customFormat="false" ht="15" hidden="false" customHeight="false" outlineLevel="0" collapsed="false">
      <c r="G341" s="19" t="n">
        <f aca="false">IF($C341="",0,$C341+$D341)</f>
        <v>0</v>
      </c>
      <c r="H341" s="19" t="str">
        <f aca="false">IF($B341="","",CONCATENATE("Örnek borç: ",$B341))</f>
        <v/>
      </c>
    </row>
    <row r="342" customFormat="false" ht="15" hidden="false" customHeight="false" outlineLevel="0" collapsed="false">
      <c r="G342" s="19" t="n">
        <f aca="false">IF($C342="",0,$C342+$D342)</f>
        <v>0</v>
      </c>
      <c r="H342" s="19" t="str">
        <f aca="false">IF($B342="","",CONCATENATE("Örnek borç: ",$B342))</f>
        <v/>
      </c>
    </row>
    <row r="343" customFormat="false" ht="15" hidden="false" customHeight="false" outlineLevel="0" collapsed="false">
      <c r="G343" s="19" t="n">
        <f aca="false">IF($C343="",0,$C343+$D343)</f>
        <v>0</v>
      </c>
      <c r="H343" s="19" t="str">
        <f aca="false">IF($B343="","",CONCATENATE("Örnek borç: ",$B343))</f>
        <v/>
      </c>
    </row>
    <row r="344" customFormat="false" ht="15" hidden="false" customHeight="false" outlineLevel="0" collapsed="false">
      <c r="G344" s="19" t="n">
        <f aca="false">IF($C344="",0,$C344+$D344)</f>
        <v>0</v>
      </c>
      <c r="H344" s="19" t="str">
        <f aca="false">IF($B344="","",CONCATENATE("Örnek borç: ",$B344))</f>
        <v/>
      </c>
    </row>
    <row r="345" customFormat="false" ht="15" hidden="false" customHeight="false" outlineLevel="0" collapsed="false">
      <c r="G345" s="19" t="n">
        <f aca="false">IF($C345="",0,$C345+$D345)</f>
        <v>0</v>
      </c>
      <c r="H345" s="19" t="str">
        <f aca="false">IF($B345="","",CONCATENATE("Örnek borç: ",$B345))</f>
        <v/>
      </c>
    </row>
    <row r="346" customFormat="false" ht="15" hidden="false" customHeight="false" outlineLevel="0" collapsed="false">
      <c r="G346" s="19" t="n">
        <f aca="false">IF($C346="",0,$C346+$D346)</f>
        <v>0</v>
      </c>
      <c r="H346" s="19" t="str">
        <f aca="false">IF($B346="","",CONCATENATE("Örnek borç: ",$B346))</f>
        <v/>
      </c>
    </row>
    <row r="347" customFormat="false" ht="15" hidden="false" customHeight="false" outlineLevel="0" collapsed="false">
      <c r="G347" s="19" t="n">
        <f aca="false">IF($C347="",0,$C347+$D347)</f>
        <v>0</v>
      </c>
      <c r="H347" s="19" t="str">
        <f aca="false">IF($B347="","",CONCATENATE("Örnek borç: ",$B347))</f>
        <v/>
      </c>
    </row>
    <row r="348" customFormat="false" ht="15" hidden="false" customHeight="false" outlineLevel="0" collapsed="false">
      <c r="G348" s="19" t="n">
        <f aca="false">IF($C348="",0,$C348+$D348)</f>
        <v>0</v>
      </c>
      <c r="H348" s="19" t="str">
        <f aca="false">IF($B348="","",CONCATENATE("Örnek borç: ",$B348))</f>
        <v/>
      </c>
    </row>
    <row r="349" customFormat="false" ht="15" hidden="false" customHeight="false" outlineLevel="0" collapsed="false">
      <c r="G349" s="19" t="n">
        <f aca="false">IF($C349="",0,$C349+$D349)</f>
        <v>0</v>
      </c>
      <c r="H349" s="19" t="str">
        <f aca="false">IF($B349="","",CONCATENATE("Örnek borç: ",$B349))</f>
        <v/>
      </c>
    </row>
    <row r="350" customFormat="false" ht="15" hidden="false" customHeight="false" outlineLevel="0" collapsed="false">
      <c r="G350" s="19" t="n">
        <f aca="false">IF($C350="",0,$C350+$D350)</f>
        <v>0</v>
      </c>
      <c r="H350" s="19" t="str">
        <f aca="false">IF($B350="","",CONCATENATE("Örnek borç: ",$B350))</f>
        <v/>
      </c>
    </row>
    <row r="351" customFormat="false" ht="15" hidden="false" customHeight="false" outlineLevel="0" collapsed="false">
      <c r="G351" s="19" t="n">
        <f aca="false">IF($C351="",0,$C351+$D351)</f>
        <v>0</v>
      </c>
      <c r="H351" s="19" t="str">
        <f aca="false">IF($B351="","",CONCATENATE("Örnek borç: ",$B351))</f>
        <v/>
      </c>
    </row>
    <row r="352" customFormat="false" ht="15" hidden="false" customHeight="false" outlineLevel="0" collapsed="false">
      <c r="G352" s="19" t="n">
        <f aca="false">IF($C352="",0,$C352+$D352)</f>
        <v>0</v>
      </c>
      <c r="H352" s="19" t="str">
        <f aca="false">IF($B352="","",CONCATENATE("Örnek borç: ",$B352))</f>
        <v/>
      </c>
    </row>
    <row r="353" customFormat="false" ht="15" hidden="false" customHeight="false" outlineLevel="0" collapsed="false">
      <c r="G353" s="19" t="n">
        <f aca="false">IF($C353="",0,$C353+$D353)</f>
        <v>0</v>
      </c>
      <c r="H353" s="19" t="str">
        <f aca="false">IF($B353="","",CONCATENATE("Örnek borç: ",$B353))</f>
        <v/>
      </c>
    </row>
    <row r="354" customFormat="false" ht="15" hidden="false" customHeight="false" outlineLevel="0" collapsed="false">
      <c r="G354" s="19" t="n">
        <f aca="false">IF($C354="",0,$C354+$D354)</f>
        <v>0</v>
      </c>
      <c r="H354" s="19" t="str">
        <f aca="false">IF($B354="","",CONCATENATE("Örnek borç: ",$B354))</f>
        <v/>
      </c>
    </row>
    <row r="355" customFormat="false" ht="15" hidden="false" customHeight="false" outlineLevel="0" collapsed="false">
      <c r="G355" s="19" t="n">
        <f aca="false">IF($C355="",0,$C355+$D355)</f>
        <v>0</v>
      </c>
      <c r="H355" s="19" t="str">
        <f aca="false">IF($B355="","",CONCATENATE("Örnek borç: ",$B355))</f>
        <v/>
      </c>
    </row>
    <row r="356" customFormat="false" ht="15" hidden="false" customHeight="false" outlineLevel="0" collapsed="false">
      <c r="G356" s="19" t="n">
        <f aca="false">IF($C356="",0,$C356+$D356)</f>
        <v>0</v>
      </c>
      <c r="H356" s="19" t="str">
        <f aca="false">IF($B356="","",CONCATENATE("Örnek borç: ",$B356))</f>
        <v/>
      </c>
    </row>
    <row r="357" customFormat="false" ht="15" hidden="false" customHeight="false" outlineLevel="0" collapsed="false">
      <c r="G357" s="19" t="n">
        <f aca="false">IF($C357="",0,$C357+$D357)</f>
        <v>0</v>
      </c>
      <c r="H357" s="19" t="str">
        <f aca="false">IF($B357="","",CONCATENATE("Örnek borç: ",$B357))</f>
        <v/>
      </c>
    </row>
    <row r="358" customFormat="false" ht="15" hidden="false" customHeight="false" outlineLevel="0" collapsed="false">
      <c r="G358" s="19" t="n">
        <f aca="false">IF($C358="",0,$C358+$D358)</f>
        <v>0</v>
      </c>
      <c r="H358" s="19" t="str">
        <f aca="false">IF($B358="","",CONCATENATE("Örnek borç: ",$B358))</f>
        <v/>
      </c>
    </row>
    <row r="359" customFormat="false" ht="15" hidden="false" customHeight="false" outlineLevel="0" collapsed="false">
      <c r="G359" s="19" t="n">
        <f aca="false">IF($C359="",0,$C359+$D359)</f>
        <v>0</v>
      </c>
      <c r="H359" s="19" t="str">
        <f aca="false">IF($B359="","",CONCATENATE("Örnek borç: ",$B359))</f>
        <v/>
      </c>
    </row>
    <row r="360" customFormat="false" ht="15" hidden="false" customHeight="false" outlineLevel="0" collapsed="false">
      <c r="G360" s="19" t="n">
        <f aca="false">IF($C360="",0,$C360+$D360)</f>
        <v>0</v>
      </c>
      <c r="H360" s="19" t="str">
        <f aca="false">IF($B360="","",CONCATENATE("Örnek borç: ",$B360))</f>
        <v/>
      </c>
    </row>
    <row r="361" customFormat="false" ht="15" hidden="false" customHeight="false" outlineLevel="0" collapsed="false">
      <c r="G361" s="19" t="n">
        <f aca="false">IF($C361="",0,$C361+$D361)</f>
        <v>0</v>
      </c>
      <c r="H361" s="19" t="str">
        <f aca="false">IF($B361="","",CONCATENATE("Örnek borç: ",$B361))</f>
        <v/>
      </c>
    </row>
    <row r="362" customFormat="false" ht="15" hidden="false" customHeight="false" outlineLevel="0" collapsed="false">
      <c r="G362" s="19" t="n">
        <f aca="false">IF($C362="",0,$C362+$D362)</f>
        <v>0</v>
      </c>
      <c r="H362" s="19" t="str">
        <f aca="false">IF($B362="","",CONCATENATE("Örnek borç: ",$B362))</f>
        <v/>
      </c>
    </row>
    <row r="363" customFormat="false" ht="15" hidden="false" customHeight="false" outlineLevel="0" collapsed="false">
      <c r="G363" s="19" t="n">
        <f aca="false">IF($C363="",0,$C363+$D363)</f>
        <v>0</v>
      </c>
      <c r="H363" s="19" t="str">
        <f aca="false">IF($B363="","",CONCATENATE("Örnek borç: ",$B363))</f>
        <v/>
      </c>
    </row>
    <row r="364" customFormat="false" ht="15" hidden="false" customHeight="false" outlineLevel="0" collapsed="false">
      <c r="G364" s="19" t="n">
        <f aca="false">IF($C364="",0,$C364+$D364)</f>
        <v>0</v>
      </c>
      <c r="H364" s="19" t="str">
        <f aca="false">IF($B364="","",CONCATENATE("Örnek borç: ",$B364))</f>
        <v/>
      </c>
    </row>
    <row r="365" customFormat="false" ht="15" hidden="false" customHeight="false" outlineLevel="0" collapsed="false">
      <c r="G365" s="19" t="n">
        <f aca="false">IF($C365="",0,$C365+$D365)</f>
        <v>0</v>
      </c>
      <c r="H365" s="19" t="str">
        <f aca="false">IF($B365="","",CONCATENATE("Örnek borç: ",$B365))</f>
        <v/>
      </c>
    </row>
    <row r="366" customFormat="false" ht="15" hidden="false" customHeight="false" outlineLevel="0" collapsed="false">
      <c r="G366" s="19" t="n">
        <f aca="false">IF($C366="",0,$C366+$D366)</f>
        <v>0</v>
      </c>
      <c r="H366" s="19" t="str">
        <f aca="false">IF($B366="","",CONCATENATE("Örnek borç: ",$B366))</f>
        <v/>
      </c>
    </row>
    <row r="367" customFormat="false" ht="15" hidden="false" customHeight="false" outlineLevel="0" collapsed="false">
      <c r="G367" s="19" t="n">
        <f aca="false">IF($C367="",0,$C367+$D367)</f>
        <v>0</v>
      </c>
      <c r="H367" s="19" t="str">
        <f aca="false">IF($B367="","",CONCATENATE("Örnek borç: ",$B367))</f>
        <v/>
      </c>
    </row>
    <row r="368" customFormat="false" ht="15" hidden="false" customHeight="false" outlineLevel="0" collapsed="false">
      <c r="G368" s="19" t="n">
        <f aca="false">IF($C368="",0,$C368+$D368)</f>
        <v>0</v>
      </c>
      <c r="H368" s="19" t="str">
        <f aca="false">IF($B368="","",CONCATENATE("Örnek borç: ",$B368))</f>
        <v/>
      </c>
    </row>
    <row r="369" customFormat="false" ht="15" hidden="false" customHeight="false" outlineLevel="0" collapsed="false">
      <c r="G369" s="19" t="n">
        <f aca="false">IF($C369="",0,$C369+$D369)</f>
        <v>0</v>
      </c>
      <c r="H369" s="19" t="str">
        <f aca="false">IF($B369="","",CONCATENATE("Örnek borç: ",$B369))</f>
        <v/>
      </c>
    </row>
    <row r="370" customFormat="false" ht="15" hidden="false" customHeight="false" outlineLevel="0" collapsed="false">
      <c r="G370" s="19" t="n">
        <f aca="false">IF($C370="",0,$C370+$D370)</f>
        <v>0</v>
      </c>
      <c r="H370" s="19" t="str">
        <f aca="false">IF($B370="","",CONCATENATE("Örnek borç: ",$B370))</f>
        <v/>
      </c>
    </row>
    <row r="371" customFormat="false" ht="15" hidden="false" customHeight="false" outlineLevel="0" collapsed="false">
      <c r="G371" s="19" t="n">
        <f aca="false">IF($C371="",0,$C371+$D371)</f>
        <v>0</v>
      </c>
      <c r="H371" s="19" t="str">
        <f aca="false">IF($B371="","",CONCATENATE("Örnek borç: ",$B371))</f>
        <v/>
      </c>
    </row>
    <row r="372" customFormat="false" ht="15" hidden="false" customHeight="false" outlineLevel="0" collapsed="false">
      <c r="G372" s="19" t="n">
        <f aca="false">IF($C372="",0,$C372+$D372)</f>
        <v>0</v>
      </c>
      <c r="H372" s="19" t="str">
        <f aca="false">IF($B372="","",CONCATENATE("Örnek borç: ",$B372))</f>
        <v/>
      </c>
    </row>
    <row r="373" customFormat="false" ht="15" hidden="false" customHeight="false" outlineLevel="0" collapsed="false">
      <c r="G373" s="19" t="n">
        <f aca="false">IF($C373="",0,$C373+$D373)</f>
        <v>0</v>
      </c>
      <c r="H373" s="19" t="str">
        <f aca="false">IF($B373="","",CONCATENATE("Örnek borç: ",$B373))</f>
        <v/>
      </c>
    </row>
    <row r="374" customFormat="false" ht="15" hidden="false" customHeight="false" outlineLevel="0" collapsed="false">
      <c r="G374" s="19" t="n">
        <f aca="false">IF($C374="",0,$C374+$D374)</f>
        <v>0</v>
      </c>
      <c r="H374" s="19" t="str">
        <f aca="false">IF($B374="","",CONCATENATE("Örnek borç: ",$B374))</f>
        <v/>
      </c>
    </row>
    <row r="375" customFormat="false" ht="15" hidden="false" customHeight="false" outlineLevel="0" collapsed="false">
      <c r="G375" s="19" t="n">
        <f aca="false">IF($C375="",0,$C375+$D375)</f>
        <v>0</v>
      </c>
      <c r="H375" s="19" t="str">
        <f aca="false">IF($B375="","",CONCATENATE("Örnek borç: ",$B375))</f>
        <v/>
      </c>
    </row>
    <row r="376" customFormat="false" ht="15" hidden="false" customHeight="false" outlineLevel="0" collapsed="false">
      <c r="G376" s="19" t="n">
        <f aca="false">IF($C376="",0,$C376+$D376)</f>
        <v>0</v>
      </c>
      <c r="H376" s="19" t="str">
        <f aca="false">IF($B376="","",CONCATENATE("Örnek borç: ",$B376))</f>
        <v/>
      </c>
    </row>
    <row r="377" customFormat="false" ht="15" hidden="false" customHeight="false" outlineLevel="0" collapsed="false">
      <c r="G377" s="19" t="n">
        <f aca="false">IF($C377="",0,$C377+$D377)</f>
        <v>0</v>
      </c>
      <c r="H377" s="19" t="str">
        <f aca="false">IF($B377="","",CONCATENATE("Örnek borç: ",$B377))</f>
        <v/>
      </c>
    </row>
    <row r="378" customFormat="false" ht="15" hidden="false" customHeight="false" outlineLevel="0" collapsed="false">
      <c r="G378" s="19" t="n">
        <f aca="false">IF($C378="",0,$C378+$D378)</f>
        <v>0</v>
      </c>
      <c r="H378" s="19" t="str">
        <f aca="false">IF($B378="","",CONCATENATE("Örnek borç: ",$B378))</f>
        <v/>
      </c>
    </row>
    <row r="379" customFormat="false" ht="15" hidden="false" customHeight="false" outlineLevel="0" collapsed="false">
      <c r="G379" s="19" t="n">
        <f aca="false">IF($C379="",0,$C379+$D379)</f>
        <v>0</v>
      </c>
      <c r="H379" s="19" t="str">
        <f aca="false">IF($B379="","",CONCATENATE("Örnek borç: ",$B379))</f>
        <v/>
      </c>
    </row>
    <row r="380" customFormat="false" ht="15" hidden="false" customHeight="false" outlineLevel="0" collapsed="false">
      <c r="G380" s="19" t="n">
        <f aca="false">IF($C380="",0,$C380+$D380)</f>
        <v>0</v>
      </c>
      <c r="H380" s="19" t="str">
        <f aca="false">IF($B380="","",CONCATENATE("Örnek borç: ",$B380))</f>
        <v/>
      </c>
    </row>
    <row r="381" customFormat="false" ht="15" hidden="false" customHeight="false" outlineLevel="0" collapsed="false">
      <c r="G381" s="19" t="n">
        <f aca="false">IF($C381="",0,$C381+$D381)</f>
        <v>0</v>
      </c>
      <c r="H381" s="19" t="str">
        <f aca="false">IF($B381="","",CONCATENATE("Örnek borç: ",$B381))</f>
        <v/>
      </c>
    </row>
    <row r="382" customFormat="false" ht="15" hidden="false" customHeight="false" outlineLevel="0" collapsed="false">
      <c r="G382" s="19" t="n">
        <f aca="false">IF($C382="",0,$C382+$D382)</f>
        <v>0</v>
      </c>
      <c r="H382" s="19" t="str">
        <f aca="false">IF($B382="","",CONCATENATE("Örnek borç: ",$B382))</f>
        <v/>
      </c>
    </row>
    <row r="383" customFormat="false" ht="15" hidden="false" customHeight="false" outlineLevel="0" collapsed="false">
      <c r="G383" s="19" t="n">
        <f aca="false">IF($C383="",0,$C383+$D383)</f>
        <v>0</v>
      </c>
      <c r="H383" s="19" t="str">
        <f aca="false">IF($B383="","",CONCATENATE("Örnek borç: ",$B383))</f>
        <v/>
      </c>
    </row>
    <row r="384" customFormat="false" ht="15" hidden="false" customHeight="false" outlineLevel="0" collapsed="false">
      <c r="G384" s="19" t="n">
        <f aca="false">IF($C384="",0,$C384+$D384)</f>
        <v>0</v>
      </c>
      <c r="H384" s="19" t="str">
        <f aca="false">IF($B384="","",CONCATENATE("Örnek borç: ",$B384))</f>
        <v/>
      </c>
    </row>
    <row r="385" customFormat="false" ht="15" hidden="false" customHeight="false" outlineLevel="0" collapsed="false">
      <c r="G385" s="19" t="n">
        <f aca="false">IF($C385="",0,$C385+$D385)</f>
        <v>0</v>
      </c>
      <c r="H385" s="19" t="str">
        <f aca="false">IF($B385="","",CONCATENATE("Örnek borç: ",$B385))</f>
        <v/>
      </c>
    </row>
    <row r="386" customFormat="false" ht="15" hidden="false" customHeight="false" outlineLevel="0" collapsed="false">
      <c r="G386" s="19" t="n">
        <f aca="false">IF($C386="",0,$C386+$D386)</f>
        <v>0</v>
      </c>
      <c r="H386" s="19" t="str">
        <f aca="false">IF($B386="","",CONCATENATE("Örnek borç: ",$B386))</f>
        <v/>
      </c>
    </row>
    <row r="387" customFormat="false" ht="15" hidden="false" customHeight="false" outlineLevel="0" collapsed="false">
      <c r="G387" s="19" t="n">
        <f aca="false">IF($C387="",0,$C387+$D387)</f>
        <v>0</v>
      </c>
      <c r="H387" s="19" t="str">
        <f aca="false">IF($B387="","",CONCATENATE("Örnek borç: ",$B387))</f>
        <v/>
      </c>
    </row>
    <row r="388" customFormat="false" ht="15" hidden="false" customHeight="false" outlineLevel="0" collapsed="false">
      <c r="G388" s="19" t="n">
        <f aca="false">IF($C388="",0,$C388+$D388)</f>
        <v>0</v>
      </c>
      <c r="H388" s="19" t="str">
        <f aca="false">IF($B388="","",CONCATENATE("Örnek borç: ",$B388))</f>
        <v/>
      </c>
    </row>
    <row r="389" customFormat="false" ht="15" hidden="false" customHeight="false" outlineLevel="0" collapsed="false">
      <c r="G389" s="19" t="n">
        <f aca="false">IF($C389="",0,$C389+$D389)</f>
        <v>0</v>
      </c>
      <c r="H389" s="19" t="str">
        <f aca="false">IF($B389="","",CONCATENATE("Örnek borç: ",$B389))</f>
        <v/>
      </c>
    </row>
    <row r="390" customFormat="false" ht="15" hidden="false" customHeight="false" outlineLevel="0" collapsed="false">
      <c r="G390" s="19" t="n">
        <f aca="false">IF($C390="",0,$C390+$D390)</f>
        <v>0</v>
      </c>
      <c r="H390" s="19" t="str">
        <f aca="false">IF($B390="","",CONCATENATE("Örnek borç: ",$B390))</f>
        <v/>
      </c>
    </row>
    <row r="391" customFormat="false" ht="15" hidden="false" customHeight="false" outlineLevel="0" collapsed="false">
      <c r="G391" s="19" t="n">
        <f aca="false">IF($C391="",0,$C391+$D391)</f>
        <v>0</v>
      </c>
      <c r="H391" s="19" t="str">
        <f aca="false">IF($B391="","",CONCATENATE("Örnek borç: ",$B391))</f>
        <v/>
      </c>
    </row>
    <row r="392" customFormat="false" ht="15" hidden="false" customHeight="false" outlineLevel="0" collapsed="false">
      <c r="G392" s="19" t="n">
        <f aca="false">IF($C392="",0,$C392+$D392)</f>
        <v>0</v>
      </c>
      <c r="H392" s="19" t="str">
        <f aca="false">IF($B392="","",CONCATENATE("Örnek borç: ",$B392))</f>
        <v/>
      </c>
    </row>
    <row r="393" customFormat="false" ht="15" hidden="false" customHeight="false" outlineLevel="0" collapsed="false">
      <c r="G393" s="19" t="n">
        <f aca="false">IF($C393="",0,$C393+$D393)</f>
        <v>0</v>
      </c>
      <c r="H393" s="19" t="str">
        <f aca="false">IF($B393="","",CONCATENATE("Örnek borç: ",$B393))</f>
        <v/>
      </c>
    </row>
    <row r="394" customFormat="false" ht="15" hidden="false" customHeight="false" outlineLevel="0" collapsed="false">
      <c r="G394" s="19" t="n">
        <f aca="false">IF($C394="",0,$C394+$D394)</f>
        <v>0</v>
      </c>
      <c r="H394" s="19" t="str">
        <f aca="false">IF($B394="","",CONCATENATE("Örnek borç: ",$B394))</f>
        <v/>
      </c>
    </row>
    <row r="395" customFormat="false" ht="15" hidden="false" customHeight="false" outlineLevel="0" collapsed="false">
      <c r="G395" s="19" t="n">
        <f aca="false">IF($C395="",0,$C395+$D395)</f>
        <v>0</v>
      </c>
      <c r="H395" s="19" t="str">
        <f aca="false">IF($B395="","",CONCATENATE("Örnek borç: ",$B395))</f>
        <v/>
      </c>
    </row>
    <row r="396" customFormat="false" ht="15" hidden="false" customHeight="false" outlineLevel="0" collapsed="false">
      <c r="G396" s="19" t="n">
        <f aca="false">IF($C396="",0,$C396+$D396)</f>
        <v>0</v>
      </c>
      <c r="H396" s="19" t="str">
        <f aca="false">IF($B396="","",CONCATENATE("Örnek borç: ",$B396))</f>
        <v/>
      </c>
    </row>
    <row r="397" customFormat="false" ht="15" hidden="false" customHeight="false" outlineLevel="0" collapsed="false">
      <c r="G397" s="19" t="n">
        <f aca="false">IF($C397="",0,$C397+$D397)</f>
        <v>0</v>
      </c>
      <c r="H397" s="19" t="str">
        <f aca="false">IF($B397="","",CONCATENATE("Örnek borç: ",$B397))</f>
        <v/>
      </c>
    </row>
    <row r="398" customFormat="false" ht="15" hidden="false" customHeight="false" outlineLevel="0" collapsed="false">
      <c r="G398" s="19" t="n">
        <f aca="false">IF($C398="",0,$C398+$D398)</f>
        <v>0</v>
      </c>
      <c r="H398" s="19" t="str">
        <f aca="false">IF($B398="","",CONCATENATE("Örnek borç: ",$B398))</f>
        <v/>
      </c>
    </row>
    <row r="399" customFormat="false" ht="15" hidden="false" customHeight="false" outlineLevel="0" collapsed="false">
      <c r="G399" s="19" t="n">
        <f aca="false">IF($C399="",0,$C399+$D399)</f>
        <v>0</v>
      </c>
      <c r="H399" s="19" t="str">
        <f aca="false">IF($B399="","",CONCATENATE("Örnek borç: ",$B399))</f>
        <v/>
      </c>
    </row>
    <row r="400" customFormat="false" ht="15" hidden="false" customHeight="false" outlineLevel="0" collapsed="false">
      <c r="G400" s="19" t="n">
        <f aca="false">IF($C400="",0,$C400+$D400)</f>
        <v>0</v>
      </c>
      <c r="H400" s="19" t="str">
        <f aca="false">IF($B400="","",CONCATENATE("Örnek borç: ",$B400))</f>
        <v/>
      </c>
    </row>
    <row r="401" customFormat="false" ht="15" hidden="false" customHeight="false" outlineLevel="0" collapsed="false">
      <c r="G401" s="19" t="n">
        <f aca="false">IF($C401="",0,$C401+$D401)</f>
        <v>0</v>
      </c>
      <c r="H401" s="19" t="str">
        <f aca="false">IF($B401="","",CONCATENATE("Örnek borç: ",$B401))</f>
        <v/>
      </c>
    </row>
    <row r="402" customFormat="false" ht="15" hidden="false" customHeight="false" outlineLevel="0" collapsed="false">
      <c r="G402" s="19" t="n">
        <f aca="false">IF($C402="",0,$C402+$D402)</f>
        <v>0</v>
      </c>
      <c r="H402" s="19" t="str">
        <f aca="false">IF($B402="","",CONCATENATE("Örnek borç: ",$B402))</f>
        <v/>
      </c>
    </row>
    <row r="403" customFormat="false" ht="15" hidden="false" customHeight="false" outlineLevel="0" collapsed="false">
      <c r="G403" s="19" t="n">
        <f aca="false">IF($C403="",0,$C403+$D403)</f>
        <v>0</v>
      </c>
      <c r="H403" s="19" t="str">
        <f aca="false">IF($B403="","",CONCATENATE("Örnek borç: ",$B403))</f>
        <v/>
      </c>
    </row>
    <row r="404" customFormat="false" ht="15" hidden="false" customHeight="false" outlineLevel="0" collapsed="false">
      <c r="G404" s="19" t="n">
        <f aca="false">IF($C404="",0,$C404+$D404)</f>
        <v>0</v>
      </c>
      <c r="H404" s="19" t="str">
        <f aca="false">IF($B404="","",CONCATENATE("Örnek borç: ",$B404))</f>
        <v/>
      </c>
    </row>
    <row r="405" customFormat="false" ht="15" hidden="false" customHeight="false" outlineLevel="0" collapsed="false">
      <c r="G405" s="19" t="n">
        <f aca="false">IF($C405="",0,$C405+$D405)</f>
        <v>0</v>
      </c>
      <c r="H405" s="19" t="str">
        <f aca="false">IF($B405="","",CONCATENATE("Örnek borç: ",$B405))</f>
        <v/>
      </c>
    </row>
    <row r="406" customFormat="false" ht="15" hidden="false" customHeight="false" outlineLevel="0" collapsed="false">
      <c r="G406" s="19" t="n">
        <f aca="false">IF($C406="",0,$C406+$D406)</f>
        <v>0</v>
      </c>
      <c r="H406" s="19" t="str">
        <f aca="false">IF($B406="","",CONCATENATE("Örnek borç: ",$B406))</f>
        <v/>
      </c>
    </row>
    <row r="407" customFormat="false" ht="15" hidden="false" customHeight="false" outlineLevel="0" collapsed="false">
      <c r="G407" s="19" t="n">
        <f aca="false">IF($C407="",0,$C407+$D407)</f>
        <v>0</v>
      </c>
      <c r="H407" s="19" t="str">
        <f aca="false">IF($B407="","",CONCATENATE("Örnek borç: ",$B407))</f>
        <v/>
      </c>
    </row>
    <row r="408" customFormat="false" ht="15" hidden="false" customHeight="false" outlineLevel="0" collapsed="false">
      <c r="G408" s="19" t="n">
        <f aca="false">IF($C408="",0,$C408+$D408)</f>
        <v>0</v>
      </c>
      <c r="H408" s="19" t="str">
        <f aca="false">IF($B408="","",CONCATENATE("Örnek borç: ",$B408))</f>
        <v/>
      </c>
    </row>
    <row r="409" customFormat="false" ht="15" hidden="false" customHeight="false" outlineLevel="0" collapsed="false">
      <c r="G409" s="19" t="n">
        <f aca="false">IF($C409="",0,$C409+$D409)</f>
        <v>0</v>
      </c>
      <c r="H409" s="19" t="str">
        <f aca="false">IF($B409="","",CONCATENATE("Örnek borç: ",$B409))</f>
        <v/>
      </c>
    </row>
    <row r="410" customFormat="false" ht="15" hidden="false" customHeight="false" outlineLevel="0" collapsed="false">
      <c r="G410" s="19" t="n">
        <f aca="false">IF($C410="",0,$C410+$D410)</f>
        <v>0</v>
      </c>
      <c r="H410" s="19" t="str">
        <f aca="false">IF($B410="","",CONCATENATE("Örnek borç: ",$B410))</f>
        <v/>
      </c>
    </row>
    <row r="411" customFormat="false" ht="15" hidden="false" customHeight="false" outlineLevel="0" collapsed="false">
      <c r="G411" s="19" t="n">
        <f aca="false">IF($C411="",0,$C411+$D411)</f>
        <v>0</v>
      </c>
      <c r="H411" s="19" t="str">
        <f aca="false">IF($B411="","",CONCATENATE("Örnek borç: ",$B411))</f>
        <v/>
      </c>
    </row>
    <row r="412" customFormat="false" ht="15" hidden="false" customHeight="false" outlineLevel="0" collapsed="false">
      <c r="G412" s="19" t="n">
        <f aca="false">IF($C412="",0,$C412+$D412)</f>
        <v>0</v>
      </c>
      <c r="H412" s="19" t="str">
        <f aca="false">IF($B412="","",CONCATENATE("Örnek borç: ",$B412))</f>
        <v/>
      </c>
    </row>
    <row r="413" customFormat="false" ht="15" hidden="false" customHeight="false" outlineLevel="0" collapsed="false">
      <c r="G413" s="19" t="n">
        <f aca="false">IF($C413="",0,$C413+$D413)</f>
        <v>0</v>
      </c>
      <c r="H413" s="19" t="str">
        <f aca="false">IF($B413="","",CONCATENATE("Örnek borç: ",$B413))</f>
        <v/>
      </c>
    </row>
    <row r="414" customFormat="false" ht="15" hidden="false" customHeight="false" outlineLevel="0" collapsed="false">
      <c r="G414" s="19" t="n">
        <f aca="false">IF($C414="",0,$C414+$D414)</f>
        <v>0</v>
      </c>
      <c r="H414" s="19" t="str">
        <f aca="false">IF($B414="","",CONCATENATE("Örnek borç: ",$B414))</f>
        <v/>
      </c>
    </row>
    <row r="415" customFormat="false" ht="15" hidden="false" customHeight="false" outlineLevel="0" collapsed="false">
      <c r="G415" s="19" t="n">
        <f aca="false">IF($C415="",0,$C415+$D415)</f>
        <v>0</v>
      </c>
      <c r="H415" s="19" t="str">
        <f aca="false">IF($B415="","",CONCATENATE("Örnek borç: ",$B415))</f>
        <v/>
      </c>
    </row>
    <row r="416" customFormat="false" ht="15" hidden="false" customHeight="false" outlineLevel="0" collapsed="false">
      <c r="G416" s="19" t="n">
        <f aca="false">IF($C416="",0,$C416+$D416)</f>
        <v>0</v>
      </c>
      <c r="H416" s="19" t="str">
        <f aca="false">IF($B416="","",CONCATENATE("Örnek borç: ",$B416))</f>
        <v/>
      </c>
    </row>
    <row r="417" customFormat="false" ht="15" hidden="false" customHeight="false" outlineLevel="0" collapsed="false">
      <c r="G417" s="19" t="n">
        <f aca="false">IF($C417="",0,$C417+$D417)</f>
        <v>0</v>
      </c>
      <c r="H417" s="19" t="str">
        <f aca="false">IF($B417="","",CONCATENATE("Örnek borç: ",$B417))</f>
        <v/>
      </c>
    </row>
    <row r="418" customFormat="false" ht="15" hidden="false" customHeight="false" outlineLevel="0" collapsed="false">
      <c r="G418" s="19" t="n">
        <f aca="false">IF($C418="",0,$C418+$D418)</f>
        <v>0</v>
      </c>
      <c r="H418" s="19" t="str">
        <f aca="false">IF($B418="","",CONCATENATE("Örnek borç: ",$B418))</f>
        <v/>
      </c>
    </row>
    <row r="419" customFormat="false" ht="15" hidden="false" customHeight="false" outlineLevel="0" collapsed="false">
      <c r="G419" s="19" t="n">
        <f aca="false">IF($C419="",0,$C419+$D419)</f>
        <v>0</v>
      </c>
      <c r="H419" s="19" t="str">
        <f aca="false">IF($B419="","",CONCATENATE("Örnek borç: ",$B419))</f>
        <v/>
      </c>
    </row>
    <row r="420" customFormat="false" ht="15" hidden="false" customHeight="false" outlineLevel="0" collapsed="false">
      <c r="G420" s="19" t="n">
        <f aca="false">IF($C420="",0,$C420+$D420)</f>
        <v>0</v>
      </c>
      <c r="H420" s="19" t="str">
        <f aca="false">IF($B420="","",CONCATENATE("Örnek borç: ",$B420))</f>
        <v/>
      </c>
    </row>
    <row r="421" customFormat="false" ht="15" hidden="false" customHeight="false" outlineLevel="0" collapsed="false">
      <c r="G421" s="19" t="n">
        <f aca="false">IF($C421="",0,$C421+$D421)</f>
        <v>0</v>
      </c>
      <c r="H421" s="19" t="str">
        <f aca="false">IF($B421="","",CONCATENATE("Örnek borç: ",$B421))</f>
        <v/>
      </c>
    </row>
    <row r="422" customFormat="false" ht="15" hidden="false" customHeight="false" outlineLevel="0" collapsed="false">
      <c r="G422" s="19" t="n">
        <f aca="false">IF($C422="",0,$C422+$D422)</f>
        <v>0</v>
      </c>
      <c r="H422" s="19" t="str">
        <f aca="false">IF($B422="","",CONCATENATE("Örnek borç: ",$B422))</f>
        <v/>
      </c>
    </row>
    <row r="423" customFormat="false" ht="15" hidden="false" customHeight="false" outlineLevel="0" collapsed="false">
      <c r="G423" s="19" t="n">
        <f aca="false">IF($C423="",0,$C423+$D423)</f>
        <v>0</v>
      </c>
      <c r="H423" s="19" t="str">
        <f aca="false">IF($B423="","",CONCATENATE("Örnek borç: ",$B423))</f>
        <v/>
      </c>
    </row>
    <row r="424" customFormat="false" ht="15" hidden="false" customHeight="false" outlineLevel="0" collapsed="false">
      <c r="G424" s="19" t="n">
        <f aca="false">IF($C424="",0,$C424+$D424)</f>
        <v>0</v>
      </c>
      <c r="H424" s="19" t="str">
        <f aca="false">IF($B424="","",CONCATENATE("Örnek borç: ",$B424))</f>
        <v/>
      </c>
    </row>
    <row r="425" customFormat="false" ht="15" hidden="false" customHeight="false" outlineLevel="0" collapsed="false">
      <c r="G425" s="19" t="n">
        <f aca="false">IF($C425="",0,$C425+$D425)</f>
        <v>0</v>
      </c>
      <c r="H425" s="19" t="str">
        <f aca="false">IF($B425="","",CONCATENATE("Örnek borç: ",$B425))</f>
        <v/>
      </c>
    </row>
    <row r="426" customFormat="false" ht="15" hidden="false" customHeight="false" outlineLevel="0" collapsed="false">
      <c r="G426" s="19" t="n">
        <f aca="false">IF($C426="",0,$C426+$D426)</f>
        <v>0</v>
      </c>
      <c r="H426" s="19" t="str">
        <f aca="false">IF($B426="","",CONCATENATE("Örnek borç: ",$B426))</f>
        <v/>
      </c>
    </row>
    <row r="427" customFormat="false" ht="15" hidden="false" customHeight="false" outlineLevel="0" collapsed="false">
      <c r="G427" s="19" t="n">
        <f aca="false">IF($C427="",0,$C427+$D427)</f>
        <v>0</v>
      </c>
      <c r="H427" s="19" t="str">
        <f aca="false">IF($B427="","",CONCATENATE("Örnek borç: ",$B427))</f>
        <v/>
      </c>
    </row>
    <row r="428" customFormat="false" ht="15" hidden="false" customHeight="false" outlineLevel="0" collapsed="false">
      <c r="G428" s="19" t="n">
        <f aca="false">IF($C428="",0,$C428+$D428)</f>
        <v>0</v>
      </c>
      <c r="H428" s="19" t="str">
        <f aca="false">IF($B428="","",CONCATENATE("Örnek borç: ",$B428))</f>
        <v/>
      </c>
    </row>
    <row r="429" customFormat="false" ht="15" hidden="false" customHeight="false" outlineLevel="0" collapsed="false">
      <c r="G429" s="19" t="n">
        <f aca="false">IF($C429="",0,$C429+$D429)</f>
        <v>0</v>
      </c>
      <c r="H429" s="19" t="str">
        <f aca="false">IF($B429="","",CONCATENATE("Örnek borç: ",$B429))</f>
        <v/>
      </c>
    </row>
    <row r="430" customFormat="false" ht="15" hidden="false" customHeight="false" outlineLevel="0" collapsed="false">
      <c r="G430" s="19" t="n">
        <f aca="false">IF($C430="",0,$C430+$D430)</f>
        <v>0</v>
      </c>
      <c r="H430" s="19" t="str">
        <f aca="false">IF($B430="","",CONCATENATE("Örnek borç: ",$B430))</f>
        <v/>
      </c>
    </row>
    <row r="431" customFormat="false" ht="15" hidden="false" customHeight="false" outlineLevel="0" collapsed="false">
      <c r="G431" s="19" t="n">
        <f aca="false">IF($C431="",0,$C431+$D431)</f>
        <v>0</v>
      </c>
      <c r="H431" s="19" t="str">
        <f aca="false">IF($B431="","",CONCATENATE("Örnek borç: ",$B431))</f>
        <v/>
      </c>
    </row>
    <row r="432" customFormat="false" ht="15" hidden="false" customHeight="false" outlineLevel="0" collapsed="false">
      <c r="G432" s="19" t="n">
        <f aca="false">IF($C432="",0,$C432+$D432)</f>
        <v>0</v>
      </c>
      <c r="H432" s="19" t="str">
        <f aca="false">IF($B432="","",CONCATENATE("Örnek borç: ",$B432))</f>
        <v/>
      </c>
    </row>
    <row r="433" customFormat="false" ht="15" hidden="false" customHeight="false" outlineLevel="0" collapsed="false">
      <c r="G433" s="19" t="n">
        <f aca="false">IF($C433="",0,$C433+$D433)</f>
        <v>0</v>
      </c>
      <c r="H433" s="19" t="str">
        <f aca="false">IF($B433="","",CONCATENATE("Örnek borç: ",$B433))</f>
        <v/>
      </c>
    </row>
    <row r="434" customFormat="false" ht="15" hidden="false" customHeight="false" outlineLevel="0" collapsed="false">
      <c r="G434" s="19" t="n">
        <f aca="false">IF($C434="",0,$C434+$D434)</f>
        <v>0</v>
      </c>
      <c r="H434" s="19" t="str">
        <f aca="false">IF($B434="","",CONCATENATE("Örnek borç: ",$B434))</f>
        <v/>
      </c>
    </row>
    <row r="435" customFormat="false" ht="15" hidden="false" customHeight="false" outlineLevel="0" collapsed="false">
      <c r="G435" s="19" t="n">
        <f aca="false">IF($C435="",0,$C435+$D435)</f>
        <v>0</v>
      </c>
      <c r="H435" s="19" t="str">
        <f aca="false">IF($B435="","",CONCATENATE("Örnek borç: ",$B435))</f>
        <v/>
      </c>
    </row>
    <row r="436" customFormat="false" ht="15" hidden="false" customHeight="false" outlineLevel="0" collapsed="false">
      <c r="G436" s="19" t="n">
        <f aca="false">IF($C436="",0,$C436+$D436)</f>
        <v>0</v>
      </c>
      <c r="H436" s="19" t="str">
        <f aca="false">IF($B436="","",CONCATENATE("Örnek borç: ",$B436))</f>
        <v/>
      </c>
    </row>
    <row r="437" customFormat="false" ht="15" hidden="false" customHeight="false" outlineLevel="0" collapsed="false">
      <c r="G437" s="19" t="n">
        <f aca="false">IF($C437="",0,$C437+$D437)</f>
        <v>0</v>
      </c>
      <c r="H437" s="19" t="str">
        <f aca="false">IF($B437="","",CONCATENATE("Örnek borç: ",$B437))</f>
        <v/>
      </c>
    </row>
    <row r="438" customFormat="false" ht="15" hidden="false" customHeight="false" outlineLevel="0" collapsed="false">
      <c r="G438" s="19" t="n">
        <f aca="false">IF($C438="",0,$C438+$D438)</f>
        <v>0</v>
      </c>
      <c r="H438" s="19" t="str">
        <f aca="false">IF($B438="","",CONCATENATE("Örnek borç: ",$B438))</f>
        <v/>
      </c>
    </row>
    <row r="439" customFormat="false" ht="15" hidden="false" customHeight="false" outlineLevel="0" collapsed="false">
      <c r="G439" s="19" t="n">
        <f aca="false">IF($C439="",0,$C439+$D439)</f>
        <v>0</v>
      </c>
      <c r="H439" s="19" t="str">
        <f aca="false">IF($B439="","",CONCATENATE("Örnek borç: ",$B439))</f>
        <v/>
      </c>
    </row>
    <row r="440" customFormat="false" ht="15" hidden="false" customHeight="false" outlineLevel="0" collapsed="false">
      <c r="G440" s="19" t="n">
        <f aca="false">IF($C440="",0,$C440+$D440)</f>
        <v>0</v>
      </c>
      <c r="H440" s="19" t="str">
        <f aca="false">IF($B440="","",CONCATENATE("Örnek borç: ",$B440))</f>
        <v/>
      </c>
    </row>
    <row r="441" customFormat="false" ht="15" hidden="false" customHeight="false" outlineLevel="0" collapsed="false">
      <c r="G441" s="19" t="n">
        <f aca="false">IF($C441="",0,$C441+$D441)</f>
        <v>0</v>
      </c>
      <c r="H441" s="19" t="str">
        <f aca="false">IF($B441="","",CONCATENATE("Örnek borç: ",$B441))</f>
        <v/>
      </c>
    </row>
    <row r="442" customFormat="false" ht="15" hidden="false" customHeight="false" outlineLevel="0" collapsed="false">
      <c r="G442" s="19" t="n">
        <f aca="false">IF($C442="",0,$C442+$D442)</f>
        <v>0</v>
      </c>
      <c r="H442" s="19" t="str">
        <f aca="false">IF($B442="","",CONCATENATE("Örnek borç: ",$B442))</f>
        <v/>
      </c>
    </row>
    <row r="443" customFormat="false" ht="15" hidden="false" customHeight="false" outlineLevel="0" collapsed="false">
      <c r="G443" s="19" t="n">
        <f aca="false">IF($C443="",0,$C443+$D443)</f>
        <v>0</v>
      </c>
      <c r="H443" s="19" t="str">
        <f aca="false">IF($B443="","",CONCATENATE("Örnek borç: ",$B443))</f>
        <v/>
      </c>
    </row>
    <row r="444" customFormat="false" ht="15" hidden="false" customHeight="false" outlineLevel="0" collapsed="false">
      <c r="G444" s="19" t="n">
        <f aca="false">IF($C444="",0,$C444+$D444)</f>
        <v>0</v>
      </c>
      <c r="H444" s="19" t="str">
        <f aca="false">IF($B444="","",CONCATENATE("Örnek borç: ",$B444))</f>
        <v/>
      </c>
    </row>
    <row r="445" customFormat="false" ht="15" hidden="false" customHeight="false" outlineLevel="0" collapsed="false">
      <c r="G445" s="19" t="n">
        <f aca="false">IF($C445="",0,$C445+$D445)</f>
        <v>0</v>
      </c>
      <c r="H445" s="19" t="str">
        <f aca="false">IF($B445="","",CONCATENATE("Örnek borç: ",$B445))</f>
        <v/>
      </c>
    </row>
    <row r="446" customFormat="false" ht="15" hidden="false" customHeight="false" outlineLevel="0" collapsed="false">
      <c r="G446" s="19" t="n">
        <f aca="false">IF($C446="",0,$C446+$D446)</f>
        <v>0</v>
      </c>
      <c r="H446" s="19" t="str">
        <f aca="false">IF($B446="","",CONCATENATE("Örnek borç: ",$B446))</f>
        <v/>
      </c>
    </row>
    <row r="447" customFormat="false" ht="15" hidden="false" customHeight="false" outlineLevel="0" collapsed="false">
      <c r="G447" s="19" t="n">
        <f aca="false">IF($C447="",0,$C447+$D447)</f>
        <v>0</v>
      </c>
      <c r="H447" s="19" t="str">
        <f aca="false">IF($B447="","",CONCATENATE("Örnek borç: ",$B447))</f>
        <v/>
      </c>
    </row>
    <row r="448" customFormat="false" ht="15" hidden="false" customHeight="false" outlineLevel="0" collapsed="false">
      <c r="G448" s="19" t="n">
        <f aca="false">IF($C448="",0,$C448+$D448)</f>
        <v>0</v>
      </c>
      <c r="H448" s="19" t="str">
        <f aca="false">IF($B448="","",CONCATENATE("Örnek borç: ",$B448))</f>
        <v/>
      </c>
    </row>
    <row r="449" customFormat="false" ht="15" hidden="false" customHeight="false" outlineLevel="0" collapsed="false">
      <c r="G449" s="19" t="n">
        <f aca="false">IF($C449="",0,$C449+$D449)</f>
        <v>0</v>
      </c>
      <c r="H449" s="19" t="str">
        <f aca="false">IF($B449="","",CONCATENATE("Örnek borç: ",$B449))</f>
        <v/>
      </c>
    </row>
    <row r="450" customFormat="false" ht="15" hidden="false" customHeight="false" outlineLevel="0" collapsed="false">
      <c r="G450" s="19" t="n">
        <f aca="false">IF($C450="",0,$C450+$D450)</f>
        <v>0</v>
      </c>
      <c r="H450" s="19" t="str">
        <f aca="false">IF($B450="","",CONCATENATE("Örnek borç: ",$B450))</f>
        <v/>
      </c>
    </row>
    <row r="451" customFormat="false" ht="15" hidden="false" customHeight="false" outlineLevel="0" collapsed="false">
      <c r="G451" s="19" t="n">
        <f aca="false">IF($C451="",0,$C451+$D451)</f>
        <v>0</v>
      </c>
      <c r="H451" s="19" t="str">
        <f aca="false">IF($B451="","",CONCATENATE("Örnek borç: ",$B451))</f>
        <v/>
      </c>
    </row>
    <row r="452" customFormat="false" ht="15" hidden="false" customHeight="false" outlineLevel="0" collapsed="false">
      <c r="G452" s="19" t="n">
        <f aca="false">IF($C452="",0,$C452+$D452)</f>
        <v>0</v>
      </c>
      <c r="H452" s="19" t="str">
        <f aca="false">IF($B452="","",CONCATENATE("Örnek borç: ",$B452))</f>
        <v/>
      </c>
    </row>
    <row r="453" customFormat="false" ht="15" hidden="false" customHeight="false" outlineLevel="0" collapsed="false">
      <c r="G453" s="19" t="n">
        <f aca="false">IF($C453="",0,$C453+$D453)</f>
        <v>0</v>
      </c>
      <c r="H453" s="19" t="str">
        <f aca="false">IF($B453="","",CONCATENATE("Örnek borç: ",$B453))</f>
        <v/>
      </c>
    </row>
    <row r="454" customFormat="false" ht="15" hidden="false" customHeight="false" outlineLevel="0" collapsed="false">
      <c r="G454" s="19" t="n">
        <f aca="false">IF($C454="",0,$C454+$D454)</f>
        <v>0</v>
      </c>
      <c r="H454" s="19" t="str">
        <f aca="false">IF($B454="","",CONCATENATE("Örnek borç: ",$B454))</f>
        <v/>
      </c>
    </row>
    <row r="455" customFormat="false" ht="15" hidden="false" customHeight="false" outlineLevel="0" collapsed="false">
      <c r="G455" s="19" t="n">
        <f aca="false">IF($C455="",0,$C455+$D455)</f>
        <v>0</v>
      </c>
      <c r="H455" s="19" t="str">
        <f aca="false">IF($B455="","",CONCATENATE("Örnek borç: ",$B455))</f>
        <v/>
      </c>
    </row>
    <row r="456" customFormat="false" ht="15" hidden="false" customHeight="false" outlineLevel="0" collapsed="false">
      <c r="G456" s="19" t="n">
        <f aca="false">IF($C456="",0,$C456+$D456)</f>
        <v>0</v>
      </c>
      <c r="H456" s="19" t="str">
        <f aca="false">IF($B456="","",CONCATENATE("Örnek borç: ",$B456))</f>
        <v/>
      </c>
    </row>
    <row r="457" customFormat="false" ht="15" hidden="false" customHeight="false" outlineLevel="0" collapsed="false">
      <c r="G457" s="19" t="n">
        <f aca="false">IF($C457="",0,$C457+$D457)</f>
        <v>0</v>
      </c>
      <c r="H457" s="19" t="str">
        <f aca="false">IF($B457="","",CONCATENATE("Örnek borç: ",$B457))</f>
        <v/>
      </c>
    </row>
    <row r="458" customFormat="false" ht="15" hidden="false" customHeight="false" outlineLevel="0" collapsed="false">
      <c r="G458" s="19" t="n">
        <f aca="false">IF($C458="",0,$C458+$D458)</f>
        <v>0</v>
      </c>
      <c r="H458" s="19" t="str">
        <f aca="false">IF($B458="","",CONCATENATE("Örnek borç: ",$B458))</f>
        <v/>
      </c>
    </row>
    <row r="459" customFormat="false" ht="15" hidden="false" customHeight="false" outlineLevel="0" collapsed="false">
      <c r="G459" s="19" t="n">
        <f aca="false">IF($C459="",0,$C459+$D459)</f>
        <v>0</v>
      </c>
      <c r="H459" s="19" t="str">
        <f aca="false">IF($B459="","",CONCATENATE("Örnek borç: ",$B459))</f>
        <v/>
      </c>
    </row>
    <row r="460" customFormat="false" ht="15" hidden="false" customHeight="false" outlineLevel="0" collapsed="false">
      <c r="G460" s="19" t="n">
        <f aca="false">IF($C460="",0,$C460+$D460)</f>
        <v>0</v>
      </c>
      <c r="H460" s="19" t="str">
        <f aca="false">IF($B460="","",CONCATENATE("Örnek borç: ",$B460))</f>
        <v/>
      </c>
    </row>
    <row r="461" customFormat="false" ht="15" hidden="false" customHeight="false" outlineLevel="0" collapsed="false">
      <c r="G461" s="19" t="n">
        <f aca="false">IF($C461="",0,$C461+$D461)</f>
        <v>0</v>
      </c>
      <c r="H461" s="19" t="str">
        <f aca="false">IF($B461="","",CONCATENATE("Örnek borç: ",$B461))</f>
        <v/>
      </c>
    </row>
    <row r="462" customFormat="false" ht="15" hidden="false" customHeight="false" outlineLevel="0" collapsed="false">
      <c r="G462" s="19" t="n">
        <f aca="false">IF($C462="",0,$C462+$D462)</f>
        <v>0</v>
      </c>
      <c r="H462" s="19" t="str">
        <f aca="false">IF($B462="","",CONCATENATE("Örnek borç: ",$B462))</f>
        <v/>
      </c>
    </row>
    <row r="463" customFormat="false" ht="15" hidden="false" customHeight="false" outlineLevel="0" collapsed="false">
      <c r="G463" s="19" t="n">
        <f aca="false">IF($C463="",0,$C463+$D463)</f>
        <v>0</v>
      </c>
      <c r="H463" s="19" t="str">
        <f aca="false">IF($B463="","",CONCATENATE("Örnek borç: ",$B463))</f>
        <v/>
      </c>
    </row>
    <row r="464" customFormat="false" ht="15" hidden="false" customHeight="false" outlineLevel="0" collapsed="false">
      <c r="G464" s="19" t="n">
        <f aca="false">IF($C464="",0,$C464+$D464)</f>
        <v>0</v>
      </c>
      <c r="H464" s="19" t="str">
        <f aca="false">IF($B464="","",CONCATENATE("Örnek borç: ",$B464))</f>
        <v/>
      </c>
    </row>
    <row r="465" customFormat="false" ht="15" hidden="false" customHeight="false" outlineLevel="0" collapsed="false">
      <c r="G465" s="19" t="n">
        <f aca="false">IF($C465="",0,$C465+$D465)</f>
        <v>0</v>
      </c>
      <c r="H465" s="19" t="str">
        <f aca="false">IF($B465="","",CONCATENATE("Örnek borç: ",$B465))</f>
        <v/>
      </c>
    </row>
    <row r="466" customFormat="false" ht="15" hidden="false" customHeight="false" outlineLevel="0" collapsed="false">
      <c r="G466" s="19" t="n">
        <f aca="false">IF($C466="",0,$C466+$D466)</f>
        <v>0</v>
      </c>
      <c r="H466" s="19" t="str">
        <f aca="false">IF($B466="","",CONCATENATE("Örnek borç: ",$B466))</f>
        <v/>
      </c>
    </row>
    <row r="467" customFormat="false" ht="15" hidden="false" customHeight="false" outlineLevel="0" collapsed="false">
      <c r="G467" s="19" t="n">
        <f aca="false">IF($C467="",0,$C467+$D467)</f>
        <v>0</v>
      </c>
      <c r="H467" s="19" t="str">
        <f aca="false">IF($B467="","",CONCATENATE("Örnek borç: ",$B467))</f>
        <v/>
      </c>
    </row>
    <row r="468" customFormat="false" ht="15" hidden="false" customHeight="false" outlineLevel="0" collapsed="false">
      <c r="G468" s="19" t="n">
        <f aca="false">IF($C468="",0,$C468+$D468)</f>
        <v>0</v>
      </c>
      <c r="H468" s="19" t="str">
        <f aca="false">IF($B468="","",CONCATENATE("Örnek borç: ",$B468))</f>
        <v/>
      </c>
    </row>
    <row r="469" customFormat="false" ht="15" hidden="false" customHeight="false" outlineLevel="0" collapsed="false">
      <c r="G469" s="19" t="n">
        <f aca="false">IF($C469="",0,$C469+$D469)</f>
        <v>0</v>
      </c>
      <c r="H469" s="19" t="str">
        <f aca="false">IF($B469="","",CONCATENATE("Örnek borç: ",$B469))</f>
        <v/>
      </c>
    </row>
    <row r="470" customFormat="false" ht="15" hidden="false" customHeight="false" outlineLevel="0" collapsed="false">
      <c r="G470" s="19" t="n">
        <f aca="false">IF($C470="",0,$C470+$D470)</f>
        <v>0</v>
      </c>
      <c r="H470" s="19" t="str">
        <f aca="false">IF($B470="","",CONCATENATE("Örnek borç: ",$B470))</f>
        <v/>
      </c>
    </row>
    <row r="471" customFormat="false" ht="15" hidden="false" customHeight="false" outlineLevel="0" collapsed="false">
      <c r="G471" s="19" t="n">
        <f aca="false">IF($C471="",0,$C471+$D471)</f>
        <v>0</v>
      </c>
      <c r="H471" s="19" t="str">
        <f aca="false">IF($B471="","",CONCATENATE("Örnek borç: ",$B471))</f>
        <v/>
      </c>
    </row>
    <row r="472" customFormat="false" ht="15" hidden="false" customHeight="false" outlineLevel="0" collapsed="false">
      <c r="G472" s="19" t="n">
        <f aca="false">IF($C472="",0,$C472+$D472)</f>
        <v>0</v>
      </c>
      <c r="H472" s="19" t="str">
        <f aca="false">IF($B472="","",CONCATENATE("Örnek borç: ",$B472))</f>
        <v/>
      </c>
    </row>
    <row r="473" customFormat="false" ht="15" hidden="false" customHeight="false" outlineLevel="0" collapsed="false">
      <c r="G473" s="19" t="n">
        <f aca="false">IF($C473="",0,$C473+$D473)</f>
        <v>0</v>
      </c>
      <c r="H473" s="19" t="str">
        <f aca="false">IF($B473="","",CONCATENATE("Örnek borç: ",$B473))</f>
        <v/>
      </c>
    </row>
    <row r="474" customFormat="false" ht="15" hidden="false" customHeight="false" outlineLevel="0" collapsed="false">
      <c r="G474" s="19" t="n">
        <f aca="false">IF($C474="",0,$C474+$D474)</f>
        <v>0</v>
      </c>
      <c r="H474" s="19" t="str">
        <f aca="false">IF($B474="","",CONCATENATE("Örnek borç: ",$B474))</f>
        <v/>
      </c>
    </row>
    <row r="475" customFormat="false" ht="15" hidden="false" customHeight="false" outlineLevel="0" collapsed="false">
      <c r="G475" s="19" t="n">
        <f aca="false">IF($C475="",0,$C475+$D475)</f>
        <v>0</v>
      </c>
      <c r="H475" s="19" t="str">
        <f aca="false">IF($B475="","",CONCATENATE("Örnek borç: ",$B475))</f>
        <v/>
      </c>
    </row>
    <row r="476" customFormat="false" ht="15" hidden="false" customHeight="false" outlineLevel="0" collapsed="false">
      <c r="G476" s="19" t="n">
        <f aca="false">IF($C476="",0,$C476+$D476)</f>
        <v>0</v>
      </c>
      <c r="H476" s="19" t="str">
        <f aca="false">IF($B476="","",CONCATENATE("Örnek borç: ",$B476))</f>
        <v/>
      </c>
    </row>
    <row r="477" customFormat="false" ht="15" hidden="false" customHeight="false" outlineLevel="0" collapsed="false">
      <c r="G477" s="19" t="n">
        <f aca="false">IF($C477="",0,$C477+$D477)</f>
        <v>0</v>
      </c>
      <c r="H477" s="19" t="str">
        <f aca="false">IF($B477="","",CONCATENATE("Örnek borç: ",$B477))</f>
        <v/>
      </c>
    </row>
    <row r="478" customFormat="false" ht="15" hidden="false" customHeight="false" outlineLevel="0" collapsed="false">
      <c r="G478" s="19" t="n">
        <f aca="false">IF($C478="",0,$C478+$D478)</f>
        <v>0</v>
      </c>
      <c r="H478" s="19" t="str">
        <f aca="false">IF($B478="","",CONCATENATE("Örnek borç: ",$B478))</f>
        <v/>
      </c>
    </row>
    <row r="479" customFormat="false" ht="15" hidden="false" customHeight="false" outlineLevel="0" collapsed="false">
      <c r="G479" s="19" t="n">
        <f aca="false">IF($C479="",0,$C479+$D479)</f>
        <v>0</v>
      </c>
      <c r="H479" s="19" t="str">
        <f aca="false">IF($B479="","",CONCATENATE("Örnek borç: ",$B479))</f>
        <v/>
      </c>
    </row>
    <row r="480" customFormat="false" ht="15" hidden="false" customHeight="false" outlineLevel="0" collapsed="false">
      <c r="G480" s="19" t="n">
        <f aca="false">IF($C480="",0,$C480+$D480)</f>
        <v>0</v>
      </c>
      <c r="H480" s="19" t="str">
        <f aca="false">IF($B480="","",CONCATENATE("Örnek borç: ",$B480))</f>
        <v/>
      </c>
    </row>
    <row r="481" customFormat="false" ht="15" hidden="false" customHeight="false" outlineLevel="0" collapsed="false">
      <c r="G481" s="19" t="n">
        <f aca="false">IF($C481="",0,$C481+$D481)</f>
        <v>0</v>
      </c>
      <c r="H481" s="19" t="str">
        <f aca="false">IF($B481="","",CONCATENATE("Örnek borç: ",$B481))</f>
        <v/>
      </c>
    </row>
    <row r="482" customFormat="false" ht="15" hidden="false" customHeight="false" outlineLevel="0" collapsed="false">
      <c r="G482" s="19" t="n">
        <f aca="false">IF($C482="",0,$C482+$D482)</f>
        <v>0</v>
      </c>
      <c r="H482" s="19" t="str">
        <f aca="false">IF($B482="","",CONCATENATE("Örnek borç: ",$B482))</f>
        <v/>
      </c>
    </row>
    <row r="483" customFormat="false" ht="15" hidden="false" customHeight="false" outlineLevel="0" collapsed="false">
      <c r="G483" s="19" t="n">
        <f aca="false">IF($C483="",0,$C483+$D483)</f>
        <v>0</v>
      </c>
      <c r="H483" s="19" t="str">
        <f aca="false">IF($B483="","",CONCATENATE("Örnek borç: ",$B483))</f>
        <v/>
      </c>
    </row>
    <row r="484" customFormat="false" ht="15" hidden="false" customHeight="false" outlineLevel="0" collapsed="false">
      <c r="G484" s="19" t="n">
        <f aca="false">IF($C484="",0,$C484+$D484)</f>
        <v>0</v>
      </c>
      <c r="H484" s="19" t="str">
        <f aca="false">IF($B484="","",CONCATENATE("Örnek borç: ",$B484))</f>
        <v/>
      </c>
    </row>
    <row r="485" customFormat="false" ht="15" hidden="false" customHeight="false" outlineLevel="0" collapsed="false">
      <c r="G485" s="19" t="n">
        <f aca="false">IF($C485="",0,$C485+$D485)</f>
        <v>0</v>
      </c>
      <c r="H485" s="19" t="str">
        <f aca="false">IF($B485="","",CONCATENATE("Örnek borç: ",$B485))</f>
        <v/>
      </c>
    </row>
    <row r="486" customFormat="false" ht="15" hidden="false" customHeight="false" outlineLevel="0" collapsed="false">
      <c r="G486" s="19" t="n">
        <f aca="false">IF($C486="",0,$C486+$D486)</f>
        <v>0</v>
      </c>
      <c r="H486" s="19" t="str">
        <f aca="false">IF($B486="","",CONCATENATE("Örnek borç: ",$B486))</f>
        <v/>
      </c>
    </row>
    <row r="487" customFormat="false" ht="15" hidden="false" customHeight="false" outlineLevel="0" collapsed="false">
      <c r="G487" s="19" t="n">
        <f aca="false">IF($C487="",0,$C487+$D487)</f>
        <v>0</v>
      </c>
      <c r="H487" s="19" t="str">
        <f aca="false">IF($B487="","",CONCATENATE("Örnek borç: ",$B487))</f>
        <v/>
      </c>
    </row>
    <row r="488" customFormat="false" ht="15" hidden="false" customHeight="false" outlineLevel="0" collapsed="false">
      <c r="G488" s="19" t="n">
        <f aca="false">IF($C488="",0,$C488+$D488)</f>
        <v>0</v>
      </c>
      <c r="H488" s="19" t="str">
        <f aca="false">IF($B488="","",CONCATENATE("Örnek borç: ",$B488))</f>
        <v/>
      </c>
    </row>
    <row r="489" customFormat="false" ht="15" hidden="false" customHeight="false" outlineLevel="0" collapsed="false">
      <c r="G489" s="19" t="n">
        <f aca="false">IF($C489="",0,$C489+$D489)</f>
        <v>0</v>
      </c>
      <c r="H489" s="19" t="str">
        <f aca="false">IF($B489="","",CONCATENATE("Örnek borç: ",$B489))</f>
        <v/>
      </c>
    </row>
    <row r="490" customFormat="false" ht="15" hidden="false" customHeight="false" outlineLevel="0" collapsed="false">
      <c r="G490" s="19" t="n">
        <f aca="false">IF($C490="",0,$C490+$D490)</f>
        <v>0</v>
      </c>
      <c r="H490" s="19" t="str">
        <f aca="false">IF($B490="","",CONCATENATE("Örnek borç: ",$B490))</f>
        <v/>
      </c>
    </row>
    <row r="491" customFormat="false" ht="15" hidden="false" customHeight="false" outlineLevel="0" collapsed="false">
      <c r="G491" s="19" t="n">
        <f aca="false">IF($C491="",0,$C491+$D491)</f>
        <v>0</v>
      </c>
      <c r="H491" s="19" t="str">
        <f aca="false">IF($B491="","",CONCATENATE("Örnek borç: ",$B491))</f>
        <v/>
      </c>
    </row>
    <row r="492" customFormat="false" ht="15" hidden="false" customHeight="false" outlineLevel="0" collapsed="false">
      <c r="G492" s="19" t="n">
        <f aca="false">IF($C492="",0,$C492+$D492)</f>
        <v>0</v>
      </c>
      <c r="H492" s="19" t="str">
        <f aca="false">IF($B492="","",CONCATENATE("Örnek borç: ",$B492))</f>
        <v/>
      </c>
    </row>
    <row r="493" customFormat="false" ht="15" hidden="false" customHeight="false" outlineLevel="0" collapsed="false">
      <c r="G493" s="19" t="n">
        <f aca="false">IF($C493="",0,$C493+$D493)</f>
        <v>0</v>
      </c>
      <c r="H493" s="19" t="str">
        <f aca="false">IF($B493="","",CONCATENATE("Örnek borç: ",$B493))</f>
        <v/>
      </c>
    </row>
    <row r="494" customFormat="false" ht="15" hidden="false" customHeight="false" outlineLevel="0" collapsed="false">
      <c r="G494" s="19" t="n">
        <f aca="false">IF($C494="",0,$C494+$D494)</f>
        <v>0</v>
      </c>
      <c r="H494" s="19" t="str">
        <f aca="false">IF($B494="","",CONCATENATE("Örnek borç: ",$B494))</f>
        <v/>
      </c>
    </row>
    <row r="495" customFormat="false" ht="15" hidden="false" customHeight="false" outlineLevel="0" collapsed="false">
      <c r="G495" s="19" t="n">
        <f aca="false">IF($C495="",0,$C495+$D495)</f>
        <v>0</v>
      </c>
      <c r="H495" s="19" t="str">
        <f aca="false">IF($B495="","",CONCATENATE("Örnek borç: ",$B495))</f>
        <v/>
      </c>
    </row>
    <row r="496" customFormat="false" ht="15" hidden="false" customHeight="false" outlineLevel="0" collapsed="false">
      <c r="G496" s="19" t="n">
        <f aca="false">IF($C496="",0,$C496+$D496)</f>
        <v>0</v>
      </c>
      <c r="H496" s="19" t="str">
        <f aca="false">IF($B496="","",CONCATENATE("Örnek borç: ",$B496))</f>
        <v/>
      </c>
    </row>
    <row r="497" customFormat="false" ht="15" hidden="false" customHeight="false" outlineLevel="0" collapsed="false">
      <c r="G497" s="19" t="n">
        <f aca="false">IF($C497="",0,$C497+$D497)</f>
        <v>0</v>
      </c>
      <c r="H497" s="19" t="str">
        <f aca="false">IF($B497="","",CONCATENATE("Örnek borç: ",$B497))</f>
        <v/>
      </c>
    </row>
    <row r="498" customFormat="false" ht="15" hidden="false" customHeight="false" outlineLevel="0" collapsed="false">
      <c r="G498" s="19" t="n">
        <f aca="false">IF($C498="",0,$C498+$D498)</f>
        <v>0</v>
      </c>
      <c r="H498" s="19" t="str">
        <f aca="false">IF($B498="","",CONCATENATE("Örnek borç: ",$B498))</f>
        <v/>
      </c>
    </row>
    <row r="499" customFormat="false" ht="15" hidden="false" customHeight="false" outlineLevel="0" collapsed="false">
      <c r="G499" s="19" t="n">
        <f aca="false">IF($C499="",0,$C499+$D499)</f>
        <v>0</v>
      </c>
      <c r="H499" s="19" t="str">
        <f aca="false">IF($B499="","",CONCATENATE("Örnek borç: ",$B499))</f>
        <v/>
      </c>
    </row>
    <row r="500" customFormat="false" ht="15" hidden="false" customHeight="false" outlineLevel="0" collapsed="false">
      <c r="G500" s="19" t="n">
        <f aca="false">IF($C500="",0,$C500+$D500)</f>
        <v>0</v>
      </c>
      <c r="H500" s="19" t="str">
        <f aca="false">IF($B500="","",CONCATENATE("Örnek borç: ",$B500))</f>
        <v/>
      </c>
    </row>
    <row r="501" customFormat="false" ht="15" hidden="false" customHeight="false" outlineLevel="0" collapsed="false">
      <c r="G501" s="19" t="n">
        <f aca="false">IF($C501="",0,$C501+$D501)</f>
        <v>0</v>
      </c>
      <c r="H501" s="19" t="str">
        <f aca="false">IF($B501="","",CONCATENATE("Örnek borç: ",$B501))</f>
        <v/>
      </c>
    </row>
    <row r="502" customFormat="false" ht="15" hidden="false" customHeight="false" outlineLevel="0" collapsed="false">
      <c r="G502" s="19" t="n">
        <f aca="false">IF($C502="",0,$C502+$D502)</f>
        <v>0</v>
      </c>
      <c r="H502" s="19" t="str">
        <f aca="false">IF($B502="","",CONCATENATE("Örnek borç: ",$B502))</f>
        <v/>
      </c>
    </row>
    <row r="503" customFormat="false" ht="15" hidden="false" customHeight="false" outlineLevel="0" collapsed="false">
      <c r="G503" s="19" t="n">
        <f aca="false">IF($C503="",0,$C503+$D503)</f>
        <v>0</v>
      </c>
      <c r="H503" s="19" t="str">
        <f aca="false">IF($B503="","",CONCATENATE("Örnek borç: ",$B503))</f>
        <v/>
      </c>
    </row>
    <row r="504" customFormat="false" ht="15" hidden="false" customHeight="false" outlineLevel="0" collapsed="false">
      <c r="G504" s="19" t="n">
        <f aca="false">IF($C504="",0,$C504+$D504)</f>
        <v>0</v>
      </c>
      <c r="H504" s="19" t="str">
        <f aca="false">IF($B504="","",CONCATENATE("Örnek borç: ",$B504))</f>
        <v/>
      </c>
    </row>
    <row r="505" customFormat="false" ht="15" hidden="false" customHeight="false" outlineLevel="0" collapsed="false">
      <c r="G505" s="19" t="n">
        <f aca="false">IF($C505="",0,$C505+$D505)</f>
        <v>0</v>
      </c>
      <c r="H505" s="19" t="str">
        <f aca="false">IF($B505="","",CONCATENATE("Örnek borç: ",$B505))</f>
        <v/>
      </c>
    </row>
    <row r="506" customFormat="false" ht="15" hidden="false" customHeight="false" outlineLevel="0" collapsed="false">
      <c r="G506" s="19" t="n">
        <f aca="false">IF($C506="",0,$C506+$D506)</f>
        <v>0</v>
      </c>
      <c r="H506" s="19" t="str">
        <f aca="false">IF($B506="","",CONCATENATE("Örnek borç: ",$B506))</f>
        <v/>
      </c>
    </row>
    <row r="507" customFormat="false" ht="15" hidden="false" customHeight="false" outlineLevel="0" collapsed="false">
      <c r="G507" s="19" t="n">
        <f aca="false">IF($C507="",0,$C507+$D507)</f>
        <v>0</v>
      </c>
      <c r="H507" s="19" t="str">
        <f aca="false">IF($B507="","",CONCATENATE("Örnek borç: ",$B507))</f>
        <v/>
      </c>
    </row>
    <row r="508" customFormat="false" ht="15" hidden="false" customHeight="false" outlineLevel="0" collapsed="false">
      <c r="G508" s="19" t="n">
        <f aca="false">IF($C508="",0,$C508+$D508)</f>
        <v>0</v>
      </c>
      <c r="H508" s="19" t="str">
        <f aca="false">IF($B508="","",CONCATENATE("Örnek borç: ",$B508))</f>
        <v/>
      </c>
    </row>
    <row r="509" customFormat="false" ht="15" hidden="false" customHeight="false" outlineLevel="0" collapsed="false">
      <c r="G509" s="19" t="n">
        <f aca="false">IF($C509="",0,$C509+$D509)</f>
        <v>0</v>
      </c>
      <c r="H509" s="19" t="str">
        <f aca="false">IF($B509="","",CONCATENATE("Örnek borç: ",$B509))</f>
        <v/>
      </c>
    </row>
    <row r="510" customFormat="false" ht="15" hidden="false" customHeight="false" outlineLevel="0" collapsed="false">
      <c r="G510" s="19" t="n">
        <f aca="false">IF($C510="",0,$C510+$D510)</f>
        <v>0</v>
      </c>
      <c r="H510" s="19" t="str">
        <f aca="false">IF($B510="","",CONCATENATE("Örnek borç: ",$B510))</f>
        <v/>
      </c>
    </row>
    <row r="511" customFormat="false" ht="15" hidden="false" customHeight="false" outlineLevel="0" collapsed="false">
      <c r="G511" s="19" t="n">
        <f aca="false">IF($C511="",0,$C511+$D511)</f>
        <v>0</v>
      </c>
      <c r="H511" s="19" t="str">
        <f aca="false">IF($B511="","",CONCATENATE("Örnek borç: ",$B511))</f>
        <v/>
      </c>
    </row>
    <row r="512" customFormat="false" ht="15" hidden="false" customHeight="false" outlineLevel="0" collapsed="false">
      <c r="G512" s="19" t="n">
        <f aca="false">IF($C512="",0,$C512+$D512)</f>
        <v>0</v>
      </c>
      <c r="H512" s="19" t="str">
        <f aca="false">IF($B512="","",CONCATENATE("Örnek borç: ",$B512))</f>
        <v/>
      </c>
    </row>
    <row r="513" customFormat="false" ht="15" hidden="false" customHeight="false" outlineLevel="0" collapsed="false">
      <c r="G513" s="19" t="n">
        <f aca="false">IF($C513="",0,$C513+$D513)</f>
        <v>0</v>
      </c>
      <c r="H513" s="19" t="str">
        <f aca="false">IF($B513="","",CONCATENATE("Örnek borç: ",$B513))</f>
        <v/>
      </c>
    </row>
    <row r="514" customFormat="false" ht="15" hidden="false" customHeight="false" outlineLevel="0" collapsed="false">
      <c r="G514" s="19" t="n">
        <f aca="false">IF($C514="",0,$C514+$D514)</f>
        <v>0</v>
      </c>
      <c r="H514" s="19" t="str">
        <f aca="false">IF($B514="","",CONCATENATE("Örnek borç: ",$B514))</f>
        <v/>
      </c>
    </row>
    <row r="515" customFormat="false" ht="15" hidden="false" customHeight="false" outlineLevel="0" collapsed="false">
      <c r="G515" s="19" t="n">
        <f aca="false">IF($C515="",0,$C515+$D515)</f>
        <v>0</v>
      </c>
      <c r="H515" s="19" t="str">
        <f aca="false">IF($B515="","",CONCATENATE("Örnek borç: ",$B515))</f>
        <v/>
      </c>
    </row>
    <row r="516" customFormat="false" ht="15" hidden="false" customHeight="false" outlineLevel="0" collapsed="false">
      <c r="G516" s="19" t="n">
        <f aca="false">IF($C516="",0,$C516+$D516)</f>
        <v>0</v>
      </c>
      <c r="H516" s="19" t="str">
        <f aca="false">IF($B516="","",CONCATENATE("Örnek borç: ",$B516))</f>
        <v/>
      </c>
    </row>
    <row r="517" customFormat="false" ht="15" hidden="false" customHeight="false" outlineLevel="0" collapsed="false">
      <c r="G517" s="19" t="n">
        <f aca="false">IF($C517="",0,$C517+$D517)</f>
        <v>0</v>
      </c>
      <c r="H517" s="19" t="str">
        <f aca="false">IF($B517="","",CONCATENATE("Örnek borç: ",$B517))</f>
        <v/>
      </c>
    </row>
    <row r="518" customFormat="false" ht="15" hidden="false" customHeight="false" outlineLevel="0" collapsed="false">
      <c r="G518" s="19" t="n">
        <f aca="false">IF($C518="",0,$C518+$D518)</f>
        <v>0</v>
      </c>
      <c r="H518" s="19" t="str">
        <f aca="false">IF($B518="","",CONCATENATE("Örnek borç: ",$B518))</f>
        <v/>
      </c>
    </row>
    <row r="519" customFormat="false" ht="15" hidden="false" customHeight="false" outlineLevel="0" collapsed="false">
      <c r="G519" s="19" t="n">
        <f aca="false">IF($C519="",0,$C519+$D519)</f>
        <v>0</v>
      </c>
      <c r="H519" s="19" t="str">
        <f aca="false">IF($B519="","",CONCATENATE("Örnek borç: ",$B519))</f>
        <v/>
      </c>
    </row>
    <row r="520" customFormat="false" ht="15" hidden="false" customHeight="false" outlineLevel="0" collapsed="false">
      <c r="G520" s="19" t="n">
        <f aca="false">IF($C520="",0,$C520+$D520)</f>
        <v>0</v>
      </c>
      <c r="H520" s="19" t="str">
        <f aca="false">IF($B520="","",CONCATENATE("Örnek borç: ",$B520))</f>
        <v/>
      </c>
    </row>
    <row r="521" customFormat="false" ht="15" hidden="false" customHeight="false" outlineLevel="0" collapsed="false">
      <c r="G521" s="19" t="n">
        <f aca="false">IF($C521="",0,$C521+$D521)</f>
        <v>0</v>
      </c>
      <c r="H521" s="19" t="str">
        <f aca="false">IF($B521="","",CONCATENATE("Örnek borç: ",$B521))</f>
        <v/>
      </c>
    </row>
    <row r="522" customFormat="false" ht="15" hidden="false" customHeight="false" outlineLevel="0" collapsed="false">
      <c r="G522" s="19" t="n">
        <f aca="false">IF($C522="",0,$C522+$D522)</f>
        <v>0</v>
      </c>
      <c r="H522" s="19" t="str">
        <f aca="false">IF($B522="","",CONCATENATE("Örnek borç: ",$B522))</f>
        <v/>
      </c>
    </row>
    <row r="523" customFormat="false" ht="15" hidden="false" customHeight="false" outlineLevel="0" collapsed="false">
      <c r="G523" s="19" t="n">
        <f aca="false">IF($C523="",0,$C523+$D523)</f>
        <v>0</v>
      </c>
      <c r="H523" s="19" t="str">
        <f aca="false">IF($B523="","",CONCATENATE("Örnek borç: ",$B523))</f>
        <v/>
      </c>
    </row>
    <row r="524" customFormat="false" ht="15" hidden="false" customHeight="false" outlineLevel="0" collapsed="false">
      <c r="G524" s="19" t="n">
        <f aca="false">IF($C524="",0,$C524+$D524)</f>
        <v>0</v>
      </c>
      <c r="H524" s="19" t="str">
        <f aca="false">IF($B524="","",CONCATENATE("Örnek borç: ",$B524))</f>
        <v/>
      </c>
    </row>
    <row r="525" customFormat="false" ht="15" hidden="false" customHeight="false" outlineLevel="0" collapsed="false">
      <c r="G525" s="19" t="n">
        <f aca="false">IF($C525="",0,$C525+$D525)</f>
        <v>0</v>
      </c>
      <c r="H525" s="19" t="str">
        <f aca="false">IF($B525="","",CONCATENATE("Örnek borç: ",$B525))</f>
        <v/>
      </c>
    </row>
    <row r="526" customFormat="false" ht="15" hidden="false" customHeight="false" outlineLevel="0" collapsed="false">
      <c r="G526" s="19" t="n">
        <f aca="false">IF($C526="",0,$C526+$D526)</f>
        <v>0</v>
      </c>
      <c r="H526" s="19" t="str">
        <f aca="false">IF($B526="","",CONCATENATE("Örnek borç: ",$B526))</f>
        <v/>
      </c>
    </row>
    <row r="527" customFormat="false" ht="15" hidden="false" customHeight="false" outlineLevel="0" collapsed="false">
      <c r="G527" s="19" t="n">
        <f aca="false">IF($C527="",0,$C527+$D527)</f>
        <v>0</v>
      </c>
      <c r="H527" s="19" t="str">
        <f aca="false">IF($B527="","",CONCATENATE("Örnek borç: ",$B527))</f>
        <v/>
      </c>
    </row>
    <row r="528" customFormat="false" ht="15" hidden="false" customHeight="false" outlineLevel="0" collapsed="false">
      <c r="G528" s="19" t="n">
        <f aca="false">IF($C528="",0,$C528+$D528)</f>
        <v>0</v>
      </c>
      <c r="H528" s="19" t="str">
        <f aca="false">IF($B528="","",CONCATENATE("Örnek borç: ",$B528))</f>
        <v/>
      </c>
    </row>
    <row r="529" customFormat="false" ht="15" hidden="false" customHeight="false" outlineLevel="0" collapsed="false">
      <c r="G529" s="19" t="n">
        <f aca="false">IF($C529="",0,$C529+$D529)</f>
        <v>0</v>
      </c>
      <c r="H529" s="19" t="str">
        <f aca="false">IF($B529="","",CONCATENATE("Örnek borç: ",$B529))</f>
        <v/>
      </c>
    </row>
    <row r="530" customFormat="false" ht="15" hidden="false" customHeight="false" outlineLevel="0" collapsed="false">
      <c r="G530" s="19" t="n">
        <f aca="false">IF($C530="",0,$C530+$D530)</f>
        <v>0</v>
      </c>
      <c r="H530" s="19" t="str">
        <f aca="false">IF($B530="","",CONCATENATE("Örnek borç: ",$B530))</f>
        <v/>
      </c>
    </row>
    <row r="531" customFormat="false" ht="15" hidden="false" customHeight="false" outlineLevel="0" collapsed="false">
      <c r="G531" s="19" t="n">
        <f aca="false">IF($C531="",0,$C531+$D531)</f>
        <v>0</v>
      </c>
      <c r="H531" s="19" t="str">
        <f aca="false">IF($B531="","",CONCATENATE("Örnek borç: ",$B531))</f>
        <v/>
      </c>
    </row>
    <row r="532" customFormat="false" ht="15" hidden="false" customHeight="false" outlineLevel="0" collapsed="false">
      <c r="G532" s="19" t="n">
        <f aca="false">IF($C532="",0,$C532+$D532)</f>
        <v>0</v>
      </c>
      <c r="H532" s="19" t="str">
        <f aca="false">IF($B532="","",CONCATENATE("Örnek borç: ",$B532))</f>
        <v/>
      </c>
    </row>
    <row r="533" customFormat="false" ht="15" hidden="false" customHeight="false" outlineLevel="0" collapsed="false">
      <c r="G533" s="19" t="n">
        <f aca="false">IF($C533="",0,$C533+$D533)</f>
        <v>0</v>
      </c>
      <c r="H533" s="19" t="str">
        <f aca="false">IF($B533="","",CONCATENATE("Örnek borç: ",$B533))</f>
        <v/>
      </c>
    </row>
    <row r="534" customFormat="false" ht="15" hidden="false" customHeight="false" outlineLevel="0" collapsed="false">
      <c r="G534" s="19" t="n">
        <f aca="false">IF($C534="",0,$C534+$D534)</f>
        <v>0</v>
      </c>
      <c r="H534" s="19" t="str">
        <f aca="false">IF($B534="","",CONCATENATE("Örnek borç: ",$B534))</f>
        <v/>
      </c>
    </row>
    <row r="535" customFormat="false" ht="15" hidden="false" customHeight="false" outlineLevel="0" collapsed="false">
      <c r="G535" s="19" t="n">
        <f aca="false">IF($C535="",0,$C535+$D535)</f>
        <v>0</v>
      </c>
      <c r="H535" s="19" t="str">
        <f aca="false">IF($B535="","",CONCATENATE("Örnek borç: ",$B535))</f>
        <v/>
      </c>
    </row>
    <row r="536" customFormat="false" ht="15" hidden="false" customHeight="false" outlineLevel="0" collapsed="false">
      <c r="G536" s="19" t="n">
        <f aca="false">IF($C536="",0,$C536+$D536)</f>
        <v>0</v>
      </c>
      <c r="H536" s="19" t="str">
        <f aca="false">IF($B536="","",CONCATENATE("Örnek borç: ",$B536))</f>
        <v/>
      </c>
    </row>
    <row r="537" customFormat="false" ht="15" hidden="false" customHeight="false" outlineLevel="0" collapsed="false">
      <c r="G537" s="19" t="n">
        <f aca="false">IF($C537="",0,$C537+$D537)</f>
        <v>0</v>
      </c>
      <c r="H537" s="19" t="str">
        <f aca="false">IF($B537="","",CONCATENATE("Örnek borç: ",$B537))</f>
        <v/>
      </c>
    </row>
    <row r="538" customFormat="false" ht="15" hidden="false" customHeight="false" outlineLevel="0" collapsed="false">
      <c r="G538" s="19" t="n">
        <f aca="false">IF($C538="",0,$C538+$D538)</f>
        <v>0</v>
      </c>
      <c r="H538" s="19" t="str">
        <f aca="false">IF($B538="","",CONCATENATE("Örnek borç: ",$B538))</f>
        <v/>
      </c>
    </row>
    <row r="539" customFormat="false" ht="15" hidden="false" customHeight="false" outlineLevel="0" collapsed="false">
      <c r="G539" s="19" t="n">
        <f aca="false">IF($C539="",0,$C539+$D539)</f>
        <v>0</v>
      </c>
      <c r="H539" s="19" t="str">
        <f aca="false">IF($B539="","",CONCATENATE("Örnek borç: ",$B539))</f>
        <v/>
      </c>
    </row>
    <row r="540" customFormat="false" ht="15" hidden="false" customHeight="false" outlineLevel="0" collapsed="false">
      <c r="G540" s="19" t="n">
        <f aca="false">IF($C540="",0,$C540+$D540)</f>
        <v>0</v>
      </c>
      <c r="H540" s="19" t="str">
        <f aca="false">IF($B540="","",CONCATENATE("Örnek borç: ",$B540))</f>
        <v/>
      </c>
    </row>
    <row r="541" customFormat="false" ht="15" hidden="false" customHeight="false" outlineLevel="0" collapsed="false">
      <c r="G541" s="19" t="n">
        <f aca="false">IF($C541="",0,$C541+$D541)</f>
        <v>0</v>
      </c>
      <c r="H541" s="19" t="str">
        <f aca="false">IF($B541="","",CONCATENATE("Örnek borç: ",$B541))</f>
        <v/>
      </c>
    </row>
    <row r="542" customFormat="false" ht="15" hidden="false" customHeight="false" outlineLevel="0" collapsed="false">
      <c r="G542" s="19" t="n">
        <f aca="false">IF($C542="",0,$C542+$D542)</f>
        <v>0</v>
      </c>
      <c r="H542" s="19" t="str">
        <f aca="false">IF($B542="","",CONCATENATE("Örnek borç: ",$B542))</f>
        <v/>
      </c>
    </row>
    <row r="543" customFormat="false" ht="15" hidden="false" customHeight="false" outlineLevel="0" collapsed="false">
      <c r="G543" s="19" t="n">
        <f aca="false">IF($C543="",0,$C543+$D543)</f>
        <v>0</v>
      </c>
      <c r="H543" s="19" t="str">
        <f aca="false">IF($B543="","",CONCATENATE("Örnek borç: ",$B543))</f>
        <v/>
      </c>
    </row>
    <row r="544" customFormat="false" ht="15" hidden="false" customHeight="false" outlineLevel="0" collapsed="false">
      <c r="G544" s="19" t="n">
        <f aca="false">IF($C544="",0,$C544+$D544)</f>
        <v>0</v>
      </c>
      <c r="H544" s="19" t="str">
        <f aca="false">IF($B544="","",CONCATENATE("Örnek borç: ",$B544))</f>
        <v/>
      </c>
    </row>
    <row r="545" customFormat="false" ht="15" hidden="false" customHeight="false" outlineLevel="0" collapsed="false">
      <c r="G545" s="19" t="n">
        <f aca="false">IF($C545="",0,$C545+$D545)</f>
        <v>0</v>
      </c>
      <c r="H545" s="19" t="str">
        <f aca="false">IF($B545="","",CONCATENATE("Örnek borç: ",$B545))</f>
        <v/>
      </c>
    </row>
    <row r="546" customFormat="false" ht="15" hidden="false" customHeight="false" outlineLevel="0" collapsed="false">
      <c r="G546" s="19" t="n">
        <f aca="false">IF($C546="",0,$C546+$D546)</f>
        <v>0</v>
      </c>
      <c r="H546" s="19" t="str">
        <f aca="false">IF($B546="","",CONCATENATE("Örnek borç: ",$B546))</f>
        <v/>
      </c>
    </row>
    <row r="547" customFormat="false" ht="15" hidden="false" customHeight="false" outlineLevel="0" collapsed="false">
      <c r="G547" s="19" t="n">
        <f aca="false">IF($C547="",0,$C547+$D547)</f>
        <v>0</v>
      </c>
      <c r="H547" s="19" t="str">
        <f aca="false">IF($B547="","",CONCATENATE("Örnek borç: ",$B547))</f>
        <v/>
      </c>
    </row>
    <row r="548" customFormat="false" ht="15" hidden="false" customHeight="false" outlineLevel="0" collapsed="false">
      <c r="G548" s="19" t="n">
        <f aca="false">IF($C548="",0,$C548+$D548)</f>
        <v>0</v>
      </c>
      <c r="H548" s="19" t="str">
        <f aca="false">IF($B548="","",CONCATENATE("Örnek borç: ",$B548))</f>
        <v/>
      </c>
    </row>
    <row r="549" customFormat="false" ht="15" hidden="false" customHeight="false" outlineLevel="0" collapsed="false">
      <c r="G549" s="19" t="n">
        <f aca="false">IF($C549="",0,$C549+$D549)</f>
        <v>0</v>
      </c>
      <c r="H549" s="19" t="str">
        <f aca="false">IF($B549="","",CONCATENATE("Örnek borç: ",$B549))</f>
        <v/>
      </c>
    </row>
    <row r="550" customFormat="false" ht="15" hidden="false" customHeight="false" outlineLevel="0" collapsed="false">
      <c r="G550" s="19" t="n">
        <f aca="false">IF($C550="",0,$C550+$D550)</f>
        <v>0</v>
      </c>
      <c r="H550" s="19" t="str">
        <f aca="false">IF($B550="","",CONCATENATE("Örnek borç: ",$B550))</f>
        <v/>
      </c>
    </row>
    <row r="551" customFormat="false" ht="15" hidden="false" customHeight="false" outlineLevel="0" collapsed="false">
      <c r="G551" s="19" t="n">
        <f aca="false">IF($C551="",0,$C551+$D551)</f>
        <v>0</v>
      </c>
      <c r="H551" s="19" t="str">
        <f aca="false">IF($B551="","",CONCATENATE("Örnek borç: ",$B551))</f>
        <v/>
      </c>
    </row>
    <row r="552" customFormat="false" ht="15" hidden="false" customHeight="false" outlineLevel="0" collapsed="false">
      <c r="G552" s="19" t="n">
        <f aca="false">IF($C552="",0,$C552+$D552)</f>
        <v>0</v>
      </c>
      <c r="H552" s="19" t="str">
        <f aca="false">IF($B552="","",CONCATENATE("Örnek borç: ",$B552))</f>
        <v/>
      </c>
    </row>
    <row r="553" customFormat="false" ht="15" hidden="false" customHeight="false" outlineLevel="0" collapsed="false">
      <c r="G553" s="19" t="n">
        <f aca="false">IF($C553="",0,$C553+$D553)</f>
        <v>0</v>
      </c>
      <c r="H553" s="19" t="str">
        <f aca="false">IF($B553="","",CONCATENATE("Örnek borç: ",$B553))</f>
        <v/>
      </c>
    </row>
    <row r="554" customFormat="false" ht="15" hidden="false" customHeight="false" outlineLevel="0" collapsed="false">
      <c r="G554" s="19" t="n">
        <f aca="false">IF($C554="",0,$C554+$D554)</f>
        <v>0</v>
      </c>
      <c r="H554" s="19" t="str">
        <f aca="false">IF($B554="","",CONCATENATE("Örnek borç: ",$B554))</f>
        <v/>
      </c>
    </row>
    <row r="555" customFormat="false" ht="15" hidden="false" customHeight="false" outlineLevel="0" collapsed="false">
      <c r="G555" s="19" t="n">
        <f aca="false">IF($C555="",0,$C555+$D555)</f>
        <v>0</v>
      </c>
      <c r="H555" s="19" t="str">
        <f aca="false">IF($B555="","",CONCATENATE("Örnek borç: ",$B555))</f>
        <v/>
      </c>
    </row>
    <row r="556" customFormat="false" ht="15" hidden="false" customHeight="false" outlineLevel="0" collapsed="false">
      <c r="G556" s="19" t="n">
        <f aca="false">IF($C556="",0,$C556+$D556)</f>
        <v>0</v>
      </c>
      <c r="H556" s="19" t="str">
        <f aca="false">IF($B556="","",CONCATENATE("Örnek borç: ",$B556))</f>
        <v/>
      </c>
    </row>
    <row r="557" customFormat="false" ht="15" hidden="false" customHeight="false" outlineLevel="0" collapsed="false">
      <c r="G557" s="19" t="n">
        <f aca="false">IF($C557="",0,$C557+$D557)</f>
        <v>0</v>
      </c>
      <c r="H557" s="19" t="str">
        <f aca="false">IF($B557="","",CONCATENATE("Örnek borç: ",$B557))</f>
        <v/>
      </c>
    </row>
    <row r="558" customFormat="false" ht="15" hidden="false" customHeight="false" outlineLevel="0" collapsed="false">
      <c r="G558" s="19" t="n">
        <f aca="false">IF($C558="",0,$C558+$D558)</f>
        <v>0</v>
      </c>
      <c r="H558" s="19" t="str">
        <f aca="false">IF($B558="","",CONCATENATE("Örnek borç: ",$B558))</f>
        <v/>
      </c>
    </row>
    <row r="559" customFormat="false" ht="15" hidden="false" customHeight="false" outlineLevel="0" collapsed="false">
      <c r="G559" s="19" t="n">
        <f aca="false">IF($C559="",0,$C559+$D559)</f>
        <v>0</v>
      </c>
      <c r="H559" s="19" t="str">
        <f aca="false">IF($B559="","",CONCATENATE("Örnek borç: ",$B559))</f>
        <v/>
      </c>
    </row>
    <row r="560" customFormat="false" ht="15" hidden="false" customHeight="false" outlineLevel="0" collapsed="false">
      <c r="G560" s="19" t="n">
        <f aca="false">IF($C560="",0,$C560+$D560)</f>
        <v>0</v>
      </c>
      <c r="H560" s="19" t="str">
        <f aca="false">IF($B560="","",CONCATENATE("Örnek borç: ",$B560))</f>
        <v/>
      </c>
    </row>
    <row r="561" customFormat="false" ht="15" hidden="false" customHeight="false" outlineLevel="0" collapsed="false">
      <c r="G561" s="19" t="n">
        <f aca="false">IF($C561="",0,$C561+$D561)</f>
        <v>0</v>
      </c>
      <c r="H561" s="19" t="str">
        <f aca="false">IF($B561="","",CONCATENATE("Örnek borç: ",$B561))</f>
        <v/>
      </c>
    </row>
    <row r="562" customFormat="false" ht="15" hidden="false" customHeight="false" outlineLevel="0" collapsed="false">
      <c r="G562" s="19" t="n">
        <f aca="false">IF($C562="",0,$C562+$D562)</f>
        <v>0</v>
      </c>
      <c r="H562" s="19" t="str">
        <f aca="false">IF($B562="","",CONCATENATE("Örnek borç: ",$B562))</f>
        <v/>
      </c>
    </row>
    <row r="563" customFormat="false" ht="15" hidden="false" customHeight="false" outlineLevel="0" collapsed="false">
      <c r="G563" s="19" t="n">
        <f aca="false">IF($C563="",0,$C563+$D563)</f>
        <v>0</v>
      </c>
      <c r="H563" s="19" t="str">
        <f aca="false">IF($B563="","",CONCATENATE("Örnek borç: ",$B563))</f>
        <v/>
      </c>
    </row>
    <row r="564" customFormat="false" ht="15" hidden="false" customHeight="false" outlineLevel="0" collapsed="false">
      <c r="G564" s="19" t="n">
        <f aca="false">IF($C564="",0,$C564+$D564)</f>
        <v>0</v>
      </c>
      <c r="H564" s="19" t="str">
        <f aca="false">IF($B564="","",CONCATENATE("Örnek borç: ",$B564))</f>
        <v/>
      </c>
    </row>
    <row r="565" customFormat="false" ht="15" hidden="false" customHeight="false" outlineLevel="0" collapsed="false">
      <c r="G565" s="19" t="n">
        <f aca="false">IF($C565="",0,$C565+$D565)</f>
        <v>0</v>
      </c>
      <c r="H565" s="19" t="str">
        <f aca="false">IF($B565="","",CONCATENATE("Örnek borç: ",$B565))</f>
        <v/>
      </c>
    </row>
    <row r="566" customFormat="false" ht="15" hidden="false" customHeight="false" outlineLevel="0" collapsed="false">
      <c r="G566" s="19" t="n">
        <f aca="false">IF($C566="",0,$C566+$D566)</f>
        <v>0</v>
      </c>
      <c r="H566" s="19" t="str">
        <f aca="false">IF($B566="","",CONCATENATE("Örnek borç: ",$B566))</f>
        <v/>
      </c>
    </row>
    <row r="567" customFormat="false" ht="15" hidden="false" customHeight="false" outlineLevel="0" collapsed="false">
      <c r="G567" s="19" t="n">
        <f aca="false">IF($C567="",0,$C567+$D567)</f>
        <v>0</v>
      </c>
      <c r="H567" s="19" t="str">
        <f aca="false">IF($B567="","",CONCATENATE("Örnek borç: ",$B567))</f>
        <v/>
      </c>
    </row>
    <row r="568" customFormat="false" ht="15" hidden="false" customHeight="false" outlineLevel="0" collapsed="false">
      <c r="G568" s="19" t="n">
        <f aca="false">IF($C568="",0,$C568+$D568)</f>
        <v>0</v>
      </c>
      <c r="H568" s="19" t="str">
        <f aca="false">IF($B568="","",CONCATENATE("Örnek borç: ",$B568))</f>
        <v/>
      </c>
    </row>
    <row r="569" customFormat="false" ht="15" hidden="false" customHeight="false" outlineLevel="0" collapsed="false">
      <c r="G569" s="19" t="n">
        <f aca="false">IF($C569="",0,$C569+$D569)</f>
        <v>0</v>
      </c>
      <c r="H569" s="19" t="str">
        <f aca="false">IF($B569="","",CONCATENATE("Örnek borç: ",$B569))</f>
        <v/>
      </c>
    </row>
    <row r="570" customFormat="false" ht="15" hidden="false" customHeight="false" outlineLevel="0" collapsed="false">
      <c r="G570" s="19" t="n">
        <f aca="false">IF($C570="",0,$C570+$D570)</f>
        <v>0</v>
      </c>
      <c r="H570" s="19" t="str">
        <f aca="false">IF($B570="","",CONCATENATE("Örnek borç: ",$B570))</f>
        <v/>
      </c>
    </row>
    <row r="571" customFormat="false" ht="15" hidden="false" customHeight="false" outlineLevel="0" collapsed="false">
      <c r="G571" s="19" t="n">
        <f aca="false">IF($C571="",0,$C571+$D571)</f>
        <v>0</v>
      </c>
      <c r="H571" s="19" t="str">
        <f aca="false">IF($B571="","",CONCATENATE("Örnek borç: ",$B571))</f>
        <v/>
      </c>
    </row>
    <row r="572" customFormat="false" ht="15" hidden="false" customHeight="false" outlineLevel="0" collapsed="false">
      <c r="G572" s="19" t="n">
        <f aca="false">IF($C572="",0,$C572+$D572)</f>
        <v>0</v>
      </c>
      <c r="H572" s="19" t="str">
        <f aca="false">IF($B572="","",CONCATENATE("Örnek borç: ",$B572))</f>
        <v/>
      </c>
    </row>
    <row r="573" customFormat="false" ht="15" hidden="false" customHeight="false" outlineLevel="0" collapsed="false">
      <c r="G573" s="19" t="n">
        <f aca="false">IF($C573="",0,$C573+$D573)</f>
        <v>0</v>
      </c>
      <c r="H573" s="19" t="str">
        <f aca="false">IF($B573="","",CONCATENATE("Örnek borç: ",$B573))</f>
        <v/>
      </c>
    </row>
    <row r="574" customFormat="false" ht="15" hidden="false" customHeight="false" outlineLevel="0" collapsed="false">
      <c r="G574" s="19" t="n">
        <f aca="false">IF($C574="",0,$C574+$D574)</f>
        <v>0</v>
      </c>
      <c r="H574" s="19" t="str">
        <f aca="false">IF($B574="","",CONCATENATE("Örnek borç: ",$B574))</f>
        <v/>
      </c>
    </row>
    <row r="575" customFormat="false" ht="15" hidden="false" customHeight="false" outlineLevel="0" collapsed="false">
      <c r="G575" s="19" t="n">
        <f aca="false">IF($C575="",0,$C575+$D575)</f>
        <v>0</v>
      </c>
      <c r="H575" s="19" t="str">
        <f aca="false">IF($B575="","",CONCATENATE("Örnek borç: ",$B575))</f>
        <v/>
      </c>
    </row>
    <row r="576" customFormat="false" ht="15" hidden="false" customHeight="false" outlineLevel="0" collapsed="false">
      <c r="G576" s="19" t="n">
        <f aca="false">IF($C576="",0,$C576+$D576)</f>
        <v>0</v>
      </c>
      <c r="H576" s="19" t="str">
        <f aca="false">IF($B576="","",CONCATENATE("Örnek borç: ",$B576))</f>
        <v/>
      </c>
    </row>
    <row r="577" customFormat="false" ht="15" hidden="false" customHeight="false" outlineLevel="0" collapsed="false">
      <c r="G577" s="19" t="n">
        <f aca="false">IF($C577="",0,$C577+$D577)</f>
        <v>0</v>
      </c>
      <c r="H577" s="19" t="str">
        <f aca="false">IF($B577="","",CONCATENATE("Örnek borç: ",$B577))</f>
        <v/>
      </c>
    </row>
    <row r="578" customFormat="false" ht="15" hidden="false" customHeight="false" outlineLevel="0" collapsed="false">
      <c r="G578" s="19" t="n">
        <f aca="false">IF($C578="",0,$C578+$D578)</f>
        <v>0</v>
      </c>
      <c r="H578" s="19" t="str">
        <f aca="false">IF($B578="","",CONCATENATE("Örnek borç: ",$B578))</f>
        <v/>
      </c>
    </row>
    <row r="579" customFormat="false" ht="15" hidden="false" customHeight="false" outlineLevel="0" collapsed="false">
      <c r="G579" s="19" t="n">
        <f aca="false">IF($C579="",0,$C579+$D579)</f>
        <v>0</v>
      </c>
      <c r="H579" s="19" t="str">
        <f aca="false">IF($B579="","",CONCATENATE("Örnek borç: ",$B579))</f>
        <v/>
      </c>
    </row>
    <row r="580" customFormat="false" ht="15" hidden="false" customHeight="false" outlineLevel="0" collapsed="false">
      <c r="G580" s="19" t="n">
        <f aca="false">IF($C580="",0,$C580+$D580)</f>
        <v>0</v>
      </c>
      <c r="H580" s="19" t="str">
        <f aca="false">IF($B580="","",CONCATENATE("Örnek borç: ",$B580))</f>
        <v/>
      </c>
    </row>
    <row r="581" customFormat="false" ht="15" hidden="false" customHeight="false" outlineLevel="0" collapsed="false">
      <c r="G581" s="19" t="n">
        <f aca="false">IF($C581="",0,$C581+$D581)</f>
        <v>0</v>
      </c>
      <c r="H581" s="19" t="str">
        <f aca="false">IF($B581="","",CONCATENATE("Örnek borç: ",$B581))</f>
        <v/>
      </c>
    </row>
    <row r="582" customFormat="false" ht="15" hidden="false" customHeight="false" outlineLevel="0" collapsed="false">
      <c r="G582" s="19" t="n">
        <f aca="false">IF($C582="",0,$C582+$D582)</f>
        <v>0</v>
      </c>
      <c r="H582" s="19" t="str">
        <f aca="false">IF($B582="","",CONCATENATE("Örnek borç: ",$B582))</f>
        <v/>
      </c>
    </row>
    <row r="583" customFormat="false" ht="15" hidden="false" customHeight="false" outlineLevel="0" collapsed="false">
      <c r="G583" s="19" t="n">
        <f aca="false">IF($C583="",0,$C583+$D583)</f>
        <v>0</v>
      </c>
      <c r="H583" s="19" t="str">
        <f aca="false">IF($B583="","",CONCATENATE("Örnek borç: ",$B583))</f>
        <v/>
      </c>
    </row>
    <row r="584" customFormat="false" ht="15" hidden="false" customHeight="false" outlineLevel="0" collapsed="false">
      <c r="G584" s="19" t="n">
        <f aca="false">IF($C584="",0,$C584+$D584)</f>
        <v>0</v>
      </c>
      <c r="H584" s="19" t="str">
        <f aca="false">IF($B584="","",CONCATENATE("Örnek borç: ",$B584))</f>
        <v/>
      </c>
    </row>
    <row r="585" customFormat="false" ht="15" hidden="false" customHeight="false" outlineLevel="0" collapsed="false">
      <c r="G585" s="19" t="n">
        <f aca="false">IF($C585="",0,$C585+$D585)</f>
        <v>0</v>
      </c>
      <c r="H585" s="19" t="str">
        <f aca="false">IF($B585="","",CONCATENATE("Örnek borç: ",$B585))</f>
        <v/>
      </c>
    </row>
    <row r="586" customFormat="false" ht="15" hidden="false" customHeight="false" outlineLevel="0" collapsed="false">
      <c r="G586" s="19" t="n">
        <f aca="false">IF($C586="",0,$C586+$D586)</f>
        <v>0</v>
      </c>
      <c r="H586" s="19" t="str">
        <f aca="false">IF($B586="","",CONCATENATE("Örnek borç: ",$B586))</f>
        <v/>
      </c>
    </row>
    <row r="587" customFormat="false" ht="15" hidden="false" customHeight="false" outlineLevel="0" collapsed="false">
      <c r="G587" s="19" t="n">
        <f aca="false">IF($C587="",0,$C587+$D587)</f>
        <v>0</v>
      </c>
      <c r="H587" s="19" t="str">
        <f aca="false">IF($B587="","",CONCATENATE("Örnek borç: ",$B587))</f>
        <v/>
      </c>
    </row>
    <row r="588" customFormat="false" ht="15" hidden="false" customHeight="false" outlineLevel="0" collapsed="false">
      <c r="G588" s="19" t="n">
        <f aca="false">IF($C588="",0,$C588+$D588)</f>
        <v>0</v>
      </c>
      <c r="H588" s="19" t="str">
        <f aca="false">IF($B588="","",CONCATENATE("Örnek borç: ",$B588))</f>
        <v/>
      </c>
    </row>
    <row r="589" customFormat="false" ht="15" hidden="false" customHeight="false" outlineLevel="0" collapsed="false">
      <c r="G589" s="19" t="n">
        <f aca="false">IF($C589="",0,$C589+$D589)</f>
        <v>0</v>
      </c>
      <c r="H589" s="19" t="str">
        <f aca="false">IF($B589="","",CONCATENATE("Örnek borç: ",$B589))</f>
        <v/>
      </c>
    </row>
    <row r="590" customFormat="false" ht="15" hidden="false" customHeight="false" outlineLevel="0" collapsed="false">
      <c r="G590" s="19" t="n">
        <f aca="false">IF($C590="",0,$C590+$D590)</f>
        <v>0</v>
      </c>
      <c r="H590" s="19" t="str">
        <f aca="false">IF($B590="","",CONCATENATE("Örnek borç: ",$B590))</f>
        <v/>
      </c>
    </row>
    <row r="591" customFormat="false" ht="15" hidden="false" customHeight="false" outlineLevel="0" collapsed="false">
      <c r="G591" s="19" t="n">
        <f aca="false">IF($C591="",0,$C591+$D591)</f>
        <v>0</v>
      </c>
      <c r="H591" s="19" t="str">
        <f aca="false">IF($B591="","",CONCATENATE("Örnek borç: ",$B591))</f>
        <v/>
      </c>
    </row>
    <row r="592" customFormat="false" ht="15" hidden="false" customHeight="false" outlineLevel="0" collapsed="false">
      <c r="G592" s="19" t="n">
        <f aca="false">IF($C592="",0,$C592+$D592)</f>
        <v>0</v>
      </c>
      <c r="H592" s="19" t="str">
        <f aca="false">IF($B592="","",CONCATENATE("Örnek borç: ",$B592))</f>
        <v/>
      </c>
    </row>
    <row r="593" customFormat="false" ht="15" hidden="false" customHeight="false" outlineLevel="0" collapsed="false">
      <c r="G593" s="19" t="n">
        <f aca="false">IF($C593="",0,$C593+$D593)</f>
        <v>0</v>
      </c>
      <c r="H593" s="19" t="str">
        <f aca="false">IF($B593="","",CONCATENATE("Örnek borç: ",$B593))</f>
        <v/>
      </c>
    </row>
    <row r="594" customFormat="false" ht="15" hidden="false" customHeight="false" outlineLevel="0" collapsed="false">
      <c r="G594" s="19" t="n">
        <f aca="false">IF($C594="",0,$C594+$D594)</f>
        <v>0</v>
      </c>
      <c r="H594" s="19" t="str">
        <f aca="false">IF($B594="","",CONCATENATE("Örnek borç: ",$B594))</f>
        <v/>
      </c>
    </row>
    <row r="595" customFormat="false" ht="15" hidden="false" customHeight="false" outlineLevel="0" collapsed="false">
      <c r="G595" s="19" t="n">
        <f aca="false">IF($C595="",0,$C595+$D595)</f>
        <v>0</v>
      </c>
      <c r="H595" s="19" t="str">
        <f aca="false">IF($B595="","",CONCATENATE("Örnek borç: ",$B595))</f>
        <v/>
      </c>
    </row>
    <row r="596" customFormat="false" ht="15" hidden="false" customHeight="false" outlineLevel="0" collapsed="false">
      <c r="G596" s="19" t="n">
        <f aca="false">IF($C596="",0,$C596+$D596)</f>
        <v>0</v>
      </c>
      <c r="H596" s="19" t="str">
        <f aca="false">IF($B596="","",CONCATENATE("Örnek borç: ",$B596))</f>
        <v/>
      </c>
    </row>
    <row r="597" customFormat="false" ht="15" hidden="false" customHeight="false" outlineLevel="0" collapsed="false">
      <c r="G597" s="19" t="n">
        <f aca="false">IF($C597="",0,$C597+$D597)</f>
        <v>0</v>
      </c>
      <c r="H597" s="19" t="str">
        <f aca="false">IF($B597="","",CONCATENATE("Örnek borç: ",$B597))</f>
        <v/>
      </c>
    </row>
    <row r="598" customFormat="false" ht="15" hidden="false" customHeight="false" outlineLevel="0" collapsed="false">
      <c r="G598" s="19" t="n">
        <f aca="false">IF($C598="",0,$C598+$D598)</f>
        <v>0</v>
      </c>
      <c r="H598" s="19" t="str">
        <f aca="false">IF($B598="","",CONCATENATE("Örnek borç: ",$B598))</f>
        <v/>
      </c>
    </row>
    <row r="599" customFormat="false" ht="15" hidden="false" customHeight="false" outlineLevel="0" collapsed="false">
      <c r="G599" s="19" t="n">
        <f aca="false">IF($C599="",0,$C599+$D599)</f>
        <v>0</v>
      </c>
      <c r="H599" s="19" t="str">
        <f aca="false">IF($B599="","",CONCATENATE("Örnek borç: ",$B599))</f>
        <v/>
      </c>
    </row>
    <row r="600" customFormat="false" ht="15" hidden="false" customHeight="false" outlineLevel="0" collapsed="false">
      <c r="G600" s="19" t="n">
        <f aca="false">IF($C600="",0,$C600+$D600)</f>
        <v>0</v>
      </c>
      <c r="H600" s="19" t="str">
        <f aca="false">IF($B600="","",CONCATENATE("Örnek borç: ",$B600))</f>
        <v/>
      </c>
    </row>
    <row r="601" customFormat="false" ht="15" hidden="false" customHeight="false" outlineLevel="0" collapsed="false">
      <c r="G601" s="19" t="n">
        <f aca="false">IF($C601="",0,$C601+$D601)</f>
        <v>0</v>
      </c>
      <c r="H601" s="19" t="str">
        <f aca="false">IF($B601="","",CONCATENATE("Örnek borç: ",$B601))</f>
        <v/>
      </c>
    </row>
    <row r="602" customFormat="false" ht="15" hidden="false" customHeight="false" outlineLevel="0" collapsed="false">
      <c r="G602" s="19" t="n">
        <f aca="false">IF($C602="",0,$C602+$D602)</f>
        <v>0</v>
      </c>
      <c r="H602" s="19" t="str">
        <f aca="false">IF($B602="","",CONCATENATE("Örnek borç: ",$B602))</f>
        <v/>
      </c>
    </row>
    <row r="603" customFormat="false" ht="15" hidden="false" customHeight="false" outlineLevel="0" collapsed="false">
      <c r="G603" s="19" t="n">
        <f aca="false">IF($C603="",0,$C603+$D603)</f>
        <v>0</v>
      </c>
      <c r="H603" s="19" t="str">
        <f aca="false">IF($B603="","",CONCATENATE("Örnek borç: ",$B603))</f>
        <v/>
      </c>
    </row>
    <row r="604" customFormat="false" ht="15" hidden="false" customHeight="false" outlineLevel="0" collapsed="false">
      <c r="G604" s="19" t="n">
        <f aca="false">IF($C604="",0,$C604+$D604)</f>
        <v>0</v>
      </c>
      <c r="H604" s="19" t="str">
        <f aca="false">IF($B604="","",CONCATENATE("Örnek borç: ",$B604))</f>
        <v/>
      </c>
    </row>
    <row r="605" customFormat="false" ht="15" hidden="false" customHeight="false" outlineLevel="0" collapsed="false">
      <c r="G605" s="19" t="n">
        <f aca="false">IF($C605="",0,$C605+$D605)</f>
        <v>0</v>
      </c>
      <c r="H605" s="19" t="str">
        <f aca="false">IF($B605="","",CONCATENATE("Örnek borç: ",$B605))</f>
        <v/>
      </c>
    </row>
    <row r="606" customFormat="false" ht="15" hidden="false" customHeight="false" outlineLevel="0" collapsed="false">
      <c r="G606" s="19" t="n">
        <f aca="false">IF($C606="",0,$C606+$D606)</f>
        <v>0</v>
      </c>
      <c r="H606" s="19" t="str">
        <f aca="false">IF($B606="","",CONCATENATE("Örnek borç: ",$B606))</f>
        <v/>
      </c>
    </row>
    <row r="607" customFormat="false" ht="15" hidden="false" customHeight="false" outlineLevel="0" collapsed="false">
      <c r="G607" s="19" t="n">
        <f aca="false">IF($C607="",0,$C607+$D607)</f>
        <v>0</v>
      </c>
      <c r="H607" s="19" t="str">
        <f aca="false">IF($B607="","",CONCATENATE("Örnek borç: ",$B607))</f>
        <v/>
      </c>
    </row>
    <row r="608" customFormat="false" ht="15" hidden="false" customHeight="false" outlineLevel="0" collapsed="false">
      <c r="G608" s="19" t="n">
        <f aca="false">IF($C608="",0,$C608+$D608)</f>
        <v>0</v>
      </c>
      <c r="H608" s="19" t="str">
        <f aca="false">IF($B608="","",CONCATENATE("Örnek borç: ",$B608))</f>
        <v/>
      </c>
    </row>
    <row r="609" customFormat="false" ht="15" hidden="false" customHeight="false" outlineLevel="0" collapsed="false">
      <c r="G609" s="19" t="n">
        <f aca="false">IF($C609="",0,$C609+$D609)</f>
        <v>0</v>
      </c>
      <c r="H609" s="19" t="str">
        <f aca="false">IF($B609="","",CONCATENATE("Örnek borç: ",$B609))</f>
        <v/>
      </c>
    </row>
    <row r="610" customFormat="false" ht="15" hidden="false" customHeight="false" outlineLevel="0" collapsed="false">
      <c r="G610" s="19" t="n">
        <f aca="false">IF($C610="",0,$C610+$D610)</f>
        <v>0</v>
      </c>
      <c r="H610" s="19" t="str">
        <f aca="false">IF($B610="","",CONCATENATE("Örnek borç: ",$B610))</f>
        <v/>
      </c>
    </row>
    <row r="611" customFormat="false" ht="15" hidden="false" customHeight="false" outlineLevel="0" collapsed="false">
      <c r="G611" s="19" t="n">
        <f aca="false">IF($C611="",0,$C611+$D611)</f>
        <v>0</v>
      </c>
      <c r="H611" s="19" t="str">
        <f aca="false">IF($B611="","",CONCATENATE("Örnek borç: ",$B611))</f>
        <v/>
      </c>
    </row>
    <row r="612" customFormat="false" ht="15" hidden="false" customHeight="false" outlineLevel="0" collapsed="false">
      <c r="G612" s="19" t="n">
        <f aca="false">IF($C612="",0,$C612+$D612)</f>
        <v>0</v>
      </c>
      <c r="H612" s="19" t="str">
        <f aca="false">IF($B612="","",CONCATENATE("Örnek borç: ",$B612))</f>
        <v/>
      </c>
    </row>
    <row r="613" customFormat="false" ht="15" hidden="false" customHeight="false" outlineLevel="0" collapsed="false">
      <c r="G613" s="19" t="n">
        <f aca="false">IF($C613="",0,$C613+$D613)</f>
        <v>0</v>
      </c>
      <c r="H613" s="19" t="str">
        <f aca="false">IF($B613="","",CONCATENATE("Örnek borç: ",$B613))</f>
        <v/>
      </c>
    </row>
    <row r="614" customFormat="false" ht="15" hidden="false" customHeight="false" outlineLevel="0" collapsed="false">
      <c r="G614" s="19" t="n">
        <f aca="false">IF($C614="",0,$C614+$D614)</f>
        <v>0</v>
      </c>
      <c r="H614" s="19" t="str">
        <f aca="false">IF($B614="","",CONCATENATE("Örnek borç: ",$B614))</f>
        <v/>
      </c>
    </row>
    <row r="615" customFormat="false" ht="15" hidden="false" customHeight="false" outlineLevel="0" collapsed="false">
      <c r="G615" s="19" t="n">
        <f aca="false">IF($C615="",0,$C615+$D615)</f>
        <v>0</v>
      </c>
      <c r="H615" s="19" t="str">
        <f aca="false">IF($B615="","",CONCATENATE("Örnek borç: ",$B615))</f>
        <v/>
      </c>
    </row>
    <row r="616" customFormat="false" ht="15" hidden="false" customHeight="false" outlineLevel="0" collapsed="false">
      <c r="G616" s="19" t="n">
        <f aca="false">IF($C616="",0,$C616+$D616)</f>
        <v>0</v>
      </c>
      <c r="H616" s="19" t="str">
        <f aca="false">IF($B616="","",CONCATENATE("Örnek borç: ",$B616))</f>
        <v/>
      </c>
    </row>
    <row r="617" customFormat="false" ht="15" hidden="false" customHeight="false" outlineLevel="0" collapsed="false">
      <c r="G617" s="19" t="n">
        <f aca="false">IF($C617="",0,$C617+$D617)</f>
        <v>0</v>
      </c>
      <c r="H617" s="19" t="str">
        <f aca="false">IF($B617="","",CONCATENATE("Örnek borç: ",$B617))</f>
        <v/>
      </c>
    </row>
    <row r="618" customFormat="false" ht="15" hidden="false" customHeight="false" outlineLevel="0" collapsed="false">
      <c r="G618" s="19" t="n">
        <f aca="false">IF($C618="",0,$C618+$D618)</f>
        <v>0</v>
      </c>
      <c r="H618" s="19" t="str">
        <f aca="false">IF($B618="","",CONCATENATE("Örnek borç: ",$B618))</f>
        <v/>
      </c>
    </row>
    <row r="619" customFormat="false" ht="15" hidden="false" customHeight="false" outlineLevel="0" collapsed="false">
      <c r="G619" s="19" t="n">
        <f aca="false">IF($C619="",0,$C619+$D619)</f>
        <v>0</v>
      </c>
      <c r="H619" s="19" t="str">
        <f aca="false">IF($B619="","",CONCATENATE("Örnek borç: ",$B619))</f>
        <v/>
      </c>
    </row>
    <row r="620" customFormat="false" ht="15" hidden="false" customHeight="false" outlineLevel="0" collapsed="false">
      <c r="G620" s="19" t="n">
        <f aca="false">IF($C620="",0,$C620+$D620)</f>
        <v>0</v>
      </c>
      <c r="H620" s="19" t="str">
        <f aca="false">IF($B620="","",CONCATENATE("Örnek borç: ",$B620))</f>
        <v/>
      </c>
    </row>
    <row r="621" customFormat="false" ht="15" hidden="false" customHeight="false" outlineLevel="0" collapsed="false">
      <c r="G621" s="19" t="n">
        <f aca="false">IF($C621="",0,$C621+$D621)</f>
        <v>0</v>
      </c>
      <c r="H621" s="19" t="str">
        <f aca="false">IF($B621="","",CONCATENATE("Örnek borç: ",$B621))</f>
        <v/>
      </c>
    </row>
    <row r="622" customFormat="false" ht="15" hidden="false" customHeight="false" outlineLevel="0" collapsed="false">
      <c r="G622" s="19" t="n">
        <f aca="false">IF($C622="",0,$C622+$D622)</f>
        <v>0</v>
      </c>
      <c r="H622" s="19" t="str">
        <f aca="false">IF($B622="","",CONCATENATE("Örnek borç: ",$B622))</f>
        <v/>
      </c>
    </row>
    <row r="623" customFormat="false" ht="15" hidden="false" customHeight="false" outlineLevel="0" collapsed="false">
      <c r="G623" s="19" t="n">
        <f aca="false">IF($C623="",0,$C623+$D623)</f>
        <v>0</v>
      </c>
      <c r="H623" s="19" t="str">
        <f aca="false">IF($B623="","",CONCATENATE("Örnek borç: ",$B623))</f>
        <v/>
      </c>
    </row>
    <row r="624" customFormat="false" ht="15" hidden="false" customHeight="false" outlineLevel="0" collapsed="false">
      <c r="G624" s="19" t="n">
        <f aca="false">IF($C624="",0,$C624+$D624)</f>
        <v>0</v>
      </c>
      <c r="H624" s="19" t="str">
        <f aca="false">IF($B624="","",CONCATENATE("Örnek borç: ",$B624))</f>
        <v/>
      </c>
    </row>
    <row r="625" customFormat="false" ht="15" hidden="false" customHeight="false" outlineLevel="0" collapsed="false">
      <c r="G625" s="19" t="n">
        <f aca="false">IF($C625="",0,$C625+$D625)</f>
        <v>0</v>
      </c>
      <c r="H625" s="19" t="str">
        <f aca="false">IF($B625="","",CONCATENATE("Örnek borç: ",$B625))</f>
        <v/>
      </c>
    </row>
    <row r="626" customFormat="false" ht="15" hidden="false" customHeight="false" outlineLevel="0" collapsed="false">
      <c r="G626" s="19" t="n">
        <f aca="false">IF($C626="",0,$C626+$D626)</f>
        <v>0</v>
      </c>
      <c r="H626" s="19" t="str">
        <f aca="false">IF($B626="","",CONCATENATE("Örnek borç: ",$B626))</f>
        <v/>
      </c>
    </row>
    <row r="627" customFormat="false" ht="15" hidden="false" customHeight="false" outlineLevel="0" collapsed="false">
      <c r="G627" s="19" t="n">
        <f aca="false">IF($C627="",0,$C627+$D627)</f>
        <v>0</v>
      </c>
      <c r="H627" s="19" t="str">
        <f aca="false">IF($B627="","",CONCATENATE("Örnek borç: ",$B627))</f>
        <v/>
      </c>
    </row>
    <row r="628" customFormat="false" ht="15" hidden="false" customHeight="false" outlineLevel="0" collapsed="false">
      <c r="G628" s="19" t="n">
        <f aca="false">IF($C628="",0,$C628+$D628)</f>
        <v>0</v>
      </c>
      <c r="H628" s="19" t="str">
        <f aca="false">IF($B628="","",CONCATENATE("Örnek borç: ",$B628))</f>
        <v/>
      </c>
    </row>
    <row r="629" customFormat="false" ht="15" hidden="false" customHeight="false" outlineLevel="0" collapsed="false">
      <c r="G629" s="19" t="n">
        <f aca="false">IF($C629="",0,$C629+$D629)</f>
        <v>0</v>
      </c>
      <c r="H629" s="19" t="str">
        <f aca="false">IF($B629="","",CONCATENATE("Örnek borç: ",$B629))</f>
        <v/>
      </c>
    </row>
    <row r="630" customFormat="false" ht="15" hidden="false" customHeight="false" outlineLevel="0" collapsed="false">
      <c r="G630" s="19" t="n">
        <f aca="false">IF($C630="",0,$C630+$D630)</f>
        <v>0</v>
      </c>
      <c r="H630" s="19" t="str">
        <f aca="false">IF($B630="","",CONCATENATE("Örnek borç: ",$B630))</f>
        <v/>
      </c>
    </row>
    <row r="631" customFormat="false" ht="15" hidden="false" customHeight="false" outlineLevel="0" collapsed="false">
      <c r="G631" s="19" t="n">
        <f aca="false">IF($C631="",0,$C631+$D631)</f>
        <v>0</v>
      </c>
      <c r="H631" s="19" t="str">
        <f aca="false">IF($B631="","",CONCATENATE("Örnek borç: ",$B631))</f>
        <v/>
      </c>
    </row>
    <row r="632" customFormat="false" ht="15" hidden="false" customHeight="false" outlineLevel="0" collapsed="false">
      <c r="G632" s="19" t="n">
        <f aca="false">IF($C632="",0,$C632+$D632)</f>
        <v>0</v>
      </c>
      <c r="H632" s="19" t="str">
        <f aca="false">IF($B632="","",CONCATENATE("Örnek borç: ",$B632))</f>
        <v/>
      </c>
    </row>
    <row r="633" customFormat="false" ht="15" hidden="false" customHeight="false" outlineLevel="0" collapsed="false">
      <c r="G633" s="19" t="n">
        <f aca="false">IF($C633="",0,$C633+$D633)</f>
        <v>0</v>
      </c>
      <c r="H633" s="19" t="str">
        <f aca="false">IF($B633="","",CONCATENATE("Örnek borç: ",$B633))</f>
        <v/>
      </c>
    </row>
    <row r="634" customFormat="false" ht="15" hidden="false" customHeight="false" outlineLevel="0" collapsed="false">
      <c r="G634" s="19" t="n">
        <f aca="false">IF($C634="",0,$C634+$D634)</f>
        <v>0</v>
      </c>
      <c r="H634" s="19" t="str">
        <f aca="false">IF($B634="","",CONCATENATE("Örnek borç: ",$B634))</f>
        <v/>
      </c>
    </row>
    <row r="635" customFormat="false" ht="15" hidden="false" customHeight="false" outlineLevel="0" collapsed="false">
      <c r="G635" s="19" t="n">
        <f aca="false">IF($C635="",0,$C635+$D635)</f>
        <v>0</v>
      </c>
      <c r="H635" s="19" t="str">
        <f aca="false">IF($B635="","",CONCATENATE("Örnek borç: ",$B635))</f>
        <v/>
      </c>
    </row>
    <row r="636" customFormat="false" ht="15" hidden="false" customHeight="false" outlineLevel="0" collapsed="false">
      <c r="G636" s="19" t="n">
        <f aca="false">IF($C636="",0,$C636+$D636)</f>
        <v>0</v>
      </c>
      <c r="H636" s="19" t="str">
        <f aca="false">IF($B636="","",CONCATENATE("Örnek borç: ",$B636))</f>
        <v/>
      </c>
    </row>
    <row r="637" customFormat="false" ht="15" hidden="false" customHeight="false" outlineLevel="0" collapsed="false">
      <c r="G637" s="19" t="n">
        <f aca="false">IF($C637="",0,$C637+$D637)</f>
        <v>0</v>
      </c>
      <c r="H637" s="19" t="str">
        <f aca="false">IF($B637="","",CONCATENATE("Örnek borç: ",$B637))</f>
        <v/>
      </c>
    </row>
    <row r="638" customFormat="false" ht="15" hidden="false" customHeight="false" outlineLevel="0" collapsed="false">
      <c r="G638" s="19" t="n">
        <f aca="false">IF($C638="",0,$C638+$D638)</f>
        <v>0</v>
      </c>
      <c r="H638" s="19" t="str">
        <f aca="false">IF($B638="","",CONCATENATE("Örnek borç: ",$B638))</f>
        <v/>
      </c>
    </row>
    <row r="639" customFormat="false" ht="15" hidden="false" customHeight="false" outlineLevel="0" collapsed="false">
      <c r="G639" s="19" t="n">
        <f aca="false">IF($C639="",0,$C639+$D639)</f>
        <v>0</v>
      </c>
      <c r="H639" s="19" t="str">
        <f aca="false">IF($B639="","",CONCATENATE("Örnek borç: ",$B639))</f>
        <v/>
      </c>
    </row>
    <row r="640" customFormat="false" ht="15" hidden="false" customHeight="false" outlineLevel="0" collapsed="false">
      <c r="G640" s="19" t="n">
        <f aca="false">IF($C640="",0,$C640+$D640)</f>
        <v>0</v>
      </c>
      <c r="H640" s="19" t="str">
        <f aca="false">IF($B640="","",CONCATENATE("Örnek borç: ",$B640))</f>
        <v/>
      </c>
    </row>
    <row r="641" customFormat="false" ht="15" hidden="false" customHeight="false" outlineLevel="0" collapsed="false">
      <c r="G641" s="19" t="n">
        <f aca="false">IF($C641="",0,$C641+$D641)</f>
        <v>0</v>
      </c>
      <c r="H641" s="19" t="str">
        <f aca="false">IF($B641="","",CONCATENATE("Örnek borç: ",$B641))</f>
        <v/>
      </c>
    </row>
    <row r="642" customFormat="false" ht="15" hidden="false" customHeight="false" outlineLevel="0" collapsed="false">
      <c r="G642" s="19" t="n">
        <f aca="false">IF($C642="",0,$C642+$D642)</f>
        <v>0</v>
      </c>
      <c r="H642" s="19" t="str">
        <f aca="false">IF($B642="","",CONCATENATE("Örnek borç: ",$B642))</f>
        <v/>
      </c>
    </row>
    <row r="643" customFormat="false" ht="15" hidden="false" customHeight="false" outlineLevel="0" collapsed="false">
      <c r="G643" s="19" t="n">
        <f aca="false">IF($C643="",0,$C643+$D643)</f>
        <v>0</v>
      </c>
      <c r="H643" s="19" t="str">
        <f aca="false">IF($B643="","",CONCATENATE("Örnek borç: ",$B643))</f>
        <v/>
      </c>
    </row>
    <row r="644" customFormat="false" ht="15" hidden="false" customHeight="false" outlineLevel="0" collapsed="false">
      <c r="G644" s="19" t="n">
        <f aca="false">IF($C644="",0,$C644+$D644)</f>
        <v>0</v>
      </c>
      <c r="H644" s="19" t="str">
        <f aca="false">IF($B644="","",CONCATENATE("Örnek borç: ",$B644))</f>
        <v/>
      </c>
    </row>
    <row r="645" customFormat="false" ht="15" hidden="false" customHeight="false" outlineLevel="0" collapsed="false">
      <c r="G645" s="19" t="n">
        <f aca="false">IF($C645="",0,$C645+$D645)</f>
        <v>0</v>
      </c>
      <c r="H645" s="19" t="str">
        <f aca="false">IF($B645="","",CONCATENATE("Örnek borç: ",$B645))</f>
        <v/>
      </c>
    </row>
    <row r="646" customFormat="false" ht="15" hidden="false" customHeight="false" outlineLevel="0" collapsed="false">
      <c r="G646" s="19" t="n">
        <f aca="false">IF($C646="",0,$C646+$D646)</f>
        <v>0</v>
      </c>
      <c r="H646" s="19" t="str">
        <f aca="false">IF($B646="","",CONCATENATE("Örnek borç: ",$B646))</f>
        <v/>
      </c>
    </row>
    <row r="647" customFormat="false" ht="15" hidden="false" customHeight="false" outlineLevel="0" collapsed="false">
      <c r="G647" s="19" t="n">
        <f aca="false">IF($C647="",0,$C647+$D647)</f>
        <v>0</v>
      </c>
      <c r="H647" s="19" t="str">
        <f aca="false">IF($B647="","",CONCATENATE("Örnek borç: ",$B647))</f>
        <v/>
      </c>
    </row>
    <row r="648" customFormat="false" ht="15" hidden="false" customHeight="false" outlineLevel="0" collapsed="false">
      <c r="G648" s="19" t="n">
        <f aca="false">IF($C648="",0,$C648+$D648)</f>
        <v>0</v>
      </c>
      <c r="H648" s="19" t="str">
        <f aca="false">IF($B648="","",CONCATENATE("Örnek borç: ",$B648))</f>
        <v/>
      </c>
    </row>
    <row r="649" customFormat="false" ht="15" hidden="false" customHeight="false" outlineLevel="0" collapsed="false">
      <c r="G649" s="19" t="n">
        <f aca="false">IF($C649="",0,$C649+$D649)</f>
        <v>0</v>
      </c>
      <c r="H649" s="19" t="str">
        <f aca="false">IF($B649="","",CONCATENATE("Örnek borç: ",$B649))</f>
        <v/>
      </c>
    </row>
    <row r="650" customFormat="false" ht="15" hidden="false" customHeight="false" outlineLevel="0" collapsed="false">
      <c r="G650" s="19" t="n">
        <f aca="false">IF($C650="",0,$C650+$D650)</f>
        <v>0</v>
      </c>
      <c r="H650" s="19" t="str">
        <f aca="false">IF($B650="","",CONCATENATE("Örnek borç: ",$B650))</f>
        <v/>
      </c>
    </row>
    <row r="651" customFormat="false" ht="15" hidden="false" customHeight="false" outlineLevel="0" collapsed="false">
      <c r="G651" s="19" t="n">
        <f aca="false">IF($C651="",0,$C651+$D651)</f>
        <v>0</v>
      </c>
      <c r="H651" s="19" t="str">
        <f aca="false">IF($B651="","",CONCATENATE("Örnek borç: ",$B651))</f>
        <v/>
      </c>
    </row>
    <row r="652" customFormat="false" ht="15" hidden="false" customHeight="false" outlineLevel="0" collapsed="false">
      <c r="G652" s="19" t="n">
        <f aca="false">IF($C652="",0,$C652+$D652)</f>
        <v>0</v>
      </c>
      <c r="H652" s="19" t="str">
        <f aca="false">IF($B652="","",CONCATENATE("Örnek borç: ",$B652))</f>
        <v/>
      </c>
    </row>
    <row r="653" customFormat="false" ht="15" hidden="false" customHeight="false" outlineLevel="0" collapsed="false">
      <c r="G653" s="19" t="n">
        <f aca="false">IF($C653="",0,$C653+$D653)</f>
        <v>0</v>
      </c>
      <c r="H653" s="19" t="str">
        <f aca="false">IF($B653="","",CONCATENATE("Örnek borç: ",$B653))</f>
        <v/>
      </c>
    </row>
    <row r="654" customFormat="false" ht="15" hidden="false" customHeight="false" outlineLevel="0" collapsed="false">
      <c r="G654" s="19" t="n">
        <f aca="false">IF($C654="",0,$C654+$D654)</f>
        <v>0</v>
      </c>
      <c r="H654" s="19" t="str">
        <f aca="false">IF($B654="","",CONCATENATE("Örnek borç: ",$B654))</f>
        <v/>
      </c>
    </row>
    <row r="655" customFormat="false" ht="15" hidden="false" customHeight="false" outlineLevel="0" collapsed="false">
      <c r="G655" s="19" t="n">
        <f aca="false">IF($C655="",0,$C655+$D655)</f>
        <v>0</v>
      </c>
      <c r="H655" s="19" t="str">
        <f aca="false">IF($B655="","",CONCATENATE("Örnek borç: ",$B655))</f>
        <v/>
      </c>
    </row>
    <row r="656" customFormat="false" ht="15" hidden="false" customHeight="false" outlineLevel="0" collapsed="false">
      <c r="G656" s="19" t="n">
        <f aca="false">IF($C656="",0,$C656+$D656)</f>
        <v>0</v>
      </c>
      <c r="H656" s="19" t="str">
        <f aca="false">IF($B656="","",CONCATENATE("Örnek borç: ",$B656))</f>
        <v/>
      </c>
    </row>
    <row r="657" customFormat="false" ht="15" hidden="false" customHeight="false" outlineLevel="0" collapsed="false">
      <c r="G657" s="19" t="n">
        <f aca="false">IF($C657="",0,$C657+$D657)</f>
        <v>0</v>
      </c>
      <c r="H657" s="19" t="str">
        <f aca="false">IF($B657="","",CONCATENATE("Örnek borç: ",$B657))</f>
        <v/>
      </c>
    </row>
    <row r="658" customFormat="false" ht="15" hidden="false" customHeight="false" outlineLevel="0" collapsed="false">
      <c r="G658" s="19" t="n">
        <f aca="false">IF($C658="",0,$C658+$D658)</f>
        <v>0</v>
      </c>
      <c r="H658" s="19" t="str">
        <f aca="false">IF($B658="","",CONCATENATE("Örnek borç: ",$B658))</f>
        <v/>
      </c>
    </row>
    <row r="659" customFormat="false" ht="15" hidden="false" customHeight="false" outlineLevel="0" collapsed="false">
      <c r="G659" s="19" t="n">
        <f aca="false">IF($C659="",0,$C659+$D659)</f>
        <v>0</v>
      </c>
      <c r="H659" s="19" t="str">
        <f aca="false">IF($B659="","",CONCATENATE("Örnek borç: ",$B659))</f>
        <v/>
      </c>
    </row>
    <row r="660" customFormat="false" ht="15" hidden="false" customHeight="false" outlineLevel="0" collapsed="false">
      <c r="G660" s="19" t="n">
        <f aca="false">IF($C660="",0,$C660+$D660)</f>
        <v>0</v>
      </c>
      <c r="H660" s="19" t="str">
        <f aca="false">IF($B660="","",CONCATENATE("Örnek borç: ",$B660))</f>
        <v/>
      </c>
    </row>
    <row r="661" customFormat="false" ht="15" hidden="false" customHeight="false" outlineLevel="0" collapsed="false">
      <c r="G661" s="19" t="n">
        <f aca="false">IF($C661="",0,$C661+$D661)</f>
        <v>0</v>
      </c>
      <c r="H661" s="19" t="str">
        <f aca="false">IF($B661="","",CONCATENATE("Örnek borç: ",$B661))</f>
        <v/>
      </c>
    </row>
    <row r="662" customFormat="false" ht="15" hidden="false" customHeight="false" outlineLevel="0" collapsed="false">
      <c r="G662" s="19" t="n">
        <f aca="false">IF($C662="",0,$C662+$D662)</f>
        <v>0</v>
      </c>
      <c r="H662" s="19" t="str">
        <f aca="false">IF($B662="","",CONCATENATE("Örnek borç: ",$B662))</f>
        <v/>
      </c>
    </row>
    <row r="663" customFormat="false" ht="15" hidden="false" customHeight="false" outlineLevel="0" collapsed="false">
      <c r="G663" s="19" t="n">
        <f aca="false">IF($C663="",0,$C663+$D663)</f>
        <v>0</v>
      </c>
      <c r="H663" s="19" t="str">
        <f aca="false">IF($B663="","",CONCATENATE("Örnek borç: ",$B663))</f>
        <v/>
      </c>
    </row>
    <row r="664" customFormat="false" ht="15" hidden="false" customHeight="false" outlineLevel="0" collapsed="false">
      <c r="G664" s="19" t="n">
        <f aca="false">IF($C664="",0,$C664+$D664)</f>
        <v>0</v>
      </c>
      <c r="H664" s="19" t="str">
        <f aca="false">IF($B664="","",CONCATENATE("Örnek borç: ",$B664))</f>
        <v/>
      </c>
    </row>
    <row r="665" customFormat="false" ht="15" hidden="false" customHeight="false" outlineLevel="0" collapsed="false">
      <c r="G665" s="19" t="n">
        <f aca="false">IF($C665="",0,$C665+$D665)</f>
        <v>0</v>
      </c>
      <c r="H665" s="19" t="str">
        <f aca="false">IF($B665="","",CONCATENATE("Örnek borç: ",$B665))</f>
        <v/>
      </c>
    </row>
    <row r="666" customFormat="false" ht="15" hidden="false" customHeight="false" outlineLevel="0" collapsed="false">
      <c r="G666" s="19" t="n">
        <f aca="false">IF($C666="",0,$C666+$D666)</f>
        <v>0</v>
      </c>
      <c r="H666" s="19" t="str">
        <f aca="false">IF($B666="","",CONCATENATE("Örnek borç: ",$B666))</f>
        <v/>
      </c>
    </row>
    <row r="667" customFormat="false" ht="15" hidden="false" customHeight="false" outlineLevel="0" collapsed="false">
      <c r="G667" s="19" t="n">
        <f aca="false">IF($C667="",0,$C667+$D667)</f>
        <v>0</v>
      </c>
      <c r="H667" s="19" t="str">
        <f aca="false">IF($B667="","",CONCATENATE("Örnek borç: ",$B667))</f>
        <v/>
      </c>
    </row>
    <row r="668" customFormat="false" ht="15" hidden="false" customHeight="false" outlineLevel="0" collapsed="false">
      <c r="G668" s="19" t="n">
        <f aca="false">IF($C668="",0,$C668+$D668)</f>
        <v>0</v>
      </c>
      <c r="H668" s="19" t="str">
        <f aca="false">IF($B668="","",CONCATENATE("Örnek borç: ",$B668))</f>
        <v/>
      </c>
    </row>
    <row r="669" customFormat="false" ht="15" hidden="false" customHeight="false" outlineLevel="0" collapsed="false">
      <c r="G669" s="19" t="n">
        <f aca="false">IF($C669="",0,$C669+$D669)</f>
        <v>0</v>
      </c>
      <c r="H669" s="19" t="str">
        <f aca="false">IF($B669="","",CONCATENATE("Örnek borç: ",$B669))</f>
        <v/>
      </c>
    </row>
    <row r="670" customFormat="false" ht="15" hidden="false" customHeight="false" outlineLevel="0" collapsed="false">
      <c r="G670" s="19" t="n">
        <f aca="false">IF($C670="",0,$C670+$D670)</f>
        <v>0</v>
      </c>
      <c r="H670" s="19" t="str">
        <f aca="false">IF($B670="","",CONCATENATE("Örnek borç: ",$B670))</f>
        <v/>
      </c>
    </row>
    <row r="671" customFormat="false" ht="15" hidden="false" customHeight="false" outlineLevel="0" collapsed="false">
      <c r="G671" s="19" t="n">
        <f aca="false">IF($C671="",0,$C671+$D671)</f>
        <v>0</v>
      </c>
      <c r="H671" s="19" t="str">
        <f aca="false">IF($B671="","",CONCATENATE("Örnek borç: ",$B671))</f>
        <v/>
      </c>
    </row>
    <row r="672" customFormat="false" ht="15" hidden="false" customHeight="false" outlineLevel="0" collapsed="false">
      <c r="G672" s="19" t="n">
        <f aca="false">IF($C672="",0,$C672+$D672)</f>
        <v>0</v>
      </c>
      <c r="H672" s="19" t="str">
        <f aca="false">IF($B672="","",CONCATENATE("Örnek borç: ",$B672))</f>
        <v/>
      </c>
    </row>
    <row r="673" customFormat="false" ht="15" hidden="false" customHeight="false" outlineLevel="0" collapsed="false">
      <c r="G673" s="19" t="n">
        <f aca="false">IF($C673="",0,$C673+$D673)</f>
        <v>0</v>
      </c>
      <c r="H673" s="19" t="str">
        <f aca="false">IF($B673="","",CONCATENATE("Örnek borç: ",$B673))</f>
        <v/>
      </c>
    </row>
    <row r="674" customFormat="false" ht="15" hidden="false" customHeight="false" outlineLevel="0" collapsed="false">
      <c r="G674" s="19" t="n">
        <f aca="false">IF($C674="",0,$C674+$D674)</f>
        <v>0</v>
      </c>
      <c r="H674" s="19" t="str">
        <f aca="false">IF($B674="","",CONCATENATE("Örnek borç: ",$B674))</f>
        <v/>
      </c>
    </row>
    <row r="675" customFormat="false" ht="15" hidden="false" customHeight="false" outlineLevel="0" collapsed="false">
      <c r="G675" s="19" t="n">
        <f aca="false">IF($C675="",0,$C675+$D675)</f>
        <v>0</v>
      </c>
      <c r="H675" s="19" t="str">
        <f aca="false">IF($B675="","",CONCATENATE("Örnek borç: ",$B675))</f>
        <v/>
      </c>
    </row>
    <row r="676" customFormat="false" ht="15" hidden="false" customHeight="false" outlineLevel="0" collapsed="false">
      <c r="G676" s="19" t="n">
        <f aca="false">IF($C676="",0,$C676+$D676)</f>
        <v>0</v>
      </c>
      <c r="H676" s="19" t="str">
        <f aca="false">IF($B676="","",CONCATENATE("Örnek borç: ",$B676))</f>
        <v/>
      </c>
    </row>
    <row r="677" customFormat="false" ht="15" hidden="false" customHeight="false" outlineLevel="0" collapsed="false">
      <c r="G677" s="19" t="n">
        <f aca="false">IF($C677="",0,$C677+$D677)</f>
        <v>0</v>
      </c>
      <c r="H677" s="19" t="str">
        <f aca="false">IF($B677="","",CONCATENATE("Örnek borç: ",$B677))</f>
        <v/>
      </c>
    </row>
    <row r="678" customFormat="false" ht="15" hidden="false" customHeight="false" outlineLevel="0" collapsed="false">
      <c r="G678" s="19" t="n">
        <f aca="false">IF($C678="",0,$C678+$D678)</f>
        <v>0</v>
      </c>
      <c r="H678" s="19" t="str">
        <f aca="false">IF($B678="","",CONCATENATE("Örnek borç: ",$B678))</f>
        <v/>
      </c>
    </row>
    <row r="679" customFormat="false" ht="15" hidden="false" customHeight="false" outlineLevel="0" collapsed="false">
      <c r="G679" s="19" t="n">
        <f aca="false">IF($C679="",0,$C679+$D679)</f>
        <v>0</v>
      </c>
      <c r="H679" s="19" t="str">
        <f aca="false">IF($B679="","",CONCATENATE("Örnek borç: ",$B679))</f>
        <v/>
      </c>
    </row>
    <row r="680" customFormat="false" ht="15" hidden="false" customHeight="false" outlineLevel="0" collapsed="false">
      <c r="G680" s="19" t="n">
        <f aca="false">IF($C680="",0,$C680+$D680)</f>
        <v>0</v>
      </c>
      <c r="H680" s="19" t="str">
        <f aca="false">IF($B680="","",CONCATENATE("Örnek borç: ",$B680))</f>
        <v/>
      </c>
    </row>
    <row r="681" customFormat="false" ht="15" hidden="false" customHeight="false" outlineLevel="0" collapsed="false">
      <c r="G681" s="19" t="n">
        <f aca="false">IF($C681="",0,$C681+$D681)</f>
        <v>0</v>
      </c>
      <c r="H681" s="19" t="str">
        <f aca="false">IF($B681="","",CONCATENATE("Örnek borç: ",$B681))</f>
        <v/>
      </c>
    </row>
    <row r="682" customFormat="false" ht="15" hidden="false" customHeight="false" outlineLevel="0" collapsed="false">
      <c r="G682" s="19" t="n">
        <f aca="false">IF($C682="",0,$C682+$D682)</f>
        <v>0</v>
      </c>
      <c r="H682" s="19" t="str">
        <f aca="false">IF($B682="","",CONCATENATE("Örnek borç: ",$B682))</f>
        <v/>
      </c>
    </row>
    <row r="683" customFormat="false" ht="15" hidden="false" customHeight="false" outlineLevel="0" collapsed="false">
      <c r="G683" s="19" t="n">
        <f aca="false">IF($C683="",0,$C683+$D683)</f>
        <v>0</v>
      </c>
      <c r="H683" s="19" t="str">
        <f aca="false">IF($B683="","",CONCATENATE("Örnek borç: ",$B683))</f>
        <v/>
      </c>
    </row>
    <row r="684" customFormat="false" ht="15" hidden="false" customHeight="false" outlineLevel="0" collapsed="false">
      <c r="G684" s="19" t="n">
        <f aca="false">IF($C684="",0,$C684+$D684)</f>
        <v>0</v>
      </c>
      <c r="H684" s="19" t="str">
        <f aca="false">IF($B684="","",CONCATENATE("Örnek borç: ",$B684))</f>
        <v/>
      </c>
    </row>
    <row r="685" customFormat="false" ht="15" hidden="false" customHeight="false" outlineLevel="0" collapsed="false">
      <c r="G685" s="19" t="n">
        <f aca="false">IF($C685="",0,$C685+$D685)</f>
        <v>0</v>
      </c>
      <c r="H685" s="19" t="str">
        <f aca="false">IF($B685="","",CONCATENATE("Örnek borç: ",$B685))</f>
        <v/>
      </c>
    </row>
    <row r="686" customFormat="false" ht="15" hidden="false" customHeight="false" outlineLevel="0" collapsed="false">
      <c r="G686" s="19" t="n">
        <f aca="false">IF($C686="",0,$C686+$D686)</f>
        <v>0</v>
      </c>
      <c r="H686" s="19" t="str">
        <f aca="false">IF($B686="","",CONCATENATE("Örnek borç: ",$B686))</f>
        <v/>
      </c>
    </row>
    <row r="687" customFormat="false" ht="15" hidden="false" customHeight="false" outlineLevel="0" collapsed="false">
      <c r="G687" s="19" t="n">
        <f aca="false">IF($C687="",0,$C687+$D687)</f>
        <v>0</v>
      </c>
      <c r="H687" s="19" t="str">
        <f aca="false">IF($B687="","",CONCATENATE("Örnek borç: ",$B687))</f>
        <v/>
      </c>
    </row>
    <row r="688" customFormat="false" ht="15" hidden="false" customHeight="false" outlineLevel="0" collapsed="false">
      <c r="G688" s="19" t="n">
        <f aca="false">IF($C688="",0,$C688+$D688)</f>
        <v>0</v>
      </c>
      <c r="H688" s="19" t="str">
        <f aca="false">IF($B688="","",CONCATENATE("Örnek borç: ",$B688))</f>
        <v/>
      </c>
    </row>
    <row r="689" customFormat="false" ht="15" hidden="false" customHeight="false" outlineLevel="0" collapsed="false">
      <c r="G689" s="19" t="n">
        <f aca="false">IF($C689="",0,$C689+$D689)</f>
        <v>0</v>
      </c>
      <c r="H689" s="19" t="str">
        <f aca="false">IF($B689="","",CONCATENATE("Örnek borç: ",$B689))</f>
        <v/>
      </c>
    </row>
    <row r="690" customFormat="false" ht="15" hidden="false" customHeight="false" outlineLevel="0" collapsed="false">
      <c r="G690" s="19" t="n">
        <f aca="false">IF($C690="",0,$C690+$D690)</f>
        <v>0</v>
      </c>
      <c r="H690" s="19" t="str">
        <f aca="false">IF($B690="","",CONCATENATE("Örnek borç: ",$B690))</f>
        <v/>
      </c>
    </row>
    <row r="691" customFormat="false" ht="15" hidden="false" customHeight="false" outlineLevel="0" collapsed="false">
      <c r="G691" s="19" t="n">
        <f aca="false">IF($C691="",0,$C691+$D691)</f>
        <v>0</v>
      </c>
      <c r="H691" s="19" t="str">
        <f aca="false">IF($B691="","",CONCATENATE("Örnek borç: ",$B691))</f>
        <v/>
      </c>
    </row>
    <row r="692" customFormat="false" ht="15" hidden="false" customHeight="false" outlineLevel="0" collapsed="false">
      <c r="G692" s="19" t="n">
        <f aca="false">IF($C692="",0,$C692+$D692)</f>
        <v>0</v>
      </c>
      <c r="H692" s="19" t="str">
        <f aca="false">IF($B692="","",CONCATENATE("Örnek borç: ",$B692))</f>
        <v/>
      </c>
    </row>
    <row r="693" customFormat="false" ht="15" hidden="false" customHeight="false" outlineLevel="0" collapsed="false">
      <c r="G693" s="19" t="n">
        <f aca="false">IF($C693="",0,$C693+$D693)</f>
        <v>0</v>
      </c>
      <c r="H693" s="19" t="str">
        <f aca="false">IF($B693="","",CONCATENATE("Örnek borç: ",$B693))</f>
        <v/>
      </c>
    </row>
    <row r="694" customFormat="false" ht="15" hidden="false" customHeight="false" outlineLevel="0" collapsed="false">
      <c r="G694" s="19" t="n">
        <f aca="false">IF($C694="",0,$C694+$D694)</f>
        <v>0</v>
      </c>
      <c r="H694" s="19" t="str">
        <f aca="false">IF($B694="","",CONCATENATE("Örnek borç: ",$B694))</f>
        <v/>
      </c>
    </row>
    <row r="695" customFormat="false" ht="15" hidden="false" customHeight="false" outlineLevel="0" collapsed="false">
      <c r="G695" s="19" t="n">
        <f aca="false">IF($C695="",0,$C695+$D695)</f>
        <v>0</v>
      </c>
      <c r="H695" s="19" t="str">
        <f aca="false">IF($B695="","",CONCATENATE("Örnek borç: ",$B695))</f>
        <v/>
      </c>
    </row>
    <row r="696" customFormat="false" ht="15" hidden="false" customHeight="false" outlineLevel="0" collapsed="false">
      <c r="G696" s="19" t="n">
        <f aca="false">IF($C696="",0,$C696+$D696)</f>
        <v>0</v>
      </c>
      <c r="H696" s="19" t="str">
        <f aca="false">IF($B696="","",CONCATENATE("Örnek borç: ",$B696))</f>
        <v/>
      </c>
    </row>
    <row r="697" customFormat="false" ht="15" hidden="false" customHeight="false" outlineLevel="0" collapsed="false">
      <c r="G697" s="19" t="n">
        <f aca="false">IF($C697="",0,$C697+$D697)</f>
        <v>0</v>
      </c>
      <c r="H697" s="19" t="str">
        <f aca="false">IF($B697="","",CONCATENATE("Örnek borç: ",$B697))</f>
        <v/>
      </c>
    </row>
    <row r="698" customFormat="false" ht="15" hidden="false" customHeight="false" outlineLevel="0" collapsed="false">
      <c r="G698" s="19" t="n">
        <f aca="false">IF($C698="",0,$C698+$D698)</f>
        <v>0</v>
      </c>
      <c r="H698" s="19" t="str">
        <f aca="false">IF($B698="","",CONCATENATE("Örnek borç: ",$B698))</f>
        <v/>
      </c>
    </row>
    <row r="699" customFormat="false" ht="15" hidden="false" customHeight="false" outlineLevel="0" collapsed="false">
      <c r="G699" s="19" t="n">
        <f aca="false">IF($C699="",0,$C699+$D699)</f>
        <v>0</v>
      </c>
      <c r="H699" s="19" t="str">
        <f aca="false">IF($B699="","",CONCATENATE("Örnek borç: ",$B699))</f>
        <v/>
      </c>
    </row>
    <row r="700" customFormat="false" ht="15" hidden="false" customHeight="false" outlineLevel="0" collapsed="false">
      <c r="G700" s="19" t="n">
        <f aca="false">IF($C700="",0,$C700+$D700)</f>
        <v>0</v>
      </c>
      <c r="H700" s="19" t="str">
        <f aca="false">IF($B700="","",CONCATENATE("Örnek borç: ",$B700))</f>
        <v/>
      </c>
    </row>
    <row r="701" customFormat="false" ht="15" hidden="false" customHeight="false" outlineLevel="0" collapsed="false">
      <c r="G701" s="19" t="n">
        <f aca="false">IF($C701="",0,$C701+$D701)</f>
        <v>0</v>
      </c>
      <c r="H701" s="19" t="str">
        <f aca="false">IF($B701="","",CONCATENATE("Örnek borç: ",$B701))</f>
        <v/>
      </c>
    </row>
    <row r="702" customFormat="false" ht="15" hidden="false" customHeight="false" outlineLevel="0" collapsed="false">
      <c r="G702" s="19" t="n">
        <f aca="false">IF($C702="",0,$C702+$D702)</f>
        <v>0</v>
      </c>
      <c r="H702" s="19" t="str">
        <f aca="false">IF($B702="","",CONCATENATE("Örnek borç: ",$B702))</f>
        <v/>
      </c>
    </row>
    <row r="703" customFormat="false" ht="15" hidden="false" customHeight="false" outlineLevel="0" collapsed="false">
      <c r="G703" s="19" t="n">
        <f aca="false">IF($C703="",0,$C703+$D703)</f>
        <v>0</v>
      </c>
      <c r="H703" s="19" t="str">
        <f aca="false">IF($B703="","",CONCATENATE("Örnek borç: ",$B703))</f>
        <v/>
      </c>
    </row>
    <row r="704" customFormat="false" ht="15" hidden="false" customHeight="false" outlineLevel="0" collapsed="false">
      <c r="G704" s="19" t="n">
        <f aca="false">IF($C704="",0,$C704+$D704)</f>
        <v>0</v>
      </c>
      <c r="H704" s="19" t="str">
        <f aca="false">IF($B704="","",CONCATENATE("Örnek borç: ",$B704))</f>
        <v/>
      </c>
    </row>
    <row r="705" customFormat="false" ht="15" hidden="false" customHeight="false" outlineLevel="0" collapsed="false">
      <c r="G705" s="19" t="n">
        <f aca="false">IF($C705="",0,$C705+$D705)</f>
        <v>0</v>
      </c>
      <c r="H705" s="19" t="str">
        <f aca="false">IF($B705="","",CONCATENATE("Örnek borç: ",$B705))</f>
        <v/>
      </c>
    </row>
    <row r="706" customFormat="false" ht="15" hidden="false" customHeight="false" outlineLevel="0" collapsed="false">
      <c r="G706" s="19" t="n">
        <f aca="false">IF($C706="",0,$C706+$D706)</f>
        <v>0</v>
      </c>
      <c r="H706" s="19" t="str">
        <f aca="false">IF($B706="","",CONCATENATE("Örnek borç: ",$B706))</f>
        <v/>
      </c>
    </row>
    <row r="707" customFormat="false" ht="15" hidden="false" customHeight="false" outlineLevel="0" collapsed="false">
      <c r="G707" s="19" t="n">
        <f aca="false">IF($C707="",0,$C707+$D707)</f>
        <v>0</v>
      </c>
      <c r="H707" s="19" t="str">
        <f aca="false">IF($B707="","",CONCATENATE("Örnek borç: ",$B707))</f>
        <v/>
      </c>
    </row>
    <row r="708" customFormat="false" ht="15" hidden="false" customHeight="false" outlineLevel="0" collapsed="false">
      <c r="G708" s="19" t="n">
        <f aca="false">IF($C708="",0,$C708+$D708)</f>
        <v>0</v>
      </c>
      <c r="H708" s="19" t="str">
        <f aca="false">IF($B708="","",CONCATENATE("Örnek borç: ",$B708))</f>
        <v/>
      </c>
    </row>
    <row r="709" customFormat="false" ht="15" hidden="false" customHeight="false" outlineLevel="0" collapsed="false">
      <c r="G709" s="19" t="n">
        <f aca="false">IF($C709="",0,$C709+$D709)</f>
        <v>0</v>
      </c>
      <c r="H709" s="19" t="str">
        <f aca="false">IF($B709="","",CONCATENATE("Örnek borç: ",$B709))</f>
        <v/>
      </c>
    </row>
    <row r="710" customFormat="false" ht="15" hidden="false" customHeight="false" outlineLevel="0" collapsed="false">
      <c r="G710" s="19" t="n">
        <f aca="false">IF($C710="",0,$C710+$D710)</f>
        <v>0</v>
      </c>
      <c r="H710" s="19" t="str">
        <f aca="false">IF($B710="","",CONCATENATE("Örnek borç: ",$B710))</f>
        <v/>
      </c>
    </row>
    <row r="711" customFormat="false" ht="15" hidden="false" customHeight="false" outlineLevel="0" collapsed="false">
      <c r="G711" s="19" t="n">
        <f aca="false">IF($C711="",0,$C711+$D711)</f>
        <v>0</v>
      </c>
      <c r="H711" s="19" t="str">
        <f aca="false">IF($B711="","",CONCATENATE("Örnek borç: ",$B711))</f>
        <v/>
      </c>
    </row>
    <row r="712" customFormat="false" ht="15" hidden="false" customHeight="false" outlineLevel="0" collapsed="false">
      <c r="G712" s="19" t="n">
        <f aca="false">IF($C712="",0,$C712+$D712)</f>
        <v>0</v>
      </c>
      <c r="H712" s="19" t="str">
        <f aca="false">IF($B712="","",CONCATENATE("Örnek borç: ",$B712))</f>
        <v/>
      </c>
    </row>
    <row r="713" customFormat="false" ht="15" hidden="false" customHeight="false" outlineLevel="0" collapsed="false">
      <c r="G713" s="19" t="n">
        <f aca="false">IF($C713="",0,$C713+$D713)</f>
        <v>0</v>
      </c>
      <c r="H713" s="19" t="str">
        <f aca="false">IF($B713="","",CONCATENATE("Örnek borç: ",$B713))</f>
        <v/>
      </c>
    </row>
    <row r="714" customFormat="false" ht="15" hidden="false" customHeight="false" outlineLevel="0" collapsed="false">
      <c r="G714" s="19" t="n">
        <f aca="false">IF($C714="",0,$C714+$D714)</f>
        <v>0</v>
      </c>
      <c r="H714" s="19" t="str">
        <f aca="false">IF($B714="","",CONCATENATE("Örnek borç: ",$B714))</f>
        <v/>
      </c>
    </row>
    <row r="715" customFormat="false" ht="15" hidden="false" customHeight="false" outlineLevel="0" collapsed="false">
      <c r="G715" s="19" t="n">
        <f aca="false">IF($C715="",0,$C715+$D715)</f>
        <v>0</v>
      </c>
      <c r="H715" s="19" t="str">
        <f aca="false">IF($B715="","",CONCATENATE("Örnek borç: ",$B715))</f>
        <v/>
      </c>
    </row>
    <row r="716" customFormat="false" ht="15" hidden="false" customHeight="false" outlineLevel="0" collapsed="false">
      <c r="G716" s="19" t="n">
        <f aca="false">IF($C716="",0,$C716+$D716)</f>
        <v>0</v>
      </c>
      <c r="H716" s="19" t="str">
        <f aca="false">IF($B716="","",CONCATENATE("Örnek borç: ",$B716))</f>
        <v/>
      </c>
    </row>
    <row r="717" customFormat="false" ht="15" hidden="false" customHeight="false" outlineLevel="0" collapsed="false">
      <c r="G717" s="19" t="n">
        <f aca="false">IF($C717="",0,$C717+$D717)</f>
        <v>0</v>
      </c>
      <c r="H717" s="19" t="str">
        <f aca="false">IF($B717="","",CONCATENATE("Örnek borç: ",$B717))</f>
        <v/>
      </c>
    </row>
    <row r="718" customFormat="false" ht="15" hidden="false" customHeight="false" outlineLevel="0" collapsed="false">
      <c r="G718" s="19" t="n">
        <f aca="false">IF($C718="",0,$C718+$D718)</f>
        <v>0</v>
      </c>
      <c r="H718" s="19" t="str">
        <f aca="false">IF($B718="","",CONCATENATE("Örnek borç: ",$B718))</f>
        <v/>
      </c>
    </row>
    <row r="719" customFormat="false" ht="15" hidden="false" customHeight="false" outlineLevel="0" collapsed="false">
      <c r="G719" s="19" t="n">
        <f aca="false">IF($C719="",0,$C719+$D719)</f>
        <v>0</v>
      </c>
      <c r="H719" s="19" t="str">
        <f aca="false">IF($B719="","",CONCATENATE("Örnek borç: ",$B719))</f>
        <v/>
      </c>
    </row>
    <row r="720" customFormat="false" ht="15" hidden="false" customHeight="false" outlineLevel="0" collapsed="false">
      <c r="G720" s="19" t="n">
        <f aca="false">IF($C720="",0,$C720+$D720)</f>
        <v>0</v>
      </c>
      <c r="H720" s="19" t="str">
        <f aca="false">IF($B720="","",CONCATENATE("Örnek borç: ",$B720))</f>
        <v/>
      </c>
    </row>
    <row r="721" customFormat="false" ht="15" hidden="false" customHeight="false" outlineLevel="0" collapsed="false">
      <c r="G721" s="19" t="n">
        <f aca="false">IF($C721="",0,$C721+$D721)</f>
        <v>0</v>
      </c>
      <c r="H721" s="19" t="str">
        <f aca="false">IF($B721="","",CONCATENATE("Örnek borç: ",$B721))</f>
        <v/>
      </c>
    </row>
    <row r="722" customFormat="false" ht="15" hidden="false" customHeight="false" outlineLevel="0" collapsed="false">
      <c r="G722" s="19" t="n">
        <f aca="false">IF($C722="",0,$C722+$D722)</f>
        <v>0</v>
      </c>
      <c r="H722" s="19" t="str">
        <f aca="false">IF($B722="","",CONCATENATE("Örnek borç: ",$B722))</f>
        <v/>
      </c>
    </row>
    <row r="723" customFormat="false" ht="15" hidden="false" customHeight="false" outlineLevel="0" collapsed="false">
      <c r="G723" s="19" t="n">
        <f aca="false">IF($C723="",0,$C723+$D723)</f>
        <v>0</v>
      </c>
      <c r="H723" s="19" t="str">
        <f aca="false">IF($B723="","",CONCATENATE("Örnek borç: ",$B723))</f>
        <v/>
      </c>
    </row>
    <row r="724" customFormat="false" ht="15" hidden="false" customHeight="false" outlineLevel="0" collapsed="false">
      <c r="G724" s="19" t="n">
        <f aca="false">IF($C724="",0,$C724+$D724)</f>
        <v>0</v>
      </c>
      <c r="H724" s="19" t="str">
        <f aca="false">IF($B724="","",CONCATENATE("Örnek borç: ",$B724))</f>
        <v/>
      </c>
    </row>
    <row r="725" customFormat="false" ht="15" hidden="false" customHeight="false" outlineLevel="0" collapsed="false">
      <c r="G725" s="19" t="n">
        <f aca="false">IF($C725="",0,$C725+$D725)</f>
        <v>0</v>
      </c>
      <c r="H725" s="19" t="str">
        <f aca="false">IF($B725="","",CONCATENATE("Örnek borç: ",$B725))</f>
        <v/>
      </c>
    </row>
    <row r="726" customFormat="false" ht="15" hidden="false" customHeight="false" outlineLevel="0" collapsed="false">
      <c r="G726" s="19" t="n">
        <f aca="false">IF($C726="",0,$C726+$D726)</f>
        <v>0</v>
      </c>
      <c r="H726" s="19" t="str">
        <f aca="false">IF($B726="","",CONCATENATE("Örnek borç: ",$B726))</f>
        <v/>
      </c>
    </row>
    <row r="727" customFormat="false" ht="15" hidden="false" customHeight="false" outlineLevel="0" collapsed="false">
      <c r="G727" s="19" t="n">
        <f aca="false">IF($C727="",0,$C727+$D727)</f>
        <v>0</v>
      </c>
      <c r="H727" s="19" t="str">
        <f aca="false">IF($B727="","",CONCATENATE("Örnek borç: ",$B727))</f>
        <v/>
      </c>
    </row>
    <row r="728" customFormat="false" ht="15" hidden="false" customHeight="false" outlineLevel="0" collapsed="false">
      <c r="G728" s="19" t="n">
        <f aca="false">IF($C728="",0,$C728+$D728)</f>
        <v>0</v>
      </c>
      <c r="H728" s="19" t="str">
        <f aca="false">IF($B728="","",CONCATENATE("Örnek borç: ",$B728))</f>
        <v/>
      </c>
    </row>
    <row r="729" customFormat="false" ht="15" hidden="false" customHeight="false" outlineLevel="0" collapsed="false">
      <c r="G729" s="19" t="n">
        <f aca="false">IF($C729="",0,$C729+$D729)</f>
        <v>0</v>
      </c>
      <c r="H729" s="19" t="str">
        <f aca="false">IF($B729="","",CONCATENATE("Örnek borç: ",$B729))</f>
        <v/>
      </c>
    </row>
    <row r="730" customFormat="false" ht="15" hidden="false" customHeight="false" outlineLevel="0" collapsed="false">
      <c r="G730" s="19" t="n">
        <f aca="false">IF($C730="",0,$C730+$D730)</f>
        <v>0</v>
      </c>
      <c r="H730" s="19" t="str">
        <f aca="false">IF($B730="","",CONCATENATE("Örnek borç: ",$B730))</f>
        <v/>
      </c>
    </row>
    <row r="731" customFormat="false" ht="15" hidden="false" customHeight="false" outlineLevel="0" collapsed="false">
      <c r="G731" s="19" t="n">
        <f aca="false">IF($C731="",0,$C731+$D731)</f>
        <v>0</v>
      </c>
      <c r="H731" s="19" t="str">
        <f aca="false">IF($B731="","",CONCATENATE("Örnek borç: ",$B731))</f>
        <v/>
      </c>
    </row>
    <row r="732" customFormat="false" ht="15" hidden="false" customHeight="false" outlineLevel="0" collapsed="false">
      <c r="G732" s="19" t="n">
        <f aca="false">IF($C732="",0,$C732+$D732)</f>
        <v>0</v>
      </c>
      <c r="H732" s="19" t="str">
        <f aca="false">IF($B732="","",CONCATENATE("Örnek borç: ",$B732))</f>
        <v/>
      </c>
    </row>
    <row r="733" customFormat="false" ht="15" hidden="false" customHeight="false" outlineLevel="0" collapsed="false">
      <c r="G733" s="19" t="n">
        <f aca="false">IF($C733="",0,$C733+$D733)</f>
        <v>0</v>
      </c>
      <c r="H733" s="19" t="str">
        <f aca="false">IF($B733="","",CONCATENATE("Örnek borç: ",$B733))</f>
        <v/>
      </c>
    </row>
    <row r="734" customFormat="false" ht="15" hidden="false" customHeight="false" outlineLevel="0" collapsed="false">
      <c r="G734" s="19" t="n">
        <f aca="false">IF($C734="",0,$C734+$D734)</f>
        <v>0</v>
      </c>
      <c r="H734" s="19" t="str">
        <f aca="false">IF($B734="","",CONCATENATE("Örnek borç: ",$B734))</f>
        <v/>
      </c>
    </row>
    <row r="735" customFormat="false" ht="15" hidden="false" customHeight="false" outlineLevel="0" collapsed="false">
      <c r="G735" s="19" t="n">
        <f aca="false">IF($C735="",0,$C735+$D735)</f>
        <v>0</v>
      </c>
      <c r="H735" s="19" t="str">
        <f aca="false">IF($B735="","",CONCATENATE("Örnek borç: ",$B735))</f>
        <v/>
      </c>
    </row>
    <row r="736" customFormat="false" ht="15" hidden="false" customHeight="false" outlineLevel="0" collapsed="false">
      <c r="G736" s="19" t="n">
        <f aca="false">IF($C736="",0,$C736+$D736)</f>
        <v>0</v>
      </c>
      <c r="H736" s="19" t="str">
        <f aca="false">IF($B736="","",CONCATENATE("Örnek borç: ",$B736))</f>
        <v/>
      </c>
    </row>
    <row r="737" customFormat="false" ht="15" hidden="false" customHeight="false" outlineLevel="0" collapsed="false">
      <c r="G737" s="19" t="n">
        <f aca="false">IF($C737="",0,$C737+$D737)</f>
        <v>0</v>
      </c>
      <c r="H737" s="19" t="str">
        <f aca="false">IF($B737="","",CONCATENATE("Örnek borç: ",$B737))</f>
        <v/>
      </c>
    </row>
    <row r="738" customFormat="false" ht="15" hidden="false" customHeight="false" outlineLevel="0" collapsed="false">
      <c r="G738" s="19" t="n">
        <f aca="false">IF($C738="",0,$C738+$D738)</f>
        <v>0</v>
      </c>
      <c r="H738" s="19" t="str">
        <f aca="false">IF($B738="","",CONCATENATE("Örnek borç: ",$B738))</f>
        <v/>
      </c>
    </row>
    <row r="739" customFormat="false" ht="15" hidden="false" customHeight="false" outlineLevel="0" collapsed="false">
      <c r="G739" s="19" t="n">
        <f aca="false">IF($C739="",0,$C739+$D739)</f>
        <v>0</v>
      </c>
      <c r="H739" s="19" t="str">
        <f aca="false">IF($B739="","",CONCATENATE("Örnek borç: ",$B739))</f>
        <v/>
      </c>
    </row>
    <row r="740" customFormat="false" ht="15" hidden="false" customHeight="false" outlineLevel="0" collapsed="false">
      <c r="G740" s="19" t="n">
        <f aca="false">IF($C740="",0,$C740+$D740)</f>
        <v>0</v>
      </c>
      <c r="H740" s="19" t="str">
        <f aca="false">IF($B740="","",CONCATENATE("Örnek borç: ",$B740))</f>
        <v/>
      </c>
    </row>
    <row r="741" customFormat="false" ht="15" hidden="false" customHeight="false" outlineLevel="0" collapsed="false">
      <c r="G741" s="19" t="n">
        <f aca="false">IF($C741="",0,$C741+$D741)</f>
        <v>0</v>
      </c>
      <c r="H741" s="19" t="str">
        <f aca="false">IF($B741="","",CONCATENATE("Örnek borç: ",$B741))</f>
        <v/>
      </c>
    </row>
    <row r="742" customFormat="false" ht="15" hidden="false" customHeight="false" outlineLevel="0" collapsed="false">
      <c r="G742" s="19" t="n">
        <f aca="false">IF($C742="",0,$C742+$D742)</f>
        <v>0</v>
      </c>
      <c r="H742" s="19" t="str">
        <f aca="false">IF($B742="","",CONCATENATE("Örnek borç: ",$B742))</f>
        <v/>
      </c>
    </row>
    <row r="743" customFormat="false" ht="15" hidden="false" customHeight="false" outlineLevel="0" collapsed="false">
      <c r="G743" s="19" t="n">
        <f aca="false">IF($C743="",0,$C743+$D743)</f>
        <v>0</v>
      </c>
      <c r="H743" s="19" t="str">
        <f aca="false">IF($B743="","",CONCATENATE("Örnek borç: ",$B743))</f>
        <v/>
      </c>
    </row>
    <row r="744" customFormat="false" ht="15" hidden="false" customHeight="false" outlineLevel="0" collapsed="false">
      <c r="G744" s="19" t="n">
        <f aca="false">IF($C744="",0,$C744+$D744)</f>
        <v>0</v>
      </c>
      <c r="H744" s="19" t="str">
        <f aca="false">IF($B744="","",CONCATENATE("Örnek borç: ",$B744))</f>
        <v/>
      </c>
    </row>
    <row r="745" customFormat="false" ht="15" hidden="false" customHeight="false" outlineLevel="0" collapsed="false">
      <c r="G745" s="19" t="n">
        <f aca="false">IF($C745="",0,$C745+$D745)</f>
        <v>0</v>
      </c>
      <c r="H745" s="19" t="str">
        <f aca="false">IF($B745="","",CONCATENATE("Örnek borç: ",$B745))</f>
        <v/>
      </c>
    </row>
    <row r="746" customFormat="false" ht="15" hidden="false" customHeight="false" outlineLevel="0" collapsed="false">
      <c r="G746" s="19" t="n">
        <f aca="false">IF($C746="",0,$C746+$D746)</f>
        <v>0</v>
      </c>
      <c r="H746" s="19" t="str">
        <f aca="false">IF($B746="","",CONCATENATE("Örnek borç: ",$B746))</f>
        <v/>
      </c>
    </row>
    <row r="747" customFormat="false" ht="15" hidden="false" customHeight="false" outlineLevel="0" collapsed="false">
      <c r="G747" s="19" t="n">
        <f aca="false">IF($C747="",0,$C747+$D747)</f>
        <v>0</v>
      </c>
      <c r="H747" s="19" t="str">
        <f aca="false">IF($B747="","",CONCATENATE("Örnek borç: ",$B747))</f>
        <v/>
      </c>
    </row>
    <row r="748" customFormat="false" ht="15" hidden="false" customHeight="false" outlineLevel="0" collapsed="false">
      <c r="G748" s="19" t="n">
        <f aca="false">IF($C748="",0,$C748+$D748)</f>
        <v>0</v>
      </c>
      <c r="H748" s="19" t="str">
        <f aca="false">IF($B748="","",CONCATENATE("Örnek borç: ",$B748))</f>
        <v/>
      </c>
    </row>
    <row r="749" customFormat="false" ht="15" hidden="false" customHeight="false" outlineLevel="0" collapsed="false">
      <c r="G749" s="19" t="n">
        <f aca="false">IF($C749="",0,$C749+$D749)</f>
        <v>0</v>
      </c>
      <c r="H749" s="19" t="str">
        <f aca="false">IF($B749="","",CONCATENATE("Örnek borç: ",$B749))</f>
        <v/>
      </c>
    </row>
    <row r="750" customFormat="false" ht="15" hidden="false" customHeight="false" outlineLevel="0" collapsed="false">
      <c r="G750" s="19" t="n">
        <f aca="false">IF($C750="",0,$C750+$D750)</f>
        <v>0</v>
      </c>
      <c r="H750" s="19" t="str">
        <f aca="false">IF($B750="","",CONCATENATE("Örnek borç: ",$B750))</f>
        <v/>
      </c>
    </row>
    <row r="751" customFormat="false" ht="15" hidden="false" customHeight="false" outlineLevel="0" collapsed="false">
      <c r="G751" s="19" t="n">
        <f aca="false">IF($C751="",0,$C751+$D751)</f>
        <v>0</v>
      </c>
      <c r="H751" s="19" t="str">
        <f aca="false">IF($B751="","",CONCATENATE("Örnek borç: ",$B751))</f>
        <v/>
      </c>
    </row>
    <row r="752" customFormat="false" ht="15" hidden="false" customHeight="false" outlineLevel="0" collapsed="false">
      <c r="G752" s="19" t="n">
        <f aca="false">IF($C752="",0,$C752+$D752)</f>
        <v>0</v>
      </c>
      <c r="H752" s="19" t="str">
        <f aca="false">IF($B752="","",CONCATENATE("Örnek borç: ",$B752))</f>
        <v/>
      </c>
    </row>
    <row r="753" customFormat="false" ht="15" hidden="false" customHeight="false" outlineLevel="0" collapsed="false">
      <c r="G753" s="19" t="n">
        <f aca="false">IF($C753="",0,$C753+$D753)</f>
        <v>0</v>
      </c>
      <c r="H753" s="19" t="str">
        <f aca="false">IF($B753="","",CONCATENATE("Örnek borç: ",$B753))</f>
        <v/>
      </c>
    </row>
    <row r="754" customFormat="false" ht="15" hidden="false" customHeight="false" outlineLevel="0" collapsed="false">
      <c r="G754" s="19" t="n">
        <f aca="false">IF($C754="",0,$C754+$D754)</f>
        <v>0</v>
      </c>
      <c r="H754" s="19" t="str">
        <f aca="false">IF($B754="","",CONCATENATE("Örnek borç: ",$B754))</f>
        <v/>
      </c>
    </row>
    <row r="755" customFormat="false" ht="15" hidden="false" customHeight="false" outlineLevel="0" collapsed="false">
      <c r="G755" s="19" t="n">
        <f aca="false">IF($C755="",0,$C755+$D755)</f>
        <v>0</v>
      </c>
      <c r="H755" s="19" t="str">
        <f aca="false">IF($B755="","",CONCATENATE("Örnek borç: ",$B755))</f>
        <v/>
      </c>
    </row>
    <row r="756" customFormat="false" ht="15" hidden="false" customHeight="false" outlineLevel="0" collapsed="false">
      <c r="G756" s="19" t="n">
        <f aca="false">IF($C756="",0,$C756+$D756)</f>
        <v>0</v>
      </c>
      <c r="H756" s="19" t="str">
        <f aca="false">IF($B756="","",CONCATENATE("Örnek borç: ",$B756))</f>
        <v/>
      </c>
    </row>
    <row r="757" customFormat="false" ht="15" hidden="false" customHeight="false" outlineLevel="0" collapsed="false">
      <c r="G757" s="19" t="n">
        <f aca="false">IF($C757="",0,$C757+$D757)</f>
        <v>0</v>
      </c>
      <c r="H757" s="19" t="str">
        <f aca="false">IF($B757="","",CONCATENATE("Örnek borç: ",$B757))</f>
        <v/>
      </c>
    </row>
    <row r="758" customFormat="false" ht="15" hidden="false" customHeight="false" outlineLevel="0" collapsed="false">
      <c r="G758" s="19" t="n">
        <f aca="false">IF($C758="",0,$C758+$D758)</f>
        <v>0</v>
      </c>
      <c r="H758" s="19" t="str">
        <f aca="false">IF($B758="","",CONCATENATE("Örnek borç: ",$B758))</f>
        <v/>
      </c>
    </row>
    <row r="759" customFormat="false" ht="15" hidden="false" customHeight="false" outlineLevel="0" collapsed="false">
      <c r="G759" s="19" t="n">
        <f aca="false">IF($C759="",0,$C759+$D759)</f>
        <v>0</v>
      </c>
      <c r="H759" s="19" t="str">
        <f aca="false">IF($B759="","",CONCATENATE("Örnek borç: ",$B759))</f>
        <v/>
      </c>
    </row>
    <row r="760" customFormat="false" ht="15" hidden="false" customHeight="false" outlineLevel="0" collapsed="false">
      <c r="G760" s="19" t="n">
        <f aca="false">IF($C760="",0,$C760+$D760)</f>
        <v>0</v>
      </c>
      <c r="H760" s="19" t="str">
        <f aca="false">IF($B760="","",CONCATENATE("Örnek borç: ",$B760))</f>
        <v/>
      </c>
    </row>
    <row r="761" customFormat="false" ht="15" hidden="false" customHeight="false" outlineLevel="0" collapsed="false">
      <c r="G761" s="19" t="n">
        <f aca="false">IF($C761="",0,$C761+$D761)</f>
        <v>0</v>
      </c>
      <c r="H761" s="19" t="str">
        <f aca="false">IF($B761="","",CONCATENATE("Örnek borç: ",$B761))</f>
        <v/>
      </c>
    </row>
    <row r="762" customFormat="false" ht="15" hidden="false" customHeight="false" outlineLevel="0" collapsed="false">
      <c r="G762" s="19" t="n">
        <f aca="false">IF($C762="",0,$C762+$D762)</f>
        <v>0</v>
      </c>
      <c r="H762" s="19" t="str">
        <f aca="false">IF($B762="","",CONCATENATE("Örnek borç: ",$B762))</f>
        <v/>
      </c>
    </row>
    <row r="763" customFormat="false" ht="15" hidden="false" customHeight="false" outlineLevel="0" collapsed="false">
      <c r="G763" s="19" t="n">
        <f aca="false">IF($C763="",0,$C763+$D763)</f>
        <v>0</v>
      </c>
      <c r="H763" s="19" t="str">
        <f aca="false">IF($B763="","",CONCATENATE("Örnek borç: ",$B763))</f>
        <v/>
      </c>
    </row>
    <row r="764" customFormat="false" ht="15" hidden="false" customHeight="false" outlineLevel="0" collapsed="false">
      <c r="G764" s="19" t="n">
        <f aca="false">IF($C764="",0,$C764+$D764)</f>
        <v>0</v>
      </c>
      <c r="H764" s="19" t="str">
        <f aca="false">IF($B764="","",CONCATENATE("Örnek borç: ",$B764))</f>
        <v/>
      </c>
    </row>
    <row r="765" customFormat="false" ht="15" hidden="false" customHeight="false" outlineLevel="0" collapsed="false">
      <c r="G765" s="19" t="n">
        <f aca="false">IF($C765="",0,$C765+$D765)</f>
        <v>0</v>
      </c>
      <c r="H765" s="19" t="str">
        <f aca="false">IF($B765="","",CONCATENATE("Örnek borç: ",$B765))</f>
        <v/>
      </c>
    </row>
    <row r="766" customFormat="false" ht="15" hidden="false" customHeight="false" outlineLevel="0" collapsed="false">
      <c r="G766" s="19" t="n">
        <f aca="false">IF($C766="",0,$C766+$D766)</f>
        <v>0</v>
      </c>
      <c r="H766" s="19" t="str">
        <f aca="false">IF($B766="","",CONCATENATE("Örnek borç: ",$B766))</f>
        <v/>
      </c>
    </row>
    <row r="767" customFormat="false" ht="15" hidden="false" customHeight="false" outlineLevel="0" collapsed="false">
      <c r="G767" s="19" t="n">
        <f aca="false">IF($C767="",0,$C767+$D767)</f>
        <v>0</v>
      </c>
      <c r="H767" s="19" t="str">
        <f aca="false">IF($B767="","",CONCATENATE("Örnek borç: ",$B767))</f>
        <v/>
      </c>
    </row>
    <row r="768" customFormat="false" ht="15" hidden="false" customHeight="false" outlineLevel="0" collapsed="false">
      <c r="G768" s="19" t="n">
        <f aca="false">IF($C768="",0,$C768+$D768)</f>
        <v>0</v>
      </c>
      <c r="H768" s="19" t="str">
        <f aca="false">IF($B768="","",CONCATENATE("Örnek borç: ",$B768))</f>
        <v/>
      </c>
    </row>
    <row r="769" customFormat="false" ht="15" hidden="false" customHeight="false" outlineLevel="0" collapsed="false">
      <c r="G769" s="19" t="n">
        <f aca="false">IF($C769="",0,$C769+$D769)</f>
        <v>0</v>
      </c>
      <c r="H769" s="19" t="str">
        <f aca="false">IF($B769="","",CONCATENATE("Örnek borç: ",$B769))</f>
        <v/>
      </c>
    </row>
    <row r="770" customFormat="false" ht="15" hidden="false" customHeight="false" outlineLevel="0" collapsed="false">
      <c r="G770" s="19" t="n">
        <f aca="false">IF($C770="",0,$C770+$D770)</f>
        <v>0</v>
      </c>
      <c r="H770" s="19" t="str">
        <f aca="false">IF($B770="","",CONCATENATE("Örnek borç: ",$B770))</f>
        <v/>
      </c>
    </row>
    <row r="771" customFormat="false" ht="15" hidden="false" customHeight="false" outlineLevel="0" collapsed="false">
      <c r="G771" s="19" t="n">
        <f aca="false">IF($C771="",0,$C771+$D771)</f>
        <v>0</v>
      </c>
      <c r="H771" s="19" t="str">
        <f aca="false">IF($B771="","",CONCATENATE("Örnek borç: ",$B771))</f>
        <v/>
      </c>
    </row>
    <row r="772" customFormat="false" ht="15" hidden="false" customHeight="false" outlineLevel="0" collapsed="false">
      <c r="G772" s="19" t="n">
        <f aca="false">IF($C772="",0,$C772+$D772)</f>
        <v>0</v>
      </c>
      <c r="H772" s="19" t="str">
        <f aca="false">IF($B772="","",CONCATENATE("Örnek borç: ",$B772))</f>
        <v/>
      </c>
    </row>
    <row r="773" customFormat="false" ht="15" hidden="false" customHeight="false" outlineLevel="0" collapsed="false">
      <c r="G773" s="19" t="n">
        <f aca="false">IF($C773="",0,$C773+$D773)</f>
        <v>0</v>
      </c>
      <c r="H773" s="19" t="str">
        <f aca="false">IF($B773="","",CONCATENATE("Örnek borç: ",$B773))</f>
        <v/>
      </c>
    </row>
    <row r="774" customFormat="false" ht="15" hidden="false" customHeight="false" outlineLevel="0" collapsed="false">
      <c r="G774" s="19" t="n">
        <f aca="false">IF($C774="",0,$C774+$D774)</f>
        <v>0</v>
      </c>
      <c r="H774" s="19" t="str">
        <f aca="false">IF($B774="","",CONCATENATE("Örnek borç: ",$B774))</f>
        <v/>
      </c>
    </row>
    <row r="775" customFormat="false" ht="15" hidden="false" customHeight="false" outlineLevel="0" collapsed="false">
      <c r="G775" s="19" t="n">
        <f aca="false">IF($C775="",0,$C775+$D775)</f>
        <v>0</v>
      </c>
      <c r="H775" s="19" t="str">
        <f aca="false">IF($B775="","",CONCATENATE("Örnek borç: ",$B775))</f>
        <v/>
      </c>
    </row>
    <row r="776" customFormat="false" ht="15" hidden="false" customHeight="false" outlineLevel="0" collapsed="false">
      <c r="G776" s="19" t="n">
        <f aca="false">IF($C776="",0,$C776+$D776)</f>
        <v>0</v>
      </c>
      <c r="H776" s="19" t="str">
        <f aca="false">IF($B776="","",CONCATENATE("Örnek borç: ",$B776))</f>
        <v/>
      </c>
    </row>
    <row r="777" customFormat="false" ht="15" hidden="false" customHeight="false" outlineLevel="0" collapsed="false">
      <c r="G777" s="19" t="n">
        <f aca="false">IF($C777="",0,$C777+$D777)</f>
        <v>0</v>
      </c>
      <c r="H777" s="19" t="str">
        <f aca="false">IF($B777="","",CONCATENATE("Örnek borç: ",$B777))</f>
        <v/>
      </c>
    </row>
    <row r="778" customFormat="false" ht="15" hidden="false" customHeight="false" outlineLevel="0" collapsed="false">
      <c r="G778" s="19" t="n">
        <f aca="false">IF($C778="",0,$C778+$D778)</f>
        <v>0</v>
      </c>
      <c r="H778" s="19" t="str">
        <f aca="false">IF($B778="","",CONCATENATE("Örnek borç: ",$B778))</f>
        <v/>
      </c>
    </row>
    <row r="779" customFormat="false" ht="15" hidden="false" customHeight="false" outlineLevel="0" collapsed="false">
      <c r="G779" s="19" t="n">
        <f aca="false">IF($C779="",0,$C779+$D779)</f>
        <v>0</v>
      </c>
      <c r="H779" s="19" t="str">
        <f aca="false">IF($B779="","",CONCATENATE("Örnek borç: ",$B779))</f>
        <v/>
      </c>
    </row>
    <row r="780" customFormat="false" ht="15" hidden="false" customHeight="false" outlineLevel="0" collapsed="false">
      <c r="G780" s="19" t="n">
        <f aca="false">IF($C780="",0,$C780+$D780)</f>
        <v>0</v>
      </c>
      <c r="H780" s="19" t="str">
        <f aca="false">IF($B780="","",CONCATENATE("Örnek borç: ",$B780))</f>
        <v/>
      </c>
    </row>
    <row r="781" customFormat="false" ht="15" hidden="false" customHeight="false" outlineLevel="0" collapsed="false">
      <c r="G781" s="19" t="n">
        <f aca="false">IF($C781="",0,$C781+$D781)</f>
        <v>0</v>
      </c>
      <c r="H781" s="19" t="str">
        <f aca="false">IF($B781="","",CONCATENATE("Örnek borç: ",$B781))</f>
        <v/>
      </c>
    </row>
    <row r="782" customFormat="false" ht="15" hidden="false" customHeight="false" outlineLevel="0" collapsed="false">
      <c r="G782" s="19" t="n">
        <f aca="false">IF($C782="",0,$C782+$D782)</f>
        <v>0</v>
      </c>
      <c r="H782" s="19" t="str">
        <f aca="false">IF($B782="","",CONCATENATE("Örnek borç: ",$B782))</f>
        <v/>
      </c>
    </row>
    <row r="783" customFormat="false" ht="15" hidden="false" customHeight="false" outlineLevel="0" collapsed="false">
      <c r="G783" s="19" t="n">
        <f aca="false">IF($C783="",0,$C783+$D783)</f>
        <v>0</v>
      </c>
      <c r="H783" s="19" t="str">
        <f aca="false">IF($B783="","",CONCATENATE("Örnek borç: ",$B783))</f>
        <v/>
      </c>
    </row>
    <row r="784" customFormat="false" ht="15" hidden="false" customHeight="false" outlineLevel="0" collapsed="false">
      <c r="G784" s="19" t="n">
        <f aca="false">IF($C784="",0,$C784+$D784)</f>
        <v>0</v>
      </c>
      <c r="H784" s="19" t="str">
        <f aca="false">IF($B784="","",CONCATENATE("Örnek borç: ",$B784))</f>
        <v/>
      </c>
    </row>
    <row r="785" customFormat="false" ht="15" hidden="false" customHeight="false" outlineLevel="0" collapsed="false">
      <c r="G785" s="19" t="n">
        <f aca="false">IF($C785="",0,$C785+$D785)</f>
        <v>0</v>
      </c>
      <c r="H785" s="19" t="str">
        <f aca="false">IF($B785="","",CONCATENATE("Örnek borç: ",$B785))</f>
        <v/>
      </c>
    </row>
    <row r="786" customFormat="false" ht="15" hidden="false" customHeight="false" outlineLevel="0" collapsed="false">
      <c r="G786" s="19" t="n">
        <f aca="false">IF($C786="",0,$C786+$D786)</f>
        <v>0</v>
      </c>
      <c r="H786" s="19" t="str">
        <f aca="false">IF($B786="","",CONCATENATE("Örnek borç: ",$B786))</f>
        <v/>
      </c>
    </row>
    <row r="787" customFormat="false" ht="15" hidden="false" customHeight="false" outlineLevel="0" collapsed="false">
      <c r="G787" s="19" t="n">
        <f aca="false">IF($C787="",0,$C787+$D787)</f>
        <v>0</v>
      </c>
      <c r="H787" s="19" t="str">
        <f aca="false">IF($B787="","",CONCATENATE("Örnek borç: ",$B787))</f>
        <v/>
      </c>
    </row>
    <row r="788" customFormat="false" ht="15" hidden="false" customHeight="false" outlineLevel="0" collapsed="false">
      <c r="G788" s="19" t="n">
        <f aca="false">IF($C788="",0,$C788+$D788)</f>
        <v>0</v>
      </c>
      <c r="H788" s="19" t="str">
        <f aca="false">IF($B788="","",CONCATENATE("Örnek borç: ",$B788))</f>
        <v/>
      </c>
    </row>
    <row r="789" customFormat="false" ht="15" hidden="false" customHeight="false" outlineLevel="0" collapsed="false">
      <c r="G789" s="19" t="n">
        <f aca="false">IF($C789="",0,$C789+$D789)</f>
        <v>0</v>
      </c>
      <c r="H789" s="19" t="str">
        <f aca="false">IF($B789="","",CONCATENATE("Örnek borç: ",$B789))</f>
        <v/>
      </c>
    </row>
    <row r="790" customFormat="false" ht="15" hidden="false" customHeight="false" outlineLevel="0" collapsed="false">
      <c r="G790" s="19" t="n">
        <f aca="false">IF($C790="",0,$C790+$D790)</f>
        <v>0</v>
      </c>
      <c r="H790" s="19" t="str">
        <f aca="false">IF($B790="","",CONCATENATE("Örnek borç: ",$B790))</f>
        <v/>
      </c>
    </row>
    <row r="791" customFormat="false" ht="15" hidden="false" customHeight="false" outlineLevel="0" collapsed="false">
      <c r="G791" s="19" t="n">
        <f aca="false">IF($C791="",0,$C791+$D791)</f>
        <v>0</v>
      </c>
      <c r="H791" s="19" t="str">
        <f aca="false">IF($B791="","",CONCATENATE("Örnek borç: ",$B791))</f>
        <v/>
      </c>
    </row>
    <row r="792" customFormat="false" ht="15" hidden="false" customHeight="false" outlineLevel="0" collapsed="false">
      <c r="G792" s="19" t="n">
        <f aca="false">IF($C792="",0,$C792+$D792)</f>
        <v>0</v>
      </c>
      <c r="H792" s="19" t="str">
        <f aca="false">IF($B792="","",CONCATENATE("Örnek borç: ",$B792))</f>
        <v/>
      </c>
    </row>
    <row r="793" customFormat="false" ht="15" hidden="false" customHeight="false" outlineLevel="0" collapsed="false">
      <c r="G793" s="19" t="n">
        <f aca="false">IF($C793="",0,$C793+$D793)</f>
        <v>0</v>
      </c>
      <c r="H793" s="19" t="str">
        <f aca="false">IF($B793="","",CONCATENATE("Örnek borç: ",$B793))</f>
        <v/>
      </c>
    </row>
    <row r="794" customFormat="false" ht="15" hidden="false" customHeight="false" outlineLevel="0" collapsed="false">
      <c r="G794" s="19" t="n">
        <f aca="false">IF($C794="",0,$C794+$D794)</f>
        <v>0</v>
      </c>
      <c r="H794" s="19" t="str">
        <f aca="false">IF($B794="","",CONCATENATE("Örnek borç: ",$B794))</f>
        <v/>
      </c>
    </row>
    <row r="795" customFormat="false" ht="15" hidden="false" customHeight="false" outlineLevel="0" collapsed="false">
      <c r="G795" s="19" t="n">
        <f aca="false">IF($C795="",0,$C795+$D795)</f>
        <v>0</v>
      </c>
      <c r="H795" s="19" t="str">
        <f aca="false">IF($B795="","",CONCATENATE("Örnek borç: ",$B795))</f>
        <v/>
      </c>
    </row>
    <row r="796" customFormat="false" ht="15" hidden="false" customHeight="false" outlineLevel="0" collapsed="false">
      <c r="G796" s="19" t="n">
        <f aca="false">IF($C796="",0,$C796+$D796)</f>
        <v>0</v>
      </c>
      <c r="H796" s="19" t="str">
        <f aca="false">IF($B796="","",CONCATENATE("Örnek borç: ",$B796))</f>
        <v/>
      </c>
    </row>
    <row r="797" customFormat="false" ht="15" hidden="false" customHeight="false" outlineLevel="0" collapsed="false">
      <c r="G797" s="19" t="n">
        <f aca="false">IF($C797="",0,$C797+$D797)</f>
        <v>0</v>
      </c>
      <c r="H797" s="19" t="str">
        <f aca="false">IF($B797="","",CONCATENATE("Örnek borç: ",$B797))</f>
        <v/>
      </c>
    </row>
    <row r="798" customFormat="false" ht="15" hidden="false" customHeight="false" outlineLevel="0" collapsed="false">
      <c r="G798" s="19" t="n">
        <f aca="false">IF($C798="",0,$C798+$D798)</f>
        <v>0</v>
      </c>
      <c r="H798" s="19" t="str">
        <f aca="false">IF($B798="","",CONCATENATE("Örnek borç: ",$B798))</f>
        <v/>
      </c>
    </row>
    <row r="799" customFormat="false" ht="15" hidden="false" customHeight="false" outlineLevel="0" collapsed="false">
      <c r="G799" s="19" t="n">
        <f aca="false">IF($C799="",0,$C799+$D799)</f>
        <v>0</v>
      </c>
      <c r="H799" s="19" t="str">
        <f aca="false">IF($B799="","",CONCATENATE("Örnek borç: ",$B799))</f>
        <v/>
      </c>
    </row>
    <row r="800" customFormat="false" ht="15" hidden="false" customHeight="false" outlineLevel="0" collapsed="false">
      <c r="G800" s="19" t="n">
        <f aca="false">IF($C800="",0,$C800+$D800)</f>
        <v>0</v>
      </c>
      <c r="H800" s="19" t="str">
        <f aca="false">IF($B800="","",CONCATENATE("Örnek borç: ",$B800))</f>
        <v/>
      </c>
    </row>
    <row r="801" customFormat="false" ht="15" hidden="false" customHeight="false" outlineLevel="0" collapsed="false">
      <c r="G801" s="19" t="n">
        <f aca="false">IF($C801="",0,$C801+$D801)</f>
        <v>0</v>
      </c>
      <c r="H801" s="19" t="str">
        <f aca="false">IF($B801="","",CONCATENATE("Örnek borç: ",$B801))</f>
        <v/>
      </c>
    </row>
    <row r="802" customFormat="false" ht="15" hidden="false" customHeight="false" outlineLevel="0" collapsed="false">
      <c r="G802" s="19" t="n">
        <f aca="false">IF($C802="",0,$C802+$D802)</f>
        <v>0</v>
      </c>
      <c r="H802" s="19" t="str">
        <f aca="false">IF($B802="","",CONCATENATE("Örnek borç: ",$B802))</f>
        <v/>
      </c>
    </row>
    <row r="803" customFormat="false" ht="15" hidden="false" customHeight="false" outlineLevel="0" collapsed="false">
      <c r="G803" s="19" t="n">
        <f aca="false">IF($C803="",0,$C803+$D803)</f>
        <v>0</v>
      </c>
      <c r="H803" s="19" t="str">
        <f aca="false">IF($B803="","",CONCATENATE("Örnek borç: ",$B803))</f>
        <v/>
      </c>
    </row>
    <row r="804" customFormat="false" ht="15" hidden="false" customHeight="false" outlineLevel="0" collapsed="false">
      <c r="G804" s="19" t="n">
        <f aca="false">IF($C804="",0,$C804+$D804)</f>
        <v>0</v>
      </c>
      <c r="H804" s="19" t="str">
        <f aca="false">IF($B804="","",CONCATENATE("Örnek borç: ",$B804))</f>
        <v/>
      </c>
    </row>
    <row r="805" customFormat="false" ht="15" hidden="false" customHeight="false" outlineLevel="0" collapsed="false">
      <c r="G805" s="19" t="n">
        <f aca="false">IF($C805="",0,$C805+$D805)</f>
        <v>0</v>
      </c>
      <c r="H805" s="19" t="str">
        <f aca="false">IF($B805="","",CONCATENATE("Örnek borç: ",$B805))</f>
        <v/>
      </c>
    </row>
    <row r="806" customFormat="false" ht="15" hidden="false" customHeight="false" outlineLevel="0" collapsed="false">
      <c r="G806" s="19" t="n">
        <f aca="false">IF($C806="",0,$C806+$D806)</f>
        <v>0</v>
      </c>
      <c r="H806" s="19" t="str">
        <f aca="false">IF($B806="","",CONCATENATE("Örnek borç: ",$B806))</f>
        <v/>
      </c>
    </row>
    <row r="807" customFormat="false" ht="15" hidden="false" customHeight="false" outlineLevel="0" collapsed="false">
      <c r="G807" s="19" t="n">
        <f aca="false">IF($C807="",0,$C807+$D807)</f>
        <v>0</v>
      </c>
      <c r="H807" s="19" t="str">
        <f aca="false">IF($B807="","",CONCATENATE("Örnek borç: ",$B807))</f>
        <v/>
      </c>
    </row>
    <row r="808" customFormat="false" ht="15" hidden="false" customHeight="false" outlineLevel="0" collapsed="false">
      <c r="G808" s="19" t="n">
        <f aca="false">IF($C808="",0,$C808+$D808)</f>
        <v>0</v>
      </c>
      <c r="H808" s="19" t="str">
        <f aca="false">IF($B808="","",CONCATENATE("Örnek borç: ",$B808))</f>
        <v/>
      </c>
    </row>
    <row r="809" customFormat="false" ht="15" hidden="false" customHeight="false" outlineLevel="0" collapsed="false">
      <c r="G809" s="19" t="n">
        <f aca="false">IF($C809="",0,$C809+$D809)</f>
        <v>0</v>
      </c>
      <c r="H809" s="19" t="str">
        <f aca="false">IF($B809="","",CONCATENATE("Örnek borç: ",$B809))</f>
        <v/>
      </c>
    </row>
    <row r="810" customFormat="false" ht="15" hidden="false" customHeight="false" outlineLevel="0" collapsed="false">
      <c r="G810" s="19" t="n">
        <f aca="false">IF($C810="",0,$C810+$D810)</f>
        <v>0</v>
      </c>
      <c r="H810" s="19" t="str">
        <f aca="false">IF($B810="","",CONCATENATE("Örnek borç: ",$B810))</f>
        <v/>
      </c>
    </row>
    <row r="811" customFormat="false" ht="15" hidden="false" customHeight="false" outlineLevel="0" collapsed="false">
      <c r="G811" s="19" t="n">
        <f aca="false">IF($C811="",0,$C811+$D811)</f>
        <v>0</v>
      </c>
      <c r="H811" s="19" t="str">
        <f aca="false">IF($B811="","",CONCATENATE("Örnek borç: ",$B811))</f>
        <v/>
      </c>
    </row>
    <row r="812" customFormat="false" ht="15" hidden="false" customHeight="false" outlineLevel="0" collapsed="false">
      <c r="G812" s="19" t="n">
        <f aca="false">IF($C812="",0,$C812+$D812)</f>
        <v>0</v>
      </c>
      <c r="H812" s="19" t="str">
        <f aca="false">IF($B812="","",CONCATENATE("Örnek borç: ",$B812))</f>
        <v/>
      </c>
    </row>
    <row r="813" customFormat="false" ht="15" hidden="false" customHeight="false" outlineLevel="0" collapsed="false">
      <c r="G813" s="19" t="n">
        <f aca="false">IF($C813="",0,$C813+$D813)</f>
        <v>0</v>
      </c>
      <c r="H813" s="19" t="str">
        <f aca="false">IF($B813="","",CONCATENATE("Örnek borç: ",$B813))</f>
        <v/>
      </c>
    </row>
    <row r="814" customFormat="false" ht="15" hidden="false" customHeight="false" outlineLevel="0" collapsed="false">
      <c r="G814" s="19" t="n">
        <f aca="false">IF($C814="",0,$C814+$D814)</f>
        <v>0</v>
      </c>
      <c r="H814" s="19" t="str">
        <f aca="false">IF($B814="","",CONCATENATE("Örnek borç: ",$B814))</f>
        <v/>
      </c>
    </row>
    <row r="815" customFormat="false" ht="15" hidden="false" customHeight="false" outlineLevel="0" collapsed="false">
      <c r="G815" s="19" t="n">
        <f aca="false">IF($C815="",0,$C815+$D815)</f>
        <v>0</v>
      </c>
      <c r="H815" s="19" t="str">
        <f aca="false">IF($B815="","",CONCATENATE("Örnek borç: ",$B815))</f>
        <v/>
      </c>
    </row>
    <row r="816" customFormat="false" ht="15" hidden="false" customHeight="false" outlineLevel="0" collapsed="false">
      <c r="G816" s="19" t="n">
        <f aca="false">IF($C816="",0,$C816+$D816)</f>
        <v>0</v>
      </c>
      <c r="H816" s="19" t="str">
        <f aca="false">IF($B816="","",CONCATENATE("Örnek borç: ",$B816))</f>
        <v/>
      </c>
    </row>
    <row r="817" customFormat="false" ht="15" hidden="false" customHeight="false" outlineLevel="0" collapsed="false">
      <c r="G817" s="19" t="n">
        <f aca="false">IF($C817="",0,$C817+$D817)</f>
        <v>0</v>
      </c>
      <c r="H817" s="19" t="str">
        <f aca="false">IF($B817="","",CONCATENATE("Örnek borç: ",$B817))</f>
        <v/>
      </c>
    </row>
    <row r="818" customFormat="false" ht="15" hidden="false" customHeight="false" outlineLevel="0" collapsed="false">
      <c r="G818" s="19" t="n">
        <f aca="false">IF($C818="",0,$C818+$D818)</f>
        <v>0</v>
      </c>
      <c r="H818" s="19" t="str">
        <f aca="false">IF($B818="","",CONCATENATE("Örnek borç: ",$B818))</f>
        <v/>
      </c>
    </row>
    <row r="819" customFormat="false" ht="15" hidden="false" customHeight="false" outlineLevel="0" collapsed="false">
      <c r="G819" s="19" t="n">
        <f aca="false">IF($C819="",0,$C819+$D819)</f>
        <v>0</v>
      </c>
      <c r="H819" s="19" t="str">
        <f aca="false">IF($B819="","",CONCATENATE("Örnek borç: ",$B819))</f>
        <v/>
      </c>
    </row>
    <row r="820" customFormat="false" ht="15" hidden="false" customHeight="false" outlineLevel="0" collapsed="false">
      <c r="G820" s="19" t="n">
        <f aca="false">IF($C820="",0,$C820+$D820)</f>
        <v>0</v>
      </c>
      <c r="H820" s="19" t="str">
        <f aca="false">IF($B820="","",CONCATENATE("Örnek borç: ",$B820))</f>
        <v/>
      </c>
    </row>
    <row r="821" customFormat="false" ht="15" hidden="false" customHeight="false" outlineLevel="0" collapsed="false">
      <c r="G821" s="19" t="n">
        <f aca="false">IF($C821="",0,$C821+$D821)</f>
        <v>0</v>
      </c>
      <c r="H821" s="19" t="str">
        <f aca="false">IF($B821="","",CONCATENATE("Örnek borç: ",$B821))</f>
        <v/>
      </c>
    </row>
    <row r="822" customFormat="false" ht="15" hidden="false" customHeight="false" outlineLevel="0" collapsed="false">
      <c r="G822" s="19" t="n">
        <f aca="false">IF($C822="",0,$C822+$D822)</f>
        <v>0</v>
      </c>
      <c r="H822" s="19" t="str">
        <f aca="false">IF($B822="","",CONCATENATE("Örnek borç: ",$B822))</f>
        <v/>
      </c>
    </row>
    <row r="823" customFormat="false" ht="15" hidden="false" customHeight="false" outlineLevel="0" collapsed="false">
      <c r="G823" s="19" t="n">
        <f aca="false">IF($C823="",0,$C823+$D823)</f>
        <v>0</v>
      </c>
      <c r="H823" s="19" t="str">
        <f aca="false">IF($B823="","",CONCATENATE("Örnek borç: ",$B823))</f>
        <v/>
      </c>
    </row>
    <row r="824" customFormat="false" ht="15" hidden="false" customHeight="false" outlineLevel="0" collapsed="false">
      <c r="G824" s="19" t="n">
        <f aca="false">IF($C824="",0,$C824+$D824)</f>
        <v>0</v>
      </c>
      <c r="H824" s="19" t="str">
        <f aca="false">IF($B824="","",CONCATENATE("Örnek borç: ",$B824))</f>
        <v/>
      </c>
    </row>
    <row r="825" customFormat="false" ht="15" hidden="false" customHeight="false" outlineLevel="0" collapsed="false">
      <c r="G825" s="19" t="n">
        <f aca="false">IF($C825="",0,$C825+$D825)</f>
        <v>0</v>
      </c>
      <c r="H825" s="19" t="str">
        <f aca="false">IF($B825="","",CONCATENATE("Örnek borç: ",$B825))</f>
        <v/>
      </c>
    </row>
    <row r="826" customFormat="false" ht="15" hidden="false" customHeight="false" outlineLevel="0" collapsed="false">
      <c r="G826" s="19" t="n">
        <f aca="false">IF($C826="",0,$C826+$D826)</f>
        <v>0</v>
      </c>
      <c r="H826" s="19" t="str">
        <f aca="false">IF($B826="","",CONCATENATE("Örnek borç: ",$B826))</f>
        <v/>
      </c>
    </row>
    <row r="827" customFormat="false" ht="15" hidden="false" customHeight="false" outlineLevel="0" collapsed="false">
      <c r="G827" s="19" t="n">
        <f aca="false">IF($C827="",0,$C827+$D827)</f>
        <v>0</v>
      </c>
      <c r="H827" s="19" t="str">
        <f aca="false">IF($B827="","",CONCATENATE("Örnek borç: ",$B827))</f>
        <v/>
      </c>
    </row>
    <row r="828" customFormat="false" ht="15" hidden="false" customHeight="false" outlineLevel="0" collapsed="false">
      <c r="G828" s="19" t="n">
        <f aca="false">IF($C828="",0,$C828+$D828)</f>
        <v>0</v>
      </c>
      <c r="H828" s="19" t="str">
        <f aca="false">IF($B828="","",CONCATENATE("Örnek borç: ",$B828))</f>
        <v/>
      </c>
    </row>
    <row r="829" customFormat="false" ht="15" hidden="false" customHeight="false" outlineLevel="0" collapsed="false">
      <c r="G829" s="19" t="n">
        <f aca="false">IF($C829="",0,$C829+$D829)</f>
        <v>0</v>
      </c>
      <c r="H829" s="19" t="str">
        <f aca="false">IF($B829="","",CONCATENATE("Örnek borç: ",$B829))</f>
        <v/>
      </c>
    </row>
    <row r="830" customFormat="false" ht="15" hidden="false" customHeight="false" outlineLevel="0" collapsed="false">
      <c r="G830" s="19" t="n">
        <f aca="false">IF($C830="",0,$C830+$D830)</f>
        <v>0</v>
      </c>
      <c r="H830" s="19" t="str">
        <f aca="false">IF($B830="","",CONCATENATE("Örnek borç: ",$B830))</f>
        <v/>
      </c>
    </row>
    <row r="831" customFormat="false" ht="15" hidden="false" customHeight="false" outlineLevel="0" collapsed="false">
      <c r="G831" s="19" t="n">
        <f aca="false">IF($C831="",0,$C831+$D831)</f>
        <v>0</v>
      </c>
      <c r="H831" s="19" t="str">
        <f aca="false">IF($B831="","",CONCATENATE("Örnek borç: ",$B831))</f>
        <v/>
      </c>
    </row>
    <row r="832" customFormat="false" ht="15" hidden="false" customHeight="false" outlineLevel="0" collapsed="false">
      <c r="G832" s="19" t="n">
        <f aca="false">IF($C832="",0,$C832+$D832)</f>
        <v>0</v>
      </c>
      <c r="H832" s="19" t="str">
        <f aca="false">IF($B832="","",CONCATENATE("Örnek borç: ",$B832))</f>
        <v/>
      </c>
    </row>
    <row r="833" customFormat="false" ht="15" hidden="false" customHeight="false" outlineLevel="0" collapsed="false">
      <c r="G833" s="19" t="n">
        <f aca="false">IF($C833="",0,$C833+$D833)</f>
        <v>0</v>
      </c>
      <c r="H833" s="19" t="str">
        <f aca="false">IF($B833="","",CONCATENATE("Örnek borç: ",$B833))</f>
        <v/>
      </c>
    </row>
    <row r="834" customFormat="false" ht="15" hidden="false" customHeight="false" outlineLevel="0" collapsed="false">
      <c r="G834" s="19" t="n">
        <f aca="false">IF($C834="",0,$C834+$D834)</f>
        <v>0</v>
      </c>
      <c r="H834" s="19" t="str">
        <f aca="false">IF($B834="","",CONCATENATE("Örnek borç: ",$B834))</f>
        <v/>
      </c>
    </row>
    <row r="835" customFormat="false" ht="15" hidden="false" customHeight="false" outlineLevel="0" collapsed="false">
      <c r="G835" s="19" t="n">
        <f aca="false">IF($C835="",0,$C835+$D835)</f>
        <v>0</v>
      </c>
      <c r="H835" s="19" t="str">
        <f aca="false">IF($B835="","",CONCATENATE("Örnek borç: ",$B835))</f>
        <v/>
      </c>
    </row>
    <row r="836" customFormat="false" ht="15" hidden="false" customHeight="false" outlineLevel="0" collapsed="false">
      <c r="G836" s="19" t="n">
        <f aca="false">IF($C836="",0,$C836+$D836)</f>
        <v>0</v>
      </c>
      <c r="H836" s="19" t="str">
        <f aca="false">IF($B836="","",CONCATENATE("Örnek borç: ",$B836))</f>
        <v/>
      </c>
    </row>
    <row r="837" customFormat="false" ht="15" hidden="false" customHeight="false" outlineLevel="0" collapsed="false">
      <c r="G837" s="19" t="n">
        <f aca="false">IF($C837="",0,$C837+$D837)</f>
        <v>0</v>
      </c>
      <c r="H837" s="19" t="str">
        <f aca="false">IF($B837="","",CONCATENATE("Örnek borç: ",$B837))</f>
        <v/>
      </c>
    </row>
    <row r="838" customFormat="false" ht="15" hidden="false" customHeight="false" outlineLevel="0" collapsed="false">
      <c r="G838" s="19" t="n">
        <f aca="false">IF($C838="",0,$C838+$D838)</f>
        <v>0</v>
      </c>
      <c r="H838" s="19" t="str">
        <f aca="false">IF($B838="","",CONCATENATE("Örnek borç: ",$B838))</f>
        <v/>
      </c>
    </row>
    <row r="839" customFormat="false" ht="15" hidden="false" customHeight="false" outlineLevel="0" collapsed="false">
      <c r="G839" s="19" t="n">
        <f aca="false">IF($C839="",0,$C839+$D839)</f>
        <v>0</v>
      </c>
      <c r="H839" s="19" t="str">
        <f aca="false">IF($B839="","",CONCATENATE("Örnek borç: ",$B839))</f>
        <v/>
      </c>
    </row>
    <row r="840" customFormat="false" ht="15" hidden="false" customHeight="false" outlineLevel="0" collapsed="false">
      <c r="G840" s="19" t="n">
        <f aca="false">IF($C840="",0,$C840+$D840)</f>
        <v>0</v>
      </c>
      <c r="H840" s="19" t="str">
        <f aca="false">IF($B840="","",CONCATENATE("Örnek borç: ",$B840))</f>
        <v/>
      </c>
    </row>
    <row r="841" customFormat="false" ht="15" hidden="false" customHeight="false" outlineLevel="0" collapsed="false">
      <c r="G841" s="19" t="n">
        <f aca="false">IF($C841="",0,$C841+$D841)</f>
        <v>0</v>
      </c>
      <c r="H841" s="19" t="str">
        <f aca="false">IF($B841="","",CONCATENATE("Örnek borç: ",$B841))</f>
        <v/>
      </c>
    </row>
    <row r="842" customFormat="false" ht="15" hidden="false" customHeight="false" outlineLevel="0" collapsed="false">
      <c r="G842" s="19" t="n">
        <f aca="false">IF($C842="",0,$C842+$D842)</f>
        <v>0</v>
      </c>
      <c r="H842" s="19" t="str">
        <f aca="false">IF($B842="","",CONCATENATE("Örnek borç: ",$B842))</f>
        <v/>
      </c>
    </row>
    <row r="843" customFormat="false" ht="15" hidden="false" customHeight="false" outlineLevel="0" collapsed="false">
      <c r="G843" s="19" t="n">
        <f aca="false">IF($C843="",0,$C843+$D843)</f>
        <v>0</v>
      </c>
      <c r="H843" s="19" t="str">
        <f aca="false">IF($B843="","",CONCATENATE("Örnek borç: ",$B843))</f>
        <v/>
      </c>
    </row>
    <row r="844" customFormat="false" ht="15" hidden="false" customHeight="false" outlineLevel="0" collapsed="false">
      <c r="G844" s="19" t="n">
        <f aca="false">IF($C844="",0,$C844+$D844)</f>
        <v>0</v>
      </c>
      <c r="H844" s="19" t="str">
        <f aca="false">IF($B844="","",CONCATENATE("Örnek borç: ",$B844))</f>
        <v/>
      </c>
    </row>
    <row r="845" customFormat="false" ht="15" hidden="false" customHeight="false" outlineLevel="0" collapsed="false">
      <c r="G845" s="19" t="n">
        <f aca="false">IF($C845="",0,$C845+$D845)</f>
        <v>0</v>
      </c>
      <c r="H845" s="19" t="str">
        <f aca="false">IF($B845="","",CONCATENATE("Örnek borç: ",$B845))</f>
        <v/>
      </c>
    </row>
    <row r="846" customFormat="false" ht="15" hidden="false" customHeight="false" outlineLevel="0" collapsed="false">
      <c r="G846" s="19" t="n">
        <f aca="false">IF($C846="",0,$C846+$D846)</f>
        <v>0</v>
      </c>
      <c r="H846" s="19" t="str">
        <f aca="false">IF($B846="","",CONCATENATE("Örnek borç: ",$B846))</f>
        <v/>
      </c>
    </row>
    <row r="847" customFormat="false" ht="15" hidden="false" customHeight="false" outlineLevel="0" collapsed="false">
      <c r="G847" s="19" t="n">
        <f aca="false">IF($C847="",0,$C847+$D847)</f>
        <v>0</v>
      </c>
      <c r="H847" s="19" t="str">
        <f aca="false">IF($B847="","",CONCATENATE("Örnek borç: ",$B847))</f>
        <v/>
      </c>
    </row>
    <row r="848" customFormat="false" ht="15" hidden="false" customHeight="false" outlineLevel="0" collapsed="false">
      <c r="G848" s="19" t="n">
        <f aca="false">IF($C848="",0,$C848+$D848)</f>
        <v>0</v>
      </c>
      <c r="H848" s="19" t="str">
        <f aca="false">IF($B848="","",CONCATENATE("Örnek borç: ",$B848))</f>
        <v/>
      </c>
    </row>
    <row r="849" customFormat="false" ht="15" hidden="false" customHeight="false" outlineLevel="0" collapsed="false">
      <c r="G849" s="19" t="n">
        <f aca="false">IF($C849="",0,$C849+$D849)</f>
        <v>0</v>
      </c>
      <c r="H849" s="19" t="str">
        <f aca="false">IF($B849="","",CONCATENATE("Örnek borç: ",$B849))</f>
        <v/>
      </c>
    </row>
    <row r="850" customFormat="false" ht="15" hidden="false" customHeight="false" outlineLevel="0" collapsed="false">
      <c r="G850" s="19" t="n">
        <f aca="false">IF($C850="",0,$C850+$D850)</f>
        <v>0</v>
      </c>
      <c r="H850" s="19" t="str">
        <f aca="false">IF($B850="","",CONCATENATE("Örnek borç: ",$B850))</f>
        <v/>
      </c>
    </row>
    <row r="851" customFormat="false" ht="15" hidden="false" customHeight="false" outlineLevel="0" collapsed="false">
      <c r="G851" s="19" t="n">
        <f aca="false">IF($C851="",0,$C851+$D851)</f>
        <v>0</v>
      </c>
      <c r="H851" s="19" t="str">
        <f aca="false">IF($B851="","",CONCATENATE("Örnek borç: ",$B851))</f>
        <v/>
      </c>
    </row>
    <row r="852" customFormat="false" ht="15" hidden="false" customHeight="false" outlineLevel="0" collapsed="false">
      <c r="G852" s="19" t="n">
        <f aca="false">IF($C852="",0,$C852+$D852)</f>
        <v>0</v>
      </c>
      <c r="H852" s="19" t="str">
        <f aca="false">IF($B852="","",CONCATENATE("Örnek borç: ",$B852))</f>
        <v/>
      </c>
    </row>
    <row r="853" customFormat="false" ht="15" hidden="false" customHeight="false" outlineLevel="0" collapsed="false">
      <c r="G853" s="19" t="n">
        <f aca="false">IF($C853="",0,$C853+$D853)</f>
        <v>0</v>
      </c>
      <c r="H853" s="19" t="str">
        <f aca="false">IF($B853="","",CONCATENATE("Örnek borç: ",$B853))</f>
        <v/>
      </c>
    </row>
    <row r="854" customFormat="false" ht="15" hidden="false" customHeight="false" outlineLevel="0" collapsed="false">
      <c r="G854" s="19" t="n">
        <f aca="false">IF($C854="",0,$C854+$D854)</f>
        <v>0</v>
      </c>
      <c r="H854" s="19" t="str">
        <f aca="false">IF($B854="","",CONCATENATE("Örnek borç: ",$B854))</f>
        <v/>
      </c>
    </row>
    <row r="855" customFormat="false" ht="15" hidden="false" customHeight="false" outlineLevel="0" collapsed="false">
      <c r="G855" s="19" t="n">
        <f aca="false">IF($C855="",0,$C855+$D855)</f>
        <v>0</v>
      </c>
      <c r="H855" s="19" t="str">
        <f aca="false">IF($B855="","",CONCATENATE("Örnek borç: ",$B855))</f>
        <v/>
      </c>
    </row>
    <row r="856" customFormat="false" ht="15" hidden="false" customHeight="false" outlineLevel="0" collapsed="false">
      <c r="G856" s="19" t="n">
        <f aca="false">IF($C856="",0,$C856+$D856)</f>
        <v>0</v>
      </c>
      <c r="H856" s="19" t="str">
        <f aca="false">IF($B856="","",CONCATENATE("Örnek borç: ",$B856))</f>
        <v/>
      </c>
    </row>
    <row r="857" customFormat="false" ht="15" hidden="false" customHeight="false" outlineLevel="0" collapsed="false">
      <c r="G857" s="19" t="n">
        <f aca="false">IF($C857="",0,$C857+$D857)</f>
        <v>0</v>
      </c>
      <c r="H857" s="19" t="str">
        <f aca="false">IF($B857="","",CONCATENATE("Örnek borç: ",$B857))</f>
        <v/>
      </c>
    </row>
    <row r="858" customFormat="false" ht="15" hidden="false" customHeight="false" outlineLevel="0" collapsed="false">
      <c r="G858" s="19" t="n">
        <f aca="false">IF($C858="",0,$C858+$D858)</f>
        <v>0</v>
      </c>
      <c r="H858" s="19" t="str">
        <f aca="false">IF($B858="","",CONCATENATE("Örnek borç: ",$B858))</f>
        <v/>
      </c>
    </row>
    <row r="859" customFormat="false" ht="15" hidden="false" customHeight="false" outlineLevel="0" collapsed="false">
      <c r="G859" s="19" t="n">
        <f aca="false">IF($C859="",0,$C859+$D859)</f>
        <v>0</v>
      </c>
      <c r="H859" s="19" t="str">
        <f aca="false">IF($B859="","",CONCATENATE("Örnek borç: ",$B859))</f>
        <v/>
      </c>
    </row>
    <row r="860" customFormat="false" ht="15" hidden="false" customHeight="false" outlineLevel="0" collapsed="false">
      <c r="G860" s="19" t="n">
        <f aca="false">IF($C860="",0,$C860+$D860)</f>
        <v>0</v>
      </c>
      <c r="H860" s="19" t="str">
        <f aca="false">IF($B860="","",CONCATENATE("Örnek borç: ",$B860))</f>
        <v/>
      </c>
    </row>
    <row r="861" customFormat="false" ht="15" hidden="false" customHeight="false" outlineLevel="0" collapsed="false">
      <c r="G861" s="19" t="n">
        <f aca="false">IF($C861="",0,$C861+$D861)</f>
        <v>0</v>
      </c>
      <c r="H861" s="19" t="str">
        <f aca="false">IF($B861="","",CONCATENATE("Örnek borç: ",$B861))</f>
        <v/>
      </c>
    </row>
    <row r="862" customFormat="false" ht="15" hidden="false" customHeight="false" outlineLevel="0" collapsed="false">
      <c r="G862" s="19" t="n">
        <f aca="false">IF($C862="",0,$C862+$D862)</f>
        <v>0</v>
      </c>
      <c r="H862" s="19" t="str">
        <f aca="false">IF($B862="","",CONCATENATE("Örnek borç: ",$B862))</f>
        <v/>
      </c>
    </row>
    <row r="863" customFormat="false" ht="15" hidden="false" customHeight="false" outlineLevel="0" collapsed="false">
      <c r="G863" s="19" t="n">
        <f aca="false">IF($C863="",0,$C863+$D863)</f>
        <v>0</v>
      </c>
      <c r="H863" s="19" t="str">
        <f aca="false">IF($B863="","",CONCATENATE("Örnek borç: ",$B863))</f>
        <v/>
      </c>
    </row>
    <row r="864" customFormat="false" ht="15" hidden="false" customHeight="false" outlineLevel="0" collapsed="false">
      <c r="G864" s="19" t="n">
        <f aca="false">IF($C864="",0,$C864+$D864)</f>
        <v>0</v>
      </c>
      <c r="H864" s="19" t="str">
        <f aca="false">IF($B864="","",CONCATENATE("Örnek borç: ",$B864))</f>
        <v/>
      </c>
    </row>
    <row r="865" customFormat="false" ht="15" hidden="false" customHeight="false" outlineLevel="0" collapsed="false">
      <c r="G865" s="19" t="n">
        <f aca="false">IF($C865="",0,$C865+$D865)</f>
        <v>0</v>
      </c>
      <c r="H865" s="19" t="str">
        <f aca="false">IF($B865="","",CONCATENATE("Örnek borç: ",$B865))</f>
        <v/>
      </c>
    </row>
    <row r="866" customFormat="false" ht="15" hidden="false" customHeight="false" outlineLevel="0" collapsed="false">
      <c r="G866" s="19" t="n">
        <f aca="false">IF($C866="",0,$C866+$D866)</f>
        <v>0</v>
      </c>
      <c r="H866" s="19" t="str">
        <f aca="false">IF($B866="","",CONCATENATE("Örnek borç: ",$B866))</f>
        <v/>
      </c>
    </row>
    <row r="867" customFormat="false" ht="15" hidden="false" customHeight="false" outlineLevel="0" collapsed="false">
      <c r="G867" s="19" t="n">
        <f aca="false">IF($C867="",0,$C867+$D867)</f>
        <v>0</v>
      </c>
      <c r="H867" s="19" t="str">
        <f aca="false">IF($B867="","",CONCATENATE("Örnek borç: ",$B867))</f>
        <v/>
      </c>
    </row>
    <row r="868" customFormat="false" ht="15" hidden="false" customHeight="false" outlineLevel="0" collapsed="false">
      <c r="G868" s="19" t="n">
        <f aca="false">IF($C868="",0,$C868+$D868)</f>
        <v>0</v>
      </c>
      <c r="H868" s="19" t="str">
        <f aca="false">IF($B868="","",CONCATENATE("Örnek borç: ",$B868))</f>
        <v/>
      </c>
    </row>
    <row r="869" customFormat="false" ht="15" hidden="false" customHeight="false" outlineLevel="0" collapsed="false">
      <c r="G869" s="19" t="n">
        <f aca="false">IF($C869="",0,$C869+$D869)</f>
        <v>0</v>
      </c>
      <c r="H869" s="19" t="str">
        <f aca="false">IF($B869="","",CONCATENATE("Örnek borç: ",$B869))</f>
        <v/>
      </c>
    </row>
    <row r="870" customFormat="false" ht="15" hidden="false" customHeight="false" outlineLevel="0" collapsed="false">
      <c r="G870" s="19" t="n">
        <f aca="false">IF($C870="",0,$C870+$D870)</f>
        <v>0</v>
      </c>
      <c r="H870" s="19" t="str">
        <f aca="false">IF($B870="","",CONCATENATE("Örnek borç: ",$B870))</f>
        <v/>
      </c>
    </row>
    <row r="871" customFormat="false" ht="15" hidden="false" customHeight="false" outlineLevel="0" collapsed="false">
      <c r="G871" s="19" t="n">
        <f aca="false">IF($C871="",0,$C871+$D871)</f>
        <v>0</v>
      </c>
      <c r="H871" s="19" t="str">
        <f aca="false">IF($B871="","",CONCATENATE("Örnek borç: ",$B871))</f>
        <v/>
      </c>
    </row>
    <row r="872" customFormat="false" ht="15" hidden="false" customHeight="false" outlineLevel="0" collapsed="false">
      <c r="G872" s="19" t="n">
        <f aca="false">IF($C872="",0,$C872+$D872)</f>
        <v>0</v>
      </c>
      <c r="H872" s="19" t="str">
        <f aca="false">IF($B872="","",CONCATENATE("Örnek borç: ",$B872))</f>
        <v/>
      </c>
    </row>
    <row r="873" customFormat="false" ht="15" hidden="false" customHeight="false" outlineLevel="0" collapsed="false">
      <c r="G873" s="19" t="n">
        <f aca="false">IF($C873="",0,$C873+$D873)</f>
        <v>0</v>
      </c>
      <c r="H873" s="19" t="str">
        <f aca="false">IF($B873="","",CONCATENATE("Örnek borç: ",$B873))</f>
        <v/>
      </c>
    </row>
    <row r="874" customFormat="false" ht="15" hidden="false" customHeight="false" outlineLevel="0" collapsed="false">
      <c r="G874" s="19" t="n">
        <f aca="false">IF($C874="",0,$C874+$D874)</f>
        <v>0</v>
      </c>
      <c r="H874" s="19" t="str">
        <f aca="false">IF($B874="","",CONCATENATE("Örnek borç: ",$B874))</f>
        <v/>
      </c>
    </row>
    <row r="875" customFormat="false" ht="15" hidden="false" customHeight="false" outlineLevel="0" collapsed="false">
      <c r="G875" s="19" t="n">
        <f aca="false">IF($C875="",0,$C875+$D875)</f>
        <v>0</v>
      </c>
      <c r="H875" s="19" t="str">
        <f aca="false">IF($B875="","",CONCATENATE("Örnek borç: ",$B875))</f>
        <v/>
      </c>
    </row>
    <row r="876" customFormat="false" ht="15" hidden="false" customHeight="false" outlineLevel="0" collapsed="false">
      <c r="G876" s="19" t="n">
        <f aca="false">IF($C876="",0,$C876+$D876)</f>
        <v>0</v>
      </c>
      <c r="H876" s="19" t="str">
        <f aca="false">IF($B876="","",CONCATENATE("Örnek borç: ",$B876))</f>
        <v/>
      </c>
    </row>
    <row r="877" customFormat="false" ht="15" hidden="false" customHeight="false" outlineLevel="0" collapsed="false">
      <c r="G877" s="19" t="n">
        <f aca="false">IF($C877="",0,$C877+$D877)</f>
        <v>0</v>
      </c>
      <c r="H877" s="19" t="str">
        <f aca="false">IF($B877="","",CONCATENATE("Örnek borç: ",$B877))</f>
        <v/>
      </c>
    </row>
    <row r="878" customFormat="false" ht="15" hidden="false" customHeight="false" outlineLevel="0" collapsed="false">
      <c r="G878" s="19" t="n">
        <f aca="false">IF($C878="",0,$C878+$D878)</f>
        <v>0</v>
      </c>
      <c r="H878" s="19" t="str">
        <f aca="false">IF($B878="","",CONCATENATE("Örnek borç: ",$B878))</f>
        <v/>
      </c>
    </row>
    <row r="879" customFormat="false" ht="15" hidden="false" customHeight="false" outlineLevel="0" collapsed="false">
      <c r="G879" s="19" t="n">
        <f aca="false">IF($C879="",0,$C879+$D879)</f>
        <v>0</v>
      </c>
      <c r="H879" s="19" t="str">
        <f aca="false">IF($B879="","",CONCATENATE("Örnek borç: ",$B879))</f>
        <v/>
      </c>
    </row>
    <row r="880" customFormat="false" ht="15" hidden="false" customHeight="false" outlineLevel="0" collapsed="false">
      <c r="G880" s="19" t="n">
        <f aca="false">IF($C880="",0,$C880+$D880)</f>
        <v>0</v>
      </c>
      <c r="H880" s="19" t="str">
        <f aca="false">IF($B880="","",CONCATENATE("Örnek borç: ",$B880))</f>
        <v/>
      </c>
    </row>
    <row r="881" customFormat="false" ht="15" hidden="false" customHeight="false" outlineLevel="0" collapsed="false">
      <c r="G881" s="19" t="n">
        <f aca="false">IF($C881="",0,$C881+$D881)</f>
        <v>0</v>
      </c>
      <c r="H881" s="19" t="str">
        <f aca="false">IF($B881="","",CONCATENATE("Örnek borç: ",$B881))</f>
        <v/>
      </c>
    </row>
    <row r="882" customFormat="false" ht="15" hidden="false" customHeight="false" outlineLevel="0" collapsed="false">
      <c r="G882" s="19" t="n">
        <f aca="false">IF($C882="",0,$C882+$D882)</f>
        <v>0</v>
      </c>
      <c r="H882" s="19" t="str">
        <f aca="false">IF($B882="","",CONCATENATE("Örnek borç: ",$B882))</f>
        <v/>
      </c>
    </row>
    <row r="883" customFormat="false" ht="15" hidden="false" customHeight="false" outlineLevel="0" collapsed="false">
      <c r="G883" s="19" t="n">
        <f aca="false">IF($C883="",0,$C883+$D883)</f>
        <v>0</v>
      </c>
      <c r="H883" s="19" t="str">
        <f aca="false">IF($B883="","",CONCATENATE("Örnek borç: ",$B883))</f>
        <v/>
      </c>
    </row>
    <row r="884" customFormat="false" ht="15" hidden="false" customHeight="false" outlineLevel="0" collapsed="false">
      <c r="G884" s="19" t="n">
        <f aca="false">IF($C884="",0,$C884+$D884)</f>
        <v>0</v>
      </c>
      <c r="H884" s="19" t="str">
        <f aca="false">IF($B884="","",CONCATENATE("Örnek borç: ",$B884))</f>
        <v/>
      </c>
    </row>
    <row r="885" customFormat="false" ht="15" hidden="false" customHeight="false" outlineLevel="0" collapsed="false">
      <c r="G885" s="19" t="n">
        <f aca="false">IF($C885="",0,$C885+$D885)</f>
        <v>0</v>
      </c>
      <c r="H885" s="19" t="str">
        <f aca="false">IF($B885="","",CONCATENATE("Örnek borç: ",$B885))</f>
        <v/>
      </c>
    </row>
    <row r="886" customFormat="false" ht="15" hidden="false" customHeight="false" outlineLevel="0" collapsed="false">
      <c r="G886" s="19" t="n">
        <f aca="false">IF($C886="",0,$C886+$D886)</f>
        <v>0</v>
      </c>
      <c r="H886" s="19" t="str">
        <f aca="false">IF($B886="","",CONCATENATE("Örnek borç: ",$B886))</f>
        <v/>
      </c>
    </row>
    <row r="887" customFormat="false" ht="15" hidden="false" customHeight="false" outlineLevel="0" collapsed="false">
      <c r="G887" s="19" t="n">
        <f aca="false">IF($C887="",0,$C887+$D887)</f>
        <v>0</v>
      </c>
      <c r="H887" s="19" t="str">
        <f aca="false">IF($B887="","",CONCATENATE("Örnek borç: ",$B887))</f>
        <v/>
      </c>
    </row>
    <row r="888" customFormat="false" ht="15" hidden="false" customHeight="false" outlineLevel="0" collapsed="false">
      <c r="G888" s="19" t="n">
        <f aca="false">IF($C888="",0,$C888+$D888)</f>
        <v>0</v>
      </c>
      <c r="H888" s="19" t="str">
        <f aca="false">IF($B888="","",CONCATENATE("Örnek borç: ",$B888))</f>
        <v/>
      </c>
    </row>
    <row r="889" customFormat="false" ht="15" hidden="false" customHeight="false" outlineLevel="0" collapsed="false">
      <c r="G889" s="19" t="n">
        <f aca="false">IF($C889="",0,$C889+$D889)</f>
        <v>0</v>
      </c>
      <c r="H889" s="19" t="str">
        <f aca="false">IF($B889="","",CONCATENATE("Örnek borç: ",$B889))</f>
        <v/>
      </c>
    </row>
    <row r="890" customFormat="false" ht="15" hidden="false" customHeight="false" outlineLevel="0" collapsed="false">
      <c r="G890" s="19" t="n">
        <f aca="false">IF($C890="",0,$C890+$D890)</f>
        <v>0</v>
      </c>
      <c r="H890" s="19" t="str">
        <f aca="false">IF($B890="","",CONCATENATE("Örnek borç: ",$B890))</f>
        <v/>
      </c>
    </row>
    <row r="891" customFormat="false" ht="15" hidden="false" customHeight="false" outlineLevel="0" collapsed="false">
      <c r="G891" s="19" t="n">
        <f aca="false">IF($C891="",0,$C891+$D891)</f>
        <v>0</v>
      </c>
      <c r="H891" s="19" t="str">
        <f aca="false">IF($B891="","",CONCATENATE("Örnek borç: ",$B891))</f>
        <v/>
      </c>
    </row>
    <row r="892" customFormat="false" ht="15" hidden="false" customHeight="false" outlineLevel="0" collapsed="false">
      <c r="G892" s="19" t="n">
        <f aca="false">IF($C892="",0,$C892+$D892)</f>
        <v>0</v>
      </c>
      <c r="H892" s="19" t="str">
        <f aca="false">IF($B892="","",CONCATENATE("Örnek borç: ",$B892))</f>
        <v/>
      </c>
    </row>
    <row r="893" customFormat="false" ht="15" hidden="false" customHeight="false" outlineLevel="0" collapsed="false">
      <c r="G893" s="19" t="n">
        <f aca="false">IF($C893="",0,$C893+$D893)</f>
        <v>0</v>
      </c>
      <c r="H893" s="19" t="str">
        <f aca="false">IF($B893="","",CONCATENATE("Örnek borç: ",$B893))</f>
        <v/>
      </c>
    </row>
    <row r="894" customFormat="false" ht="15" hidden="false" customHeight="false" outlineLevel="0" collapsed="false">
      <c r="G894" s="19" t="n">
        <f aca="false">IF($C894="",0,$C894+$D894)</f>
        <v>0</v>
      </c>
      <c r="H894" s="19" t="str">
        <f aca="false">IF($B894="","",CONCATENATE("Örnek borç: ",$B894))</f>
        <v/>
      </c>
    </row>
    <row r="895" customFormat="false" ht="15" hidden="false" customHeight="false" outlineLevel="0" collapsed="false">
      <c r="G895" s="19" t="n">
        <f aca="false">IF($C895="",0,$C895+$D895)</f>
        <v>0</v>
      </c>
      <c r="H895" s="19" t="str">
        <f aca="false">IF($B895="","",CONCATENATE("Örnek borç: ",$B895))</f>
        <v/>
      </c>
    </row>
    <row r="896" customFormat="false" ht="15" hidden="false" customHeight="false" outlineLevel="0" collapsed="false">
      <c r="G896" s="19" t="n">
        <f aca="false">IF($C896="",0,$C896+$D896)</f>
        <v>0</v>
      </c>
      <c r="H896" s="19" t="str">
        <f aca="false">IF($B896="","",CONCATENATE("Örnek borç: ",$B896))</f>
        <v/>
      </c>
    </row>
    <row r="897" customFormat="false" ht="15" hidden="false" customHeight="false" outlineLevel="0" collapsed="false">
      <c r="G897" s="19" t="n">
        <f aca="false">IF($C897="",0,$C897+$D897)</f>
        <v>0</v>
      </c>
      <c r="H897" s="19" t="str">
        <f aca="false">IF($B897="","",CONCATENATE("Örnek borç: ",$B897))</f>
        <v/>
      </c>
    </row>
    <row r="898" customFormat="false" ht="15" hidden="false" customHeight="false" outlineLevel="0" collapsed="false">
      <c r="G898" s="19" t="n">
        <f aca="false">IF($C898="",0,$C898+$D898)</f>
        <v>0</v>
      </c>
      <c r="H898" s="19" t="str">
        <f aca="false">IF($B898="","",CONCATENATE("Örnek borç: ",$B898))</f>
        <v/>
      </c>
    </row>
    <row r="899" customFormat="false" ht="15" hidden="false" customHeight="false" outlineLevel="0" collapsed="false">
      <c r="G899" s="19" t="n">
        <f aca="false">IF($C899="",0,$C899+$D899)</f>
        <v>0</v>
      </c>
      <c r="H899" s="19" t="str">
        <f aca="false">IF($B899="","",CONCATENATE("Örnek borç: ",$B899))</f>
        <v/>
      </c>
    </row>
    <row r="900" customFormat="false" ht="15" hidden="false" customHeight="false" outlineLevel="0" collapsed="false">
      <c r="G900" s="19" t="n">
        <f aca="false">IF($C900="",0,$C900+$D900)</f>
        <v>0</v>
      </c>
      <c r="H900" s="19" t="str">
        <f aca="false">IF($B900="","",CONCATENATE("Örnek borç: ",$B900))</f>
        <v/>
      </c>
    </row>
    <row r="901" customFormat="false" ht="15" hidden="false" customHeight="false" outlineLevel="0" collapsed="false">
      <c r="G901" s="19" t="n">
        <f aca="false">IF($C901="",0,$C901+$D901)</f>
        <v>0</v>
      </c>
      <c r="H901" s="19" t="str">
        <f aca="false">IF($B901="","",CONCATENATE("Örnek borç: ",$B901))</f>
        <v/>
      </c>
    </row>
    <row r="902" customFormat="false" ht="15" hidden="false" customHeight="false" outlineLevel="0" collapsed="false">
      <c r="G902" s="19" t="n">
        <f aca="false">IF($C902="",0,$C902+$D902)</f>
        <v>0</v>
      </c>
      <c r="H902" s="19" t="str">
        <f aca="false">IF($B902="","",CONCATENATE("Örnek borç: ",$B902))</f>
        <v/>
      </c>
    </row>
    <row r="903" customFormat="false" ht="15" hidden="false" customHeight="false" outlineLevel="0" collapsed="false">
      <c r="G903" s="19" t="n">
        <f aca="false">IF($C903="",0,$C903+$D903)</f>
        <v>0</v>
      </c>
      <c r="H903" s="19" t="str">
        <f aca="false">IF($B903="","",CONCATENATE("Örnek borç: ",$B903))</f>
        <v/>
      </c>
    </row>
    <row r="904" customFormat="false" ht="15" hidden="false" customHeight="false" outlineLevel="0" collapsed="false">
      <c r="G904" s="19" t="n">
        <f aca="false">IF($C904="",0,$C904+$D904)</f>
        <v>0</v>
      </c>
      <c r="H904" s="19" t="str">
        <f aca="false">IF($B904="","",CONCATENATE("Örnek borç: ",$B904))</f>
        <v/>
      </c>
    </row>
    <row r="905" customFormat="false" ht="15" hidden="false" customHeight="false" outlineLevel="0" collapsed="false">
      <c r="G905" s="19" t="n">
        <f aca="false">IF($C905="",0,$C905+$D905)</f>
        <v>0</v>
      </c>
      <c r="H905" s="19" t="str">
        <f aca="false">IF($B905="","",CONCATENATE("Örnek borç: ",$B905))</f>
        <v/>
      </c>
    </row>
    <row r="906" customFormat="false" ht="15" hidden="false" customHeight="false" outlineLevel="0" collapsed="false">
      <c r="G906" s="19" t="n">
        <f aca="false">IF($C906="",0,$C906+$D906)</f>
        <v>0</v>
      </c>
      <c r="H906" s="19" t="str">
        <f aca="false">IF($B906="","",CONCATENATE("Örnek borç: ",$B906))</f>
        <v/>
      </c>
    </row>
    <row r="907" customFormat="false" ht="15" hidden="false" customHeight="false" outlineLevel="0" collapsed="false">
      <c r="G907" s="19" t="n">
        <f aca="false">IF($C907="",0,$C907+$D907)</f>
        <v>0</v>
      </c>
      <c r="H907" s="19" t="str">
        <f aca="false">IF($B907="","",CONCATENATE("Örnek borç: ",$B907))</f>
        <v/>
      </c>
    </row>
    <row r="908" customFormat="false" ht="15" hidden="false" customHeight="false" outlineLevel="0" collapsed="false">
      <c r="G908" s="19" t="n">
        <f aca="false">IF($C908="",0,$C908+$D908)</f>
        <v>0</v>
      </c>
      <c r="H908" s="19" t="str">
        <f aca="false">IF($B908="","",CONCATENATE("Örnek borç: ",$B908))</f>
        <v/>
      </c>
    </row>
    <row r="909" customFormat="false" ht="15" hidden="false" customHeight="false" outlineLevel="0" collapsed="false">
      <c r="G909" s="19" t="n">
        <f aca="false">IF($C909="",0,$C909+$D909)</f>
        <v>0</v>
      </c>
      <c r="H909" s="19" t="str">
        <f aca="false">IF($B909="","",CONCATENATE("Örnek borç: ",$B909))</f>
        <v/>
      </c>
    </row>
    <row r="910" customFormat="false" ht="15" hidden="false" customHeight="false" outlineLevel="0" collapsed="false">
      <c r="G910" s="19" t="n">
        <f aca="false">IF($C910="",0,$C910+$D910)</f>
        <v>0</v>
      </c>
      <c r="H910" s="19" t="str">
        <f aca="false">IF($B910="","",CONCATENATE("Örnek borç: ",$B910))</f>
        <v/>
      </c>
    </row>
    <row r="911" customFormat="false" ht="15" hidden="false" customHeight="false" outlineLevel="0" collapsed="false">
      <c r="G911" s="19" t="n">
        <f aca="false">IF($C911="",0,$C911+$D911)</f>
        <v>0</v>
      </c>
      <c r="H911" s="19" t="str">
        <f aca="false">IF($B911="","",CONCATENATE("Örnek borç: ",$B911))</f>
        <v/>
      </c>
    </row>
    <row r="912" customFormat="false" ht="15" hidden="false" customHeight="false" outlineLevel="0" collapsed="false">
      <c r="G912" s="19" t="n">
        <f aca="false">IF($C912="",0,$C912+$D912)</f>
        <v>0</v>
      </c>
      <c r="H912" s="19" t="str">
        <f aca="false">IF($B912="","",CONCATENATE("Örnek borç: ",$B912))</f>
        <v/>
      </c>
    </row>
    <row r="913" customFormat="false" ht="15" hidden="false" customHeight="false" outlineLevel="0" collapsed="false">
      <c r="G913" s="19" t="n">
        <f aca="false">IF($C913="",0,$C913+$D913)</f>
        <v>0</v>
      </c>
      <c r="H913" s="19" t="str">
        <f aca="false">IF($B913="","",CONCATENATE("Örnek borç: ",$B913))</f>
        <v/>
      </c>
    </row>
    <row r="914" customFormat="false" ht="15" hidden="false" customHeight="false" outlineLevel="0" collapsed="false">
      <c r="G914" s="19" t="n">
        <f aca="false">IF($C914="",0,$C914+$D914)</f>
        <v>0</v>
      </c>
      <c r="H914" s="19" t="str">
        <f aca="false">IF($B914="","",CONCATENATE("Örnek borç: ",$B914))</f>
        <v/>
      </c>
    </row>
    <row r="915" customFormat="false" ht="15" hidden="false" customHeight="false" outlineLevel="0" collapsed="false">
      <c r="G915" s="19" t="n">
        <f aca="false">IF($C915="",0,$C915+$D915)</f>
        <v>0</v>
      </c>
      <c r="H915" s="19" t="str">
        <f aca="false">IF($B915="","",CONCATENATE("Örnek borç: ",$B915))</f>
        <v/>
      </c>
    </row>
    <row r="916" customFormat="false" ht="15" hidden="false" customHeight="false" outlineLevel="0" collapsed="false">
      <c r="G916" s="19" t="n">
        <f aca="false">IF($C916="",0,$C916+$D916)</f>
        <v>0</v>
      </c>
      <c r="H916" s="19" t="str">
        <f aca="false">IF($B916="","",CONCATENATE("Örnek borç: ",$B916))</f>
        <v/>
      </c>
    </row>
    <row r="917" customFormat="false" ht="15" hidden="false" customHeight="false" outlineLevel="0" collapsed="false">
      <c r="G917" s="19" t="n">
        <f aca="false">IF($C917="",0,$C917+$D917)</f>
        <v>0</v>
      </c>
      <c r="H917" s="19" t="str">
        <f aca="false">IF($B917="","",CONCATENATE("Örnek borç: ",$B917))</f>
        <v/>
      </c>
    </row>
    <row r="918" customFormat="false" ht="15" hidden="false" customHeight="false" outlineLevel="0" collapsed="false">
      <c r="G918" s="19" t="n">
        <f aca="false">IF($C918="",0,$C918+$D918)</f>
        <v>0</v>
      </c>
      <c r="H918" s="19" t="str">
        <f aca="false">IF($B918="","",CONCATENATE("Örnek borç: ",$B918))</f>
        <v/>
      </c>
    </row>
    <row r="919" customFormat="false" ht="15" hidden="false" customHeight="false" outlineLevel="0" collapsed="false">
      <c r="G919" s="19" t="n">
        <f aca="false">IF($C919="",0,$C919+$D919)</f>
        <v>0</v>
      </c>
      <c r="H919" s="19" t="str">
        <f aca="false">IF($B919="","",CONCATENATE("Örnek borç: ",$B919))</f>
        <v/>
      </c>
    </row>
    <row r="920" customFormat="false" ht="15" hidden="false" customHeight="false" outlineLevel="0" collapsed="false">
      <c r="G920" s="19" t="n">
        <f aca="false">IF($C920="",0,$C920+$D920)</f>
        <v>0</v>
      </c>
      <c r="H920" s="19" t="str">
        <f aca="false">IF($B920="","",CONCATENATE("Örnek borç: ",$B920))</f>
        <v/>
      </c>
    </row>
    <row r="921" customFormat="false" ht="15" hidden="false" customHeight="false" outlineLevel="0" collapsed="false">
      <c r="G921" s="19" t="n">
        <f aca="false">IF($C921="",0,$C921+$D921)</f>
        <v>0</v>
      </c>
      <c r="H921" s="19" t="str">
        <f aca="false">IF($B921="","",CONCATENATE("Örnek borç: ",$B921))</f>
        <v/>
      </c>
    </row>
    <row r="922" customFormat="false" ht="15" hidden="false" customHeight="false" outlineLevel="0" collapsed="false">
      <c r="G922" s="19" t="n">
        <f aca="false">IF($C922="",0,$C922+$D922)</f>
        <v>0</v>
      </c>
      <c r="H922" s="19" t="str">
        <f aca="false">IF($B922="","",CONCATENATE("Örnek borç: ",$B922))</f>
        <v/>
      </c>
    </row>
    <row r="923" customFormat="false" ht="15" hidden="false" customHeight="false" outlineLevel="0" collapsed="false">
      <c r="G923" s="19" t="n">
        <f aca="false">IF($C923="",0,$C923+$D923)</f>
        <v>0</v>
      </c>
      <c r="H923" s="19" t="str">
        <f aca="false">IF($B923="","",CONCATENATE("Örnek borç: ",$B923))</f>
        <v/>
      </c>
    </row>
    <row r="924" customFormat="false" ht="15" hidden="false" customHeight="false" outlineLevel="0" collapsed="false">
      <c r="G924" s="19" t="n">
        <f aca="false">IF($C924="",0,$C924+$D924)</f>
        <v>0</v>
      </c>
      <c r="H924" s="19" t="str">
        <f aca="false">IF($B924="","",CONCATENATE("Örnek borç: ",$B924))</f>
        <v/>
      </c>
    </row>
    <row r="925" customFormat="false" ht="15" hidden="false" customHeight="false" outlineLevel="0" collapsed="false">
      <c r="G925" s="19" t="n">
        <f aca="false">IF($C925="",0,$C925+$D925)</f>
        <v>0</v>
      </c>
      <c r="H925" s="19" t="str">
        <f aca="false">IF($B925="","",CONCATENATE("Örnek borç: ",$B925))</f>
        <v/>
      </c>
    </row>
    <row r="926" customFormat="false" ht="15" hidden="false" customHeight="false" outlineLevel="0" collapsed="false">
      <c r="G926" s="19" t="n">
        <f aca="false">IF($C926="",0,$C926+$D926)</f>
        <v>0</v>
      </c>
      <c r="H926" s="19" t="str">
        <f aca="false">IF($B926="","",CONCATENATE("Örnek borç: ",$B926))</f>
        <v/>
      </c>
    </row>
    <row r="927" customFormat="false" ht="15" hidden="false" customHeight="false" outlineLevel="0" collapsed="false">
      <c r="G927" s="19" t="n">
        <f aca="false">IF($C927="",0,$C927+$D927)</f>
        <v>0</v>
      </c>
      <c r="H927" s="19" t="str">
        <f aca="false">IF($B927="","",CONCATENATE("Örnek borç: ",$B927))</f>
        <v/>
      </c>
    </row>
    <row r="928" customFormat="false" ht="15" hidden="false" customHeight="false" outlineLevel="0" collapsed="false">
      <c r="G928" s="19" t="n">
        <f aca="false">IF($C928="",0,$C928+$D928)</f>
        <v>0</v>
      </c>
      <c r="H928" s="19" t="str">
        <f aca="false">IF($B928="","",CONCATENATE("Örnek borç: ",$B928))</f>
        <v/>
      </c>
    </row>
    <row r="929" customFormat="false" ht="15" hidden="false" customHeight="false" outlineLevel="0" collapsed="false">
      <c r="G929" s="19" t="n">
        <f aca="false">IF($C929="",0,$C929+$D929)</f>
        <v>0</v>
      </c>
      <c r="H929" s="19" t="str">
        <f aca="false">IF($B929="","",CONCATENATE("Örnek borç: ",$B929))</f>
        <v/>
      </c>
    </row>
    <row r="930" customFormat="false" ht="15" hidden="false" customHeight="false" outlineLevel="0" collapsed="false">
      <c r="G930" s="19" t="n">
        <f aca="false">IF($C930="",0,$C930+$D930)</f>
        <v>0</v>
      </c>
      <c r="H930" s="19" t="str">
        <f aca="false">IF($B930="","",CONCATENATE("Örnek borç: ",$B930))</f>
        <v/>
      </c>
    </row>
    <row r="931" customFormat="false" ht="15" hidden="false" customHeight="false" outlineLevel="0" collapsed="false">
      <c r="G931" s="19" t="n">
        <f aca="false">IF($C931="",0,$C931+$D931)</f>
        <v>0</v>
      </c>
      <c r="H931" s="19" t="str">
        <f aca="false">IF($B931="","",CONCATENATE("Örnek borç: ",$B931))</f>
        <v/>
      </c>
    </row>
    <row r="932" customFormat="false" ht="15" hidden="false" customHeight="false" outlineLevel="0" collapsed="false">
      <c r="G932" s="19" t="n">
        <f aca="false">IF($C932="",0,$C932+$D932)</f>
        <v>0</v>
      </c>
      <c r="H932" s="19" t="str">
        <f aca="false">IF($B932="","",CONCATENATE("Örnek borç: ",$B932))</f>
        <v/>
      </c>
    </row>
    <row r="933" customFormat="false" ht="15" hidden="false" customHeight="false" outlineLevel="0" collapsed="false">
      <c r="G933" s="19" t="n">
        <f aca="false">IF($C933="",0,$C933+$D933)</f>
        <v>0</v>
      </c>
      <c r="H933" s="19" t="str">
        <f aca="false">IF($B933="","",CONCATENATE("Örnek borç: ",$B933))</f>
        <v/>
      </c>
    </row>
    <row r="934" customFormat="false" ht="15" hidden="false" customHeight="false" outlineLevel="0" collapsed="false">
      <c r="G934" s="19" t="n">
        <f aca="false">IF($C934="",0,$C934+$D934)</f>
        <v>0</v>
      </c>
      <c r="H934" s="19" t="str">
        <f aca="false">IF($B934="","",CONCATENATE("Örnek borç: ",$B934))</f>
        <v/>
      </c>
    </row>
    <row r="935" customFormat="false" ht="15" hidden="false" customHeight="false" outlineLevel="0" collapsed="false">
      <c r="G935" s="19" t="n">
        <f aca="false">IF($C935="",0,$C935+$D935)</f>
        <v>0</v>
      </c>
      <c r="H935" s="19" t="str">
        <f aca="false">IF($B935="","",CONCATENATE("Örnek borç: ",$B935))</f>
        <v/>
      </c>
    </row>
    <row r="936" customFormat="false" ht="15" hidden="false" customHeight="false" outlineLevel="0" collapsed="false">
      <c r="G936" s="19" t="n">
        <f aca="false">IF($C936="",0,$C936+$D936)</f>
        <v>0</v>
      </c>
      <c r="H936" s="19" t="str">
        <f aca="false">IF($B936="","",CONCATENATE("Örnek borç: ",$B936))</f>
        <v/>
      </c>
    </row>
    <row r="937" customFormat="false" ht="15" hidden="false" customHeight="false" outlineLevel="0" collapsed="false">
      <c r="G937" s="19" t="n">
        <f aca="false">IF($C937="",0,$C937+$D937)</f>
        <v>0</v>
      </c>
      <c r="H937" s="19" t="str">
        <f aca="false">IF($B937="","",CONCATENATE("Örnek borç: ",$B937))</f>
        <v/>
      </c>
    </row>
    <row r="938" customFormat="false" ht="15" hidden="false" customHeight="false" outlineLevel="0" collapsed="false">
      <c r="G938" s="19" t="n">
        <f aca="false">IF($C938="",0,$C938+$D938)</f>
        <v>0</v>
      </c>
      <c r="H938" s="19" t="str">
        <f aca="false">IF($B938="","",CONCATENATE("Örnek borç: ",$B938))</f>
        <v/>
      </c>
    </row>
    <row r="939" customFormat="false" ht="15" hidden="false" customHeight="false" outlineLevel="0" collapsed="false">
      <c r="G939" s="19" t="n">
        <f aca="false">IF($C939="",0,$C939+$D939)</f>
        <v>0</v>
      </c>
      <c r="H939" s="19" t="str">
        <f aca="false">IF($B939="","",CONCATENATE("Örnek borç: ",$B939))</f>
        <v/>
      </c>
    </row>
    <row r="940" customFormat="false" ht="15" hidden="false" customHeight="false" outlineLevel="0" collapsed="false">
      <c r="G940" s="19" t="n">
        <f aca="false">IF($C940="",0,$C940+$D940)</f>
        <v>0</v>
      </c>
      <c r="H940" s="19" t="str">
        <f aca="false">IF($B940="","",CONCATENATE("Örnek borç: ",$B940))</f>
        <v/>
      </c>
    </row>
    <row r="941" customFormat="false" ht="15" hidden="false" customHeight="false" outlineLevel="0" collapsed="false">
      <c r="G941" s="19" t="n">
        <f aca="false">IF($C941="",0,$C941+$D941)</f>
        <v>0</v>
      </c>
      <c r="H941" s="19" t="str">
        <f aca="false">IF($B941="","",CONCATENATE("Örnek borç: ",$B941))</f>
        <v/>
      </c>
    </row>
    <row r="942" customFormat="false" ht="15" hidden="false" customHeight="false" outlineLevel="0" collapsed="false">
      <c r="G942" s="19" t="n">
        <f aca="false">IF($C942="",0,$C942+$D942)</f>
        <v>0</v>
      </c>
      <c r="H942" s="19" t="str">
        <f aca="false">IF($B942="","",CONCATENATE("Örnek borç: ",$B942))</f>
        <v/>
      </c>
    </row>
    <row r="943" customFormat="false" ht="15" hidden="false" customHeight="false" outlineLevel="0" collapsed="false">
      <c r="G943" s="19" t="n">
        <f aca="false">IF($C943="",0,$C943+$D943)</f>
        <v>0</v>
      </c>
      <c r="H943" s="19" t="str">
        <f aca="false">IF($B943="","",CONCATENATE("Örnek borç: ",$B943))</f>
        <v/>
      </c>
    </row>
    <row r="944" customFormat="false" ht="15" hidden="false" customHeight="false" outlineLevel="0" collapsed="false">
      <c r="G944" s="19" t="n">
        <f aca="false">IF($C944="",0,$C944+$D944)</f>
        <v>0</v>
      </c>
      <c r="H944" s="19" t="str">
        <f aca="false">IF($B944="","",CONCATENATE("Örnek borç: ",$B944))</f>
        <v/>
      </c>
    </row>
    <row r="945" customFormat="false" ht="15" hidden="false" customHeight="false" outlineLevel="0" collapsed="false">
      <c r="G945" s="19" t="n">
        <f aca="false">IF($C945="",0,$C945+$D945)</f>
        <v>0</v>
      </c>
      <c r="H945" s="19" t="str">
        <f aca="false">IF($B945="","",CONCATENATE("Örnek borç: ",$B945))</f>
        <v/>
      </c>
    </row>
    <row r="946" customFormat="false" ht="15" hidden="false" customHeight="false" outlineLevel="0" collapsed="false">
      <c r="G946" s="19" t="n">
        <f aca="false">IF($C946="",0,$C946+$D946)</f>
        <v>0</v>
      </c>
      <c r="H946" s="19" t="str">
        <f aca="false">IF($B946="","",CONCATENATE("Örnek borç: ",$B946))</f>
        <v/>
      </c>
    </row>
    <row r="947" customFormat="false" ht="15" hidden="false" customHeight="false" outlineLevel="0" collapsed="false">
      <c r="G947" s="19" t="n">
        <f aca="false">IF($C947="",0,$C947+$D947)</f>
        <v>0</v>
      </c>
      <c r="H947" s="19" t="str">
        <f aca="false">IF($B947="","",CONCATENATE("Örnek borç: ",$B947))</f>
        <v/>
      </c>
    </row>
    <row r="948" customFormat="false" ht="15" hidden="false" customHeight="false" outlineLevel="0" collapsed="false">
      <c r="G948" s="19" t="n">
        <f aca="false">IF($C948="",0,$C948+$D948)</f>
        <v>0</v>
      </c>
      <c r="H948" s="19" t="str">
        <f aca="false">IF($B948="","",CONCATENATE("Örnek borç: ",$B948))</f>
        <v/>
      </c>
    </row>
    <row r="949" customFormat="false" ht="15" hidden="false" customHeight="false" outlineLevel="0" collapsed="false">
      <c r="G949" s="19" t="n">
        <f aca="false">IF($C949="",0,$C949+$D949)</f>
        <v>0</v>
      </c>
      <c r="H949" s="19" t="str">
        <f aca="false">IF($B949="","",CONCATENATE("Örnek borç: ",$B949))</f>
        <v/>
      </c>
    </row>
    <row r="950" customFormat="false" ht="15" hidden="false" customHeight="false" outlineLevel="0" collapsed="false">
      <c r="G950" s="19" t="n">
        <f aca="false">IF($C950="",0,$C950+$D950)</f>
        <v>0</v>
      </c>
      <c r="H950" s="19" t="str">
        <f aca="false">IF($B950="","",CONCATENATE("Örnek borç: ",$B950))</f>
        <v/>
      </c>
    </row>
    <row r="951" customFormat="false" ht="15" hidden="false" customHeight="false" outlineLevel="0" collapsed="false">
      <c r="G951" s="19" t="n">
        <f aca="false">IF($C951="",0,$C951+$D951)</f>
        <v>0</v>
      </c>
      <c r="H951" s="19" t="str">
        <f aca="false">IF($B951="","",CONCATENATE("Örnek borç: ",$B951))</f>
        <v/>
      </c>
    </row>
    <row r="952" customFormat="false" ht="15" hidden="false" customHeight="false" outlineLevel="0" collapsed="false">
      <c r="G952" s="19" t="n">
        <f aca="false">IF($C952="",0,$C952+$D952)</f>
        <v>0</v>
      </c>
      <c r="H952" s="19" t="str">
        <f aca="false">IF($B952="","",CONCATENATE("Örnek borç: ",$B952))</f>
        <v/>
      </c>
    </row>
    <row r="953" customFormat="false" ht="15" hidden="false" customHeight="false" outlineLevel="0" collapsed="false">
      <c r="G953" s="19" t="n">
        <f aca="false">IF($C953="",0,$C953+$D953)</f>
        <v>0</v>
      </c>
      <c r="H953" s="19" t="str">
        <f aca="false">IF($B953="","",CONCATENATE("Örnek borç: ",$B953))</f>
        <v/>
      </c>
    </row>
    <row r="954" customFormat="false" ht="15" hidden="false" customHeight="false" outlineLevel="0" collapsed="false">
      <c r="G954" s="19" t="n">
        <f aca="false">IF($C954="",0,$C954+$D954)</f>
        <v>0</v>
      </c>
      <c r="H954" s="19" t="str">
        <f aca="false">IF($B954="","",CONCATENATE("Örnek borç: ",$B954))</f>
        <v/>
      </c>
    </row>
    <row r="955" customFormat="false" ht="15" hidden="false" customHeight="false" outlineLevel="0" collapsed="false">
      <c r="G955" s="19" t="n">
        <f aca="false">IF($C955="",0,$C955+$D955)</f>
        <v>0</v>
      </c>
      <c r="H955" s="19" t="str">
        <f aca="false">IF($B955="","",CONCATENATE("Örnek borç: ",$B955))</f>
        <v/>
      </c>
    </row>
    <row r="956" customFormat="false" ht="15" hidden="false" customHeight="false" outlineLevel="0" collapsed="false">
      <c r="G956" s="19" t="n">
        <f aca="false">IF($C956="",0,$C956+$D956)</f>
        <v>0</v>
      </c>
      <c r="H956" s="19" t="str">
        <f aca="false">IF($B956="","",CONCATENATE("Örnek borç: ",$B956))</f>
        <v/>
      </c>
    </row>
    <row r="957" customFormat="false" ht="15" hidden="false" customHeight="false" outlineLevel="0" collapsed="false">
      <c r="G957" s="19" t="n">
        <f aca="false">IF($C957="",0,$C957+$D957)</f>
        <v>0</v>
      </c>
      <c r="H957" s="19" t="str">
        <f aca="false">IF($B957="","",CONCATENATE("Örnek borç: ",$B957))</f>
        <v/>
      </c>
    </row>
    <row r="958" customFormat="false" ht="15" hidden="false" customHeight="false" outlineLevel="0" collapsed="false">
      <c r="G958" s="19" t="n">
        <f aca="false">IF($C958="",0,$C958+$D958)</f>
        <v>0</v>
      </c>
      <c r="H958" s="19" t="str">
        <f aca="false">IF($B958="","",CONCATENATE("Örnek borç: ",$B958))</f>
        <v/>
      </c>
    </row>
    <row r="959" customFormat="false" ht="15" hidden="false" customHeight="false" outlineLevel="0" collapsed="false">
      <c r="G959" s="19" t="n">
        <f aca="false">IF($C959="",0,$C959+$D959)</f>
        <v>0</v>
      </c>
      <c r="H959" s="19" t="str">
        <f aca="false">IF($B959="","",CONCATENATE("Örnek borç: ",$B959))</f>
        <v/>
      </c>
    </row>
    <row r="960" customFormat="false" ht="15" hidden="false" customHeight="false" outlineLevel="0" collapsed="false">
      <c r="G960" s="19" t="n">
        <f aca="false">IF($C960="",0,$C960+$D960)</f>
        <v>0</v>
      </c>
      <c r="H960" s="19" t="str">
        <f aca="false">IF($B960="","",CONCATENATE("Örnek borç: ",$B960))</f>
        <v/>
      </c>
    </row>
    <row r="961" customFormat="false" ht="15" hidden="false" customHeight="false" outlineLevel="0" collapsed="false">
      <c r="G961" s="19" t="n">
        <f aca="false">IF($C961="",0,$C961+$D961)</f>
        <v>0</v>
      </c>
      <c r="H961" s="19" t="str">
        <f aca="false">IF($B961="","",CONCATENATE("Örnek borç: ",$B961))</f>
        <v/>
      </c>
    </row>
    <row r="962" customFormat="false" ht="15" hidden="false" customHeight="false" outlineLevel="0" collapsed="false">
      <c r="G962" s="19" t="n">
        <f aca="false">IF($C962="",0,$C962+$D962)</f>
        <v>0</v>
      </c>
      <c r="H962" s="19" t="str">
        <f aca="false">IF($B962="","",CONCATENATE("Örnek borç: ",$B962))</f>
        <v/>
      </c>
    </row>
    <row r="963" customFormat="false" ht="15" hidden="false" customHeight="false" outlineLevel="0" collapsed="false">
      <c r="G963" s="19" t="n">
        <f aca="false">IF($C963="",0,$C963+$D963)</f>
        <v>0</v>
      </c>
      <c r="H963" s="19" t="str">
        <f aca="false">IF($B963="","",CONCATENATE("Örnek borç: ",$B963))</f>
        <v/>
      </c>
    </row>
    <row r="964" customFormat="false" ht="15" hidden="false" customHeight="false" outlineLevel="0" collapsed="false">
      <c r="G964" s="19" t="n">
        <f aca="false">IF($C964="",0,$C964+$D964)</f>
        <v>0</v>
      </c>
      <c r="H964" s="19" t="str">
        <f aca="false">IF($B964="","",CONCATENATE("Örnek borç: ",$B964))</f>
        <v/>
      </c>
    </row>
    <row r="965" customFormat="false" ht="15" hidden="false" customHeight="false" outlineLevel="0" collapsed="false">
      <c r="G965" s="19" t="n">
        <f aca="false">IF($C965="",0,$C965+$D965)</f>
        <v>0</v>
      </c>
      <c r="H965" s="19" t="str">
        <f aca="false">IF($B965="","",CONCATENATE("Örnek borç: ",$B965))</f>
        <v/>
      </c>
    </row>
    <row r="966" customFormat="false" ht="15" hidden="false" customHeight="false" outlineLevel="0" collapsed="false">
      <c r="G966" s="19" t="n">
        <f aca="false">IF($C966="",0,$C966+$D966)</f>
        <v>0</v>
      </c>
      <c r="H966" s="19" t="str">
        <f aca="false">IF($B966="","",CONCATENATE("Örnek borç: ",$B966))</f>
        <v/>
      </c>
    </row>
    <row r="967" customFormat="false" ht="15" hidden="false" customHeight="false" outlineLevel="0" collapsed="false">
      <c r="G967" s="19" t="n">
        <f aca="false">IF($C967="",0,$C967+$D967)</f>
        <v>0</v>
      </c>
      <c r="H967" s="19" t="str">
        <f aca="false">IF($B967="","",CONCATENATE("Örnek borç: ",$B967))</f>
        <v/>
      </c>
    </row>
    <row r="968" customFormat="false" ht="15" hidden="false" customHeight="false" outlineLevel="0" collapsed="false">
      <c r="G968" s="19" t="n">
        <f aca="false">IF($C968="",0,$C968+$D968)</f>
        <v>0</v>
      </c>
      <c r="H968" s="19" t="str">
        <f aca="false">IF($B968="","",CONCATENATE("Örnek borç: ",$B968))</f>
        <v/>
      </c>
    </row>
    <row r="969" customFormat="false" ht="15" hidden="false" customHeight="false" outlineLevel="0" collapsed="false">
      <c r="G969" s="19" t="n">
        <f aca="false">IF($C969="",0,$C969+$D969)</f>
        <v>0</v>
      </c>
      <c r="H969" s="19" t="str">
        <f aca="false">IF($B969="","",CONCATENATE("Örnek borç: ",$B969))</f>
        <v/>
      </c>
    </row>
    <row r="970" customFormat="false" ht="15" hidden="false" customHeight="false" outlineLevel="0" collapsed="false">
      <c r="G970" s="19" t="n">
        <f aca="false">IF($C970="",0,$C970+$D970)</f>
        <v>0</v>
      </c>
      <c r="H970" s="19" t="str">
        <f aca="false">IF($B970="","",CONCATENATE("Örnek borç: ",$B970))</f>
        <v/>
      </c>
    </row>
    <row r="971" customFormat="false" ht="15" hidden="false" customHeight="false" outlineLevel="0" collapsed="false">
      <c r="G971" s="19" t="n">
        <f aca="false">IF($C971="",0,$C971+$D971)</f>
        <v>0</v>
      </c>
      <c r="H971" s="19" t="str">
        <f aca="false">IF($B971="","",CONCATENATE("Örnek borç: ",$B971))</f>
        <v/>
      </c>
    </row>
    <row r="972" customFormat="false" ht="15" hidden="false" customHeight="false" outlineLevel="0" collapsed="false">
      <c r="G972" s="19" t="n">
        <f aca="false">IF($C972="",0,$C972+$D972)</f>
        <v>0</v>
      </c>
      <c r="H972" s="19" t="str">
        <f aca="false">IF($B972="","",CONCATENATE("Örnek borç: ",$B972))</f>
        <v/>
      </c>
    </row>
    <row r="973" customFormat="false" ht="15" hidden="false" customHeight="false" outlineLevel="0" collapsed="false">
      <c r="G973" s="19" t="n">
        <f aca="false">IF($C973="",0,$C973+$D973)</f>
        <v>0</v>
      </c>
      <c r="H973" s="19" t="str">
        <f aca="false">IF($B973="","",CONCATENATE("Örnek borç: ",$B973))</f>
        <v/>
      </c>
    </row>
    <row r="974" customFormat="false" ht="15" hidden="false" customHeight="false" outlineLevel="0" collapsed="false">
      <c r="G974" s="19" t="n">
        <f aca="false">IF($C974="",0,$C974+$D974)</f>
        <v>0</v>
      </c>
      <c r="H974" s="19" t="str">
        <f aca="false">IF($B974="","",CONCATENATE("Örnek borç: ",$B974))</f>
        <v/>
      </c>
    </row>
    <row r="975" customFormat="false" ht="15" hidden="false" customHeight="false" outlineLevel="0" collapsed="false">
      <c r="G975" s="19" t="n">
        <f aca="false">IF($C975="",0,$C975+$D975)</f>
        <v>0</v>
      </c>
      <c r="H975" s="19" t="str">
        <f aca="false">IF($B975="","",CONCATENATE("Örnek borç: ",$B975))</f>
        <v/>
      </c>
    </row>
    <row r="976" customFormat="false" ht="15" hidden="false" customHeight="false" outlineLevel="0" collapsed="false">
      <c r="G976" s="19" t="n">
        <f aca="false">IF($C976="",0,$C976+$D976)</f>
        <v>0</v>
      </c>
      <c r="H976" s="19" t="str">
        <f aca="false">IF($B976="","",CONCATENATE("Örnek borç: ",$B976))</f>
        <v/>
      </c>
    </row>
    <row r="977" customFormat="false" ht="15" hidden="false" customHeight="false" outlineLevel="0" collapsed="false">
      <c r="G977" s="19" t="n">
        <f aca="false">IF($C977="",0,$C977+$D977)</f>
        <v>0</v>
      </c>
      <c r="H977" s="19" t="str">
        <f aca="false">IF($B977="","",CONCATENATE("Örnek borç: ",$B977))</f>
        <v/>
      </c>
    </row>
    <row r="978" customFormat="false" ht="15" hidden="false" customHeight="false" outlineLevel="0" collapsed="false">
      <c r="G978" s="19" t="n">
        <f aca="false">IF($C978="",0,$C978+$D978)</f>
        <v>0</v>
      </c>
      <c r="H978" s="19" t="str">
        <f aca="false">IF($B978="","",CONCATENATE("Örnek borç: ",$B978))</f>
        <v/>
      </c>
    </row>
    <row r="979" customFormat="false" ht="15" hidden="false" customHeight="false" outlineLevel="0" collapsed="false">
      <c r="G979" s="19" t="n">
        <f aca="false">IF($C979="",0,$C979+$D979)</f>
        <v>0</v>
      </c>
      <c r="H979" s="19" t="str">
        <f aca="false">IF($B979="","",CONCATENATE("Örnek borç: ",$B979))</f>
        <v/>
      </c>
    </row>
    <row r="980" customFormat="false" ht="15" hidden="false" customHeight="false" outlineLevel="0" collapsed="false">
      <c r="G980" s="19" t="n">
        <f aca="false">IF($C980="",0,$C980+$D980)</f>
        <v>0</v>
      </c>
      <c r="H980" s="19" t="str">
        <f aca="false">IF($B980="","",CONCATENATE("Örnek borç: ",$B980))</f>
        <v/>
      </c>
    </row>
    <row r="981" customFormat="false" ht="15" hidden="false" customHeight="false" outlineLevel="0" collapsed="false">
      <c r="G981" s="19" t="n">
        <f aca="false">IF($C981="",0,$C981+$D981)</f>
        <v>0</v>
      </c>
      <c r="H981" s="19" t="str">
        <f aca="false">IF($B981="","",CONCATENATE("Örnek borç: ",$B981))</f>
        <v/>
      </c>
    </row>
    <row r="982" customFormat="false" ht="15" hidden="false" customHeight="false" outlineLevel="0" collapsed="false">
      <c r="G982" s="19" t="n">
        <f aca="false">IF($C982="",0,$C982+$D982)</f>
        <v>0</v>
      </c>
      <c r="H982" s="19" t="str">
        <f aca="false">IF($B982="","",CONCATENATE("Örnek borç: ",$B982))</f>
        <v/>
      </c>
    </row>
    <row r="983" customFormat="false" ht="15" hidden="false" customHeight="false" outlineLevel="0" collapsed="false">
      <c r="G983" s="19" t="n">
        <f aca="false">IF($C983="",0,$C983+$D983)</f>
        <v>0</v>
      </c>
      <c r="H983" s="19" t="str">
        <f aca="false">IF($B983="","",CONCATENATE("Örnek borç: ",$B983))</f>
        <v/>
      </c>
    </row>
    <row r="984" customFormat="false" ht="15" hidden="false" customHeight="false" outlineLevel="0" collapsed="false">
      <c r="G984" s="19" t="n">
        <f aca="false">IF($C984="",0,$C984+$D984)</f>
        <v>0</v>
      </c>
      <c r="H984" s="19" t="str">
        <f aca="false">IF($B984="","",CONCATENATE("Örnek borç: ",$B984))</f>
        <v/>
      </c>
    </row>
    <row r="985" customFormat="false" ht="15" hidden="false" customHeight="false" outlineLevel="0" collapsed="false">
      <c r="G985" s="19" t="n">
        <f aca="false">IF($C985="",0,$C985+$D985)</f>
        <v>0</v>
      </c>
      <c r="H985" s="19" t="str">
        <f aca="false">IF($B985="","",CONCATENATE("Örnek borç: ",$B985))</f>
        <v/>
      </c>
    </row>
    <row r="986" customFormat="false" ht="15" hidden="false" customHeight="false" outlineLevel="0" collapsed="false">
      <c r="G986" s="19" t="n">
        <f aca="false">IF($C986="",0,$C986+$D986)</f>
        <v>0</v>
      </c>
      <c r="H986" s="19" t="str">
        <f aca="false">IF($B986="","",CONCATENATE("Örnek borç: ",$B986))</f>
        <v/>
      </c>
    </row>
    <row r="987" customFormat="false" ht="15" hidden="false" customHeight="false" outlineLevel="0" collapsed="false">
      <c r="G987" s="19" t="n">
        <f aca="false">IF($C987="",0,$C987+$D987)</f>
        <v>0</v>
      </c>
      <c r="H987" s="19" t="str">
        <f aca="false">IF($B987="","",CONCATENATE("Örnek borç: ",$B987))</f>
        <v/>
      </c>
    </row>
    <row r="988" customFormat="false" ht="15" hidden="false" customHeight="false" outlineLevel="0" collapsed="false">
      <c r="G988" s="19" t="n">
        <f aca="false">IF($C988="",0,$C988+$D988)</f>
        <v>0</v>
      </c>
      <c r="H988" s="19" t="str">
        <f aca="false">IF($B988="","",CONCATENATE("Örnek borç: ",$B988))</f>
        <v/>
      </c>
    </row>
    <row r="989" customFormat="false" ht="15" hidden="false" customHeight="false" outlineLevel="0" collapsed="false">
      <c r="G989" s="19" t="n">
        <f aca="false">IF($C989="",0,$C989+$D989)</f>
        <v>0</v>
      </c>
      <c r="H989" s="19" t="str">
        <f aca="false">IF($B989="","",CONCATENATE("Örnek borç: ",$B989))</f>
        <v/>
      </c>
    </row>
    <row r="990" customFormat="false" ht="15" hidden="false" customHeight="false" outlineLevel="0" collapsed="false">
      <c r="G990" s="19" t="n">
        <f aca="false">IF($C990="",0,$C990+$D990)</f>
        <v>0</v>
      </c>
      <c r="H990" s="19" t="str">
        <f aca="false">IF($B990="","",CONCATENATE("Örnek borç: ",$B990))</f>
        <v/>
      </c>
    </row>
    <row r="991" customFormat="false" ht="15" hidden="false" customHeight="false" outlineLevel="0" collapsed="false">
      <c r="G991" s="19" t="n">
        <f aca="false">IF($C991="",0,$C991+$D991)</f>
        <v>0</v>
      </c>
      <c r="H991" s="19" t="str">
        <f aca="false">IF($B991="","",CONCATENATE("Örnek borç: ",$B991))</f>
        <v/>
      </c>
    </row>
    <row r="992" customFormat="false" ht="15" hidden="false" customHeight="false" outlineLevel="0" collapsed="false">
      <c r="G992" s="19" t="n">
        <f aca="false">IF($C992="",0,$C992+$D992)</f>
        <v>0</v>
      </c>
      <c r="H992" s="19" t="str">
        <f aca="false">IF($B992="","",CONCATENATE("Örnek borç: ",$B992))</f>
        <v/>
      </c>
    </row>
    <row r="993" customFormat="false" ht="15" hidden="false" customHeight="false" outlineLevel="0" collapsed="false">
      <c r="G993" s="19" t="n">
        <f aca="false">IF($C993="",0,$C993+$D993)</f>
        <v>0</v>
      </c>
      <c r="H993" s="19" t="str">
        <f aca="false">IF($B993="","",CONCATENATE("Örnek borç: ",$B993))</f>
        <v/>
      </c>
    </row>
    <row r="994" customFormat="false" ht="15" hidden="false" customHeight="false" outlineLevel="0" collapsed="false">
      <c r="G994" s="19" t="n">
        <f aca="false">IF($C994="",0,$C994+$D994)</f>
        <v>0</v>
      </c>
      <c r="H994" s="19" t="str">
        <f aca="false">IF($B994="","",CONCATENATE("Örnek borç: ",$B994))</f>
        <v/>
      </c>
    </row>
    <row r="995" customFormat="false" ht="15" hidden="false" customHeight="false" outlineLevel="0" collapsed="false">
      <c r="G995" s="19" t="n">
        <f aca="false">IF($C995="",0,$C995+$D995)</f>
        <v>0</v>
      </c>
      <c r="H995" s="19" t="str">
        <f aca="false">IF($B995="","",CONCATENATE("Örnek borç: ",$B995))</f>
        <v/>
      </c>
    </row>
    <row r="996" customFormat="false" ht="15" hidden="false" customHeight="false" outlineLevel="0" collapsed="false">
      <c r="G996" s="19" t="n">
        <f aca="false">IF($C996="",0,$C996+$D996)</f>
        <v>0</v>
      </c>
      <c r="H996" s="19" t="str">
        <f aca="false">IF($B996="","",CONCATENATE("Örnek borç: ",$B996))</f>
        <v/>
      </c>
    </row>
    <row r="997" customFormat="false" ht="15" hidden="false" customHeight="false" outlineLevel="0" collapsed="false">
      <c r="G997" s="19" t="n">
        <f aca="false">IF($C997="",0,$C997+$D997)</f>
        <v>0</v>
      </c>
      <c r="H997" s="19" t="str">
        <f aca="false">IF($B997="","",CONCATENATE("Örnek borç: ",$B997))</f>
        <v/>
      </c>
    </row>
    <row r="998" customFormat="false" ht="15" hidden="false" customHeight="false" outlineLevel="0" collapsed="false">
      <c r="G998" s="19" t="n">
        <f aca="false">IF($C998="",0,$C998+$D998)</f>
        <v>0</v>
      </c>
      <c r="H998" s="19" t="str">
        <f aca="false">IF($B998="","",CONCATENATE("Örnek borç: ",$B998))</f>
        <v/>
      </c>
    </row>
    <row r="999" customFormat="false" ht="15" hidden="false" customHeight="false" outlineLevel="0" collapsed="false">
      <c r="G999" s="19" t="n">
        <f aca="false">IF($C999="",0,$C999+$D999)</f>
        <v>0</v>
      </c>
      <c r="H999" s="19" t="str">
        <f aca="false">IF($B999="","",CONCATENATE("Örnek borç: ",$B999))</f>
        <v/>
      </c>
    </row>
    <row r="1000" customFormat="false" ht="15" hidden="false" customHeight="false" outlineLevel="0" collapsed="false">
      <c r="G1000" s="19" t="n">
        <f aca="false">IF($C1000="",0,$C1000+$D1000)</f>
        <v>0</v>
      </c>
      <c r="H1000" s="19" t="str">
        <f aca="false">IF($B1000="","",CONCATENATE("Örnek borç: ",$B1000))</f>
        <v/>
      </c>
    </row>
    <row r="1001" customFormat="false" ht="15" hidden="false" customHeight="false" outlineLevel="0" collapsed="false">
      <c r="G1001" s="19" t="n">
        <f aca="false">IF($C1001="",0,$C1001+$D1001)</f>
        <v>0</v>
      </c>
      <c r="H1001" s="19" t="str">
        <f aca="false">IF($B1001="","",CONCATENATE("Örnek borç: ",$B1001))</f>
        <v/>
      </c>
    </row>
    <row r="1002" customFormat="false" ht="15" hidden="false" customHeight="false" outlineLevel="0" collapsed="false">
      <c r="G1002" s="19" t="n">
        <f aca="false">IF($C1002="",0,$C1002+$D1002)</f>
        <v>0</v>
      </c>
      <c r="H1002" s="19" t="str">
        <f aca="false">IF($B1002="","",CONCATENATE("Örnek borç: ",$B1002))</f>
        <v/>
      </c>
    </row>
    <row r="1003" customFormat="false" ht="15" hidden="false" customHeight="false" outlineLevel="0" collapsed="false">
      <c r="G1003" s="19" t="n">
        <f aca="false">IF($C1003="",0,$C1003+$D1003)</f>
        <v>0</v>
      </c>
      <c r="H1003" s="19" t="str">
        <f aca="false">IF($B1003="","",CONCATENATE("Örnek borç: ",$B1003))</f>
        <v/>
      </c>
    </row>
    <row r="1004" customFormat="false" ht="15" hidden="false" customHeight="false" outlineLevel="0" collapsed="false">
      <c r="G1004" s="19" t="n">
        <f aca="false">IF($C1004="",0,$C1004+$D1004)</f>
        <v>0</v>
      </c>
      <c r="H1004" s="19" t="str">
        <f aca="false">IF($B1004="","",CONCATENATE("Örnek borç: ",$B1004))</f>
        <v/>
      </c>
    </row>
    <row r="1006" customFormat="false" ht="19.5" hidden="false" customHeight="true" outlineLevel="0" collapsed="false">
      <c r="A1006" s="24" t="s">
        <v>213</v>
      </c>
      <c r="B1006" s="24"/>
      <c r="C1006" s="24"/>
      <c r="D1006" s="24"/>
      <c r="E1006" s="24"/>
      <c r="F1006" s="24"/>
      <c r="G1006" s="24"/>
      <c r="H1006" s="24"/>
      <c r="I1006" s="24"/>
      <c r="J1006" s="24"/>
      <c r="K1006" s="24"/>
      <c r="L1006" s="24"/>
      <c r="M1006" s="24"/>
      <c r="N1006" s="24"/>
      <c r="O1006" s="24"/>
      <c r="P1006" s="24"/>
      <c r="Q1006" s="24"/>
      <c r="R1006" s="24"/>
      <c r="S1006" s="24"/>
      <c r="T1006" s="24"/>
      <c r="U1006" s="24"/>
      <c r="V1006" s="24"/>
      <c r="W1006" s="24"/>
      <c r="X1006" s="24"/>
      <c r="Y1006" s="24"/>
      <c r="Z1006" s="24"/>
      <c r="AA1006" s="24"/>
      <c r="AB1006" s="24"/>
      <c r="AC1006" s="24"/>
      <c r="AD1006" s="24"/>
      <c r="AE1006" s="24"/>
      <c r="AF1006" s="24"/>
      <c r="AG1006" s="24"/>
      <c r="AH1006" s="24"/>
      <c r="AI1006" s="24"/>
      <c r="AJ1006" s="24"/>
      <c r="AK1006" s="24"/>
      <c r="AL1006" s="24"/>
      <c r="AM1006" s="24"/>
      <c r="AN1006" s="24"/>
    </row>
  </sheetData>
  <sheetProtection sheet="true" password="cc3d" objects="true" scenarios="true" deleteColumns="false" deleteRows="false"/>
  <mergeCells count="2">
    <mergeCell ref="A1:AD1"/>
    <mergeCell ref="A1006:AN100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40"/>
    <col collapsed="false" customWidth="true" hidden="false" outlineLevel="0" max="4" min="4" style="0" width="30"/>
    <col collapsed="false" customWidth="true" hidden="false" outlineLevel="0" max="5" min="5" style="0" width="14"/>
  </cols>
  <sheetData>
    <row r="1" customFormat="false" ht="25.5" hidden="false" customHeight="true" outlineLevel="0" collapsed="false">
      <c r="A1" s="1" t="s">
        <v>214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5" hidden="false" customHeight="false" outlineLevel="0" collapsed="false">
      <c r="A3" s="4" t="s">
        <v>215</v>
      </c>
    </row>
    <row r="4" customFormat="false" ht="30" hidden="false" customHeight="true" outlineLevel="0" collapsed="false">
      <c r="A4" s="14" t="s">
        <v>216</v>
      </c>
      <c r="B4" s="14" t="s">
        <v>217</v>
      </c>
      <c r="C4" s="14" t="s">
        <v>218</v>
      </c>
      <c r="D4" s="14" t="s">
        <v>219</v>
      </c>
      <c r="E4" s="14" t="s">
        <v>220</v>
      </c>
    </row>
    <row r="5" customFormat="false" ht="15" hidden="false" customHeight="false" outlineLevel="0" collapsed="false">
      <c r="A5" s="55" t="s">
        <v>221</v>
      </c>
      <c r="B5" s="55" t="s">
        <v>222</v>
      </c>
      <c r="C5" s="55" t="s">
        <v>223</v>
      </c>
      <c r="D5" s="55" t="s">
        <v>224</v>
      </c>
      <c r="E5" s="55" t="s">
        <v>225</v>
      </c>
    </row>
  </sheetData>
  <sheetProtection sheet="true" password="cc3d" objects="true" scenarios="true" deleteColumns="false" deleteRows="false"/>
  <mergeCells count="1">
    <mergeCell ref="A1:A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</cols>
  <sheetData>
    <row r="1" customFormat="false" ht="25.5" hidden="false" customHeight="true" outlineLevel="0" collapsed="false">
      <c r="A1" s="1" t="s">
        <v>226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5" hidden="false" customHeight="false" outlineLevel="0" collapsed="false">
      <c r="A3" s="4" t="s">
        <v>227</v>
      </c>
    </row>
    <row r="4" customFormat="false" ht="68.65" hidden="false" customHeight="false" outlineLevel="0" collapsed="false">
      <c r="A4" s="13" t="s">
        <v>228</v>
      </c>
    </row>
    <row r="6" customFormat="false" ht="15" hidden="false" customHeight="false" outlineLevel="0" collapsed="false">
      <c r="A6" s="47" t="s">
        <v>35</v>
      </c>
    </row>
    <row r="7" customFormat="false" ht="15" hidden="false" customHeight="false" outlineLevel="0" collapsed="false">
      <c r="A7" s="60" t="s">
        <v>55</v>
      </c>
      <c r="B7" s="47" t="s">
        <v>229</v>
      </c>
    </row>
    <row r="8" customFormat="false" ht="15" hidden="false" customHeight="false" outlineLevel="0" collapsed="false">
      <c r="A8" s="60" t="s">
        <v>49</v>
      </c>
      <c r="B8" s="60" t="s">
        <v>230</v>
      </c>
    </row>
    <row r="9" customFormat="false" ht="15" hidden="false" customHeight="false" outlineLevel="0" collapsed="false">
      <c r="A9" s="60" t="s">
        <v>45</v>
      </c>
      <c r="B9" s="60" t="s">
        <v>231</v>
      </c>
    </row>
    <row r="10" customFormat="false" ht="15" hidden="false" customHeight="false" outlineLevel="0" collapsed="false">
      <c r="A10" s="60" t="s">
        <v>47</v>
      </c>
    </row>
    <row r="11" customFormat="false" ht="15" hidden="false" customHeight="false" outlineLevel="0" collapsed="false">
      <c r="A11" s="60" t="s">
        <v>51</v>
      </c>
    </row>
    <row r="12" customFormat="false" ht="15" hidden="false" customHeight="false" outlineLevel="0" collapsed="false">
      <c r="A12" s="60" t="s">
        <v>53</v>
      </c>
    </row>
    <row r="13" customFormat="false" ht="15" hidden="false" customHeight="false" outlineLevel="0" collapsed="false">
      <c r="A13" s="60" t="s">
        <v>66</v>
      </c>
    </row>
  </sheetData>
  <sheetProtection sheet="true" password="cc3d" objects="true" scenarios="true" deleteColumns="false" deleteRows="false"/>
  <mergeCells count="1">
    <mergeCell ref="A1:A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4"/>
    <col collapsed="false" customWidth="true" hidden="false" outlineLevel="0" max="3" min="3" style="0" width="12"/>
    <col collapsed="false" customWidth="true" hidden="false" outlineLevel="0" max="5" min="4" style="0" width="10"/>
    <col collapsed="false" customWidth="true" hidden="false" outlineLevel="0" max="6" min="6" style="0" width="60"/>
    <col collapsed="false" customWidth="true" hidden="false" outlineLevel="0" max="7" min="7" style="0" width="20"/>
    <col collapsed="false" customWidth="true" hidden="false" outlineLevel="0" max="8" min="8" style="0" width="16"/>
    <col collapsed="false" customWidth="true" hidden="false" outlineLevel="0" max="9" min="9" style="0" width="18"/>
  </cols>
  <sheetData>
    <row r="1" customFormat="false" ht="25.5" hidden="false" customHeight="true" outlineLevel="0" collapsed="false">
      <c r="A1" s="1" t="s">
        <v>232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5" hidden="false" customHeight="false" outlineLevel="0" collapsed="false">
      <c r="A3" s="4" t="s">
        <v>233</v>
      </c>
    </row>
    <row r="4" customFormat="false" ht="55.2" hidden="false" customHeight="false" outlineLevel="0" collapsed="false">
      <c r="A4" s="13" t="s">
        <v>234</v>
      </c>
    </row>
    <row r="6" customFormat="false" ht="30" hidden="false" customHeight="true" outlineLevel="0" collapsed="false">
      <c r="A6" s="14" t="s">
        <v>235</v>
      </c>
      <c r="B6" s="14" t="s">
        <v>236</v>
      </c>
      <c r="C6" s="14" t="s">
        <v>237</v>
      </c>
      <c r="D6" s="14" t="s">
        <v>238</v>
      </c>
      <c r="E6" s="14" t="s">
        <v>239</v>
      </c>
      <c r="F6" s="14" t="s">
        <v>240</v>
      </c>
      <c r="G6" s="14" t="s">
        <v>241</v>
      </c>
      <c r="H6" s="14" t="s">
        <v>242</v>
      </c>
      <c r="I6" s="14" t="s">
        <v>243</v>
      </c>
    </row>
    <row r="7" customFormat="false" ht="25.5" hidden="false" customHeight="true" outlineLevel="0" collapsed="false">
      <c r="A7" s="61" t="s">
        <v>244</v>
      </c>
      <c r="B7" s="62" t="s">
        <v>245</v>
      </c>
      <c r="C7" s="63" t="s">
        <v>246</v>
      </c>
      <c r="D7" s="64"/>
      <c r="E7" s="64"/>
      <c r="F7" s="12" t="s">
        <v>247</v>
      </c>
      <c r="G7" s="63" t="s">
        <v>248</v>
      </c>
      <c r="H7" s="65" t="n">
        <v>45658</v>
      </c>
      <c r="I7" s="65" t="n">
        <v>46244</v>
      </c>
    </row>
    <row r="8" customFormat="false" ht="25.5" hidden="false" customHeight="true" outlineLevel="0" collapsed="false">
      <c r="A8" s="61" t="s">
        <v>249</v>
      </c>
      <c r="B8" s="66" t="n">
        <v>46244</v>
      </c>
      <c r="C8" s="63" t="s">
        <v>216</v>
      </c>
      <c r="D8" s="64"/>
      <c r="E8" s="64"/>
      <c r="F8" s="12" t="s">
        <v>250</v>
      </c>
      <c r="G8" s="63" t="s">
        <v>248</v>
      </c>
      <c r="H8" s="65" t="n">
        <v>45658</v>
      </c>
      <c r="I8" s="65" t="n">
        <v>46244</v>
      </c>
    </row>
    <row r="9" customFormat="false" ht="25.5" hidden="false" customHeight="true" outlineLevel="0" collapsed="false">
      <c r="A9" s="61" t="s">
        <v>251</v>
      </c>
      <c r="B9" s="62" t="s">
        <v>252</v>
      </c>
      <c r="C9" s="63" t="s">
        <v>246</v>
      </c>
      <c r="D9" s="64"/>
      <c r="E9" s="64"/>
      <c r="F9" s="12" t="s">
        <v>253</v>
      </c>
      <c r="G9" s="63" t="s">
        <v>248</v>
      </c>
      <c r="H9" s="65" t="n">
        <v>45658</v>
      </c>
      <c r="I9" s="65" t="n">
        <v>46244</v>
      </c>
    </row>
    <row r="10" customFormat="false" ht="25.5" hidden="false" customHeight="true" outlineLevel="0" collapsed="false">
      <c r="A10" s="61" t="s">
        <v>254</v>
      </c>
      <c r="B10" s="62" t="s">
        <v>222</v>
      </c>
      <c r="C10" s="63" t="s">
        <v>246</v>
      </c>
      <c r="D10" s="64"/>
      <c r="E10" s="64"/>
      <c r="F10" s="12" t="s">
        <v>255</v>
      </c>
      <c r="G10" s="63" t="s">
        <v>248</v>
      </c>
      <c r="H10" s="65" t="n">
        <v>45658</v>
      </c>
      <c r="I10" s="65" t="n">
        <v>46244</v>
      </c>
    </row>
    <row r="11" customFormat="false" ht="25.5" hidden="false" customHeight="true" outlineLevel="0" collapsed="false">
      <c r="A11" s="61" t="s">
        <v>256</v>
      </c>
      <c r="B11" s="67" t="n">
        <v>0.1</v>
      </c>
      <c r="C11" s="63" t="s">
        <v>257</v>
      </c>
      <c r="D11" s="64" t="n">
        <v>0</v>
      </c>
      <c r="E11" s="64" t="n">
        <v>1</v>
      </c>
      <c r="F11" s="12" t="s">
        <v>258</v>
      </c>
      <c r="G11" s="63" t="s">
        <v>259</v>
      </c>
      <c r="H11" s="65" t="n">
        <v>45658</v>
      </c>
      <c r="I11" s="65" t="n">
        <v>46244</v>
      </c>
    </row>
    <row r="12" customFormat="false" ht="25.5" hidden="false" customHeight="true" outlineLevel="0" collapsed="false">
      <c r="A12" s="61" t="s">
        <v>260</v>
      </c>
      <c r="B12" s="68" t="n">
        <v>12</v>
      </c>
      <c r="C12" s="63" t="s">
        <v>261</v>
      </c>
      <c r="D12" s="64" t="n">
        <v>1</v>
      </c>
      <c r="E12" s="64" t="n">
        <v>60</v>
      </c>
      <c r="F12" s="12" t="s">
        <v>262</v>
      </c>
      <c r="G12" s="63" t="s">
        <v>259</v>
      </c>
      <c r="H12" s="65" t="n">
        <v>45658</v>
      </c>
      <c r="I12" s="65" t="n">
        <v>46244</v>
      </c>
    </row>
    <row r="13" customFormat="false" ht="25.5" hidden="false" customHeight="true" outlineLevel="0" collapsed="false">
      <c r="A13" s="61" t="s">
        <v>263</v>
      </c>
      <c r="B13" s="67" t="n">
        <v>0.18</v>
      </c>
      <c r="C13" s="63" t="s">
        <v>257</v>
      </c>
      <c r="D13" s="64" t="n">
        <v>0</v>
      </c>
      <c r="E13" s="64" t="n">
        <v>1</v>
      </c>
      <c r="F13" s="12" t="s">
        <v>264</v>
      </c>
      <c r="G13" s="63" t="s">
        <v>259</v>
      </c>
      <c r="H13" s="65" t="n">
        <v>45658</v>
      </c>
      <c r="I13" s="65" t="n">
        <v>46244</v>
      </c>
    </row>
    <row r="14" customFormat="false" ht="25.5" hidden="false" customHeight="true" outlineLevel="0" collapsed="false">
      <c r="A14" s="61" t="s">
        <v>265</v>
      </c>
      <c r="B14" s="67" t="n">
        <v>0.35</v>
      </c>
      <c r="C14" s="63" t="s">
        <v>257</v>
      </c>
      <c r="D14" s="64" t="n">
        <v>0</v>
      </c>
      <c r="E14" s="64" t="n">
        <v>1</v>
      </c>
      <c r="F14" s="12" t="s">
        <v>266</v>
      </c>
      <c r="G14" s="63" t="s">
        <v>259</v>
      </c>
      <c r="H14" s="65" t="n">
        <v>45658</v>
      </c>
      <c r="I14" s="65" t="n">
        <v>46244</v>
      </c>
    </row>
    <row r="15" customFormat="false" ht="25.5" hidden="false" customHeight="true" outlineLevel="0" collapsed="false">
      <c r="A15" s="61" t="s">
        <v>267</v>
      </c>
      <c r="B15" s="67" t="n">
        <v>0.02</v>
      </c>
      <c r="C15" s="63" t="s">
        <v>257</v>
      </c>
      <c r="D15" s="64" t="n">
        <v>0</v>
      </c>
      <c r="E15" s="64" t="n">
        <v>1</v>
      </c>
      <c r="F15" s="12" t="s">
        <v>268</v>
      </c>
      <c r="G15" s="63" t="s">
        <v>259</v>
      </c>
      <c r="H15" s="65" t="n">
        <v>45658</v>
      </c>
      <c r="I15" s="65" t="n">
        <v>46244</v>
      </c>
    </row>
    <row r="16" customFormat="false" ht="25.5" hidden="false" customHeight="true" outlineLevel="0" collapsed="false">
      <c r="A16" s="61" t="s">
        <v>269</v>
      </c>
      <c r="B16" s="68" t="n">
        <v>12</v>
      </c>
      <c r="C16" s="63" t="s">
        <v>261</v>
      </c>
      <c r="D16" s="64" t="n">
        <v>1</v>
      </c>
      <c r="E16" s="64" t="n">
        <v>60</v>
      </c>
      <c r="F16" s="12" t="s">
        <v>270</v>
      </c>
      <c r="G16" s="63" t="s">
        <v>259</v>
      </c>
      <c r="H16" s="65" t="n">
        <v>45658</v>
      </c>
      <c r="I16" s="65" t="n">
        <v>46244</v>
      </c>
    </row>
    <row r="17" customFormat="false" ht="25.5" hidden="false" customHeight="true" outlineLevel="0" collapsed="false">
      <c r="A17" s="61" t="s">
        <v>271</v>
      </c>
      <c r="B17" s="62" t="s">
        <v>230</v>
      </c>
      <c r="C17" s="63" t="s">
        <v>246</v>
      </c>
      <c r="D17" s="64"/>
      <c r="E17" s="64"/>
      <c r="F17" s="12" t="s">
        <v>272</v>
      </c>
      <c r="G17" s="63" t="s">
        <v>259</v>
      </c>
      <c r="H17" s="65" t="n">
        <v>45658</v>
      </c>
      <c r="I17" s="65" t="n">
        <v>46244</v>
      </c>
    </row>
    <row r="18" customFormat="false" ht="25.5" hidden="false" customHeight="true" outlineLevel="0" collapsed="false">
      <c r="A18" s="61" t="s">
        <v>273</v>
      </c>
      <c r="B18" s="67" t="n">
        <v>0.5</v>
      </c>
      <c r="C18" s="63" t="s">
        <v>257</v>
      </c>
      <c r="D18" s="64" t="n">
        <v>0</v>
      </c>
      <c r="E18" s="64" t="n">
        <v>1</v>
      </c>
      <c r="F18" s="12" t="s">
        <v>274</v>
      </c>
      <c r="G18" s="63" t="s">
        <v>259</v>
      </c>
      <c r="H18" s="65" t="n">
        <v>45658</v>
      </c>
      <c r="I18" s="65" t="n">
        <v>46244</v>
      </c>
    </row>
    <row r="19" customFormat="false" ht="25.5" hidden="false" customHeight="true" outlineLevel="0" collapsed="false">
      <c r="A19" s="61" t="s">
        <v>275</v>
      </c>
      <c r="B19" s="67" t="n">
        <v>0.3</v>
      </c>
      <c r="C19" s="63" t="s">
        <v>257</v>
      </c>
      <c r="D19" s="64" t="n">
        <v>0</v>
      </c>
      <c r="E19" s="64" t="n">
        <v>1</v>
      </c>
      <c r="F19" s="12" t="s">
        <v>276</v>
      </c>
      <c r="G19" s="63" t="s">
        <v>259</v>
      </c>
      <c r="H19" s="65" t="n">
        <v>45658</v>
      </c>
      <c r="I19" s="65" t="n">
        <v>46244</v>
      </c>
    </row>
    <row r="20" customFormat="false" ht="25.5" hidden="false" customHeight="true" outlineLevel="0" collapsed="false">
      <c r="A20" s="61" t="s">
        <v>277</v>
      </c>
      <c r="B20" s="67" t="n">
        <v>0.12</v>
      </c>
      <c r="C20" s="63" t="s">
        <v>257</v>
      </c>
      <c r="D20" s="64" t="n">
        <v>0</v>
      </c>
      <c r="E20" s="64" t="n">
        <v>1</v>
      </c>
      <c r="F20" s="12" t="s">
        <v>278</v>
      </c>
      <c r="G20" s="63" t="s">
        <v>259</v>
      </c>
      <c r="H20" s="65" t="n">
        <v>45658</v>
      </c>
      <c r="I20" s="65" t="n">
        <v>46244</v>
      </c>
    </row>
    <row r="21" customFormat="false" ht="25.5" hidden="false" customHeight="true" outlineLevel="0" collapsed="false">
      <c r="A21" s="61" t="s">
        <v>279</v>
      </c>
      <c r="B21" s="67" t="n">
        <v>0.18</v>
      </c>
      <c r="C21" s="63" t="s">
        <v>257</v>
      </c>
      <c r="D21" s="64" t="n">
        <v>0</v>
      </c>
      <c r="E21" s="64" t="n">
        <v>1</v>
      </c>
      <c r="F21" s="12" t="s">
        <v>280</v>
      </c>
      <c r="G21" s="63" t="s">
        <v>259</v>
      </c>
      <c r="H21" s="65" t="n">
        <v>45658</v>
      </c>
      <c r="I21" s="65" t="n">
        <v>46244</v>
      </c>
    </row>
    <row r="22" customFormat="false" ht="25.5" hidden="false" customHeight="true" outlineLevel="0" collapsed="false">
      <c r="A22" s="61" t="s">
        <v>281</v>
      </c>
      <c r="B22" s="67" t="n">
        <v>0.25</v>
      </c>
      <c r="C22" s="63" t="s">
        <v>257</v>
      </c>
      <c r="D22" s="64" t="n">
        <v>0</v>
      </c>
      <c r="E22" s="64" t="n">
        <v>1</v>
      </c>
      <c r="F22" s="12" t="s">
        <v>282</v>
      </c>
      <c r="G22" s="63" t="s">
        <v>259</v>
      </c>
      <c r="H22" s="65" t="n">
        <v>45658</v>
      </c>
      <c r="I22" s="65" t="n">
        <v>46244</v>
      </c>
    </row>
    <row r="23" customFormat="false" ht="25.5" hidden="false" customHeight="true" outlineLevel="0" collapsed="false">
      <c r="A23" s="61" t="s">
        <v>283</v>
      </c>
      <c r="B23" s="67" t="n">
        <v>0.35</v>
      </c>
      <c r="C23" s="63" t="s">
        <v>257</v>
      </c>
      <c r="D23" s="64" t="n">
        <v>0</v>
      </c>
      <c r="E23" s="64" t="n">
        <v>1</v>
      </c>
      <c r="F23" s="12" t="s">
        <v>284</v>
      </c>
      <c r="G23" s="63" t="s">
        <v>259</v>
      </c>
      <c r="H23" s="65" t="n">
        <v>45658</v>
      </c>
      <c r="I23" s="65" t="n">
        <v>46244</v>
      </c>
    </row>
    <row r="24" customFormat="false" ht="25.5" hidden="false" customHeight="true" outlineLevel="0" collapsed="false">
      <c r="A24" s="61" t="s">
        <v>285</v>
      </c>
      <c r="B24" s="68" t="n">
        <v>1.645</v>
      </c>
      <c r="C24" s="63" t="s">
        <v>286</v>
      </c>
      <c r="D24" s="64" t="n">
        <v>0</v>
      </c>
      <c r="E24" s="64" t="n">
        <v>10</v>
      </c>
      <c r="F24" s="12" t="s">
        <v>287</v>
      </c>
      <c r="G24" s="63" t="s">
        <v>259</v>
      </c>
      <c r="H24" s="65" t="n">
        <v>45658</v>
      </c>
      <c r="I24" s="65" t="n">
        <v>46244</v>
      </c>
    </row>
    <row r="25" customFormat="false" ht="25.5" hidden="false" customHeight="true" outlineLevel="0" collapsed="false">
      <c r="A25" s="61" t="s">
        <v>288</v>
      </c>
      <c r="B25" s="68" t="n">
        <v>90</v>
      </c>
      <c r="C25" s="63" t="s">
        <v>289</v>
      </c>
      <c r="D25" s="64" t="n">
        <v>0</v>
      </c>
      <c r="E25" s="64" t="n">
        <v>100</v>
      </c>
      <c r="F25" s="12" t="s">
        <v>290</v>
      </c>
      <c r="G25" s="63" t="s">
        <v>259</v>
      </c>
      <c r="H25" s="65" t="n">
        <v>45658</v>
      </c>
      <c r="I25" s="65" t="n">
        <v>46244</v>
      </c>
    </row>
    <row r="26" customFormat="false" ht="25.5" hidden="false" customHeight="true" outlineLevel="0" collapsed="false">
      <c r="A26" s="61" t="s">
        <v>291</v>
      </c>
      <c r="B26" s="68" t="n">
        <v>70</v>
      </c>
      <c r="C26" s="63" t="s">
        <v>289</v>
      </c>
      <c r="D26" s="64" t="n">
        <v>0</v>
      </c>
      <c r="E26" s="64" t="n">
        <v>100</v>
      </c>
      <c r="F26" s="12" t="s">
        <v>292</v>
      </c>
      <c r="G26" s="63" t="s">
        <v>259</v>
      </c>
      <c r="H26" s="65" t="n">
        <v>45658</v>
      </c>
      <c r="I26" s="65" t="n">
        <v>46244</v>
      </c>
    </row>
    <row r="27" customFormat="false" ht="25.5" hidden="false" customHeight="true" outlineLevel="0" collapsed="false">
      <c r="A27" s="61" t="s">
        <v>293</v>
      </c>
      <c r="B27" s="69" t="n">
        <v>100000</v>
      </c>
      <c r="C27" s="63" t="s">
        <v>294</v>
      </c>
      <c r="D27" s="64" t="n">
        <v>0</v>
      </c>
      <c r="E27" s="64" t="n">
        <v>100000000000</v>
      </c>
      <c r="F27" s="12" t="s">
        <v>295</v>
      </c>
      <c r="G27" s="63" t="s">
        <v>259</v>
      </c>
      <c r="H27" s="65" t="n">
        <v>45658</v>
      </c>
      <c r="I27" s="65" t="n">
        <v>46244</v>
      </c>
    </row>
    <row r="28" customFormat="false" ht="25.5" hidden="false" customHeight="true" outlineLevel="0" collapsed="false">
      <c r="A28" s="61" t="s">
        <v>296</v>
      </c>
      <c r="B28" s="69" t="n">
        <v>500000</v>
      </c>
      <c r="C28" s="63" t="s">
        <v>294</v>
      </c>
      <c r="D28" s="64" t="n">
        <v>0</v>
      </c>
      <c r="E28" s="64" t="n">
        <v>100000000000</v>
      </c>
      <c r="F28" s="12" t="s">
        <v>297</v>
      </c>
      <c r="G28" s="63" t="s">
        <v>259</v>
      </c>
      <c r="H28" s="65" t="n">
        <v>45658</v>
      </c>
      <c r="I28" s="65" t="n">
        <v>46244</v>
      </c>
    </row>
    <row r="29" customFormat="false" ht="25.5" hidden="false" customHeight="true" outlineLevel="0" collapsed="false">
      <c r="A29" s="61" t="s">
        <v>298</v>
      </c>
      <c r="B29" s="67" t="n">
        <v>0.9</v>
      </c>
      <c r="C29" s="63" t="s">
        <v>257</v>
      </c>
      <c r="D29" s="64" t="n">
        <v>0</v>
      </c>
      <c r="E29" s="64" t="n">
        <v>1</v>
      </c>
      <c r="F29" s="12" t="s">
        <v>299</v>
      </c>
      <c r="G29" s="63" t="s">
        <v>259</v>
      </c>
      <c r="H29" s="65" t="n">
        <v>45658</v>
      </c>
      <c r="I29" s="65" t="n">
        <v>46244</v>
      </c>
    </row>
    <row r="30" customFormat="false" ht="25.5" hidden="false" customHeight="true" outlineLevel="0" collapsed="false">
      <c r="A30" s="61" t="s">
        <v>300</v>
      </c>
      <c r="B30" s="68" t="n">
        <v>5</v>
      </c>
      <c r="C30" s="63" t="s">
        <v>261</v>
      </c>
      <c r="D30" s="64" t="n">
        <v>1</v>
      </c>
      <c r="E30" s="64" t="n">
        <v>20</v>
      </c>
      <c r="F30" s="12" t="s">
        <v>301</v>
      </c>
      <c r="G30" s="63" t="s">
        <v>259</v>
      </c>
      <c r="H30" s="65" t="n">
        <v>45658</v>
      </c>
      <c r="I30" s="65" t="n">
        <v>46244</v>
      </c>
    </row>
    <row r="31" customFormat="false" ht="25.5" hidden="false" customHeight="true" outlineLevel="0" collapsed="false">
      <c r="A31" s="61" t="s">
        <v>302</v>
      </c>
      <c r="B31" s="67" t="n">
        <v>0.01</v>
      </c>
      <c r="C31" s="63" t="s">
        <v>257</v>
      </c>
      <c r="D31" s="64" t="n">
        <v>0</v>
      </c>
      <c r="E31" s="64" t="n">
        <v>0.1</v>
      </c>
      <c r="F31" s="12" t="s">
        <v>303</v>
      </c>
      <c r="G31" s="63" t="s">
        <v>259</v>
      </c>
      <c r="H31" s="65" t="n">
        <v>45658</v>
      </c>
      <c r="I31" s="65" t="n">
        <v>46244</v>
      </c>
    </row>
    <row r="32" customFormat="false" ht="25.5" hidden="false" customHeight="true" outlineLevel="0" collapsed="false">
      <c r="A32" s="61" t="s">
        <v>304</v>
      </c>
      <c r="B32" s="67" t="n">
        <v>0.01</v>
      </c>
      <c r="C32" s="63" t="s">
        <v>257</v>
      </c>
      <c r="D32" s="64" t="n">
        <v>0</v>
      </c>
      <c r="E32" s="64" t="n">
        <v>0.1</v>
      </c>
      <c r="F32" s="12" t="s">
        <v>305</v>
      </c>
      <c r="G32" s="63" t="s">
        <v>259</v>
      </c>
      <c r="H32" s="65" t="n">
        <v>45658</v>
      </c>
      <c r="I32" s="65" t="n">
        <v>46244</v>
      </c>
    </row>
    <row r="35" customFormat="false" ht="25.5" hidden="false" customHeight="true" outlineLevel="0" collapsed="false">
      <c r="A35" s="70" t="s">
        <v>306</v>
      </c>
      <c r="B35" s="71" t="n">
        <v>1</v>
      </c>
      <c r="C35" s="63" t="s">
        <v>307</v>
      </c>
      <c r="F35" s="12" t="s">
        <v>308</v>
      </c>
      <c r="G35" s="63" t="s">
        <v>248</v>
      </c>
      <c r="H35" s="65" t="n">
        <v>45658</v>
      </c>
      <c r="I35" s="65" t="n">
        <v>46244</v>
      </c>
    </row>
    <row r="36" customFormat="false" ht="25.5" hidden="false" customHeight="true" outlineLevel="0" collapsed="false">
      <c r="A36" s="70" t="s">
        <v>309</v>
      </c>
      <c r="B36" s="71" t="n">
        <v>2</v>
      </c>
      <c r="C36" s="63" t="s">
        <v>307</v>
      </c>
      <c r="F36" s="12" t="s">
        <v>310</v>
      </c>
      <c r="G36" s="63" t="s">
        <v>248</v>
      </c>
      <c r="H36" s="65" t="n">
        <v>45658</v>
      </c>
      <c r="I36" s="65" t="n">
        <v>46244</v>
      </c>
    </row>
    <row r="37" customFormat="false" ht="25.5" hidden="false" customHeight="true" outlineLevel="0" collapsed="false">
      <c r="A37" s="70" t="s">
        <v>311</v>
      </c>
      <c r="B37" s="71" t="n">
        <v>3</v>
      </c>
      <c r="C37" s="63" t="s">
        <v>307</v>
      </c>
      <c r="F37" s="12" t="s">
        <v>312</v>
      </c>
      <c r="G37" s="63" t="s">
        <v>248</v>
      </c>
      <c r="H37" s="65" t="n">
        <v>45658</v>
      </c>
      <c r="I37" s="65" t="n">
        <v>46244</v>
      </c>
    </row>
    <row r="38" customFormat="false" ht="25.5" hidden="false" customHeight="true" outlineLevel="0" collapsed="false">
      <c r="A38" s="70" t="s">
        <v>313</v>
      </c>
      <c r="B38" s="71" t="n">
        <v>4</v>
      </c>
      <c r="C38" s="63" t="s">
        <v>307</v>
      </c>
      <c r="F38" s="12" t="s">
        <v>314</v>
      </c>
      <c r="G38" s="63" t="s">
        <v>248</v>
      </c>
      <c r="H38" s="65" t="n">
        <v>45658</v>
      </c>
      <c r="I38" s="65" t="n">
        <v>46244</v>
      </c>
    </row>
    <row r="39" customFormat="false" ht="25.5" hidden="false" customHeight="true" outlineLevel="0" collapsed="false">
      <c r="A39" s="70" t="s">
        <v>315</v>
      </c>
      <c r="B39" s="71" t="n">
        <v>5</v>
      </c>
      <c r="C39" s="63" t="s">
        <v>307</v>
      </c>
      <c r="F39" s="12" t="s">
        <v>316</v>
      </c>
      <c r="G39" s="63" t="s">
        <v>248</v>
      </c>
      <c r="H39" s="65" t="n">
        <v>45658</v>
      </c>
      <c r="I39" s="65" t="n">
        <v>46244</v>
      </c>
    </row>
    <row r="40" customFormat="false" ht="25.5" hidden="false" customHeight="true" outlineLevel="0" collapsed="false">
      <c r="A40" s="70" t="s">
        <v>317</v>
      </c>
      <c r="B40" s="71" t="n">
        <v>6</v>
      </c>
      <c r="C40" s="63" t="s">
        <v>307</v>
      </c>
      <c r="F40" s="12" t="s">
        <v>318</v>
      </c>
      <c r="G40" s="63" t="s">
        <v>248</v>
      </c>
      <c r="H40" s="65" t="n">
        <v>45658</v>
      </c>
      <c r="I40" s="65" t="n">
        <v>46244</v>
      </c>
    </row>
    <row r="41" customFormat="false" ht="25.5" hidden="false" customHeight="true" outlineLevel="0" collapsed="false">
      <c r="A41" s="70" t="s">
        <v>319</v>
      </c>
      <c r="B41" s="71" t="n">
        <v>7</v>
      </c>
      <c r="C41" s="63" t="s">
        <v>307</v>
      </c>
      <c r="F41" s="12" t="s">
        <v>320</v>
      </c>
      <c r="G41" s="63" t="s">
        <v>248</v>
      </c>
      <c r="H41" s="65" t="n">
        <v>45658</v>
      </c>
      <c r="I41" s="65" t="n">
        <v>46244</v>
      </c>
    </row>
    <row r="42" customFormat="false" ht="25.5" hidden="false" customHeight="true" outlineLevel="0" collapsed="false">
      <c r="A42" s="70" t="s">
        <v>321</v>
      </c>
      <c r="B42" s="71" t="n">
        <v>8</v>
      </c>
      <c r="C42" s="63" t="s">
        <v>307</v>
      </c>
      <c r="F42" s="12" t="s">
        <v>322</v>
      </c>
      <c r="G42" s="63" t="s">
        <v>248</v>
      </c>
      <c r="H42" s="65" t="n">
        <v>45658</v>
      </c>
      <c r="I42" s="65" t="n">
        <v>46244</v>
      </c>
    </row>
    <row r="43" customFormat="false" ht="25.5" hidden="false" customHeight="true" outlineLevel="0" collapsed="false">
      <c r="A43" s="70" t="s">
        <v>323</v>
      </c>
      <c r="B43" s="71" t="n">
        <v>9</v>
      </c>
      <c r="C43" s="63" t="s">
        <v>307</v>
      </c>
      <c r="F43" s="12" t="s">
        <v>324</v>
      </c>
      <c r="G43" s="63" t="s">
        <v>248</v>
      </c>
      <c r="H43" s="65" t="n">
        <v>45658</v>
      </c>
      <c r="I43" s="65" t="n">
        <v>46244</v>
      </c>
    </row>
    <row r="44" customFormat="false" ht="25.5" hidden="false" customHeight="true" outlineLevel="0" collapsed="false">
      <c r="A44" s="70" t="s">
        <v>325</v>
      </c>
      <c r="B44" s="71" t="n">
        <v>10</v>
      </c>
      <c r="C44" s="63" t="s">
        <v>307</v>
      </c>
      <c r="F44" s="12" t="s">
        <v>326</v>
      </c>
      <c r="G44" s="63" t="s">
        <v>248</v>
      </c>
      <c r="H44" s="65" t="n">
        <v>45658</v>
      </c>
      <c r="I44" s="65" t="n">
        <v>46244</v>
      </c>
    </row>
    <row r="45" customFormat="false" ht="25.5" hidden="false" customHeight="true" outlineLevel="0" collapsed="false">
      <c r="A45" s="70" t="s">
        <v>327</v>
      </c>
      <c r="B45" s="71" t="n">
        <v>11</v>
      </c>
      <c r="C45" s="63" t="s">
        <v>307</v>
      </c>
      <c r="F45" s="12" t="s">
        <v>328</v>
      </c>
      <c r="G45" s="63" t="s">
        <v>248</v>
      </c>
      <c r="H45" s="65" t="n">
        <v>45658</v>
      </c>
      <c r="I45" s="65" t="n">
        <v>46244</v>
      </c>
    </row>
    <row r="46" customFormat="false" ht="25.5" hidden="false" customHeight="true" outlineLevel="0" collapsed="false">
      <c r="A46" s="70" t="s">
        <v>329</v>
      </c>
      <c r="B46" s="71" t="n">
        <v>12</v>
      </c>
      <c r="C46" s="63" t="s">
        <v>307</v>
      </c>
      <c r="F46" s="12" t="s">
        <v>330</v>
      </c>
      <c r="G46" s="63" t="s">
        <v>248</v>
      </c>
      <c r="H46" s="65" t="n">
        <v>45658</v>
      </c>
      <c r="I46" s="65" t="n">
        <v>46244</v>
      </c>
    </row>
    <row r="48" customFormat="false" ht="30" hidden="false" customHeight="true" outlineLevel="0" collapsed="false">
      <c r="A48" s="70" t="s">
        <v>331</v>
      </c>
      <c r="B48" s="72" t="s">
        <v>332</v>
      </c>
      <c r="C48" s="63" t="s">
        <v>246</v>
      </c>
      <c r="F48" s="12" t="s">
        <v>333</v>
      </c>
      <c r="G48" s="63" t="s">
        <v>259</v>
      </c>
      <c r="H48" s="65" t="n">
        <v>45658</v>
      </c>
      <c r="I48" s="65" t="n">
        <v>46244</v>
      </c>
    </row>
    <row r="49" customFormat="false" ht="30" hidden="false" customHeight="true" outlineLevel="0" collapsed="false">
      <c r="A49" s="70" t="s">
        <v>334</v>
      </c>
      <c r="B49" s="72" t="s">
        <v>332</v>
      </c>
      <c r="C49" s="63" t="s">
        <v>246</v>
      </c>
      <c r="F49" s="12" t="s">
        <v>333</v>
      </c>
      <c r="G49" s="63" t="s">
        <v>259</v>
      </c>
      <c r="H49" s="65" t="n">
        <v>45658</v>
      </c>
      <c r="I49" s="65" t="n">
        <v>46244</v>
      </c>
    </row>
    <row r="50" customFormat="false" ht="30" hidden="false" customHeight="true" outlineLevel="0" collapsed="false">
      <c r="A50" s="70" t="s">
        <v>335</v>
      </c>
      <c r="B50" s="72" t="s">
        <v>332</v>
      </c>
      <c r="C50" s="63" t="s">
        <v>246</v>
      </c>
      <c r="F50" s="12" t="s">
        <v>333</v>
      </c>
      <c r="G50" s="63" t="s">
        <v>259</v>
      </c>
      <c r="H50" s="65" t="n">
        <v>45658</v>
      </c>
      <c r="I50" s="65" t="n">
        <v>46244</v>
      </c>
    </row>
  </sheetData>
  <sheetProtection sheet="true" password="cc3d" objects="true" scenarios="true" deleteColumns="false" deleteRows="false"/>
  <mergeCells count="1">
    <mergeCell ref="A1:AD1"/>
  </mergeCells>
  <dataValidations count="22">
    <dataValidation allowBlank="false" error="Tecile başlamadan ödenen peşin oranı." errorStyle="stop" errorTitle="Değer aralık dışı" operator="between" prompt="Tecile başlamadan ödenen peşin oranı." promptTitle="TecilPesinatOran" showDropDown="false" showErrorMessage="true" showInputMessage="false" sqref="B11" type="decimal">
      <formula1>0</formula1>
      <formula2>1</formula2>
    </dataValidation>
    <dataValidation allowBlank="false" error="Tecilin vadeye yayılacağı taksit sayısı." errorStyle="stop" errorTitle="Değer aralık dışı" operator="between" prompt="Tecilin vadeye yayılacağı taksit sayısı." promptTitle="TecilTaksitSayisi" showDropDown="false" showErrorMessage="true" showInputMessage="false" sqref="B12" type="decimal">
      <formula1>1</formula1>
      <formula2>60</formula2>
    </dataValidation>
    <dataValidation allowBlank="false" error="Yıllık tecil faizi (6183 kapsamında değişken)." errorStyle="stop" errorTitle="Değer aralık dışı" operator="between" prompt="Yıllık tecil faizi (6183 kapsamında değişken)." promptTitle="TecilFaizYillik" showDropDown="false" showErrorMessage="true" showInputMessage="false" sqref="B13" type="decimal">
      <formula1>0</formula1>
      <formula2>1</formula2>
    </dataValidation>
    <dataValidation allowBlank="false" error="Borcu kapatacak banka kredisinin yıllık faizi." errorStyle="stop" errorTitle="Değer aralık dışı" operator="between" prompt="Borcu kapatacak banka kredisinin yıllık faizi." promptTitle="KrediFaizYillik" showDropDown="false" showErrorMessage="true" showInputMessage="false" sqref="B14" type="decimal">
      <formula1>0</formula1>
      <formula2>1</formula2>
    </dataValidation>
    <dataValidation allowBlank="false" error="Kredi komisyon oranı." errorStyle="stop" errorTitle="Değer aralık dışı" operator="between" prompt="Kredi komisyon oranı." promptTitle="KrediKomisyonOran" showDropDown="false" showErrorMessage="true" showInputMessage="false" sqref="B15" type="decimal">
      <formula1>0</formula1>
      <formula2>1</formula2>
    </dataValidation>
    <dataValidation allowBlank="false" error="Kredi taksit sayısı." errorStyle="stop" errorTitle="Değer aralık dışı" operator="between" prompt="Kredi taksit sayısı." promptTitle="KrediTaksitSayisi" showDropDown="false" showErrorMessage="true" showInputMessage="false" sqref="B16" type="decimal">
      <formula1>1</formula1>
      <formula2>60</formula2>
    </dataValidation>
    <dataValidation allowBlank="false" error="Peşin ödemede gecikme zammından terkin edilen oran (yapılandırma)." errorStyle="stop" errorTitle="Değer aralık dışı" operator="between" prompt="Peşin ödemede gecikme zammından terkin edilen oran (yapılandırma)." promptTitle="PesinTerkinOran" showDropDown="false" showErrorMessage="true" showInputMessage="false" sqref="B18" type="decimal">
      <formula1>0</formula1>
      <formula2>1</formula2>
    </dataValidation>
    <dataValidation allowBlank="false" error="NBD için yıllık iskonto oranı." errorStyle="stop" errorTitle="Değer aralık dışı" operator="between" prompt="NBD için yıllık iskonto oranı." promptTitle="IskontoOrani" showDropDown="false" showErrorMessage="true" showInputMessage="false" sqref="B19" type="decimal">
      <formula1>0</formula1>
      <formula2>1</formula2>
    </dataValidation>
    <dataValidation allowBlank="false" error="İyimser senaryo tecil faizi." errorStyle="stop" errorTitle="Değer aralık dışı" operator="between" prompt="İyimser senaryo tecil faizi." promptTitle="SenTecilIyi" showDropDown="false" showErrorMessage="true" showInputMessage="false" sqref="B20" type="decimal">
      <formula1>0</formula1>
      <formula2>1</formula2>
    </dataValidation>
    <dataValidation allowBlank="false" error="Baz senaryo tecil faizi." errorStyle="stop" errorTitle="Değer aralık dışı" operator="between" prompt="Baz senaryo tecil faizi." promptTitle="SenTecilBaz" showDropDown="false" showErrorMessage="true" showInputMessage="false" sqref="B21" type="decimal">
      <formula1>0</formula1>
      <formula2>1</formula2>
    </dataValidation>
    <dataValidation allowBlank="false" error="Kötümser senaryo tecil faizi." errorStyle="stop" errorTitle="Değer aralık dışı" operator="between" prompt="Kötümser senaryo tecil faizi." promptTitle="SenTecilKotu" showDropDown="false" showErrorMessage="true" showInputMessage="false" sqref="B22" type="decimal">
      <formula1>0</formula1>
      <formula2>1</formula2>
    </dataValidation>
    <dataValidation allowBlank="false" error="Kritik senaryo tecil faizi." errorStyle="stop" errorTitle="Değer aralık dışı" operator="between" prompt="Kritik senaryo tecil faizi." promptTitle="SenTecilKritik" showDropDown="false" showErrorMessage="true" showInputMessage="false" sqref="B23" type="decimal">
      <formula1>0</formula1>
      <formula2>1</formula2>
    </dataValidation>
    <dataValidation allowBlank="false" error="Tahmin güven bandı çarpanı (%90 normal dağılım)." errorStyle="stop" errorTitle="Değer aralık dışı" operator="between" prompt="Tahmin güven bandı çarpanı (%90 normal dağılım)." promptTitle="TecilTahminCarpan" showDropDown="false" showErrorMessage="true" showInputMessage="false" sqref="B24" type="decimal">
      <formula1>0</formula1>
      <formula2>10</formula2>
    </dataValidation>
    <dataValidation allowBlank="false" error="Yüksek kalite skoru eşiği." errorStyle="stop" errorTitle="Değer aralık dışı" operator="between" prompt="Yüksek kalite skoru eşiği." promptTitle="TecilKaliteIyi" showDropDown="false" showErrorMessage="true" showInputMessage="false" sqref="B25" type="decimal">
      <formula1>0</formula1>
      <formula2>100</formula2>
    </dataValidation>
    <dataValidation allowBlank="false" error="Orta kalite skoru eşiği." errorStyle="stop" errorTitle="Değer aralık dışı" operator="between" prompt="Orta kalite skoru eşiği." promptTitle="TecilKaliteOrta" showDropDown="false" showErrorMessage="true" showInputMessage="false" sqref="B26" type="decimal">
      <formula1>0</formula1>
      <formula2>100</formula2>
    </dataValidation>
    <dataValidation allowBlank="false" error="Aylık nakit akışı; tecil taksiti bu değerle kıyaslanır." errorStyle="stop" errorTitle="Değer aralık dışı" operator="between" prompt="Aylık nakit akışı; tecil taksiti bu değerle kıyaslanır." promptTitle="TecilAylikNakitAkisi" showDropDown="false" showErrorMessage="true" showInputMessage="false" sqref="B27" type="decimal">
      <formula1>0</formula1>
      <formula2>100000000000</formula2>
    </dataValidation>
    <dataValidation allowBlank="false" error="Yüksek borç eşiği." errorStyle="stop" errorTitle="Değer aralık dışı" operator="between" prompt="Yüksek borç eşiği." promptTitle="TecilYuksekBorcEsik" showDropDown="false" showErrorMessage="true" showInputMessage="false" sqref="B28" type="decimal">
      <formula1>0</formula1>
      <formula2>100000000000</formula2>
    </dataValidation>
    <dataValidation allowBlank="false" error="Toplam borç dağılımında üst yüzdelik dilimin oranı." errorStyle="stop" errorTitle="Değer aralık dışı" operator="between" prompt="Toplam borç dağılımında üst yüzdelik dilimin oranı." promptTitle="TecilP90Oran" showDropDown="false" showErrorMessage="true" showInputMessage="false" sqref="B29" type="decimal">
      <formula1>0</formula1>
      <formula2>1</formula2>
    </dataValidation>
    <dataValidation allowBlank="false" error="Veri kalitesi skorunda temel kabul edilen zorunlu giriş kolonu sayısı." errorStyle="stop" errorTitle="Değer aralık dışı" operator="between" prompt="Veri kalitesi skorunda temel kabul edilen zorunlu giriş kolonu sayısı." promptTitle="TecilTemelKolonSayisi" showDropDown="false" showErrorMessage="true" showInputMessage="false" sqref="B30" type="decimal">
      <formula1>1</formula1>
      <formula2>20</formula2>
    </dataValidation>
    <dataValidation allowBlank="false" error="Tornado analizinde tecil faizine uygulanan +1 puan çarpanı." errorStyle="stop" errorTitle="Değer aralık dışı" operator="between" prompt="Tornado analizinde tecil faizine uygulanan +1 puan çarpanı." promptTitle="TecilTornadoFaiz" showDropDown="false" showErrorMessage="true" showInputMessage="false" sqref="B31" type="decimal">
      <formula1>0</formula1>
      <formula2>0.1</formula2>
    </dataValidation>
    <dataValidation allowBlank="false" error="Tornado analizinde kredi faizine uygulanan +1 puan çarpanı." errorStyle="stop" errorTitle="Değer aralık dışı" operator="between" prompt="Tornado analizinde kredi faizine uygulanan +1 puan çarpanı." promptTitle="KrediTornadoFaiz" showDropDown="false" showErrorMessage="true" showInputMessage="false" sqref="B32" type="decimal">
      <formula1>0</formula1>
      <formula2>0.1</formula2>
    </dataValidation>
    <dataValidation allowBlank="true" error="Listeden Evet veya Hayır seçmelisiniz." errorStyle="stop" errorTitle="Geçersiz seçim" operator="between" prompt="Kredi onayı durumunu seçin; Hayır ise karar kapısı kredi seçeneğini dışarıda bırakır." promptTitle="Kredi Onayı" showDropDown="false" showErrorMessage="true" showInputMessage="true" sqref="B17" type="list">
      <formula1>ListeEvetHayir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0"/>
  </cols>
  <sheetData>
    <row r="1" customFormat="false" ht="25.5" hidden="false" customHeight="true" outlineLevel="0" collapsed="false">
      <c r="A1" s="1" t="s">
        <v>336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6.15" hidden="false" customHeight="false" outlineLevel="0" collapsed="false">
      <c r="A3" s="8" t="s">
        <v>337</v>
      </c>
    </row>
    <row r="5" customFormat="false" ht="39.75" hidden="false" customHeight="true" outlineLevel="0" collapsed="false">
      <c r="A5" s="51" t="s">
        <v>338</v>
      </c>
      <c r="B5" s="5" t="s">
        <v>339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customFormat="false" ht="39.75" hidden="false" customHeight="true" outlineLevel="0" collapsed="false">
      <c r="A6" s="51" t="s">
        <v>340</v>
      </c>
      <c r="B6" s="5" t="s">
        <v>341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customFormat="false" ht="39.75" hidden="false" customHeight="true" outlineLevel="0" collapsed="false">
      <c r="A7" s="51" t="s">
        <v>342</v>
      </c>
      <c r="B7" s="5" t="s">
        <v>343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customFormat="false" ht="39.75" hidden="false" customHeight="true" outlineLevel="0" collapsed="false">
      <c r="A8" s="51" t="s">
        <v>344</v>
      </c>
      <c r="B8" s="5" t="s">
        <v>345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customFormat="false" ht="39.75" hidden="false" customHeight="true" outlineLevel="0" collapsed="false">
      <c r="A9" s="51" t="s">
        <v>346</v>
      </c>
      <c r="B9" s="5" t="s">
        <v>347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customFormat="false" ht="39.75" hidden="false" customHeight="true" outlineLevel="0" collapsed="false">
      <c r="A10" s="51" t="s">
        <v>348</v>
      </c>
      <c r="B10" s="5" t="s">
        <v>349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</sheetData>
  <sheetProtection sheet="true" password="cc3d" objects="true" scenarios="true" deleteColumns="false" deleteRows="false"/>
  <mergeCells count="7">
    <mergeCell ref="A1:AD1"/>
    <mergeCell ref="B5:T5"/>
    <mergeCell ref="B6:T6"/>
    <mergeCell ref="B7:T7"/>
    <mergeCell ref="B8:T8"/>
    <mergeCell ref="B9:T9"/>
    <mergeCell ref="B10:T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2026-08-10T15:57:14Z</dcterms:created>
  <dc:creator>openpyxl</dc:creator>
  <dc:description/>
  <dc:language>tr-TR</dc:language>
  <cp:lastModifiedBy/>
  <dcterms:modified xsi:type="dcterms:W3CDTF">2026-08-10T15:57:15Z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