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harts/style1.xml" ContentType="application/vnd.ms-office.chartstyle+xml"/>
  <Override PartName="/xl/charts/chart3.xml" ContentType="application/vnd.openxmlformats-officedocument.drawingml.chart+xml"/>
  <Override PartName="/xl/charts/chart1.xml" ContentType="application/vnd.openxmlformats-officedocument.drawingml.chart+xml"/>
  <Override PartName="/xl/charts/colors1.xml" ContentType="application/vnd.ms-office.chartcolorstyle+xml"/>
  <Override PartName="/xl/charts/chart6.xml" ContentType="application/vnd.openxmlformats-officedocument.drawingml.chart+xml"/>
  <Override PartName="/xl/charts/chart2.xml" ContentType="application/vnd.openxmlformats-officedocument.drawingml.chart+xml"/>
  <Override PartName="/xl/charts/style2.xml" ContentType="application/vnd.ms-office.chartstyle+xml"/>
  <Override PartName="/xl/charts/chart5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style4.xml" ContentType="application/vnd.ms-office.chartstyle+xml"/>
  <Override PartName="/xl/charts/colors4.xml" ContentType="application/vnd.ms-office.chartcolorstyle+xml"/>
  <Override PartName="/xl/charts/style5.xml" ContentType="application/vnd.ms-office.chartstyle+xml"/>
  <Override PartName="/xl/charts/colors2.xml" ContentType="application/vnd.ms-office.chartcolorstyle+xml"/>
  <Override PartName="/xl/charts/colors5.xml" ContentType="application/vnd.ms-office.chartcolorstyle+xml"/>
  <Override PartName="/xl/charts/colors3.xml" ContentType="application/vnd.ms-office.chartcolorstyle+xml"/>
  <Override PartName="/xl/charts/style6.xml" ContentType="application/vnd.ms-office.chartstyle+xml"/>
  <Override PartName="/xl/charts/colors6.xml" ContentType="application/vnd.ms-office.chartcolorstyle+xml"/>
  <Override PartName="/xl/comments14.xml" ContentType="application/vnd.openxmlformats-officedocument.spreadsheetml.comments+xml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vmlDrawing8.vml" ContentType="application/vnd.openxmlformats-officedocument.vmlDrawing"/>
  <Override PartName="/xl/drawings/drawing2.xml" ContentType="application/vnd.openxmlformats-officedocument.drawing+xml"/>
  <Override PartName="/xl/drawings/vmlDrawing6.vml" ContentType="application/vnd.openxmlformats-officedocument.vmlDrawing"/>
  <Override PartName="/xl/drawings/vmlDrawing7.vml" ContentType="application/vnd.openxmlformats-officedocument.vmlDrawing"/>
  <Override PartName="/xl/comments12.xml" ContentType="application/vnd.openxmlformats-officedocument.spreadsheetml.comments+xml"/>
  <Override PartName="/xl/comments15.xml" ContentType="application/vnd.openxmlformats-officedocument.spreadsheetml.comments+xml"/>
  <Override PartName="/xl/comments7.xml" ContentType="application/vnd.openxmlformats-officedocument.spreadsheetml.comment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13.xml" ContentType="application/vnd.openxmlformats-officedocument.spreadsheetml.worksheet+xml"/>
  <Override PartName="/xl/comments6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KAPAK" sheetId="1" state="visible" r:id="rId3"/>
    <sheet name="HIZLI_BASLANGIC" sheetId="2" state="visible" r:id="rId4"/>
    <sheet name="SOZLESME_KARTI" sheetId="3" state="visible" r:id="rId5"/>
    <sheet name="HAKEDISLER" sheetId="4" state="visible" r:id="rId6"/>
    <sheet name="ODEMELER" sheetId="5" state="visible" r:id="rId7"/>
    <sheet name="MOTOR" sheetId="6" state="visible" r:id="rId8"/>
    <sheet name="KONTROL" sheetId="7" state="visible" r:id="rId9"/>
    <sheet name="KARAR" sheetId="8" state="visible" r:id="rId10"/>
    <sheet name="PANO" sheetId="9" state="visible" r:id="rId11"/>
    <sheet name="SENARYO_DUYARLILIK" sheetId="10" state="visible" r:id="rId12"/>
    <sheet name="RAPOR" sheetId="11" state="visible" r:id="rId13"/>
    <sheet name="ORNEK_VERI" sheetId="12" state="visible" r:id="rId14"/>
    <sheet name="DEGISIKLIK_KAYDI" sheetId="13" state="visible" r:id="rId15"/>
    <sheet name="LISTELER" sheetId="14" state="visible" r:id="rId16"/>
    <sheet name="AYARLAR" sheetId="15" state="visible" r:id="rId17"/>
    <sheet name="KILAVUZ" sheetId="16" state="visible" r:id="rId18"/>
  </sheets>
  <definedNames>
    <definedName function="false" hidden="false" localSheetId="8" name="_xlnm.Print_Area" vbProcedure="false">PANO!$A$1:$V$34</definedName>
    <definedName function="false" hidden="false" localSheetId="10" name="_xlnm.Print_Area" vbProcedure="false">RAPOR!$A$1:$V$40</definedName>
    <definedName function="false" hidden="false" name="Aksiyon1" vbProcedure="false">KARAR!$A$15</definedName>
    <definedName function="false" hidden="false" name="Aksiyon2" vbProcedure="false">KARAR!$A$16</definedName>
    <definedName function="false" hidden="false" name="Aksiyon3" vbProcedure="false">KARAR!$A$17</definedName>
    <definedName function="false" hidden="false" name="AnomaliAdet" vbProcedure="false">MOTOR!$B$21</definedName>
    <definedName function="false" hidden="false" name="AnomaliZEsik" vbProcedure="false">AYARLAR!$C$19</definedName>
    <definedName function="false" hidden="false" name="degerKazanim" vbProcedure="false">MOTOR!$B$41</definedName>
    <definedName function="false" hidden="false" name="degerKazanimOran" vbProcedure="false">MOTOR!$B$42</definedName>
    <definedName function="false" hidden="false" name="DurumKontrol" vbProcedure="false">KONTROL!$B$24</definedName>
    <definedName function="false" hidden="false" name="DuyarliDegisim" vbProcedure="false">AYARLAR!$C$25</definedName>
    <definedName function="false" hidden="false" name="FAIL_Sayisi" vbProcedure="false">KONTROL!$B$20</definedName>
    <definedName function="false" hidden="false" name="firmaUnvani" vbProcedure="false">AYARLAR!$C$6</definedName>
    <definedName function="false" hidden="false" name="GecOdemeEsik" vbProcedure="false">AYARLAR!$C$17</definedName>
    <definedName function="false" hidden="false" name="GecOdemeGunOrt" vbProcedure="false">MOTOR!$B$17</definedName>
    <definedName function="false" hidden="false" name="GecikmeFaizOrani" vbProcedure="false">AYARLAR!$C$14</definedName>
    <definedName function="false" hidden="false" name="GecikmeMaliyetiToplam" vbProcedure="false">MOTOR!$B$18</definedName>
    <definedName function="false" hidden="false" name="GelirVergisiStopajOrani" vbProcedure="false">AYARLAR!$C$10</definedName>
    <definedName function="false" hidden="false" name="HakKaybiToplam" vbProcedure="false">MOTOR!$B$19</definedName>
    <definedName function="false" hidden="false" name="IsBaslangic" vbProcedure="false">SOZLESME_KARTI!$B$9</definedName>
    <definedName function="false" hidden="false" name="IsBitis" vbProcedure="false">SOZLESME_KARTI!$B$10</definedName>
    <definedName function="false" hidden="false" name="IskontoOrani" vbProcedure="false">AYARLAR!$C$29</definedName>
    <definedName function="false" hidden="false" name="IsTuru" vbProcedure="false">SOZLESME_KARTI!$B$12</definedName>
    <definedName function="false" hidden="false" name="KararGerekce" vbProcedure="false">KARAR!$B$12</definedName>
    <definedName function="false" hidden="false" name="KararSonuc" vbProcedure="false">KARAR!$B$11</definedName>
    <definedName function="false" hidden="false" name="KdvOrani" vbProcedure="false">AYARLAR!$C$8</definedName>
    <definedName function="false" hidden="false" name="KdvTevkifatOrani" vbProcedure="false">AYARLAR!$C$9</definedName>
    <definedName function="false" hidden="false" name="KdvTevkifatVarMi" vbProcedure="false">SOZLESME_KARTI!$B$13</definedName>
    <definedName function="false" hidden="false" name="KesintiEsik" vbProcedure="false">AYARLAR!$C$18</definedName>
    <definedName function="false" hidden="false" name="KesintiOrani" vbProcedure="false">MOTOR!$B$16</definedName>
    <definedName function="false" hidden="false" name="ListeEvetHayir" vbProcedure="false">LISTELER!$A$6:$A$7</definedName>
    <definedName function="false" hidden="false" name="ListeIsTuru" vbProcedure="false">LISTELER!$C$6:$C$8</definedName>
    <definedName function="false" hidden="false" name="ListeMetin" vbProcedure="false">LISTELER!$A$6:$A$7</definedName>
    <definedName function="false" hidden="false" name="modulI1HakedisTahminOrta" vbProcedure="false">MOTOR!$B$37</definedName>
    <definedName function="false" hidden="false" name="modulI1HakedisTahminYorum" vbProcedure="false">MOTOR!$C$56</definedName>
    <definedName function="false" hidden="false" name="modulI2HakedisP90" vbProcedure="false">MOTOR!$B$38</definedName>
    <definedName function="false" hidden="false" name="modulI2HakedisP90Yorum" vbProcedure="false">MOTOR!$C$57</definedName>
    <definedName function="false" hidden="false" name="modulI3NakitNpv" vbProcedure="false">MOTOR!$B$39</definedName>
    <definedName function="false" hidden="false" name="modulI3NakitNpvYorum" vbProcedure="false">MOTOR!$C$58</definedName>
    <definedName function="false" hidden="false" name="modulI7NakitAcikKopru" vbProcedure="false">MOTOR!$B$40</definedName>
    <definedName function="false" hidden="false" name="modulI7NakitAcikYorum" vbProcedure="false">MOTOR!$C$59</definedName>
    <definedName function="false" hidden="false" name="modulO1AnomaliOran" vbProcedure="false">MOTOR!$B$31</definedName>
    <definedName function="false" hidden="false" name="modulO1AnomaliYorum" vbProcedure="false">MOTOR!$C$50</definedName>
    <definedName function="false" hidden="false" name="modulO2TornadoYorum" vbProcedure="false">MOTOR!$C$51</definedName>
    <definedName function="false" hidden="false" name="modulO2TornadoZirve" vbProcedure="false">MOTOR!$B$32</definedName>
    <definedName function="false" hidden="false" name="modulO3SenaryoBazFark" vbProcedure="false">MOTOR!$B$33</definedName>
    <definedName function="false" hidden="false" name="modulO3SenaryoYorum" vbProcedure="false">MOTOR!$C$52</definedName>
    <definedName function="false" hidden="false" name="modulO4GecOdemeGun" vbProcedure="false">MOTOR!$B$34</definedName>
    <definedName function="false" hidden="false" name="modulO4GecOdemeYorum" vbProcedure="false">MOTOR!$C$53</definedName>
    <definedName function="false" hidden="false" name="modulO6HakedisHhi" vbProcedure="false">MOTOR!$B$35</definedName>
    <definedName function="false" hidden="false" name="modulO6HakedisHhiYorum" vbProcedure="false">MOTOR!$C$54</definedName>
    <definedName function="false" hidden="false" name="modulO8KaliteSkoru" vbProcedure="false">MOTOR!$B$36</definedName>
    <definedName function="false" hidden="false" name="modulO8KaliteYorum" vbProcedure="false">MOTOR!$C$55</definedName>
    <definedName function="false" hidden="false" name="modulT1HakedisYasOrt" vbProcedure="false">MOTOR!$B$26</definedName>
    <definedName function="false" hidden="false" name="modulT1HakedisYasYorum" vbProcedure="false">MOTOR!$C$45</definedName>
    <definedName function="false" hidden="false" name="modulT2HakedisEgim" vbProcedure="false">MOTOR!$B$27</definedName>
    <definedName function="false" hidden="false" name="modulT2HakedisEgimYorum" vbProcedure="false">MOTOR!$C$46</definedName>
    <definedName function="false" hidden="false" name="modulT3HakedisParetoPay" vbProcedure="false">MOTOR!$B$28</definedName>
    <definedName function="false" hidden="false" name="modulT3HakedisParetoYorum" vbProcedure="false">MOTOR!$C$47</definedName>
    <definedName function="false" hidden="false" name="modulT5MutabakatFark" vbProcedure="false">MOTOR!$B$29</definedName>
    <definedName function="false" hidden="false" name="modulT5MutabakatYorum" vbProcedure="false">MOTOR!$C$48</definedName>
    <definedName function="false" hidden="false" name="modulT6KesintiKirilim" vbProcedure="false">MOTOR!$B$30</definedName>
    <definedName function="false" hidden="false" name="modulT6KesintiYorum" vbProcedure="false">MOTOR!$C$49</definedName>
    <definedName function="false" hidden="false" name="MutabakatFarki" vbProcedure="false">MOTOR!$B$14</definedName>
    <definedName function="false" hidden="false" name="MutabakatFarkiEsik" vbProcedure="false">AYARLAR!$C$16</definedName>
    <definedName function="false" hidden="false" name="MutabakatFarkiOran" vbProcedure="false">MOTOR!$B$15</definedName>
    <definedName function="false" hidden="false" name="MutabakatTolerans" vbProcedure="false">AYARLAR!$C$15</definedName>
    <definedName function="false" hidden="false" name="P90Kuantil" vbProcedure="false">AYARLAR!$C$27</definedName>
    <definedName function="false" hidden="false" name="ParetoEsikOran" vbProcedure="false">AYARLAR!$C$26</definedName>
    <definedName function="false" hidden="false" name="PASS_Sayisi" vbProcedure="false">KONTROL!$B$19</definedName>
    <definedName function="false" hidden="false" name="ProjeSuresi" vbProcedure="false">MOTOR!$B$22</definedName>
    <definedName function="false" hidden="false" name="raporTarihi" vbProcedure="false">AYARLAR!$C$7</definedName>
    <definedName function="false" hidden="false" name="SenaryoIyimserKat" vbProcedure="false">AYARLAR!$C$24</definedName>
    <definedName function="false" hidden="false" name="SenaryoKotumserKat" vbProcedure="false">AYARLAR!$C$23</definedName>
    <definedName function="false" hidden="false" name="SgkKesintiOrani" vbProcedure="false">AYARLAR!$C$11</definedName>
    <definedName function="false" hidden="false" name="SozlesmeAdi" vbProcedure="false">SOZLESME_KARTI!$B$6</definedName>
    <definedName function="false" hidden="false" name="SozlesmeBedeli" vbProcedure="false">SOZLESME_KARTI!$B$8</definedName>
    <definedName function="false" hidden="false" name="SozlesmeTarihi" vbProcedure="false">SOZLESME_KARTI!$B$7</definedName>
    <definedName function="false" hidden="false" name="TahminBantOrani" vbProcedure="false">AYARLAR!$C$28</definedName>
    <definedName function="false" hidden="false" name="TahsilatOran" vbProcedure="false">MOTOR!$B$20</definedName>
    <definedName function="false" hidden="false" name="TasseronFirma" vbProcedure="false">SOZLESME_KARTI!$B$5</definedName>
    <definedName function="false" hidden="false" name="TeminatOrani" vbProcedure="false">AYARLAR!$C$12</definedName>
    <definedName function="false" hidden="false" name="ToplamBrutHakedis" vbProcedure="false">MOTOR!$B$6</definedName>
    <definedName function="false" hidden="false" name="ToplamKdv" vbProcedure="false">MOTOR!$B$7</definedName>
    <definedName function="false" hidden="false" name="ToplamKdvTevkifat" vbProcedure="false">MOTOR!$B$8</definedName>
    <definedName function="false" hidden="false" name="ToplamNetHakedis" vbProcedure="false">MOTOR!$B$12</definedName>
    <definedName function="false" hidden="false" name="ToplamOdenen" vbProcedure="false">MOTOR!$B$13</definedName>
    <definedName function="false" hidden="false" name="ToplamSgk" vbProcedure="false">MOTOR!$B$10</definedName>
    <definedName function="false" hidden="false" name="ToplamStopaj" vbProcedure="false">MOTOR!$B$9</definedName>
    <definedName function="false" hidden="false" name="ToplamTeminat" vbProcedure="false">MOTOR!$B$11</definedName>
    <definedName function="false" hidden="false" name="VadeGun" vbProcedure="false">AYARLAR!$C$13</definedName>
    <definedName function="false" hidden="false" name="VeriKaliteIyiEsik" vbProcedure="false">AYARLAR!$C$20</definedName>
    <definedName function="false" hidden="false" name="VeriKaliteOrtaEsik" vbProcedure="false">AYARLAR!$C$21</definedName>
    <definedName function="false" hidden="false" name="VeriKaliteSeviyesi" vbProcedure="false">KONTROL!$B$22</definedName>
    <definedName function="false" hidden="false" name="VeriKaliteSkoru" vbProcedure="false">KONTROL!$B$21</definedName>
    <definedName function="false" hidden="false" name="VeriKaliteUyariCeza" vbProcedure="false">AYARLAR!$C$22</definedName>
    <definedName function="false" hidden="false" name="YukleniciFirma" vbProcedure="false">SOZLESME_KARTI!$B$4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4" authorId="0">
      <text>
        <r>
          <rPr>
            <sz val="10"/>
            <rFont val="Arial"/>
            <family val="2"/>
          </rPr>
          <t xml:space="preserve">Tanım: Yüklenici Firma | Neden önemli: Mutabakat ve karar hesabını doğrudan etkiler | Doğru giriş: Ana yüklenici firma adı | Örnek: Örnek: Yapı A A.Ş. | Yanlışsa: Mutabakat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5" authorId="0">
      <text>
        <r>
          <rPr>
            <sz val="10"/>
            <rFont val="Arial"/>
            <family val="2"/>
          </rPr>
          <t xml:space="preserve">Tanım: Taşeron/Alt Yüklenici | Neden önemli: Mutabakat ve karar hesabını doğrudan etkiler | Doğru giriş: Hakedişi mutabakat edilen taşeron | Örnek: Örnek: Alt Yapı Ltd. Şti. | Yanlışsa: Mutabakat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Sözleşme Adı | Neden önemli: Mutabakat ve karar hesabını doğrudan etkiler | Doğru giriş: Taşeronluk sözleşmesinin konusu | Örnek: Örnek: Betonarme Taşeronluğu | Yanlışsa: Mutabakat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Sözleşme Tarihi | Neden önemli: Mutabakat ve karar hesabını doğrudan etkiler | Doğru giriş: Sözleşmenin imzalandığı tarih | Örnek: Örnek: 01.03.2026 | Yanlışsa: Mutabakat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Sözleşme Bedeli (₺) | Neden önemli: Mutabakat ve karar hesabını doğrudan etkiler | Doğru giriş: KDV hariç taşeronluk sözleşme bedeli | Örnek: Örnek: 4800000 | Yanlışsa: Mutabakat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İş Başlangıç Tarihi | Neden önemli: Mutabakat ve karar hesabını doğrudan etkiler | Doğru giriş: Taşeron işinin başlangıcı | Örnek: Örnek: 01.03.2026 | Yanlışsa: Mutabakat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İş Bitiş Tarihi | Neden önemli: Mutabakat ve karar hesabını doğrudan etkiler | Doğru giriş: Taşeron işinin bitişi | Örnek: Örnek: 30.11.2026 | Yanlışsa: Mutabakat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İş Türü | Neden önemli: Mutabakat ve karar hesabını doğrudan etkiler | Doğru giriş: Yapım / Mal / Hizmet | Örnek: Örnek: Yapım | Yanlışsa: Mutabakat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KDV Tevkifatı Uygulanıyor mu? | Neden önemli: Mutabakat ve karar hesabını doğrudan etkiler | Doğru giriş: Yapım işlerinde sorumlu sıfatıyla KDV tevkifatı uygulanır mı? | Örnek: Evet / Hayır | Yanlışsa: Mutabakat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118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A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3</xdr:col>
                <xdr:colOff>9</xdr:colOff>
                <xdr:row>5</xdr:row>
                <xdr:rowOff>18</xdr:rowOff>
              </xdr:to>
            </anchor>
          </commentPr>
        </mc:Choice>
        <mc:Fallback/>
      </mc:AlternateContent>
    </comment>
  </commentList>
</comments>
</file>

<file path=xl/comments6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6" authorId="0">
      <text>
        <r>
          <rPr>
            <sz val="10"/>
            <rFont val="Arial"/>
            <family val="2"/>
          </rPr>
          <t xml:space="preserve">Tanım: Toplam Brüt Hakediş | Neden önemli: Tüm dönemlerin KDV hariç brüt hakediş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Toplam KDV | Neden önemli: Brüt hakedişlerin KDV tutarı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Toplam KDV Tevkifatı | Neden önemli: Sorumlu sıfatıyla tevkif edilen KDV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Toplam Gelir Vergisi Stopajı | Neden önemli: Hakedişlerden kesilen gelir vergisi stopajı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Toplam SGK Kesintisi | Neden önemli: Alt işveren prim sorumluluğu kapsamında ayrılan kesinti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Toplam Teminat Kesintisi | Neden önemli: Sözleşme teminatı kesintisi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Toplam Net Hakediş | Neden önemli: Brüt + KDV - tüm kesintiler; taşeronun hak ettiği net tutar.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Toplam Ödenen | Neden önemli: Taşerona fiilen ödenen tutar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Mutabakat Farkı | Neden önemli: Hak edilen net tutar ile ödenen arasındaki fark.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Mutabakat Farkı Oranı | Neden önemli: Farkın hak edilen net tutara oranı.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Ortalama Kesinti Oranı | Neden önemli: Kesintilerin brüt hakediş içindeki payı.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7" authorId="0">
      <text>
        <r>
          <rPr>
            <sz val="10"/>
            <rFont val="Arial"/>
            <family val="2"/>
          </rPr>
          <t xml:space="preserve">Tanım: Geç Ödeme Günü Ortalaması | Neden önemli: Ödemelerin vadeyi aşan ortalama gün sayısı.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8" authorId="0">
      <text>
        <r>
          <rPr>
            <sz val="10"/>
            <rFont val="Arial"/>
            <family val="2"/>
          </rPr>
          <t xml:space="preserve">Tanım: Gecikme Maliyeti Toplamı | Neden önemli: Geç ödemelerin gecikme faizi oranıyla tahmini maliyeti.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19" authorId="0">
      <text>
        <r>
          <rPr>
            <sz val="10"/>
            <rFont val="Arial"/>
            <family val="2"/>
          </rPr>
          <t xml:space="preserve">Tanım: Hak Kaybı Toplamı | Neden önemli: Mutabakat farkı ve gecikme maliyetinin toplamı.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0" authorId="0">
      <text>
        <r>
          <rPr>
            <sz val="10"/>
            <rFont val="Arial"/>
            <family val="2"/>
          </rPr>
          <t xml:space="preserve">Tanım: Tahsilat Oranı | Neden önemli: Hak edilen net tutarın ne kadarının ödendiği.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1" authorId="0">
      <text>
        <r>
          <rPr>
            <sz val="10"/>
            <rFont val="Arial"/>
            <family val="2"/>
          </rPr>
          <t xml:space="preserve">Tanım: Anomali Hakediş Adedi | Neden önemli: Ortalamadan |Z|&gt;eşik sapan hakediş sayısı.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2" authorId="0">
      <text>
        <r>
          <rPr>
            <sz val="10"/>
            <rFont val="Arial"/>
            <family val="2"/>
          </rPr>
          <t xml:space="preserve">Tanım: Proje Süresi (Ay) | Neden önemli: Taşeron işinin başlangıç-bitiş arası ay sayısı. | Doğru giriş: Otomatik hesaplanır, değiştirmeyin | Yanlışsa: Karar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6" authorId="0">
      <text>
        <r>
          <rPr>
            <sz val="10"/>
            <rFont val="Arial"/>
            <family val="2"/>
          </rPr>
          <t xml:space="preserve">Tanım: Modül T1: Hakediş Zaman Kapsamı | Neden önemli: İlk ve son hakediş tarihi arası gün sayısı.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7" authorId="0">
      <text>
        <r>
          <rPr>
            <sz val="10"/>
            <rFont val="Arial"/>
            <family val="2"/>
          </rPr>
          <t xml:space="preserve">Tanım: Modül T2: Hakediş Eğilimi (dönem başı) | Neden önemli: Hakediş değerlerinin dönem başına değişim eğilimi.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8" authorId="0">
      <text>
        <r>
          <rPr>
            <sz val="10"/>
            <rFont val="Arial"/>
            <family val="2"/>
          </rPr>
          <t xml:space="preserve">Tanım: Modül T3: En Büyük Dönem Hakedişinin Payı | Neden önemli: Toplam hakedişin tek dönemde yoğunlaşma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29" authorId="0">
      <text>
        <r>
          <rPr>
            <sz val="10"/>
            <rFont val="Arial"/>
            <family val="2"/>
          </rPr>
          <t xml:space="preserve">Tanım: Modül T5: Mutabakat Farkı | Neden önemli: Hak edilen ile ödenen arasındaki fark.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0" authorId="0">
      <text>
        <r>
          <rPr>
            <sz val="10"/>
            <rFont val="Arial"/>
            <family val="2"/>
          </rPr>
          <t xml:space="preserve">Tanım: Modül T6: Kesinti Kırılım Oranı | Neden önemli: Mevcut kesinti oranının uyarı eşiğine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1" authorId="0">
      <text>
        <r>
          <rPr>
            <sz val="10"/>
            <rFont val="Arial"/>
            <family val="2"/>
          </rPr>
          <t xml:space="preserve">Tanım: Modül O1: Anomali Oranı | Neden önemli: Z eşiğini aşan hakedişlerin toplam içindeki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2" authorId="0">
      <text>
        <r>
          <rPr>
            <sz val="10"/>
            <rFont val="Arial"/>
            <family val="2"/>
          </rPr>
          <t xml:space="preserve">Tanım: Modül O2: En Etkili Değişken (Tornado) | Neden önemli: Mutabakat farkını en çok etkileyen değişken.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3" authorId="0">
      <text>
        <r>
          <rPr>
            <sz val="10"/>
            <rFont val="Arial"/>
            <family val="2"/>
          </rPr>
          <t xml:space="preserve">Tanım: Modül O3: Baz Senaryo Farkı | Neden önemli: Baz senaryoda hesaplanan mutabakat farkı.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4" authorId="0">
      <text>
        <r>
          <rPr>
            <sz val="10"/>
            <rFont val="Arial"/>
            <family val="2"/>
          </rPr>
          <t xml:space="preserve">Tanım: Modül O4: Geç Ödeme Günü Ortalaması | Neden önemli: Ödemelerin ortalama gecikme süresi (gün).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5" authorId="0">
      <text>
        <r>
          <rPr>
            <sz val="10"/>
            <rFont val="Arial"/>
            <family val="2"/>
          </rPr>
          <t xml:space="preserve">Tanım: Modül O6: Hakediş Yoğunlaşması (HHI) | Neden önemli: Hakediş dağılımının tek dönemde yoğunlaşma endeksi.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6" authorId="0">
      <text>
        <r>
          <rPr>
            <sz val="10"/>
            <rFont val="Arial"/>
            <family val="2"/>
          </rPr>
          <t xml:space="preserve">Tanım: Modül O8: Veri Kalite Skoru | Neden önemli: Giriş kalitesi skoru.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7" authorId="0">
      <text>
        <r>
          <rPr>
            <sz val="10"/>
            <rFont val="Arial"/>
            <family val="2"/>
          </rPr>
          <t xml:space="preserve">Tanım: Modül I1: Hakediş Tahmin Orta Noktası | Neden önemli: Hakediş trendinden bir sonraki dönem projeksiyonu.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8" authorId="0">
      <text>
        <r>
          <rPr>
            <sz val="10"/>
            <rFont val="Arial"/>
            <family val="2"/>
          </rPr>
          <t xml:space="preserve">Tanım: Modül I2: Hakediş P90 | Neden önemli: Hakedişlerin yüzde 90 alt sınırı.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39" authorId="0">
      <text>
        <r>
          <rPr>
            <sz val="10"/>
            <rFont val="Arial"/>
            <family val="2"/>
          </rPr>
          <t xml:space="preserve">Tanım: Modül I3: Ödeme Nakit Akışı Net Bugünkü Değeri | Neden önemli: İskonto edilmiş ödeme akışları toplamı.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40" authorId="0">
      <text>
        <r>
          <rPr>
            <sz val="10"/>
            <rFont val="Arial"/>
            <family val="2"/>
          </rPr>
          <t xml:space="preserve">Tanım: Modül I7: Nakit Açığı Köprüsü (Ek Hakediş İhtiyacı) | Neden önemli: Mutabakat farkını kapatmak için gereken ek brüt hakediş.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41" authorId="0">
      <text>
        <r>
          <rPr>
            <sz val="10"/>
            <rFont val="Arial"/>
            <family val="2"/>
          </rPr>
          <t xml:space="preserve">Tanım: Değer Ölçer: Toplam Kazanım | Neden önemli: Tespit edilen hak kaybı ve gecikme maliyeti toplamı.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  <comment ref="B42" authorId="0">
      <text>
        <r>
          <rPr>
            <sz val="10"/>
            <rFont val="Arial"/>
            <family val="2"/>
          </rPr>
          <t xml:space="preserve">Tanım: Değer Ölçer: Kazanım Oranı | Neden önemli: Kazanımın sözleşme bedeline oranı. | Doğru giriş: Otomatik hesaplanır, değiştirmeyin | Yanlışsa: Modül yorumu bozulur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-15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B7" authorId="0">
      <text>
        <r>
          <rPr>
            <sz val="10"/>
            <rFont val="Arial"/>
            <family val="2"/>
          </rPr>
          <t xml:space="preserve">Tanım: Yüklenici Adı Boş | Neden önemli: Sözleşme kartında yüklenici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Taşeron Adı Boş | Neden önemli: Sözleşme kartında taşeron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Sözleşme Bedeli Boş/Sıfır | Neden önemli: Sözleşme bedeli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0" authorId="0">
      <text>
        <r>
          <rPr>
            <sz val="10"/>
            <rFont val="Arial"/>
            <family val="2"/>
          </rPr>
          <t xml:space="preserve">Tanım: İş Bitiş Tarihi Baştan Önce | Neden önemli: Bitiş tarihi başlangıçtan önce.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1" authorId="0">
      <text>
        <r>
          <rPr>
            <sz val="10"/>
            <rFont val="Arial"/>
            <family val="2"/>
          </rPr>
          <t xml:space="preserve">Tanım: Hakediş Kaydı Yok | Neden önemli: Hakediş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2" authorId="0">
      <text>
        <r>
          <rPr>
            <sz val="10"/>
            <rFont val="Arial"/>
            <family val="2"/>
          </rPr>
          <t xml:space="preserve">Tanım: Ödeme Kaydı Yok | Neden önemli: Ödeme girilmemiş.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3" authorId="0">
      <text>
        <r>
          <rPr>
            <sz val="10"/>
            <rFont val="Arial"/>
            <family val="2"/>
          </rPr>
          <t xml:space="preserve">Tanım: Mutabakat Farkı Yüksek | Neden önemli: Hak edilen ile ödenen arasında fark var.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4" authorId="0">
      <text>
        <r>
          <rPr>
            <sz val="10"/>
            <rFont val="Arial"/>
            <family val="2"/>
          </rPr>
          <t xml:space="preserve">Tanım: Geç Ödeme Yüksek | Neden önemli: Ortalama gecikme eşik üstünde.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5" authorId="0">
      <text>
        <r>
          <rPr>
            <sz val="10"/>
            <rFont val="Arial"/>
            <family val="2"/>
          </rPr>
          <t xml:space="preserve">Tanım: Kesinti Oranı Eşik Üstünde | Neden önemli: Kesinti oranı uyarı eşiğinin üzerinde.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  <comment ref="B16" authorId="0">
      <text>
        <r>
          <rPr>
            <sz val="10"/>
            <rFont val="Arial"/>
            <family val="2"/>
          </rPr>
          <t xml:space="preserve">Tanım: Tahsilat Oranı Düşük | Neden önemli: Hak edilenin %95'inden azı ödenmiş. | Sonuç: PASS/WARN/FAIL otomatik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59</xdr:colOff>
                <xdr:row>8</xdr:row>
                <xdr:rowOff>8</xdr:rowOff>
              </xdr:to>
            </anchor>
          </commentPr>
        </mc:Choice>
        <mc:Fallback/>
      </mc:AlternateContent>
    </comment>
  </commentList>
</comments>
</file>

<file path=xl/comments12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A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B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D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  <comment ref="E9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9</xdr:colOff>
                <xdr:row>5</xdr:row>
                <xdr:rowOff>38</xdr:rowOff>
              </xdr:to>
            </anchor>
          </commentPr>
        </mc:Choice>
        <mc:Fallback/>
      </mc:AlternateContent>
    </comment>
  </commentList>
</comments>
</file>

<file path=xl/comments14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A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A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C6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Bu alan manuel veri girişi içindir | Neden önemli: Girilen değer tüm hesaplamaları ve raporu doğrudan etkiler | Doğru giriş: İstenen türde değer girin | Örnek: Tablo başlığına bakın | Yanlışsa: Sonuçlar yanlış hesaplanır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2</xdr:col>
                <xdr:colOff>179</xdr:colOff>
                <xdr:row>6</xdr:row>
                <xdr:rowOff>18</xdr:rowOff>
              </xdr:to>
            </anchor>
          </commentPr>
        </mc:Choice>
        <mc:Fallback/>
      </mc:AlternateContent>
    </comment>
  </commentList>
</comments>
</file>

<file path=xl/comments15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ExcelArşiv</author>
  </authors>
  <commentList>
    <comment ref="C6" authorId="0">
      <text>
        <r>
          <rPr>
            <sz val="10"/>
            <rFont val="Arial"/>
            <family val="2"/>
          </rPr>
          <t xml:space="preserve">Tanım: firmaUnvani | Neden önemli: Rapor başlığında görünen firma adı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7" authorId="0">
      <text>
        <r>
          <rPr>
            <sz val="10"/>
            <rFont val="Arial"/>
            <family val="2"/>
          </rPr>
          <t xml:space="preserve">Tanım: raporTarihi | Neden önemli: Dosyadaki tek tarih kaynağı; tüm rapor tarihleri buradan okunur.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8" authorId="0">
      <text>
        <r>
          <rPr>
            <sz val="10"/>
            <rFont val="Arial"/>
            <family val="2"/>
          </rPr>
          <t xml:space="preserve">Tanım: KdvOrani | Neden önemli: Katma değer vergisi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9" authorId="0">
      <text>
        <r>
          <rPr>
            <sz val="10"/>
            <rFont val="Arial"/>
            <family val="2"/>
          </rPr>
          <t xml:space="preserve">Tanım: KdvTevkifatOrani | Neden önemli: Yapım işlerinde sorumlu sıfatıyla tevkif edilen KDV oranı (4/10).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0" authorId="0">
      <text>
        <r>
          <rPr>
            <sz val="10"/>
            <rFont val="Arial"/>
            <family val="2"/>
          </rPr>
          <t xml:space="preserve">Tanım: GelirVergisiStopajOrani | Neden önemli: Hakediş ödemelerinde kesilen gelir vergisi stopajı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1" authorId="0">
      <text>
        <r>
          <rPr>
            <sz val="10"/>
            <rFont val="Arial"/>
            <family val="2"/>
          </rPr>
          <t xml:space="preserve">Tanım: SgkKesintiOrani | Neden önemli: Alt işveren prim sorumluluğu kapsamında ayrıştırılan SGK kesinti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2" authorId="0">
      <text>
        <r>
          <rPr>
            <sz val="10"/>
            <rFont val="Arial"/>
            <family val="2"/>
          </rPr>
          <t xml:space="preserve">Tanım: TeminatOrani | Neden önemli: Sözleşme teminat kesintisi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3" authorId="0">
      <text>
        <r>
          <rPr>
            <sz val="10"/>
            <rFont val="Arial"/>
            <family val="2"/>
          </rPr>
          <t xml:space="preserve">Tanım: VadeGun | Neden önemli: Taşeron hakediş ödemelerinde ortalama vade günü.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4" authorId="0">
      <text>
        <r>
          <rPr>
            <sz val="10"/>
            <rFont val="Arial"/>
            <family val="2"/>
          </rPr>
          <t xml:space="preserve">Tanım: GecikmeFaizOrani | Neden önemli: Yıllık gecikme faizi oranı (geç ödeme maliyeti hesabı).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5" authorId="0">
      <text>
        <r>
          <rPr>
            <sz val="10"/>
            <rFont val="Arial"/>
            <family val="2"/>
          </rPr>
          <t xml:space="preserve">Tanım: MutabakatTolerans | Neden önemli: Mutabakat farkı kabul toleransı (₺).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6" authorId="0">
      <text>
        <r>
          <rPr>
            <sz val="10"/>
            <rFont val="Arial"/>
            <family val="2"/>
          </rPr>
          <t xml:space="preserve">Tanım: MutabakatFarkiEsik | Neden önemli: Mutabakat farkı oranı uyarı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7" authorId="0">
      <text>
        <r>
          <rPr>
            <sz val="10"/>
            <rFont val="Arial"/>
            <family val="2"/>
          </rPr>
          <t xml:space="preserve">Tanım: GecOdemeEsik | Neden önemli: Geç ödeme uyarı eşiği (gün).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8" authorId="0">
      <text>
        <r>
          <rPr>
            <sz val="10"/>
            <rFont val="Arial"/>
            <family val="2"/>
          </rPr>
          <t xml:space="preserve">Tanım: KesintiEsik | Neden önemli: Toplam kesinti oranı uyarı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19" authorId="0">
      <text>
        <r>
          <rPr>
            <sz val="10"/>
            <rFont val="Arial"/>
            <family val="2"/>
          </rPr>
          <t xml:space="preserve">Tanım: AnomaliZEsik | Neden önemli: Hakediş anomali |Z|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0" authorId="0">
      <text>
        <r>
          <rPr>
            <sz val="10"/>
            <rFont val="Arial"/>
            <family val="2"/>
          </rPr>
          <t xml:space="preserve">Tanım: VeriKaliteIyiEsik | Neden önemli: Kalite skoru iyi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1" authorId="0">
      <text>
        <r>
          <rPr>
            <sz val="10"/>
            <rFont val="Arial"/>
            <family val="2"/>
          </rPr>
          <t xml:space="preserve">Tanım: VeriKaliteOrtaEsik | Neden önemli: Kalite skoru orta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2" authorId="0">
      <text>
        <r>
          <rPr>
            <sz val="10"/>
            <rFont val="Arial"/>
            <family val="2"/>
          </rPr>
          <t xml:space="preserve">Tanım: VeriKaliteUyariCeza | Neden önemli: Her WARN için skor cezası.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Tanım: SenaryoKotumserKat | Neden önemli: Kötümser senaryo çarpanı.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4" authorId="0">
      <text>
        <r>
          <rPr>
            <sz val="10"/>
            <rFont val="Arial"/>
            <family val="2"/>
          </rPr>
          <t xml:space="preserve">Tanım: SenaryoIyimserKat | Neden önemli: İyimser senaryo çarpanı.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5" authorId="0">
      <text>
        <r>
          <rPr>
            <sz val="10"/>
            <rFont val="Arial"/>
            <family val="2"/>
          </rPr>
          <t xml:space="preserve">Tanım: DuyarliDegisim | Neden önemli: Tornado analizinde değişim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6" authorId="0">
      <text>
        <r>
          <rPr>
            <sz val="10"/>
            <rFont val="Arial"/>
            <family val="2"/>
          </rPr>
          <t xml:space="preserve">Tanım: ParetoEsikOran | Neden önemli: Hakediş yoğunlaşması yüksek kabul eşiği.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7" authorId="0">
      <text>
        <r>
          <rPr>
            <sz val="10"/>
            <rFont val="Arial"/>
            <family val="2"/>
          </rPr>
          <t xml:space="preserve">Tanım: P90Kuantil | Neden önemli: Yüzdelik dağılım analizinde P90 kuantil değeri.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8" authorId="0">
      <text>
        <r>
          <rPr>
            <sz val="10"/>
            <rFont val="Arial"/>
            <family val="2"/>
          </rPr>
          <t xml:space="preserve">Tanım: TahminBantOrani | Neden önemli: Hakediş tahmin aralığı bant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  <comment ref="C29" authorId="0">
      <text>
        <r>
          <rPr>
            <sz val="10"/>
            <rFont val="Arial"/>
            <family val="2"/>
          </rPr>
          <t xml:space="preserve">Tanım: IskontoOrani | Neden önemli: Nakit akışı net bugünkü değer hesabında iskonto oranı. | Doğru giriş: Açıklamaya uygun değer | Örnek: Tablo sütununa bakın | Yanlışsa: Tüm hesaplamalar etkilenir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0</xdr:col>
                <xdr:colOff>79</xdr:colOff>
                <xdr:row>0</xdr:row>
                <xdr:rowOff>2</xdr:rowOff>
              </xdr:from>
              <xdr:to>
                <xdr:col>1</xdr:col>
                <xdr:colOff>177</xdr:colOff>
                <xdr:row>7</xdr:row>
                <xdr:rowOff>8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<sst xmlns="http://schemas.openxmlformats.org/spreadsheetml/2006/main" count="464" uniqueCount="332">
  <si>
    <t xml:space="preserve">TAŞERON/ALT YÜKLENİCİ HAKEDİŞ &amp; KESİNTİ MUTABAKATI</t>
  </si>
  <si>
    <t xml:space="preserve">Taşeron hakedişlerinizdeki kesintileri hesaplayın, ödemelerle mutabakat edin.</t>
  </si>
  <si>
    <t xml:space="preserve">Taşeron/alt yüklenici hakedişlerinden KDV tevkifatı, gelir vergisi stopajı ve diğer kesintiler yapılır. Bu mutabakat aracı; her hakedişin net tutarını, ödenen tutarla farkını, geç ödeme ve gecikme maliyetini üretir.</t>
  </si>
  <si>
    <t xml:space="preserve">1. SOZLESME_KARTI sayfasına yüklenici, taşeron ve sözleşme bilgilerini girin.</t>
  </si>
  <si>
    <t xml:space="preserve">2. HAKEDISLER ve ODEMELER sayfalarını doldurun; kesintiler otomatik hesaplanır.</t>
  </si>
  <si>
    <t xml:space="preserve">3. KARAR sayfasında mutabakat farkını, gecikme maliyetini ve aksiyonları okuyun.</t>
  </si>
  <si>
    <t xml:space="preserve">Bu dosya karar destek aracıdır; mali müşavirlik veya hukuk danışmanlığı yerine geçmez. Kesinti oranları sözleşme ve AYARLAR sayfasından güncellenebilir.</t>
  </si>
  <si>
    <t xml:space="preserve">ExcelArşiv</t>
  </si>
  <si>
    <t xml:space="preserve">Rev 1.0 | 2026-08-09 | Lisans: Tek kullanıcı</t>
  </si>
  <si>
    <t xml:space="preserve">Nasıl kullanılır?</t>
  </si>
  <si>
    <t xml:space="preserve">1. AYARLAR sayfasından vergi ve kesinti oranlarını (KDV, tevkifat, stopaj, SGK, teminat), vade ve eşikleri kontrol edin.</t>
  </si>
  <si>
    <t xml:space="preserve">2. SOZLESME_KARTI sayfasına yüklenici, taşeron, iş ve sözleşme bilgilerini girin.</t>
  </si>
  <si>
    <t xml:space="preserve">3. HAKEDISLER sayfasına dönem bazında brüt hakedişleri girin; kesintiler otomatik çıkar.</t>
  </si>
  <si>
    <t xml:space="preserve">4. ODEMELER sayfasına ödeme tarihi ve ödenen tutarı girin; geç ödeme ve gecikme maliyeti otomatiktir.</t>
  </si>
  <si>
    <t xml:space="preserve">5. KARAR sayfası mutabakat farkını, kesinti oranını ve UYGUN / İNCELE / DURDUR kararını gösterir.</t>
  </si>
  <si>
    <t xml:space="preserve">6. PANO ve RAPOR sayfaları yönetici özetini ve yazdırılabilir raporu sunar.</t>
  </si>
  <si>
    <t xml:space="preserve">7. SENARYO_DUYARLILIK sayfası kötümser/baz/iyimser senaryoları ve duyarlılığı üretir.</t>
  </si>
  <si>
    <t xml:space="preserve">Sık yapılan hatalar</t>
  </si>
  <si>
    <t xml:space="preserve">Hakediş tutarını KDV dahil girmek — tevkifat ve stopaj KDV hariç tutar üzerinden işler.</t>
  </si>
  <si>
    <t xml:space="preserve">Ödeme tarihini hakedişten önce girmek — geç ödeme günü negatif sayılmaz, yanıltır.</t>
  </si>
  <si>
    <t xml:space="preserve">Kesinti oranlarını sözleşme teyidi olmadan değiştirmek — mutabakat farkı yanlış çıkar.</t>
  </si>
  <si>
    <t xml:space="preserve">Ödenen tutarı net yerine brüt girmek — mutabakat farkı olduğundan büyük görünür.</t>
  </si>
  <si>
    <t xml:space="preserve">Kilitli (beyaz/yeşil) hücrelere yazmaya çalışmak — yalnızca sarı hücreler giriş içindir.</t>
  </si>
  <si>
    <t xml:space="preserve">Tüm oranlar ve eşikler AYARLAR sayfasından beslenir; formüle gömülü sayı kullanılmaz.</t>
  </si>
  <si>
    <t xml:space="preserve">SOZLESME KARTI — TAŞERON/ALT YÜKLENİCİ HAKEDİŞ &amp; KESİNTİ MUTABAKATI</t>
  </si>
  <si>
    <t xml:space="preserve">Sözleşme ve Taraflar</t>
  </si>
  <si>
    <t xml:space="preserve">Yüklenici Firma</t>
  </si>
  <si>
    <t xml:space="preserve">Yapı A A.Ş.</t>
  </si>
  <si>
    <t xml:space="preserve">Taşeron/Alt Yüklenici</t>
  </si>
  <si>
    <t xml:space="preserve">Alt Yapı Ltd. Şti.</t>
  </si>
  <si>
    <t xml:space="preserve">Sözleşme Adı</t>
  </si>
  <si>
    <t xml:space="preserve">Betonarme Taşeronluğu</t>
  </si>
  <si>
    <t xml:space="preserve">Sözleşme Tarihi</t>
  </si>
  <si>
    <t xml:space="preserve">Sözleşme Bedeli (₺)</t>
  </si>
  <si>
    <t xml:space="preserve">İş Başlangıç Tarihi</t>
  </si>
  <si>
    <t xml:space="preserve">İş Bitiş Tarihi</t>
  </si>
  <si>
    <t xml:space="preserve">İş Türü</t>
  </si>
  <si>
    <t xml:space="preserve">Yapım</t>
  </si>
  <si>
    <t xml:space="preserve">KDV Tevkifatı Uygulanıyor mu?</t>
  </si>
  <si>
    <t xml:space="preserve">Evet</t>
  </si>
  <si>
    <t xml:space="preserve">Tahsilat Oranı</t>
  </si>
  <si>
    <t xml:space="preserve">Geç Ödeme Günü Ortalaması</t>
  </si>
  <si>
    <t xml:space="preserve">Not: Tahsilat oranı ve gecikme ortalaması veriden formülle üretilir; vade günü AYARLAR sayfasındadır.</t>
  </si>
  <si>
    <t xml:space="preserve">Sarı hücreler manuel giriştir; formül hücreleri kilitli ve korumalıdır.</t>
  </si>
  <si>
    <t xml:space="preserve">HAKEDISLER — TAŞERON/ALT YÜKLENİCİ HAKEDİŞ &amp; KESİNTİ MUTABAKATI</t>
  </si>
  <si>
    <t xml:space="preserve">Taşeron Hakedişleri ve Kesintiler</t>
  </si>
  <si>
    <t xml:space="preserve">Dönem</t>
  </si>
  <si>
    <t xml:space="preserve">Hakediş Tarihi</t>
  </si>
  <si>
    <t xml:space="preserve">Brüt Hakediş (₺)</t>
  </si>
  <si>
    <t xml:space="preserve">KDV (₺)</t>
  </si>
  <si>
    <t xml:space="preserve">KDV Tevkifatı (₺)</t>
  </si>
  <si>
    <t xml:space="preserve">Gelir Vergisi Stopajı (₺)</t>
  </si>
  <si>
    <t xml:space="preserve">SGK Kesintisi (₺)</t>
  </si>
  <si>
    <t xml:space="preserve">Teminat Kesintisi (₺)</t>
  </si>
  <si>
    <t xml:space="preserve">Net Hakediş (₺)</t>
  </si>
  <si>
    <t xml:space="preserve">1. Hakediş</t>
  </si>
  <si>
    <t xml:space="preserve">2. Hakediş</t>
  </si>
  <si>
    <t xml:space="preserve">3. Hakediş</t>
  </si>
  <si>
    <t xml:space="preserve">4. Hakediş</t>
  </si>
  <si>
    <t xml:space="preserve">5. Hakediş</t>
  </si>
  <si>
    <t xml:space="preserve">6. Hakediş</t>
  </si>
  <si>
    <t xml:space="preserve">7. Hakediş</t>
  </si>
  <si>
    <t xml:space="preserve">8. Hakediş</t>
  </si>
  <si>
    <t xml:space="preserve">9. Hakediş</t>
  </si>
  <si>
    <t xml:space="preserve">KDV, tevkifat, stopaj, SGK, teminat ve net tutar formülle üretilir; yalnızca ilk üç kolon giriştir.</t>
  </si>
  <si>
    <t xml:space="preserve">ODEMELER — TAŞERON/ALT YÜKLENİCİ HAKEDİŞ &amp; KESİNTİ MUTABAKATI</t>
  </si>
  <si>
    <t xml:space="preserve">Ödemeler ve Gecikme Hesabı</t>
  </si>
  <si>
    <t xml:space="preserve">Ödeme Tarihi</t>
  </si>
  <si>
    <t xml:space="preserve">Ödenen Tutar (₺)</t>
  </si>
  <si>
    <t xml:space="preserve">Geç Ödeme Gün</t>
  </si>
  <si>
    <t xml:space="preserve">Gecikme Maliyeti (₺)</t>
  </si>
  <si>
    <t xml:space="preserve">Geç ödeme günü, ödeme tarihinin vadeyi aşan kısmıdır; gecikme maliyeti oran ve gün üzerinden otomatiktir.</t>
  </si>
  <si>
    <t xml:space="preserve">MOTOR — TAŞERON/ALT YÜKLENİCİ HAKEDİŞ &amp; KESİNTİ MUTABAKATI</t>
  </si>
  <si>
    <t xml:space="preserve">Hesaplama Motoru — Kesinti, Mutabakat ve Gecikme</t>
  </si>
  <si>
    <t xml:space="preserve">Toplam Brüt Hakediş</t>
  </si>
  <si>
    <t xml:space="preserve">Toplam KDV</t>
  </si>
  <si>
    <t xml:space="preserve">Toplam KDV Tevkifatı</t>
  </si>
  <si>
    <t xml:space="preserve">Toplam Gelir Vergisi Stopajı</t>
  </si>
  <si>
    <t xml:space="preserve">Toplam SGK Kesintisi</t>
  </si>
  <si>
    <t xml:space="preserve">Toplam Teminat Kesintisi</t>
  </si>
  <si>
    <t xml:space="preserve">Toplam Net Hakediş</t>
  </si>
  <si>
    <t xml:space="preserve">Toplam Ödenen</t>
  </si>
  <si>
    <t xml:space="preserve">Mutabakat Farkı</t>
  </si>
  <si>
    <t xml:space="preserve">Mutabakat Farkı Oranı</t>
  </si>
  <si>
    <t xml:space="preserve">Ortalama Kesinti Oranı</t>
  </si>
  <si>
    <t xml:space="preserve">Gecikme Maliyeti Toplamı</t>
  </si>
  <si>
    <t xml:space="preserve">Hak Kaybı Toplamı</t>
  </si>
  <si>
    <t xml:space="preserve">Anomali Hakediş Adedi</t>
  </si>
  <si>
    <t xml:space="preserve">Proje Süresi (Ay)</t>
  </si>
  <si>
    <t xml:space="preserve">Analitik Modül Hesapları</t>
  </si>
  <si>
    <t xml:space="preserve">Modül T1: Hakediş Zaman Kapsamı</t>
  </si>
  <si>
    <t xml:space="preserve">Modül T2: Hakediş Eğilimi (dönem başı)</t>
  </si>
  <si>
    <t xml:space="preserve">Modül T3: En Büyük Dönem Hakedişinin Payı</t>
  </si>
  <si>
    <t xml:space="preserve">Modül T5: Mutabakat Farkı</t>
  </si>
  <si>
    <t xml:space="preserve">Modül T6: Kesinti Kırılım Oranı</t>
  </si>
  <si>
    <t xml:space="preserve">Modül O1: Anomali Oranı</t>
  </si>
  <si>
    <t xml:space="preserve">Modül O2: En Etkili Değişken (Tornado)</t>
  </si>
  <si>
    <t xml:space="preserve">Modül O3: Baz Senaryo Farkı</t>
  </si>
  <si>
    <t xml:space="preserve">Modül O4: Geç Ödeme Günü Ortalaması</t>
  </si>
  <si>
    <t xml:space="preserve">Modül O6: Hakediş Yoğunlaşması (HHI)</t>
  </si>
  <si>
    <t xml:space="preserve">Modül O8: Veri Kalite Skoru</t>
  </si>
  <si>
    <t xml:space="preserve">Modül I1: Hakediş Tahmin Orta Noktası</t>
  </si>
  <si>
    <t xml:space="preserve">Modül I2: Hakediş P90</t>
  </si>
  <si>
    <t xml:space="preserve">Modül I3: Ödeme Nakit Akışı Net Bugünkü Değeri</t>
  </si>
  <si>
    <t xml:space="preserve">Modül I7: Nakit Açığı Köprüsü (Ek Hakediş İhtiyacı)</t>
  </si>
  <si>
    <t xml:space="preserve">Değer Ölçer: Toplam Kazanım</t>
  </si>
  <si>
    <t xml:space="preserve">Değer Ölçer: Kazanım Oranı</t>
  </si>
  <si>
    <t xml:space="preserve">Modül Makine Yorumları</t>
  </si>
  <si>
    <t xml:space="preserve">T1 Zaman Kapsamı</t>
  </si>
  <si>
    <t xml:space="preserve">T2 Hakediş Eğilimi</t>
  </si>
  <si>
    <t xml:space="preserve">T3 Pareto Hakediş Payı</t>
  </si>
  <si>
    <t xml:space="preserve">T5 Mutabakat Farkı</t>
  </si>
  <si>
    <t xml:space="preserve">T6 Kesinti Kırılımı</t>
  </si>
  <si>
    <t xml:space="preserve">O1 Anomali Oranı</t>
  </si>
  <si>
    <t xml:space="preserve">O2 Tornado Zirve</t>
  </si>
  <si>
    <t xml:space="preserve">O3 Senaryo Baz Fark</t>
  </si>
  <si>
    <t xml:space="preserve">O4 Geç Ödeme Günü</t>
  </si>
  <si>
    <t xml:space="preserve">O6 Yoğunlaşma HHI</t>
  </si>
  <si>
    <t xml:space="preserve">O8 Veri Kalite Skoru</t>
  </si>
  <si>
    <t xml:space="preserve">I1 Tahmin Orta</t>
  </si>
  <si>
    <t xml:space="preserve">I2 Yüzdelik P90</t>
  </si>
  <si>
    <t xml:space="preserve">I3 Ödeme NPV</t>
  </si>
  <si>
    <t xml:space="preserve">I7 Nakit Açığı Köprüsü</t>
  </si>
  <si>
    <t xml:space="preserve">Tüm hesaplar tablolardan ve AYARLAR'daki oranlardan beslenir; gömülü sabit yoktur.</t>
  </si>
  <si>
    <t xml:space="preserve">KONTROL — TAŞERON/ALT YÜKLENİCİ HAKEDİŞ &amp; KESİNTİ MUTABAKATI</t>
  </si>
  <si>
    <t xml:space="preserve">Veri Kalitesi ve Sağlık Kontrolü</t>
  </si>
  <si>
    <t xml:space="preserve">A. GİRİŞ TAMLIK KONTROLÜ</t>
  </si>
  <si>
    <t xml:space="preserve">Yüklenici Adı Boş</t>
  </si>
  <si>
    <t xml:space="preserve">Taşeron Adı Boş</t>
  </si>
  <si>
    <t xml:space="preserve">Sözleşme Bedeli Boş/Sıfır</t>
  </si>
  <si>
    <t xml:space="preserve">İş Bitiş Tarihi Baştan Önce</t>
  </si>
  <si>
    <t xml:space="preserve">Hakediş Kaydı Yok</t>
  </si>
  <si>
    <t xml:space="preserve">Ödeme Kaydı Yok</t>
  </si>
  <si>
    <t xml:space="preserve">Mutabakat Farkı Yüksek</t>
  </si>
  <si>
    <t xml:space="preserve">Geç Ödeme Yüksek</t>
  </si>
  <si>
    <t xml:space="preserve">Kesinti Oranı Eşik Üstünde</t>
  </si>
  <si>
    <t xml:space="preserve">Tahsilat Oranı Düşük</t>
  </si>
  <si>
    <t xml:space="preserve">B. SKOR VE SAĞLIK</t>
  </si>
  <si>
    <t xml:space="preserve">PASS Sayısı</t>
  </si>
  <si>
    <t xml:space="preserve">FAIL Sayısı</t>
  </si>
  <si>
    <t xml:space="preserve">Veri Kalite Skoru (0-100)</t>
  </si>
  <si>
    <t xml:space="preserve">Güven Seviyesi</t>
  </si>
  <si>
    <t xml:space="preserve">Durum</t>
  </si>
  <si>
    <t xml:space="preserve">Skor ve sağlık durumu formülle üretilir; sahte veri yoktur.</t>
  </si>
  <si>
    <t xml:space="preserve">KARAR — TAŞERON/ALT YÜKLENİCİ HAKEDİŞ &amp; KESİNTİ MUTABAKATI</t>
  </si>
  <si>
    <t xml:space="preserve">Karar Motoru</t>
  </si>
  <si>
    <t xml:space="preserve">MUTABAKAT VE KESİNTİ ÖZETİ</t>
  </si>
  <si>
    <t xml:space="preserve">Kesinti Oranı</t>
  </si>
  <si>
    <t xml:space="preserve">KARAR</t>
  </si>
  <si>
    <t xml:space="preserve">GEREKÇE</t>
  </si>
  <si>
    <t xml:space="preserve">AKSİYONLAR</t>
  </si>
  <si>
    <t xml:space="preserve">Karar, gerekçe ve aksiyonlar makine tarafından üretilir; yalnızca sarı hücreler değiştirilebilir.</t>
  </si>
  <si>
    <t xml:space="preserve">PANO — TAŞERON/ALT YÜKLENİCİ HAKEDİŞ &amp; KESİNTİ MUTABAKATI</t>
  </si>
  <si>
    <t xml:space="preserve">Yönetici Özeti</t>
  </si>
  <si>
    <t xml:space="preserve">TOPLAM NET HAKEDİŞ</t>
  </si>
  <si>
    <t xml:space="preserve">MUTABAKAT FARKI</t>
  </si>
  <si>
    <t xml:space="preserve">KESİNTİ ORANI</t>
  </si>
  <si>
    <t xml:space="preserve">Toplam Stopaj</t>
  </si>
  <si>
    <t xml:space="preserve">Veri Kalite Skoru</t>
  </si>
  <si>
    <t xml:space="preserve">EN KRİTİK 3 İÇGÖRÜ</t>
  </si>
  <si>
    <t xml:space="preserve">Hakediş ve Kesinti Dağılımı</t>
  </si>
  <si>
    <t xml:space="preserve">Net Hakediş</t>
  </si>
  <si>
    <t xml:space="preserve">Kesintiler</t>
  </si>
  <si>
    <t xml:space="preserve">Hak Edilen vs Ödenen</t>
  </si>
  <si>
    <t xml:space="preserve">Ödenen</t>
  </si>
  <si>
    <t xml:space="preserve">Kesinti Kalemleri</t>
  </si>
  <si>
    <t xml:space="preserve">KDV Tevkifatı</t>
  </si>
  <si>
    <t xml:space="preserve">Gelir Vergisi</t>
  </si>
  <si>
    <t xml:space="preserve">SGK</t>
  </si>
  <si>
    <t xml:space="preserve">Teminat</t>
  </si>
  <si>
    <t xml:space="preserve">SENARYO DUYARLILIK — TAŞERON/ALT YÜKLENİCİ HAKEDİŞ &amp; KESİNTİ MUTABAKATI</t>
  </si>
  <si>
    <t xml:space="preserve">Senaryo ve Duyarlılık Analizi</t>
  </si>
  <si>
    <t xml:space="preserve">A. SENARYO MOTORU</t>
  </si>
  <si>
    <t xml:space="preserve">Senaryo</t>
  </si>
  <si>
    <t xml:space="preserve">Hakediş Çarpanı</t>
  </si>
  <si>
    <t xml:space="preserve">Ödeme Çarpanı</t>
  </si>
  <si>
    <t xml:space="preserve">Mutabakat Farkı (₺)</t>
  </si>
  <si>
    <t xml:space="preserve">Fark Oranı</t>
  </si>
  <si>
    <t xml:space="preserve">Karar</t>
  </si>
  <si>
    <t xml:space="preserve">KÖTÜMSER</t>
  </si>
  <si>
    <t xml:space="preserve">BAZ</t>
  </si>
  <si>
    <t xml:space="preserve">İYİMSER</t>
  </si>
  <si>
    <t xml:space="preserve">B. TORNADO / DUYARLILIK</t>
  </si>
  <si>
    <t xml:space="preserve">Değişken</t>
  </si>
  <si>
    <t xml:space="preserve">Alt (-%5)</t>
  </si>
  <si>
    <t xml:space="preserve">Baz</t>
  </si>
  <si>
    <t xml:space="preserve">Üst (+%5)</t>
  </si>
  <si>
    <t xml:space="preserve">Fark Alt</t>
  </si>
  <si>
    <t xml:space="preserve">Fark Üst</t>
  </si>
  <si>
    <t xml:space="preserve">Etki (puan)</t>
  </si>
  <si>
    <t xml:space="preserve">Hakediş Değişimi</t>
  </si>
  <si>
    <t xml:space="preserve">Ödeme Değişimi</t>
  </si>
  <si>
    <t xml:space="preserve">C. EŞİK / KIRILIM ANALİZİ</t>
  </si>
  <si>
    <t xml:space="preserve">Kırılım: Mutabakat Farkını Sıfırlayan Ödeme Artışı</t>
  </si>
  <si>
    <t xml:space="preserve">Mutabakat Farkı Oranı - Eşik Farkı</t>
  </si>
  <si>
    <t xml:space="preserve">Değer Ölçer: Net Hakediş + Gecikme Maliyeti</t>
  </si>
  <si>
    <t xml:space="preserve">Senaryo çarpanları ve duyarlılık oranı AYARLAR'dan gelir.</t>
  </si>
  <si>
    <t xml:space="preserve">TAŞERON HAKEDİŞ VE KESİNTİ MUTABAKAT RAPORU</t>
  </si>
  <si>
    <t xml:space="preserve">1. ÖZET</t>
  </si>
  <si>
    <t xml:space="preserve">Sözleşme Bedeli</t>
  </si>
  <si>
    <t xml:space="preserve">2. KARAR GEREKÇESİ</t>
  </si>
  <si>
    <t xml:space="preserve">3. VARSAYIMLAR</t>
  </si>
  <si>
    <t xml:space="preserve">• KDV oranı, tevkifat, stopaj, SGK ve teminat oranları AYARLAR sayfasından alınır.</t>
  </si>
  <si>
    <t xml:space="preserve">• Geç ödeme günü, ödeme tarihinin vadeyi aşan kısmıdır; gecikme maliyeti yıllık faiz oranından günlüğe çevrilir.</t>
  </si>
  <si>
    <t xml:space="preserve">• Mutabakat farkı, hak edilen net tutar ile fiilen ödenen tutar arasındaki farktır.</t>
  </si>
  <si>
    <t xml:space="preserve">• SGK kesintisi, alt işveren prim sorumluluğu kapsamında sözleşme hükümlerine göre yapılan ayrıştırmadır.</t>
  </si>
  <si>
    <t xml:space="preserve">4. UYARILAR</t>
  </si>
  <si>
    <t xml:space="preserve">5. ÖNERİLEN AKSİYONLAR</t>
  </si>
  <si>
    <t xml:space="preserve">Bu rapor karar destek çıktısıdır; mali müşavirlik veya hukuk danışmanlığı yerine geçmez.</t>
  </si>
  <si>
    <t xml:space="preserve">ORNEK VERI — TAŞERON/ALT YÜKLENİCİ HAKEDİŞ &amp; KESİNTİ MUTABAKATI</t>
  </si>
  <si>
    <t xml:space="preserve">Örnek Veri ve İçe Aktarma Yapısı</t>
  </si>
  <si>
    <t xml:space="preserve">Bu sayfa otomasyon ve içe aktarma için yapıdır; hakediş satırlarını CSV/Excel'den kopyalayabilirsiniz.</t>
  </si>
  <si>
    <t xml:space="preserve">Örnek veri giriş sayfalarını beslemek için değil, yapıyı göstermek içindir.</t>
  </si>
  <si>
    <t xml:space="preserve">DEGISIKLIK KAYDI — TAŞERON/ALT YÜKLENİCİ HAKEDİŞ &amp; KESİNTİ MUTABAKATI</t>
  </si>
  <si>
    <t xml:space="preserve">Değişiklik Kaydı</t>
  </si>
  <si>
    <t xml:space="preserve">Tarih</t>
  </si>
  <si>
    <t xml:space="preserve">Sürüm</t>
  </si>
  <si>
    <t xml:space="preserve">Değişiklik</t>
  </si>
  <si>
    <t xml:space="preserve">09.08.2026</t>
  </si>
  <si>
    <t xml:space="preserve">1.0</t>
  </si>
  <si>
    <t xml:space="preserve">İlk sürüm: KDV tevkifatı, stopaj, SGK ve teminat kesintileri; hakediş-ödeme mutabakatı, geç ödeme ve gecikme maliyeti.</t>
  </si>
  <si>
    <t xml:space="preserve">Sürüm izi ve lisans bilgisi KAPAK sayfasında da yer alır.</t>
  </si>
  <si>
    <t xml:space="preserve">LISTELER — TAŞERON/ALT YÜKLENİCİ HAKEDİŞ &amp; KESİNTİ MUTABAKATI</t>
  </si>
  <si>
    <t xml:space="preserve">Açılır Liste Kaynakları</t>
  </si>
  <si>
    <t xml:space="preserve">Evet/Hayır</t>
  </si>
  <si>
    <t xml:space="preserve">Hayır</t>
  </si>
  <si>
    <t xml:space="preserve">Mal</t>
  </si>
  <si>
    <t xml:space="preserve">Hizmet</t>
  </si>
  <si>
    <t xml:space="preserve">Listeler AYARLAR sayfasındaki ayarlarla birlikte doğrulama aralıklarını besler.</t>
  </si>
  <si>
    <t xml:space="preserve">AYARLAR — TAŞERON/ALT YÜKLENİCİ HAKEDİŞ &amp; KESİNTİ MUTABAKATI</t>
  </si>
  <si>
    <t xml:space="preserve">Ayarlar ve Eşikler (Formüle Sabit Sayı Girilmez)</t>
  </si>
  <si>
    <t xml:space="preserve">Tüm katsayı ve eşikler bu sayfadadır. Mevzuat değişikliklerinde AYARLAR'dan güncellenir; formüller değişmez. Kaynağı Varsayım işaretli değerler kullanıcı tarafından doğrulanmalıdır.</t>
  </si>
  <si>
    <t xml:space="preserve">Grup</t>
  </si>
  <si>
    <t xml:space="preserve">Anahtar</t>
  </si>
  <si>
    <t xml:space="preserve">Değer</t>
  </si>
  <si>
    <t xml:space="preserve">Birim</t>
  </si>
  <si>
    <t xml:space="preserve">Açıklama</t>
  </si>
  <si>
    <t xml:space="preserve">kaynak</t>
  </si>
  <si>
    <t xml:space="preserve">yururluk_tarihi</t>
  </si>
  <si>
    <t xml:space="preserve">dogrulama_tarihi</t>
  </si>
  <si>
    <t xml:space="preserve">Genel</t>
  </si>
  <si>
    <t xml:space="preserve">firmaUnvani</t>
  </si>
  <si>
    <t xml:space="preserve">Örnek Yapı A.Ş.</t>
  </si>
  <si>
    <t xml:space="preserve">metin</t>
  </si>
  <si>
    <t xml:space="preserve">Rapor başlığında görünen firma adı</t>
  </si>
  <si>
    <t xml:space="preserve">Kullanıcı</t>
  </si>
  <si>
    <t xml:space="preserve">raporTarihi</t>
  </si>
  <si>
    <t xml:space="preserve">tarih</t>
  </si>
  <si>
    <t xml:space="preserve">Dosyadaki tek tarih kaynağı; tüm rapor tarihleri buradan okunur.</t>
  </si>
  <si>
    <t xml:space="preserve">Vergi</t>
  </si>
  <si>
    <t xml:space="preserve">KdvOrani</t>
  </si>
  <si>
    <t xml:space="preserve">oran</t>
  </si>
  <si>
    <t xml:space="preserve">Katma değer vergisi oranı.</t>
  </si>
  <si>
    <t xml:space="preserve">KDV Kanunu md.28</t>
  </si>
  <si>
    <t xml:space="preserve">25.10.1984</t>
  </si>
  <si>
    <t xml:space="preserve">KdvTevkifatOrani</t>
  </si>
  <si>
    <t xml:space="preserve">Yapım işlerinde sorumlu sıfatıyla tevkif edilen KDV oranı (4/10).</t>
  </si>
  <si>
    <t xml:space="preserve">KDV Genel Uygulama Tebliği</t>
  </si>
  <si>
    <t xml:space="preserve">26.04.2018</t>
  </si>
  <si>
    <t xml:space="preserve">GelirVergisiStopajOrani</t>
  </si>
  <si>
    <t xml:space="preserve">Hakediş ödemelerinde kesilen gelir vergisi stopajı oranı.</t>
  </si>
  <si>
    <t xml:space="preserve">GVK md.94</t>
  </si>
  <si>
    <t xml:space="preserve">01.01.2006</t>
  </si>
  <si>
    <t xml:space="preserve">Kesinti</t>
  </si>
  <si>
    <t xml:space="preserve">SgkKesintiOrani</t>
  </si>
  <si>
    <t xml:space="preserve">Alt işveren prim sorumluluğu kapsamında ayrıştırılan SGK kesinti oranı.</t>
  </si>
  <si>
    <t xml:space="preserve">5510 s. Kanun; sözleşme hükmü</t>
  </si>
  <si>
    <t xml:space="preserve">01.10.2008</t>
  </si>
  <si>
    <t xml:space="preserve">TeminatOrani</t>
  </si>
  <si>
    <t xml:space="preserve">Sözleşme teminat kesintisi oranı.</t>
  </si>
  <si>
    <t xml:space="preserve">Sözleşme hükmü</t>
  </si>
  <si>
    <t xml:space="preserve">Ödeme</t>
  </si>
  <si>
    <t xml:space="preserve">VadeGun</t>
  </si>
  <si>
    <t xml:space="preserve">gün</t>
  </si>
  <si>
    <t xml:space="preserve">Taşeron hakediş ödemelerinde ortalama vade günü.</t>
  </si>
  <si>
    <t xml:space="preserve">GecikmeFaizOrani</t>
  </si>
  <si>
    <t xml:space="preserve">Yıllık gecikme faizi oranı (geç ödeme maliyeti hesabı).</t>
  </si>
  <si>
    <t xml:space="preserve">TBK md.117-120; sözleşme hükmü</t>
  </si>
  <si>
    <t xml:space="preserve">11.01.2011</t>
  </si>
  <si>
    <t xml:space="preserve">Eşik</t>
  </si>
  <si>
    <t xml:space="preserve">MutabakatTolerans</t>
  </si>
  <si>
    <t xml:space="preserve">₺</t>
  </si>
  <si>
    <t xml:space="preserve">Mutabakat farkı kabul toleransı (₺).</t>
  </si>
  <si>
    <t xml:space="preserve">Varsayım</t>
  </si>
  <si>
    <t xml:space="preserve">MutabakatFarkiEsik</t>
  </si>
  <si>
    <t xml:space="preserve">Mutabakat farkı oranı uyarı eşiği.</t>
  </si>
  <si>
    <t xml:space="preserve">GecOdemeEsik</t>
  </si>
  <si>
    <t xml:space="preserve">Geç ödeme uyarı eşiği (gün).</t>
  </si>
  <si>
    <t xml:space="preserve">KesintiEsik</t>
  </si>
  <si>
    <t xml:space="preserve">Toplam kesinti oranı uyarı eşiği.</t>
  </si>
  <si>
    <t xml:space="preserve">AnomaliZEsik</t>
  </si>
  <si>
    <t xml:space="preserve">Hakediş anomali |Z| eşiği.</t>
  </si>
  <si>
    <t xml:space="preserve">VeriKaliteIyiEsik</t>
  </si>
  <si>
    <t xml:space="preserve">puan</t>
  </si>
  <si>
    <t xml:space="preserve">Kalite skoru iyi eşiği.</t>
  </si>
  <si>
    <t xml:space="preserve">VeriKaliteOrtaEsik</t>
  </si>
  <si>
    <t xml:space="preserve">Kalite skoru orta eşiği.</t>
  </si>
  <si>
    <t xml:space="preserve">VeriKaliteUyariCeza</t>
  </si>
  <si>
    <t xml:space="preserve">Her WARN için skor cezası.</t>
  </si>
  <si>
    <t xml:space="preserve">SenaryoKotumserKat</t>
  </si>
  <si>
    <t xml:space="preserve">Kötümser senaryo çarpanı.</t>
  </si>
  <si>
    <t xml:space="preserve">SenaryoIyimserKat</t>
  </si>
  <si>
    <t xml:space="preserve">İyimser senaryo çarpanı.</t>
  </si>
  <si>
    <t xml:space="preserve">Duyarlılık</t>
  </si>
  <si>
    <t xml:space="preserve">DuyarliDegisim</t>
  </si>
  <si>
    <t xml:space="preserve">Tornado analizinde değişim oranı.</t>
  </si>
  <si>
    <t xml:space="preserve">ParetoEsikOran</t>
  </si>
  <si>
    <t xml:space="preserve">Hakediş yoğunlaşması yüksek kabul eşiği.</t>
  </si>
  <si>
    <t xml:space="preserve">Tahmin</t>
  </si>
  <si>
    <t xml:space="preserve">P90Kuantil</t>
  </si>
  <si>
    <t xml:space="preserve">Yüzdelik dağılım analizinde P90 kuantil değeri.</t>
  </si>
  <si>
    <t xml:space="preserve">TahminBantOrani</t>
  </si>
  <si>
    <t xml:space="preserve">Hakediş tahmin aralığı bant oranı.</t>
  </si>
  <si>
    <t xml:space="preserve">Nakit</t>
  </si>
  <si>
    <t xml:space="preserve">IskontoOrani</t>
  </si>
  <si>
    <t xml:space="preserve">Nakit akışı net bugünkü değer hesabında iskonto oranı.</t>
  </si>
  <si>
    <t xml:space="preserve">Not: raporTarihi dışında TODAY()/NOW() gibi volatil fonksiyon kullanılmaz.</t>
  </si>
  <si>
    <t xml:space="preserve">Gelişmiş ayarlar; ana kullanıcının değiştirmesi gerekmez.</t>
  </si>
  <si>
    <t xml:space="preserve">KILAVUZ — TAŞERON/ALT YÜKLENİCİ HAKEDİŞ &amp; KESİNTİ MUTABAKATI</t>
  </si>
  <si>
    <t xml:space="preserve">Kullanım Kılavuzu</t>
  </si>
  <si>
    <t xml:space="preserve">1. Ne yapar?</t>
  </si>
  <si>
    <t xml:space="preserve">2. Hangi sayfa sırasıyla gidilir?</t>
  </si>
  <si>
    <t xml:space="preserve">3. Sarı hücreler ne demek?</t>
  </si>
  <si>
    <t xml:space="preserve">4. Kesintiler nasıl hesaplanır?</t>
  </si>
  <si>
    <t xml:space="preserve">5. Mutabakat nasıl çalışır?</t>
  </si>
  <si>
    <t xml:space="preserve">6. Karar nasıl okunur?</t>
  </si>
  <si>
    <t xml:space="preserve">7. Güvenlik ve KVKK</t>
  </si>
  <si>
    <t xml:space="preserve">8. Kaynaklar ve varsayımlar</t>
  </si>
  <si>
    <t xml:space="preserve">9. Ortam beyanı</t>
  </si>
  <si>
    <t xml:space="preserve">10. Yasal çekince</t>
  </si>
  <si>
    <t xml:space="preserve">Bu araç karar destek amaçlıdır; mali müşavirlik ve hukuk danışmanlığı yerine geçmez. Kesinti oranları ve vade koşulları sözleşmeden, gecikme faizi mevzuattan teyit edilmelidir.</t>
  </si>
  <si>
    <t xml:space="preserve">ExcelArşiv | Taşeron/Alt Yüklenici Hakediş &amp; Kesinti Mutabakatı | Rev 1.0 | 2026-08-09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</si>
</sst>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/mm/yyyy"/>
    <numFmt numFmtId="166" formatCode="&quot;₺ &quot;#,##0;[RED]&quot;(₺ &quot;#,##0\);\-"/>
    <numFmt numFmtId="167" formatCode="0.0%;[RED]\(0.0%\);\-"/>
    <numFmt numFmtId="168" formatCode="#,##0"/>
    <numFmt numFmtId="169" formatCode="0&quot; gün&quot;"/>
    <numFmt numFmtId="170" formatCode="#,##0.00"/>
  </numFmts>
  <fonts count="3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Segoe UI"/>
      <family val="0"/>
      <charset val="1"/>
    </font>
    <font>
      <b val="true"/>
      <sz val="13"/>
      <color rgb="FF1F4E79"/>
      <name val="Segoe UI"/>
      <family val="0"/>
      <charset val="1"/>
    </font>
    <font>
      <sz val="11"/>
      <color rgb="FF595959"/>
      <name val="Segoe UI"/>
      <family val="0"/>
      <charset val="1"/>
    </font>
    <font>
      <b val="true"/>
      <sz val="11"/>
      <color rgb="FF000000"/>
      <name val="Segoe UI"/>
      <family val="0"/>
      <charset val="1"/>
    </font>
    <font>
      <sz val="10"/>
      <color rgb="FFB3261E"/>
      <name val="Segoe UI"/>
      <family val="0"/>
      <charset val="1"/>
    </font>
    <font>
      <b val="true"/>
      <sz val="10"/>
      <color rgb="FF1F4E79"/>
      <name val="Segoe UI"/>
      <family val="0"/>
      <charset val="1"/>
    </font>
    <font>
      <sz val="9"/>
      <color rgb="FF595959"/>
      <name val="Segoe UI"/>
      <family val="0"/>
      <charset val="1"/>
    </font>
    <font>
      <b val="true"/>
      <sz val="13"/>
      <color rgb="FF0F2742"/>
      <name val="Segoe UI"/>
      <family val="0"/>
      <charset val="1"/>
    </font>
    <font>
      <sz val="10"/>
      <color rgb="FF333333"/>
      <name val="Segoe UI"/>
      <family val="0"/>
      <charset val="1"/>
    </font>
    <font>
      <b val="true"/>
      <sz val="12"/>
      <color rgb="FFB3261E"/>
      <name val="Segoe UI"/>
      <family val="0"/>
      <charset val="1"/>
    </font>
    <font>
      <sz val="10"/>
      <color rgb="FF1F4E79"/>
      <name val="Segoe UI"/>
      <family val="0"/>
      <charset val="1"/>
    </font>
    <font>
      <b val="true"/>
      <sz val="14"/>
      <color rgb="FFFFFFFF"/>
      <name val="Segoe UI"/>
      <family val="0"/>
      <charset val="1"/>
    </font>
    <font>
      <b val="true"/>
      <sz val="12"/>
      <color rgb="FF0F2742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  <font>
      <sz val="10"/>
      <color rgb="FF006100"/>
      <name val="Segoe UI"/>
      <family val="0"/>
      <charset val="1"/>
    </font>
    <font>
      <sz val="10"/>
      <name val="Arial"/>
      <family val="2"/>
    </font>
    <font>
      <b val="true"/>
      <sz val="10"/>
      <color rgb="FFFFFFFF"/>
      <name val="Segoe UI"/>
      <family val="0"/>
      <charset val="1"/>
    </font>
    <font>
      <b val="true"/>
      <sz val="10"/>
      <color rgb="FF0F2742"/>
      <name val="Segoe UI"/>
      <family val="0"/>
      <charset val="1"/>
    </font>
    <font>
      <sz val="9"/>
      <color rgb="FF1F4E79"/>
      <name val="Segoe UI"/>
      <family val="0"/>
      <charset val="1"/>
    </font>
    <font>
      <b val="true"/>
      <sz val="10"/>
      <color rgb="FF006100"/>
      <name val="Segoe UI"/>
      <family val="0"/>
      <charset val="1"/>
    </font>
    <font>
      <b val="true"/>
      <sz val="13"/>
      <color rgb="FF000000"/>
      <name val="Segoe UI"/>
      <family val="0"/>
      <charset val="1"/>
    </font>
    <font>
      <b val="true"/>
      <sz val="14"/>
      <color rgb="FF0F2742"/>
      <name val="Segoe U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9"/>
      <color rgb="FFB3261E"/>
      <name val="Segoe UI"/>
      <family val="0"/>
      <charset val="1"/>
    </font>
    <font>
      <sz val="8"/>
      <color rgb="FF595959"/>
      <name val="Segoe UI"/>
      <family val="0"/>
      <charset val="1"/>
    </font>
    <font>
      <sz val="10"/>
      <color rgb="FF595959"/>
      <name val="Segoe UI"/>
      <family val="0"/>
      <charset val="1"/>
    </font>
    <font>
      <sz val="9"/>
      <color rgb="FF000000"/>
      <name val="Segoe UI"/>
      <family val="0"/>
      <charset val="1"/>
    </font>
    <font>
      <b val="true"/>
      <sz val="11"/>
      <color rgb="FF0F2742"/>
      <name val="Segoe U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F2F2F2"/>
        <bgColor rgb="FFEEF2F7"/>
      </patternFill>
    </fill>
    <fill>
      <patternFill patternType="solid">
        <fgColor rgb="FFFFF2CC"/>
        <bgColor rgb="FFFDE9E9"/>
      </patternFill>
    </fill>
    <fill>
      <patternFill patternType="solid">
        <fgColor rgb="FF1F4E79"/>
        <bgColor rgb="FF333333"/>
      </patternFill>
    </fill>
    <fill>
      <patternFill patternType="solid">
        <fgColor rgb="FFEEF2F7"/>
        <bgColor rgb="FFF2F2F2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B7791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4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8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7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5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6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5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0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8" fontId="2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14" fillId="5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  <dxf>
      <fill>
        <patternFill>
          <bgColor rgb="FFFDE9E9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>
          <bgColor rgb="FFFFF2CC"/>
        </patternFill>
      </fill>
    </dxf>
    <dxf>
      <fill>
        <patternFill>
          <bgColor rgb="FF1F7A4D"/>
        </patternFill>
      </fill>
    </dxf>
    <dxf>
      <fill>
        <patternFill>
          <bgColor rgb="FFB7791F"/>
        </patternFill>
      </fill>
    </dxf>
    <dxf>
      <fill>
        <patternFill>
          <bgColor rgb="FFB3261E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B7791F"/>
      <rgbColor rgb="FF800080"/>
      <rgbColor rgb="FF1F7A4D"/>
      <rgbColor rgb="FFC0C0C0"/>
      <rgbColor rgb="FF878787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A7EBB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4F81BD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_rels/chart3.xml.rels><?xml version="1.0" encoding="UTF-8"?>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
</Relationships>
</file>

<file path=xl/charts/_rels/chart4.xml.rels><?xml version="1.0" encoding="UTF-8"?>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
</Relationships>
</file>

<file path=xl/charts/_rels/chart5.xml.rels><?xml version="1.0" encoding="UTF-8"?>
<Relationships xmlns="http://schemas.openxmlformats.org/package/2006/relationships"><Relationship Id="rId1" Type="http://schemas.microsoft.com/office/2011/relationships/chartStyle" Target="style5.xml"/><Relationship Id="rId2" Type="http://schemas.microsoft.com/office/2011/relationships/chartColorStyle" Target="colors5.xml"/>
</Relationships>
</file>

<file path=xl/charts/_rels/chart6.xml.rels><?xml version="1.0" encoding="UTF-8"?>
<Relationships xmlns="http://schemas.openxmlformats.org/package/2006/relationships"><Relationship Id="rId1" Type="http://schemas.microsoft.com/office/2011/relationships/chartStyle" Target="style6.xml"/><Relationship Id="rId2" Type="http://schemas.microsoft.com/office/2011/relationships/chartColorStyle" Target="colors6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Net Hakediş vs Kesintiler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PANO!C20</c:f>
              <c:strCache>
                <c:ptCount val="1"/>
                <c:pt idx="0">
                  <c:v>₺ 9.276.800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1260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uFillTx/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PANO!$B$20:$B$21</c:f>
              <c:strCache>
                <c:ptCount val="2"/>
                <c:pt idx="0">
                  <c:v>Net Hakediş</c:v>
                </c:pt>
                <c:pt idx="1">
                  <c:v>Kesintiler</c:v>
                </c:pt>
              </c:strCache>
            </c:strRef>
          </c:cat>
          <c:val>
            <c:numRef>
              <c:f>PANO!$C$21</c:f>
              <c:numCache>
                <c:formatCode>"₺ "#,##0;[RED]"(₺ "#,##0\);\-</c:formatCode>
                <c:ptCount val="1"/>
                <c:pt idx="0">
                  <c:v>1123200</c:v>
                </c:pt>
              </c:numCache>
            </c:numRef>
          </c:val>
        </c:ser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Mutabakat: Hak Edilen vs Ödenen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PANO!C23</c:f>
              <c:strCache>
                <c:ptCount val="1"/>
                <c:pt idx="0">
                  <c:v>₺ 9.276.800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PANO!$B$23:$B$24</c:f>
              <c:strCache>
                <c:ptCount val="2"/>
                <c:pt idx="0">
                  <c:v>Net Hakediş</c:v>
                </c:pt>
                <c:pt idx="1">
                  <c:v>Ödenen</c:v>
                </c:pt>
              </c:strCache>
            </c:strRef>
          </c:cat>
          <c:val>
            <c:numRef>
              <c:f>PANO!$C$24</c:f>
              <c:numCache>
                <c:formatCode>"₺ "#,##0;[RED]"(₺ "#,##0\);\-</c:formatCode>
                <c:ptCount val="1"/>
                <c:pt idx="0">
                  <c:v>8350000</c:v>
                </c:pt>
              </c:numCache>
            </c:numRef>
          </c:val>
        </c:ser>
        <c:gapWidth val="150"/>
        <c:overlap val="0"/>
        <c:axId val="66520529"/>
        <c:axId val="7133715"/>
      </c:barChart>
      <c:catAx>
        <c:axId val="665205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33715"/>
        <c:crosses val="autoZero"/>
        <c:auto val="1"/>
        <c:lblAlgn val="ctr"/>
        <c:lblOffset val="100"/>
        <c:noMultiLvlLbl val="0"/>
      </c:catAx>
      <c:valAx>
        <c:axId val="713371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6652052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Kesinti Kalemleri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PANO!C26</c:f>
              <c:strCache>
                <c:ptCount val="1"/>
                <c:pt idx="0">
                  <c:v>₺ 83.200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PANO!$B$26:$B$29</c:f>
              <c:strCache>
                <c:ptCount val="4"/>
                <c:pt idx="0">
                  <c:v>KDV Tevkifatı</c:v>
                </c:pt>
                <c:pt idx="1">
                  <c:v>Gelir Vergisi</c:v>
                </c:pt>
                <c:pt idx="2">
                  <c:v>SGK</c:v>
                </c:pt>
                <c:pt idx="3">
                  <c:v>Teminat</c:v>
                </c:pt>
              </c:strCache>
            </c:strRef>
          </c:cat>
          <c:val>
            <c:numRef>
              <c:f>PANO!$C$27:$C$29</c:f>
              <c:numCache>
                <c:formatCode>"₺ "#,##0;[RED]"(₺ "#,##0\);\-</c:formatCode>
                <c:ptCount val="3"/>
                <c:pt idx="0">
                  <c:v>520000</c:v>
                </c:pt>
                <c:pt idx="1">
                  <c:v>2080000</c:v>
                </c:pt>
                <c:pt idx="2">
                  <c:v>520000</c:v>
                </c:pt>
              </c:numCache>
            </c:numRef>
          </c:val>
        </c:ser>
        <c:gapWidth val="150"/>
        <c:overlap val="0"/>
        <c:axId val="57191226"/>
        <c:axId val="58271275"/>
      </c:barChart>
      <c:catAx>
        <c:axId val="571912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8271275"/>
        <c:crosses val="autoZero"/>
        <c:auto val="1"/>
        <c:lblAlgn val="ctr"/>
        <c:lblOffset val="100"/>
        <c:noMultiLvlLbl val="0"/>
      </c:catAx>
      <c:valAx>
        <c:axId val="5827127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7191226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Mutabakat Farkları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SENARYO_DUYARLILIK!D7</c:f>
              <c:strCache>
                <c:ptCount val="1"/>
                <c:pt idx="0">
                  <c:v>₺ 925.200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SENARYO_DUYARLILIK!$D$8:$D$9</c:f>
              <c:numCache>
                <c:formatCode>"₺ "#,##0;[RED]"(₺ "#,##0\);\-</c:formatCode>
                <c:ptCount val="2"/>
                <c:pt idx="0">
                  <c:v>926800</c:v>
                </c:pt>
                <c:pt idx="1">
                  <c:v>792000</c:v>
                </c:pt>
              </c:numCache>
            </c:numRef>
          </c:val>
        </c:ser>
        <c:gapWidth val="150"/>
        <c:overlap val="0"/>
        <c:axId val="29589867"/>
        <c:axId val="7486449"/>
      </c:barChart>
      <c:catAx>
        <c:axId val="295898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486449"/>
        <c:crosses val="autoZero"/>
        <c:auto val="1"/>
        <c:lblAlgn val="ctr"/>
        <c:lblOffset val="100"/>
        <c:noMultiLvlLbl val="0"/>
      </c:catAx>
      <c:valAx>
        <c:axId val="7486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&quot;₺ &quot;#,##0;[RED]&quot;(₺ &quot;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958986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Tornado: Fark Oranı Etkisi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SENARYO_DUYARLILIK!G13</c:f>
              <c:strCache>
                <c:ptCount val="1"/>
                <c:pt idx="0">
                  <c:v>-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SENARYO_DUYARLILIK!$A$13:$A$14</c:f>
              <c:strCache>
                <c:ptCount val="2"/>
                <c:pt idx="0">
                  <c:v>Hakediş Değişimi</c:v>
                </c:pt>
                <c:pt idx="1">
                  <c:v>Ödeme Değişimi</c:v>
                </c:pt>
              </c:strCache>
            </c:strRef>
          </c:cat>
          <c:val>
            <c:numRef>
              <c:f>SENARYO_DUYARLILIK!$G$14</c:f>
              <c:numCache>
                <c:formatCode>0.0%;[RED]\(0.0%\);\-</c:formatCode>
                <c:ptCount val="1"/>
                <c:pt idx="0">
                  <c:v>0</c:v>
                </c:pt>
              </c:numCache>
            </c:numRef>
          </c:val>
        </c:ser>
        <c:gapWidth val="150"/>
        <c:overlap val="0"/>
        <c:axId val="71468753"/>
        <c:axId val="76094209"/>
      </c:barChart>
      <c:catAx>
        <c:axId val="714687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094209"/>
        <c:crosses val="autoZero"/>
        <c:auto val="1"/>
        <c:lblAlgn val="ctr"/>
        <c:lblOffset val="100"/>
        <c:noMultiLvlLbl val="0"/>
      </c:catAx>
      <c:valAx>
        <c:axId val="7609420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146875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Senaryo Fark Oranları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SENARYO_DUYARLILIK!E7</c:f>
              <c:strCache>
                <c:ptCount val="1"/>
                <c:pt idx="0">
                  <c:v>12,8%</c:v>
                </c:pt>
              </c:strCache>
            </c:strRef>
          </c:tx>
          <c:spPr>
            <a:solidFill>
              <a:srgbClr val="4A7EBB"/>
            </a:solidFill>
            <a:ln w="1260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126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SENARYO_DUYARLILIK!$A$7:$A$9</c:f>
              <c:strCache>
                <c:ptCount val="3"/>
                <c:pt idx="0">
                  <c:v>KÖTÜMSER</c:v>
                </c:pt>
                <c:pt idx="1">
                  <c:v>BAZ</c:v>
                </c:pt>
                <c:pt idx="2">
                  <c:v>İYİMSER</c:v>
                </c:pt>
              </c:strCache>
            </c:strRef>
          </c:cat>
          <c:val>
            <c:numRef>
              <c:f>SENARYO_DUYARLILIK!$E$8:$E$9</c:f>
              <c:numCache>
                <c:formatCode>0.0%;[RED]\(0.0%\);\-</c:formatCode>
                <c:ptCount val="2"/>
                <c:pt idx="0">
                  <c:v>0.099905139703346</c:v>
                </c:pt>
                <c:pt idx="1">
                  <c:v>0.0657698056801196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3236879"/>
        <c:axId val="97218076"/>
      </c:lineChart>
      <c:catAx>
        <c:axId val="7323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97218076"/>
        <c:crosses val="autoZero"/>
        <c:auto val="1"/>
        <c:lblAlgn val="ctr"/>
        <c:lblOffset val="100"/>
        <c:noMultiLvlLbl val="0"/>
      </c:catAx>
      <c:valAx>
        <c:axId val="9721807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;[RED]\(0.0%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323687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5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6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19</xdr:row>
      <xdr:rowOff>0</xdr:rowOff>
    </xdr:from>
    <xdr:to>
      <xdr:col>10</xdr:col>
      <xdr:colOff>290520</xdr:colOff>
      <xdr:row>34</xdr:row>
      <xdr:rowOff>22320</xdr:rowOff>
    </xdr:to>
    <xdr:graphicFrame>
      <xdr:nvGraphicFramePr>
        <xdr:cNvPr id="1" name="Chart 1"/>
        <xdr:cNvGraphicFramePr/>
      </xdr:nvGraphicFramePr>
      <xdr:xfrm>
        <a:off x="6061680" y="3838680"/>
        <a:ext cx="39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22</xdr:row>
      <xdr:rowOff>0</xdr:rowOff>
    </xdr:from>
    <xdr:to>
      <xdr:col>11</xdr:col>
      <xdr:colOff>399240</xdr:colOff>
      <xdr:row>37</xdr:row>
      <xdr:rowOff>21960</xdr:rowOff>
    </xdr:to>
    <xdr:graphicFrame>
      <xdr:nvGraphicFramePr>
        <xdr:cNvPr id="2" name="Chart 2"/>
        <xdr:cNvGraphicFramePr/>
      </xdr:nvGraphicFramePr>
      <xdr:xfrm>
        <a:off x="6061680" y="441000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0</xdr:colOff>
      <xdr:row>25</xdr:row>
      <xdr:rowOff>0</xdr:rowOff>
    </xdr:from>
    <xdr:to>
      <xdr:col>11</xdr:col>
      <xdr:colOff>399240</xdr:colOff>
      <xdr:row>40</xdr:row>
      <xdr:rowOff>22320</xdr:rowOff>
    </xdr:to>
    <xdr:graphicFrame>
      <xdr:nvGraphicFramePr>
        <xdr:cNvPr id="3" name="Chart 3"/>
        <xdr:cNvGraphicFramePr/>
      </xdr:nvGraphicFramePr>
      <xdr:xfrm>
        <a:off x="6061680" y="49816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4</xdr:row>
      <xdr:rowOff>0</xdr:rowOff>
    </xdr:from>
    <xdr:to>
      <xdr:col>16</xdr:col>
      <xdr:colOff>147600</xdr:colOff>
      <xdr:row>19</xdr:row>
      <xdr:rowOff>1080</xdr:rowOff>
    </xdr:to>
    <xdr:graphicFrame>
      <xdr:nvGraphicFramePr>
        <xdr:cNvPr id="4" name="Chart 1"/>
        <xdr:cNvGraphicFramePr/>
      </xdr:nvGraphicFramePr>
      <xdr:xfrm>
        <a:off x="10479240" y="895320"/>
        <a:ext cx="503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17</xdr:row>
      <xdr:rowOff>0</xdr:rowOff>
    </xdr:from>
    <xdr:to>
      <xdr:col>15</xdr:col>
      <xdr:colOff>38880</xdr:colOff>
      <xdr:row>31</xdr:row>
      <xdr:rowOff>155520</xdr:rowOff>
    </xdr:to>
    <xdr:graphicFrame>
      <xdr:nvGraphicFramePr>
        <xdr:cNvPr id="5" name="Chart 2"/>
        <xdr:cNvGraphicFramePr/>
      </xdr:nvGraphicFramePr>
      <xdr:xfrm>
        <a:off x="10479240" y="375300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28</xdr:row>
      <xdr:rowOff>0</xdr:rowOff>
    </xdr:from>
    <xdr:to>
      <xdr:col>15</xdr:col>
      <xdr:colOff>38880</xdr:colOff>
      <xdr:row>43</xdr:row>
      <xdr:rowOff>21960</xdr:rowOff>
    </xdr:to>
    <xdr:graphicFrame>
      <xdr:nvGraphicFramePr>
        <xdr:cNvPr id="6" name="Chart 3"/>
        <xdr:cNvGraphicFramePr/>
      </xdr:nvGraphicFramePr>
      <xdr:xfrm>
        <a:off x="10479240" y="5905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Hakedis" displayName="tblHakedis" ref="A5:I1004" headerRowCount="1" totalsRowCount="0" totalsRowShown="0">
  <tableColumns count="9">
    <tableColumn id="1" name="Dönem"/>
    <tableColumn id="2" name="Hakediş Tarihi"/>
    <tableColumn id="3" name="Brüt Hakediş (₺)"/>
    <tableColumn id="4" name="KDV (₺)">
      <calculatedColumnFormula>=IF(OR($A6="",$C6=""),"",$C6*KdvOrani)</calculatedColumnFormula>
    </tableColumn>
    <tableColumn id="5" name="KDV Tevkifatı (₺)">
      <calculatedColumnFormula>=IF(OR($A6="",$C6=""),"",$C6*KdvOrani*KdvTevkifatOrani)</calculatedColumnFormula>
    </tableColumn>
    <tableColumn id="6" name="Gelir Vergisi Stopajı (₺)">
      <calculatedColumnFormula>=IF(OR($A6="",$C6=""),"",$C6*GelirVergisiStopajOrani)</calculatedColumnFormula>
    </tableColumn>
    <tableColumn id="7" name="SGK Kesintisi (₺)">
      <calculatedColumnFormula>=IF(OR($A6="",$C6=""),"",$C6*SgkKesintiOrani)</calculatedColumnFormula>
    </tableColumn>
    <tableColumn id="8" name="Teminat Kesintisi (₺)">
      <calculatedColumnFormula>=IF(OR($A6="",$C6=""),"",$C6*TeminatOrani)</calculatedColumnFormula>
    </tableColumn>
    <tableColumn id="9" name="Net Hakediş (₺)">
      <calculatedColumnFormula>=IF(OR($A6="",$C6=""),"",$C6+$D6-$E6-$F6-$G6-$H6)</calculatedColumnFormula>
    </tableColumn>
  </tableColumns>
</table>
</file>

<file path=xl/tables/table2.xml><?xml version="1.0" encoding="utf-8"?>
<table xmlns="http://schemas.openxmlformats.org/spreadsheetml/2006/main" id="2" name="tblOdeme" displayName="tblOdeme" ref="A5:E1004" headerRowCount="1" totalsRowCount="0" totalsRowShown="0">
  <tableColumns count="5">
    <tableColumn id="1" name="Dönem"/>
    <tableColumn id="2" name="Ödeme Tarihi"/>
    <tableColumn id="3" name="Ödenen Tutar (₺)"/>
    <tableColumn id="4" name="Geç Ödeme Gün">
      <calculatedColumnFormula>=IF(OR($A6="",$B6=""),"",MAX(0,raporTarihi-$B6-VadeGun))</calculatedColumnFormula>
    </tableColumn>
    <tableColumn id="5" name="Gecikme Maliyeti (₺)">
      <calculatedColumnFormula>=IF(OR($A6="",$B6="",$C6="",$D6=""),"",$C6*GecikmeFaizOrani*$D6/365)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5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6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7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8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60"/>
  </cols>
  <sheetData>
    <row r="1" customFormat="false" ht="28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3" customFormat="false" ht="19.4" hidden="false" customHeight="true" outlineLevel="0" collapsed="false">
      <c r="A3" s="2" t="s">
        <v>1</v>
      </c>
      <c r="B3" s="2"/>
      <c r="C3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15" hidden="false" customHeight="false" outlineLevel="0" collapsed="false">
      <c r="A5" s="3"/>
      <c r="B5" s="3"/>
      <c r="C5" s="3"/>
    </row>
    <row r="6" customFormat="false" ht="15" hidden="false" customHeight="false" outlineLevel="0" collapsed="false">
      <c r="A6" s="4" t="s">
        <v>3</v>
      </c>
      <c r="B6" s="4"/>
      <c r="C6" s="4"/>
      <c r="D6" s="4"/>
      <c r="E6" s="4"/>
      <c r="F6" s="4"/>
      <c r="G6" s="4"/>
      <c r="H6" s="4"/>
      <c r="I6" s="4"/>
      <c r="J6" s="4"/>
    </row>
    <row r="7" customFormat="false" ht="15" hidden="false" customHeight="false" outlineLevel="0" collapsed="false">
      <c r="A7" s="4" t="s">
        <v>4</v>
      </c>
      <c r="B7" s="4"/>
      <c r="C7" s="4"/>
      <c r="D7" s="4"/>
      <c r="E7" s="4"/>
      <c r="F7" s="4"/>
      <c r="G7" s="4"/>
      <c r="H7" s="4"/>
      <c r="I7" s="4"/>
      <c r="J7" s="4"/>
    </row>
    <row r="8" customFormat="false" ht="15" hidden="false" customHeight="false" outlineLevel="0" collapsed="false">
      <c r="A8" s="4" t="s">
        <v>5</v>
      </c>
      <c r="B8" s="4"/>
      <c r="C8" s="4"/>
      <c r="D8" s="4"/>
      <c r="E8" s="4"/>
      <c r="F8" s="4"/>
      <c r="G8" s="4"/>
      <c r="H8" s="4"/>
      <c r="I8" s="4"/>
      <c r="J8" s="4"/>
    </row>
    <row r="10" customFormat="false" ht="15" hidden="false" customHeight="true" outlineLevel="0" collapsed="false">
      <c r="A10" s="5" t="s">
        <v>6</v>
      </c>
      <c r="B10" s="5"/>
      <c r="C10" s="5"/>
    </row>
    <row r="11" customFormat="false" ht="15" hidden="false" customHeight="false" outlineLevel="0" collapsed="false">
      <c r="A11" s="5"/>
      <c r="B11" s="5"/>
      <c r="C11" s="5"/>
    </row>
    <row r="12" customFormat="false" ht="15" hidden="false" customHeight="false" outlineLevel="0" collapsed="false">
      <c r="A12" s="5"/>
      <c r="B12" s="5"/>
      <c r="C12" s="5"/>
    </row>
    <row r="13" customFormat="false" ht="15" hidden="false" customHeight="false" outlineLevel="0" collapsed="false">
      <c r="A13" s="5"/>
      <c r="B13" s="5"/>
      <c r="C13" s="5"/>
    </row>
    <row r="15" customFormat="false" ht="15" hidden="false" customHeight="false" outlineLevel="0" collapsed="false">
      <c r="A15" s="6" t="s">
        <v>7</v>
      </c>
    </row>
    <row r="16" customFormat="false" ht="15" hidden="false" customHeight="false" outlineLevel="0" collapsed="false">
      <c r="A16" s="7" t="s">
        <v>8</v>
      </c>
      <c r="B16" s="7"/>
      <c r="C16" s="7"/>
    </row>
  </sheetData>
  <sheetProtection sheet="true" password="cc3d" objects="true" scenarios="true" deleteColumns="false" deleteRows="false"/>
  <mergeCells count="8">
    <mergeCell ref="A1:AD1"/>
    <mergeCell ref="A3:C3"/>
    <mergeCell ref="A4:C5"/>
    <mergeCell ref="A6:J6"/>
    <mergeCell ref="A7:J7"/>
    <mergeCell ref="A8:J8"/>
    <mergeCell ref="A10:C13"/>
    <mergeCell ref="A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AN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20"/>
  </cols>
  <sheetData>
    <row r="3" customFormat="false" ht="16.15" hidden="false" customHeight="false" outlineLevel="0" collapsed="false">
      <c r="A3" s="8" t="s">
        <v>9</v>
      </c>
    </row>
    <row r="4" customFormat="false" ht="15" hidden="false" customHeight="true" outlineLevel="0" collapsed="false">
      <c r="A4" s="9" t="s">
        <v>10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</row>
    <row r="5" customFormat="false" ht="15" hidden="false" customHeight="true" outlineLevel="0" collapsed="false">
      <c r="A5" s="9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</row>
    <row r="6" customFormat="false" ht="15" hidden="false" customHeight="true" outlineLevel="0" collapsed="false">
      <c r="A6" s="9" t="s">
        <v>12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</row>
    <row r="7" customFormat="false" ht="15" hidden="false" customHeight="true" outlineLevel="0" collapsed="false">
      <c r="A7" s="9" t="s">
        <v>13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</row>
    <row r="8" customFormat="false" ht="15" hidden="false" customHeight="true" outlineLevel="0" collapsed="false">
      <c r="A8" s="9" t="s">
        <v>14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</row>
    <row r="9" customFormat="false" ht="15" hidden="false" customHeight="true" outlineLevel="0" collapsed="false">
      <c r="A9" s="9" t="s">
        <v>15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</row>
    <row r="10" customFormat="false" ht="15" hidden="false" customHeight="true" outlineLevel="0" collapsed="false">
      <c r="A10" s="9" t="s">
        <v>16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</row>
    <row r="12" customFormat="false" ht="15" hidden="false" customHeight="false" outlineLevel="0" collapsed="false">
      <c r="A12" s="10" t="s">
        <v>17</v>
      </c>
    </row>
    <row r="13" customFormat="false" ht="15" hidden="false" customHeight="true" outlineLevel="0" collapsed="false">
      <c r="A13" s="5" t="s">
        <v>18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</row>
    <row r="14" customFormat="false" ht="15" hidden="false" customHeight="true" outlineLevel="0" collapsed="false">
      <c r="A14" s="5" t="s">
        <v>19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</row>
    <row r="15" customFormat="false" ht="15" hidden="false" customHeight="true" outlineLevel="0" collapsed="false">
      <c r="A15" s="5" t="s">
        <v>20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</row>
    <row r="16" customFormat="false" ht="15" hidden="false" customHeight="true" outlineLevel="0" collapsed="false">
      <c r="A16" s="5" t="s">
        <v>21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</row>
    <row r="17" customFormat="false" ht="15" hidden="false" customHeight="true" outlineLevel="0" collapsed="false">
      <c r="A17" s="5" t="s">
        <v>22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</row>
    <row r="19" customFormat="false" ht="19.5" hidden="false" customHeight="true" outlineLevel="0" collapsed="false">
      <c r="A19" s="11" t="s">
        <v>23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</row>
  </sheetData>
  <sheetProtection sheet="true" password="cc3d" objects="true" scenarios="true" deleteColumns="false" deleteRows="false"/>
  <mergeCells count="13">
    <mergeCell ref="A4:AN4"/>
    <mergeCell ref="A5:AN5"/>
    <mergeCell ref="A6:AN6"/>
    <mergeCell ref="A7:AN7"/>
    <mergeCell ref="A8:AN8"/>
    <mergeCell ref="A9:AN9"/>
    <mergeCell ref="A10:AN10"/>
    <mergeCell ref="A13:AN13"/>
    <mergeCell ref="A14:AN14"/>
    <mergeCell ref="A15:AN15"/>
    <mergeCell ref="A16:AN16"/>
    <mergeCell ref="A17:AN17"/>
    <mergeCell ref="A19:AN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4"/>
    <col collapsed="false" customWidth="true" hidden="false" outlineLevel="0" max="3" min="3" style="0" width="12"/>
  </cols>
  <sheetData>
    <row r="1" customFormat="false" ht="25.5" hidden="false" customHeight="true" outlineLevel="0" collapsed="false">
      <c r="A1" s="12" t="s">
        <v>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25</v>
      </c>
    </row>
    <row r="4" customFormat="false" ht="15" hidden="false" customHeight="false" outlineLevel="0" collapsed="false">
      <c r="A4" s="14" t="s">
        <v>26</v>
      </c>
      <c r="B4" s="15" t="s">
        <v>27</v>
      </c>
    </row>
    <row r="5" customFormat="false" ht="15" hidden="false" customHeight="false" outlineLevel="0" collapsed="false">
      <c r="A5" s="14" t="s">
        <v>28</v>
      </c>
      <c r="B5" s="15" t="s">
        <v>29</v>
      </c>
    </row>
    <row r="6" customFormat="false" ht="15" hidden="false" customHeight="false" outlineLevel="0" collapsed="false">
      <c r="A6" s="14" t="s">
        <v>30</v>
      </c>
      <c r="B6" s="15" t="s">
        <v>31</v>
      </c>
    </row>
    <row r="7" customFormat="false" ht="15" hidden="false" customHeight="false" outlineLevel="0" collapsed="false">
      <c r="A7" s="14" t="s">
        <v>32</v>
      </c>
      <c r="B7" s="16" t="n">
        <v>46082</v>
      </c>
    </row>
    <row r="8" customFormat="false" ht="15" hidden="false" customHeight="false" outlineLevel="0" collapsed="false">
      <c r="A8" s="14" t="s">
        <v>33</v>
      </c>
      <c r="B8" s="17" t="n">
        <v>4800000</v>
      </c>
    </row>
    <row r="9" customFormat="false" ht="15" hidden="false" customHeight="false" outlineLevel="0" collapsed="false">
      <c r="A9" s="14" t="s">
        <v>34</v>
      </c>
      <c r="B9" s="16" t="n">
        <v>46082</v>
      </c>
    </row>
    <row r="10" customFormat="false" ht="15" hidden="false" customHeight="false" outlineLevel="0" collapsed="false">
      <c r="A10" s="14" t="s">
        <v>35</v>
      </c>
      <c r="B10" s="16" t="n">
        <v>46356</v>
      </c>
    </row>
    <row r="12" customFormat="false" ht="15" hidden="false" customHeight="false" outlineLevel="0" collapsed="false">
      <c r="A12" s="14" t="s">
        <v>36</v>
      </c>
      <c r="B12" s="15" t="s">
        <v>37</v>
      </c>
    </row>
    <row r="13" customFormat="false" ht="15" hidden="false" customHeight="false" outlineLevel="0" collapsed="false">
      <c r="A13" s="14" t="s">
        <v>38</v>
      </c>
      <c r="B13" s="15" t="s">
        <v>39</v>
      </c>
    </row>
    <row r="14" customFormat="false" ht="15" hidden="false" customHeight="false" outlineLevel="0" collapsed="false">
      <c r="A14" s="14" t="s">
        <v>40</v>
      </c>
      <c r="B14" s="18" t="n">
        <f aca="false">IFERROR(TahsilatOran,0)</f>
        <v>0.900094860296654</v>
      </c>
    </row>
    <row r="15" customFormat="false" ht="15" hidden="false" customHeight="false" outlineLevel="0" collapsed="false">
      <c r="A15" s="14" t="s">
        <v>41</v>
      </c>
      <c r="B15" s="19" t="n">
        <f aca="false">IFERROR(GecOdemeGunOrt,0)</f>
        <v>5.22222222222222</v>
      </c>
    </row>
    <row r="16" customFormat="false" ht="15" hidden="false" customHeight="false" outlineLevel="0" collapsed="false">
      <c r="A16" s="7" t="s">
        <v>42</v>
      </c>
      <c r="B16" s="7"/>
      <c r="C16" s="7"/>
    </row>
    <row r="18" customFormat="false" ht="19.5" hidden="false" customHeight="true" outlineLevel="0" collapsed="false">
      <c r="A18" s="11" t="s">
        <v>43</v>
      </c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</row>
  </sheetData>
  <sheetProtection sheet="true" password="cc3d" objects="true" scenarios="true" deleteColumns="false" deleteRows="false"/>
  <mergeCells count="3">
    <mergeCell ref="A1:AD1"/>
    <mergeCell ref="A16:C16"/>
    <mergeCell ref="A18:AN18"/>
  </mergeCells>
  <dataValidations count="9">
    <dataValidation allowBlank="true" error="Metin girin." errorStyle="stop" errorTitle="Geçersiz değer" operator="between" prompt="Ana yüklenici firma adı" promptTitle="Yüklenici Firma" showDropDown="false" showErrorMessage="true" showInputMessage="true" sqref="B4" type="list">
      <formula1>ListeMetin</formula1>
      <formula2>0</formula2>
    </dataValidation>
    <dataValidation allowBlank="true" error="Metin girin." errorStyle="stop" errorTitle="Geçersiz değer" operator="between" prompt="Hakedişi mutabakat edilen taşeron" promptTitle="Taşeron/Alt Yüklenici" showDropDown="false" showErrorMessage="true" showInputMessage="true" sqref="B5" type="list">
      <formula1>ListeMetin</formula1>
      <formula2>0</formula2>
    </dataValidation>
    <dataValidation allowBlank="true" error="Metin girin." errorStyle="stop" errorTitle="Geçersiz değer" operator="between" prompt="Taşeronluk sözleşmesinin konusu" promptTitle="Sözleşme Adı" showDropDown="false" showErrorMessage="true" showInputMessage="true" sqref="B6" type="list">
      <formula1>ListeMetin</formula1>
      <formula2>0</formula2>
    </dataValidation>
    <dataValidation allowBlank="true" error="01.01.2020'den sonraki bir tarih girin." errorStyle="stop" errorTitle="Geçersiz tarih" operator="greaterThan" prompt="Sözleşmenin imzalandığı tarih" promptTitle="Sözleşme Tarihi" showDropDown="false" showErrorMessage="true" showInputMessage="true" sqref="B7" type="date">
      <formula1>2020-1-1</formula1>
      <formula2>0</formula2>
    </dataValidation>
    <dataValidation allowBlank="true" error="Tutar 1 ₺'den büyük olmalı." errorStyle="stop" errorTitle="Geçersiz tutar" operator="greaterThan" prompt="KDV hariç taşeronluk sözleşme bedeli" promptTitle="Sözleşme Bedeli (₺)" showDropDown="false" showErrorMessage="true" showInputMessage="true" sqref="B8" type="whole">
      <formula1>0</formula1>
      <formula2>0</formula2>
    </dataValidation>
    <dataValidation allowBlank="true" error="01.01.2020'den sonraki bir tarih girin." errorStyle="stop" errorTitle="Geçersiz tarih" operator="greaterThan" prompt="Taşeron işinin başlangıcı" promptTitle="İş Başlangıç Tarihi" showDropDown="false" showErrorMessage="true" showInputMessage="true" sqref="B9" type="date">
      <formula1>2020-1-1</formula1>
      <formula2>0</formula2>
    </dataValidation>
    <dataValidation allowBlank="true" error="01.01.2020'den sonraki bir tarih girin." errorStyle="stop" errorTitle="Geçersiz tarih" operator="greaterThan" prompt="Taşeron işinin bitişi" promptTitle="İş Bitiş Tarihi" showDropDown="false" showErrorMessage="true" showInputMessage="true" sqref="B10" type="date">
      <formula1>2020-1-1</formula1>
      <formula2>0</formula2>
    </dataValidation>
    <dataValidation allowBlank="true" error="Lütfen listeden bir iş türü seçin." errorStyle="stop" errorTitle="Geçersiz seçim" operator="between" prompt="Yapım / Mal / Hizmet" promptTitle="İş Türü" showDropDown="false" showErrorMessage="true" showInputMessage="true" sqref="B12" type="list">
      <formula1>ListeIsTuru</formula1>
      <formula2>0</formula2>
    </dataValidation>
    <dataValidation allowBlank="true" error="Lütfen Evet veya Hayır seçin." errorStyle="stop" errorTitle="Geçersiz seçim" operator="between" prompt="Yapım işlerinde sorumlu sıfatıyla KDV tevkifatı uygulanır mı?" promptTitle="KDV Tevkifatı Uygulanıyor mu?" showDropDown="false" showErrorMessage="true" showInputMessage="true" sqref="B13" type="list">
      <formula1>ListeEvetHayir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8" min="7" style="0" width="16"/>
    <col collapsed="false" customWidth="true" hidden="false" outlineLevel="0" max="9" min="9" style="0" width="18"/>
  </cols>
  <sheetData>
    <row r="1" customFormat="false" ht="25.5" hidden="false" customHeight="true" outlineLevel="0" collapsed="false">
      <c r="A1" s="12" t="s">
        <v>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0" t="s">
        <v>45</v>
      </c>
      <c r="B3" s="20"/>
      <c r="C3" s="20"/>
      <c r="D3" s="20"/>
      <c r="E3" s="20"/>
      <c r="F3" s="20"/>
      <c r="G3" s="20"/>
      <c r="H3" s="20"/>
      <c r="I3" s="20"/>
    </row>
    <row r="5" customFormat="false" ht="30" hidden="false" customHeight="true" outlineLevel="0" collapsed="false">
      <c r="A5" s="21" t="s">
        <v>46</v>
      </c>
      <c r="B5" s="21" t="s">
        <v>47</v>
      </c>
      <c r="C5" s="21" t="s">
        <v>48</v>
      </c>
      <c r="D5" s="21" t="s">
        <v>49</v>
      </c>
      <c r="E5" s="21" t="s">
        <v>50</v>
      </c>
      <c r="F5" s="21" t="s">
        <v>51</v>
      </c>
      <c r="G5" s="21" t="s">
        <v>52</v>
      </c>
      <c r="H5" s="21" t="s">
        <v>53</v>
      </c>
      <c r="I5" s="21" t="s">
        <v>54</v>
      </c>
    </row>
    <row r="6" customFormat="false" ht="15" hidden="false" customHeight="false" outlineLevel="0" collapsed="false">
      <c r="A6" s="22" t="s">
        <v>55</v>
      </c>
      <c r="B6" s="23" t="n">
        <v>46101</v>
      </c>
      <c r="C6" s="24" t="n">
        <v>900000</v>
      </c>
      <c r="D6" s="25" t="n">
        <f aca="false">IF(OR($A6="",$C6=""),"",$C6*KdvOrani)</f>
        <v>180000</v>
      </c>
      <c r="E6" s="25" t="n">
        <f aca="false">IF(OR($A6="",$C6=""),"",$C6*KdvOrani*KdvTevkifatOrani)</f>
        <v>7200</v>
      </c>
      <c r="F6" s="25" t="n">
        <f aca="false">IF(OR($A6="",$C6=""),"",$C6*GelirVergisiStopajOrani)</f>
        <v>45000</v>
      </c>
      <c r="G6" s="25" t="n">
        <f aca="false">IF(OR($A6="",$C6=""),"",$C6*SgkKesintiOrani)</f>
        <v>180000</v>
      </c>
      <c r="H6" s="25" t="n">
        <f aca="false">IF(OR($A6="",$C6=""),"",$C6*TeminatOrani)</f>
        <v>45000</v>
      </c>
      <c r="I6" s="25" t="n">
        <f aca="false">IF(OR($A6="",$C6=""),"",$C6+$D6-$E6-$F6-$G6-$H6)</f>
        <v>802800</v>
      </c>
    </row>
    <row r="7" customFormat="false" ht="15" hidden="false" customHeight="false" outlineLevel="0" collapsed="false">
      <c r="A7" s="22" t="s">
        <v>56</v>
      </c>
      <c r="B7" s="23" t="n">
        <v>46132</v>
      </c>
      <c r="C7" s="24" t="n">
        <v>1100000</v>
      </c>
      <c r="D7" s="25" t="n">
        <f aca="false">IF(OR($A7="",$C7=""),"",$C7*KdvOrani)</f>
        <v>220000</v>
      </c>
      <c r="E7" s="25" t="n">
        <f aca="false">IF(OR($A7="",$C7=""),"",$C7*KdvOrani*KdvTevkifatOrani)</f>
        <v>8800</v>
      </c>
      <c r="F7" s="25" t="n">
        <f aca="false">IF(OR($A7="",$C7=""),"",$C7*GelirVergisiStopajOrani)</f>
        <v>55000</v>
      </c>
      <c r="G7" s="25" t="n">
        <f aca="false">IF(OR($A7="",$C7=""),"",$C7*SgkKesintiOrani)</f>
        <v>220000</v>
      </c>
      <c r="H7" s="25" t="n">
        <f aca="false">IF(OR($A7="",$C7=""),"",$C7*TeminatOrani)</f>
        <v>55000</v>
      </c>
      <c r="I7" s="25" t="n">
        <f aca="false">IF(OR($A7="",$C7=""),"",$C7+$D7-$E7-$F7-$G7-$H7)</f>
        <v>981200</v>
      </c>
    </row>
    <row r="8" customFormat="false" ht="15" hidden="false" customHeight="false" outlineLevel="0" collapsed="false">
      <c r="A8" s="22" t="s">
        <v>57</v>
      </c>
      <c r="B8" s="23" t="n">
        <v>46162</v>
      </c>
      <c r="C8" s="24" t="n">
        <v>1300000</v>
      </c>
      <c r="D8" s="25" t="n">
        <f aca="false">IF(OR($A8="",$C8=""),"",$C8*KdvOrani)</f>
        <v>260000</v>
      </c>
      <c r="E8" s="25" t="n">
        <f aca="false">IF(OR($A8="",$C8=""),"",$C8*KdvOrani*KdvTevkifatOrani)</f>
        <v>10400</v>
      </c>
      <c r="F8" s="25" t="n">
        <f aca="false">IF(OR($A8="",$C8=""),"",$C8*GelirVergisiStopajOrani)</f>
        <v>65000</v>
      </c>
      <c r="G8" s="25" t="n">
        <f aca="false">IF(OR($A8="",$C8=""),"",$C8*SgkKesintiOrani)</f>
        <v>260000</v>
      </c>
      <c r="H8" s="25" t="n">
        <f aca="false">IF(OR($A8="",$C8=""),"",$C8*TeminatOrani)</f>
        <v>65000</v>
      </c>
      <c r="I8" s="25" t="n">
        <f aca="false">IF(OR($A8="",$C8=""),"",$C8+$D8-$E8-$F8-$G8-$H8)</f>
        <v>1159600</v>
      </c>
    </row>
    <row r="9" customFormat="false" ht="15" hidden="false" customHeight="false" outlineLevel="0" collapsed="false">
      <c r="A9" s="22" t="s">
        <v>58</v>
      </c>
      <c r="B9" s="23" t="n">
        <v>46193</v>
      </c>
      <c r="C9" s="24" t="n">
        <v>1200000</v>
      </c>
      <c r="D9" s="25" t="n">
        <f aca="false">IF(OR($A9="",$C9=""),"",$C9*KdvOrani)</f>
        <v>240000</v>
      </c>
      <c r="E9" s="25" t="n">
        <f aca="false">IF(OR($A9="",$C9=""),"",$C9*KdvOrani*KdvTevkifatOrani)</f>
        <v>9600</v>
      </c>
      <c r="F9" s="25" t="n">
        <f aca="false">IF(OR($A9="",$C9=""),"",$C9*GelirVergisiStopajOrani)</f>
        <v>60000</v>
      </c>
      <c r="G9" s="25" t="n">
        <f aca="false">IF(OR($A9="",$C9=""),"",$C9*SgkKesintiOrani)</f>
        <v>240000</v>
      </c>
      <c r="H9" s="25" t="n">
        <f aca="false">IF(OR($A9="",$C9=""),"",$C9*TeminatOrani)</f>
        <v>60000</v>
      </c>
      <c r="I9" s="25" t="n">
        <f aca="false">IF(OR($A9="",$C9=""),"",$C9+$D9-$E9-$F9-$G9-$H9)</f>
        <v>1070400</v>
      </c>
    </row>
    <row r="10" customFormat="false" ht="15" hidden="false" customHeight="false" outlineLevel="0" collapsed="false">
      <c r="A10" s="22" t="s">
        <v>59</v>
      </c>
      <c r="B10" s="23" t="n">
        <v>46223</v>
      </c>
      <c r="C10" s="24" t="n">
        <v>1500000</v>
      </c>
      <c r="D10" s="25" t="n">
        <f aca="false">IF(OR($A10="",$C10=""),"",$C10*KdvOrani)</f>
        <v>300000</v>
      </c>
      <c r="E10" s="25" t="n">
        <f aca="false">IF(OR($A10="",$C10=""),"",$C10*KdvOrani*KdvTevkifatOrani)</f>
        <v>12000</v>
      </c>
      <c r="F10" s="25" t="n">
        <f aca="false">IF(OR($A10="",$C10=""),"",$C10*GelirVergisiStopajOrani)</f>
        <v>75000</v>
      </c>
      <c r="G10" s="25" t="n">
        <f aca="false">IF(OR($A10="",$C10=""),"",$C10*SgkKesintiOrani)</f>
        <v>300000</v>
      </c>
      <c r="H10" s="25" t="n">
        <f aca="false">IF(OR($A10="",$C10=""),"",$C10*TeminatOrani)</f>
        <v>75000</v>
      </c>
      <c r="I10" s="25" t="n">
        <f aca="false">IF(OR($A10="",$C10=""),"",$C10+$D10-$E10-$F10-$G10-$H10)</f>
        <v>1338000</v>
      </c>
    </row>
    <row r="11" customFormat="false" ht="15" hidden="false" customHeight="false" outlineLevel="0" collapsed="false">
      <c r="A11" s="22" t="s">
        <v>60</v>
      </c>
      <c r="B11" s="23" t="n">
        <v>46254</v>
      </c>
      <c r="C11" s="24" t="n">
        <v>1400000</v>
      </c>
      <c r="D11" s="25" t="n">
        <f aca="false">IF(OR($A11="",$C11=""),"",$C11*KdvOrani)</f>
        <v>280000</v>
      </c>
      <c r="E11" s="25" t="n">
        <f aca="false">IF(OR($A11="",$C11=""),"",$C11*KdvOrani*KdvTevkifatOrani)</f>
        <v>11200</v>
      </c>
      <c r="F11" s="25" t="n">
        <f aca="false">IF(OR($A11="",$C11=""),"",$C11*GelirVergisiStopajOrani)</f>
        <v>70000</v>
      </c>
      <c r="G11" s="25" t="n">
        <f aca="false">IF(OR($A11="",$C11=""),"",$C11*SgkKesintiOrani)</f>
        <v>280000</v>
      </c>
      <c r="H11" s="25" t="n">
        <f aca="false">IF(OR($A11="",$C11=""),"",$C11*TeminatOrani)</f>
        <v>70000</v>
      </c>
      <c r="I11" s="25" t="n">
        <f aca="false">IF(OR($A11="",$C11=""),"",$C11+$D11-$E11-$F11-$G11-$H11)</f>
        <v>1248800</v>
      </c>
    </row>
    <row r="12" customFormat="false" ht="15" hidden="false" customHeight="false" outlineLevel="0" collapsed="false">
      <c r="A12" s="22" t="s">
        <v>61</v>
      </c>
      <c r="B12" s="23" t="n">
        <v>46285</v>
      </c>
      <c r="C12" s="24" t="n">
        <v>1100000</v>
      </c>
      <c r="D12" s="25" t="n">
        <f aca="false">IF(OR($A12="",$C12=""),"",$C12*KdvOrani)</f>
        <v>220000</v>
      </c>
      <c r="E12" s="25" t="n">
        <f aca="false">IF(OR($A12="",$C12=""),"",$C12*KdvOrani*KdvTevkifatOrani)</f>
        <v>8800</v>
      </c>
      <c r="F12" s="25" t="n">
        <f aca="false">IF(OR($A12="",$C12=""),"",$C12*GelirVergisiStopajOrani)</f>
        <v>55000</v>
      </c>
      <c r="G12" s="25" t="n">
        <f aca="false">IF(OR($A12="",$C12=""),"",$C12*SgkKesintiOrani)</f>
        <v>220000</v>
      </c>
      <c r="H12" s="25" t="n">
        <f aca="false">IF(OR($A12="",$C12=""),"",$C12*TeminatOrani)</f>
        <v>55000</v>
      </c>
      <c r="I12" s="25" t="n">
        <f aca="false">IF(OR($A12="",$C12=""),"",$C12+$D12-$E12-$F12-$G12-$H12)</f>
        <v>981200</v>
      </c>
    </row>
    <row r="13" customFormat="false" ht="15" hidden="false" customHeight="false" outlineLevel="0" collapsed="false">
      <c r="A13" s="22" t="s">
        <v>62</v>
      </c>
      <c r="B13" s="23" t="n">
        <v>46315</v>
      </c>
      <c r="C13" s="24" t="n">
        <v>900000</v>
      </c>
      <c r="D13" s="25" t="n">
        <f aca="false">IF(OR($A13="",$C13=""),"",$C13*KdvOrani)</f>
        <v>180000</v>
      </c>
      <c r="E13" s="25" t="n">
        <f aca="false">IF(OR($A13="",$C13=""),"",$C13*KdvOrani*KdvTevkifatOrani)</f>
        <v>7200</v>
      </c>
      <c r="F13" s="25" t="n">
        <f aca="false">IF(OR($A13="",$C13=""),"",$C13*GelirVergisiStopajOrani)</f>
        <v>45000</v>
      </c>
      <c r="G13" s="25" t="n">
        <f aca="false">IF(OR($A13="",$C13=""),"",$C13*SgkKesintiOrani)</f>
        <v>180000</v>
      </c>
      <c r="H13" s="25" t="n">
        <f aca="false">IF(OR($A13="",$C13=""),"",$C13*TeminatOrani)</f>
        <v>45000</v>
      </c>
      <c r="I13" s="25" t="n">
        <f aca="false">IF(OR($A13="",$C13=""),"",$C13+$D13-$E13-$F13-$G13-$H13)</f>
        <v>802800</v>
      </c>
    </row>
    <row r="14" customFormat="false" ht="15" hidden="false" customHeight="false" outlineLevel="0" collapsed="false">
      <c r="A14" s="22" t="s">
        <v>63</v>
      </c>
      <c r="B14" s="23" t="n">
        <v>46346</v>
      </c>
      <c r="C14" s="24" t="n">
        <v>1000000</v>
      </c>
      <c r="D14" s="25" t="n">
        <f aca="false">IF(OR($A14="",$C14=""),"",$C14*KdvOrani)</f>
        <v>200000</v>
      </c>
      <c r="E14" s="25" t="n">
        <f aca="false">IF(OR($A14="",$C14=""),"",$C14*KdvOrani*KdvTevkifatOrani)</f>
        <v>8000</v>
      </c>
      <c r="F14" s="25" t="n">
        <f aca="false">IF(OR($A14="",$C14=""),"",$C14*GelirVergisiStopajOrani)</f>
        <v>50000</v>
      </c>
      <c r="G14" s="25" t="n">
        <f aca="false">IF(OR($A14="",$C14=""),"",$C14*SgkKesintiOrani)</f>
        <v>200000</v>
      </c>
      <c r="H14" s="25" t="n">
        <f aca="false">IF(OR($A14="",$C14=""),"",$C14*TeminatOrani)</f>
        <v>50000</v>
      </c>
      <c r="I14" s="25" t="n">
        <f aca="false">IF(OR($A14="",$C14=""),"",$C14+$D14-$E14-$F14-$G14-$H14)</f>
        <v>892000</v>
      </c>
    </row>
    <row r="15" customFormat="false" ht="15" hidden="false" customHeight="false" outlineLevel="0" collapsed="false">
      <c r="A15" s="26"/>
      <c r="B15" s="27"/>
      <c r="C15" s="28"/>
      <c r="D15" s="29"/>
      <c r="E15" s="29"/>
      <c r="F15" s="29"/>
      <c r="G15" s="29"/>
      <c r="H15" s="29"/>
      <c r="I15" s="29"/>
    </row>
    <row r="16" customFormat="false" ht="15" hidden="false" customHeight="false" outlineLevel="0" collapsed="false">
      <c r="A16" s="26"/>
      <c r="B16" s="27"/>
      <c r="C16" s="28"/>
      <c r="D16" s="29"/>
      <c r="E16" s="29"/>
      <c r="F16" s="29"/>
      <c r="G16" s="29"/>
      <c r="H16" s="29"/>
      <c r="I16" s="29"/>
    </row>
    <row r="17" customFormat="false" ht="15" hidden="false" customHeight="false" outlineLevel="0" collapsed="false">
      <c r="A17" s="26"/>
      <c r="B17" s="27"/>
      <c r="C17" s="28"/>
      <c r="D17" s="29"/>
      <c r="E17" s="29"/>
      <c r="F17" s="29"/>
      <c r="G17" s="29"/>
      <c r="H17" s="29"/>
      <c r="I17" s="29"/>
    </row>
    <row r="18" customFormat="false" ht="15" hidden="false" customHeight="false" outlineLevel="0" collapsed="false">
      <c r="A18" s="26"/>
      <c r="B18" s="27"/>
      <c r="C18" s="28"/>
      <c r="D18" s="29"/>
      <c r="E18" s="29"/>
      <c r="F18" s="29"/>
      <c r="G18" s="29"/>
      <c r="H18" s="29"/>
      <c r="I18" s="29"/>
    </row>
    <row r="19" customFormat="false" ht="15" hidden="false" customHeight="false" outlineLevel="0" collapsed="false">
      <c r="A19" s="26"/>
      <c r="B19" s="27"/>
      <c r="C19" s="28"/>
      <c r="D19" s="29"/>
      <c r="E19" s="29"/>
      <c r="F19" s="29"/>
      <c r="G19" s="29"/>
      <c r="H19" s="29"/>
      <c r="I19" s="29"/>
    </row>
    <row r="20" customFormat="false" ht="15" hidden="false" customHeight="false" outlineLevel="0" collapsed="false">
      <c r="A20" s="26"/>
      <c r="B20" s="27"/>
      <c r="C20" s="28"/>
      <c r="D20" s="29"/>
      <c r="E20" s="29"/>
      <c r="F20" s="29"/>
      <c r="G20" s="29"/>
      <c r="H20" s="29"/>
      <c r="I20" s="29"/>
    </row>
    <row r="21" customFormat="false" ht="15" hidden="false" customHeight="false" outlineLevel="0" collapsed="false">
      <c r="A21" s="26"/>
      <c r="B21" s="27"/>
      <c r="C21" s="28"/>
      <c r="D21" s="29"/>
      <c r="E21" s="29"/>
      <c r="F21" s="29"/>
      <c r="G21" s="29"/>
      <c r="H21" s="29"/>
      <c r="I21" s="29"/>
    </row>
    <row r="22" customFormat="false" ht="15" hidden="false" customHeight="false" outlineLevel="0" collapsed="false">
      <c r="A22" s="26"/>
      <c r="B22" s="27"/>
      <c r="C22" s="28"/>
      <c r="D22" s="29"/>
      <c r="E22" s="29"/>
      <c r="F22" s="29"/>
      <c r="G22" s="29"/>
      <c r="H22" s="29"/>
      <c r="I22" s="29"/>
    </row>
    <row r="23" customFormat="false" ht="15" hidden="false" customHeight="false" outlineLevel="0" collapsed="false">
      <c r="A23" s="26"/>
      <c r="B23" s="27"/>
      <c r="C23" s="28"/>
      <c r="D23" s="29"/>
      <c r="E23" s="29"/>
      <c r="F23" s="29"/>
      <c r="G23" s="29"/>
      <c r="H23" s="29"/>
      <c r="I23" s="29"/>
    </row>
    <row r="24" customFormat="false" ht="15" hidden="false" customHeight="false" outlineLevel="0" collapsed="false">
      <c r="A24" s="26"/>
      <c r="B24" s="27"/>
      <c r="C24" s="28"/>
      <c r="D24" s="29"/>
      <c r="E24" s="29"/>
      <c r="F24" s="29"/>
      <c r="G24" s="29"/>
      <c r="H24" s="29"/>
      <c r="I24" s="29"/>
    </row>
    <row r="25" customFormat="false" ht="15" hidden="false" customHeight="false" outlineLevel="0" collapsed="false">
      <c r="A25" s="26"/>
      <c r="B25" s="27"/>
      <c r="C25" s="28"/>
      <c r="D25" s="29"/>
      <c r="E25" s="29"/>
      <c r="F25" s="29"/>
      <c r="G25" s="29"/>
      <c r="H25" s="29"/>
      <c r="I25" s="29"/>
    </row>
    <row r="26" customFormat="false" ht="15" hidden="false" customHeight="false" outlineLevel="0" collapsed="false">
      <c r="A26" s="26"/>
      <c r="B26" s="27"/>
      <c r="C26" s="28"/>
      <c r="D26" s="29"/>
      <c r="E26" s="29"/>
      <c r="F26" s="29"/>
      <c r="G26" s="29"/>
      <c r="H26" s="29"/>
      <c r="I26" s="29"/>
    </row>
    <row r="27" customFormat="false" ht="15" hidden="false" customHeight="false" outlineLevel="0" collapsed="false">
      <c r="A27" s="26"/>
      <c r="B27" s="27"/>
      <c r="C27" s="28"/>
      <c r="D27" s="29"/>
      <c r="E27" s="29"/>
      <c r="F27" s="29"/>
      <c r="G27" s="29"/>
      <c r="H27" s="29"/>
      <c r="I27" s="29"/>
    </row>
    <row r="28" customFormat="false" ht="15" hidden="false" customHeight="false" outlineLevel="0" collapsed="false">
      <c r="A28" s="26"/>
      <c r="B28" s="27"/>
      <c r="C28" s="28"/>
      <c r="D28" s="29"/>
      <c r="E28" s="29"/>
      <c r="F28" s="29"/>
      <c r="G28" s="29"/>
      <c r="H28" s="29"/>
      <c r="I28" s="29"/>
    </row>
    <row r="29" customFormat="false" ht="15" hidden="false" customHeight="false" outlineLevel="0" collapsed="false">
      <c r="A29" s="26"/>
      <c r="B29" s="27"/>
      <c r="C29" s="28"/>
      <c r="D29" s="29"/>
      <c r="E29" s="29"/>
      <c r="F29" s="29"/>
      <c r="G29" s="29"/>
      <c r="H29" s="29"/>
      <c r="I29" s="29"/>
    </row>
    <row r="30" customFormat="false" ht="15" hidden="false" customHeight="false" outlineLevel="0" collapsed="false">
      <c r="A30" s="26"/>
      <c r="B30" s="27"/>
      <c r="C30" s="28"/>
      <c r="D30" s="29"/>
      <c r="E30" s="29"/>
      <c r="F30" s="29"/>
      <c r="G30" s="29"/>
      <c r="H30" s="29"/>
      <c r="I30" s="29"/>
    </row>
    <row r="31" customFormat="false" ht="15" hidden="false" customHeight="false" outlineLevel="0" collapsed="false">
      <c r="A31" s="26"/>
      <c r="B31" s="27"/>
      <c r="C31" s="28"/>
      <c r="D31" s="29"/>
      <c r="E31" s="29"/>
      <c r="F31" s="29"/>
      <c r="G31" s="29"/>
      <c r="H31" s="29"/>
      <c r="I31" s="29"/>
    </row>
    <row r="32" customFormat="false" ht="15" hidden="false" customHeight="false" outlineLevel="0" collapsed="false">
      <c r="A32" s="26"/>
      <c r="B32" s="27"/>
      <c r="C32" s="28"/>
      <c r="D32" s="29"/>
      <c r="E32" s="29"/>
      <c r="F32" s="29"/>
      <c r="G32" s="29"/>
      <c r="H32" s="29"/>
      <c r="I32" s="29"/>
    </row>
    <row r="33" customFormat="false" ht="15" hidden="false" customHeight="false" outlineLevel="0" collapsed="false">
      <c r="A33" s="26"/>
      <c r="B33" s="27"/>
      <c r="C33" s="28"/>
      <c r="D33" s="29"/>
      <c r="E33" s="29"/>
      <c r="F33" s="29"/>
      <c r="G33" s="29"/>
      <c r="H33" s="29"/>
      <c r="I33" s="29"/>
    </row>
    <row r="34" customFormat="false" ht="15" hidden="false" customHeight="false" outlineLevel="0" collapsed="false">
      <c r="A34" s="26"/>
      <c r="B34" s="27"/>
      <c r="C34" s="28"/>
      <c r="D34" s="29"/>
      <c r="E34" s="29"/>
      <c r="F34" s="29"/>
      <c r="G34" s="29"/>
      <c r="H34" s="29"/>
      <c r="I34" s="29"/>
    </row>
    <row r="35" customFormat="false" ht="15" hidden="false" customHeight="false" outlineLevel="0" collapsed="false">
      <c r="A35" s="26"/>
      <c r="B35" s="27"/>
      <c r="C35" s="28"/>
      <c r="D35" s="29"/>
      <c r="E35" s="29"/>
      <c r="F35" s="29"/>
      <c r="G35" s="29"/>
      <c r="H35" s="29"/>
      <c r="I35" s="29"/>
    </row>
    <row r="36" customFormat="false" ht="15" hidden="false" customHeight="false" outlineLevel="0" collapsed="false">
      <c r="A36" s="26"/>
      <c r="B36" s="27"/>
      <c r="C36" s="28"/>
      <c r="D36" s="29"/>
      <c r="E36" s="29"/>
      <c r="F36" s="29"/>
      <c r="G36" s="29"/>
      <c r="H36" s="29"/>
      <c r="I36" s="29"/>
    </row>
    <row r="37" customFormat="false" ht="15" hidden="false" customHeight="false" outlineLevel="0" collapsed="false">
      <c r="A37" s="26"/>
      <c r="B37" s="27"/>
      <c r="C37" s="28"/>
      <c r="D37" s="29"/>
      <c r="E37" s="29"/>
      <c r="F37" s="29"/>
      <c r="G37" s="29"/>
      <c r="H37" s="29"/>
      <c r="I37" s="29"/>
    </row>
    <row r="38" customFormat="false" ht="15" hidden="false" customHeight="false" outlineLevel="0" collapsed="false">
      <c r="A38" s="26"/>
      <c r="B38" s="27"/>
      <c r="C38" s="28"/>
      <c r="D38" s="29"/>
      <c r="E38" s="29"/>
      <c r="F38" s="29"/>
      <c r="G38" s="29"/>
      <c r="H38" s="29"/>
      <c r="I38" s="29"/>
    </row>
    <row r="39" customFormat="false" ht="15" hidden="false" customHeight="false" outlineLevel="0" collapsed="false">
      <c r="A39" s="26"/>
      <c r="B39" s="27"/>
      <c r="C39" s="28"/>
      <c r="D39" s="29"/>
      <c r="E39" s="29"/>
      <c r="F39" s="29"/>
      <c r="G39" s="29"/>
      <c r="H39" s="29"/>
      <c r="I39" s="29"/>
    </row>
    <row r="40" customFormat="false" ht="15" hidden="false" customHeight="false" outlineLevel="0" collapsed="false">
      <c r="A40" s="26"/>
      <c r="B40" s="27"/>
      <c r="C40" s="28"/>
      <c r="D40" s="29"/>
      <c r="E40" s="29"/>
      <c r="F40" s="29"/>
      <c r="G40" s="29"/>
      <c r="H40" s="29"/>
      <c r="I40" s="29"/>
    </row>
    <row r="41" customFormat="false" ht="15" hidden="false" customHeight="false" outlineLevel="0" collapsed="false">
      <c r="A41" s="26"/>
      <c r="B41" s="27"/>
      <c r="C41" s="28"/>
      <c r="D41" s="29"/>
      <c r="E41" s="29"/>
      <c r="F41" s="29"/>
      <c r="G41" s="29"/>
      <c r="H41" s="29"/>
      <c r="I41" s="29"/>
    </row>
    <row r="42" customFormat="false" ht="15" hidden="false" customHeight="false" outlineLevel="0" collapsed="false">
      <c r="A42" s="26"/>
      <c r="B42" s="27"/>
      <c r="C42" s="28"/>
      <c r="D42" s="29"/>
      <c r="E42" s="29"/>
      <c r="F42" s="29"/>
      <c r="G42" s="29"/>
      <c r="H42" s="29"/>
      <c r="I42" s="29"/>
    </row>
    <row r="43" customFormat="false" ht="15" hidden="false" customHeight="false" outlineLevel="0" collapsed="false">
      <c r="A43" s="26"/>
      <c r="B43" s="27"/>
      <c r="C43" s="28"/>
      <c r="D43" s="29"/>
      <c r="E43" s="29"/>
      <c r="F43" s="29"/>
      <c r="G43" s="29"/>
      <c r="H43" s="29"/>
      <c r="I43" s="29"/>
    </row>
    <row r="44" customFormat="false" ht="15" hidden="false" customHeight="false" outlineLevel="0" collapsed="false">
      <c r="A44" s="26"/>
      <c r="B44" s="27"/>
      <c r="C44" s="28"/>
      <c r="D44" s="29"/>
      <c r="E44" s="29"/>
      <c r="F44" s="29"/>
      <c r="G44" s="29"/>
      <c r="H44" s="29"/>
      <c r="I44" s="29"/>
    </row>
    <row r="45" customFormat="false" ht="15" hidden="false" customHeight="false" outlineLevel="0" collapsed="false">
      <c r="A45" s="26"/>
      <c r="B45" s="27"/>
      <c r="C45" s="28"/>
      <c r="D45" s="29"/>
      <c r="E45" s="29"/>
      <c r="F45" s="29"/>
      <c r="G45" s="29"/>
      <c r="H45" s="29"/>
      <c r="I45" s="29"/>
    </row>
    <row r="46" customFormat="false" ht="15" hidden="false" customHeight="false" outlineLevel="0" collapsed="false">
      <c r="A46" s="26"/>
      <c r="B46" s="27"/>
      <c r="C46" s="28"/>
      <c r="D46" s="29"/>
      <c r="E46" s="29"/>
      <c r="F46" s="29"/>
      <c r="G46" s="29"/>
      <c r="H46" s="29"/>
      <c r="I46" s="29"/>
    </row>
    <row r="47" customFormat="false" ht="15" hidden="false" customHeight="false" outlineLevel="0" collapsed="false">
      <c r="A47" s="26"/>
      <c r="B47" s="27"/>
      <c r="C47" s="28"/>
      <c r="D47" s="29"/>
      <c r="E47" s="29"/>
      <c r="F47" s="29"/>
      <c r="G47" s="29"/>
      <c r="H47" s="29"/>
      <c r="I47" s="29"/>
    </row>
    <row r="48" customFormat="false" ht="15" hidden="false" customHeight="false" outlineLevel="0" collapsed="false">
      <c r="A48" s="26"/>
      <c r="B48" s="27"/>
      <c r="C48" s="28"/>
      <c r="D48" s="29"/>
      <c r="E48" s="29"/>
      <c r="F48" s="29"/>
      <c r="G48" s="29"/>
      <c r="H48" s="29"/>
      <c r="I48" s="29"/>
    </row>
    <row r="49" customFormat="false" ht="15" hidden="false" customHeight="false" outlineLevel="0" collapsed="false">
      <c r="A49" s="26"/>
      <c r="B49" s="27"/>
      <c r="C49" s="28"/>
      <c r="D49" s="29"/>
      <c r="E49" s="29"/>
      <c r="F49" s="29"/>
      <c r="G49" s="29"/>
      <c r="H49" s="29"/>
      <c r="I49" s="29"/>
    </row>
    <row r="50" customFormat="false" ht="15" hidden="false" customHeight="false" outlineLevel="0" collapsed="false">
      <c r="A50" s="26"/>
      <c r="B50" s="27"/>
      <c r="C50" s="28"/>
      <c r="D50" s="29"/>
      <c r="E50" s="29"/>
      <c r="F50" s="29"/>
      <c r="G50" s="29"/>
      <c r="H50" s="29"/>
      <c r="I50" s="29"/>
    </row>
    <row r="51" customFormat="false" ht="15" hidden="false" customHeight="false" outlineLevel="0" collapsed="false">
      <c r="A51" s="26"/>
      <c r="B51" s="27"/>
      <c r="C51" s="28"/>
      <c r="D51" s="29"/>
      <c r="E51" s="29"/>
      <c r="F51" s="29"/>
      <c r="G51" s="29"/>
      <c r="H51" s="29"/>
      <c r="I51" s="29"/>
    </row>
    <row r="52" customFormat="false" ht="15" hidden="false" customHeight="false" outlineLevel="0" collapsed="false">
      <c r="A52" s="26"/>
      <c r="B52" s="27"/>
      <c r="C52" s="28"/>
      <c r="D52" s="29"/>
      <c r="E52" s="29"/>
      <c r="F52" s="29"/>
      <c r="G52" s="29"/>
      <c r="H52" s="29"/>
      <c r="I52" s="29"/>
    </row>
    <row r="53" customFormat="false" ht="15" hidden="false" customHeight="false" outlineLevel="0" collapsed="false">
      <c r="A53" s="26"/>
      <c r="B53" s="27"/>
      <c r="C53" s="28"/>
      <c r="D53" s="29"/>
      <c r="E53" s="29"/>
      <c r="F53" s="29"/>
      <c r="G53" s="29"/>
      <c r="H53" s="29"/>
      <c r="I53" s="29"/>
    </row>
    <row r="54" customFormat="false" ht="15" hidden="false" customHeight="false" outlineLevel="0" collapsed="false">
      <c r="A54" s="26"/>
      <c r="B54" s="27"/>
      <c r="C54" s="28"/>
      <c r="D54" s="29"/>
      <c r="E54" s="29"/>
      <c r="F54" s="29"/>
      <c r="G54" s="29"/>
      <c r="H54" s="29"/>
      <c r="I54" s="29"/>
    </row>
    <row r="55" customFormat="false" ht="15" hidden="false" customHeight="false" outlineLevel="0" collapsed="false">
      <c r="A55" s="26"/>
      <c r="B55" s="27"/>
      <c r="C55" s="28"/>
      <c r="D55" s="29"/>
      <c r="E55" s="29"/>
      <c r="F55" s="29"/>
      <c r="G55" s="29"/>
      <c r="H55" s="29"/>
      <c r="I55" s="29"/>
    </row>
    <row r="56" customFormat="false" ht="15" hidden="false" customHeight="false" outlineLevel="0" collapsed="false">
      <c r="A56" s="26"/>
      <c r="B56" s="27"/>
      <c r="C56" s="28"/>
      <c r="D56" s="29"/>
      <c r="E56" s="29"/>
      <c r="F56" s="29"/>
      <c r="G56" s="29"/>
      <c r="H56" s="29"/>
      <c r="I56" s="29"/>
    </row>
    <row r="57" customFormat="false" ht="15" hidden="false" customHeight="false" outlineLevel="0" collapsed="false">
      <c r="A57" s="26"/>
      <c r="B57" s="27"/>
      <c r="C57" s="28"/>
      <c r="D57" s="29"/>
      <c r="E57" s="29"/>
      <c r="F57" s="29"/>
      <c r="G57" s="29"/>
      <c r="H57" s="29"/>
      <c r="I57" s="29"/>
    </row>
    <row r="58" customFormat="false" ht="15" hidden="false" customHeight="false" outlineLevel="0" collapsed="false">
      <c r="A58" s="26"/>
      <c r="B58" s="27"/>
      <c r="C58" s="28"/>
      <c r="D58" s="29"/>
      <c r="E58" s="29"/>
      <c r="F58" s="29"/>
      <c r="G58" s="29"/>
      <c r="H58" s="29"/>
      <c r="I58" s="29"/>
    </row>
    <row r="59" customFormat="false" ht="15" hidden="false" customHeight="false" outlineLevel="0" collapsed="false">
      <c r="A59" s="26"/>
      <c r="B59" s="27"/>
      <c r="C59" s="28"/>
      <c r="D59" s="29"/>
      <c r="E59" s="29"/>
      <c r="F59" s="29"/>
      <c r="G59" s="29"/>
      <c r="H59" s="29"/>
      <c r="I59" s="29"/>
    </row>
    <row r="60" customFormat="false" ht="15" hidden="false" customHeight="false" outlineLevel="0" collapsed="false">
      <c r="A60" s="26"/>
      <c r="B60" s="27"/>
      <c r="C60" s="28"/>
      <c r="D60" s="29"/>
      <c r="E60" s="29"/>
      <c r="F60" s="29"/>
      <c r="G60" s="29"/>
      <c r="H60" s="29"/>
      <c r="I60" s="29"/>
    </row>
    <row r="61" customFormat="false" ht="15" hidden="false" customHeight="false" outlineLevel="0" collapsed="false">
      <c r="A61" s="26"/>
      <c r="B61" s="27"/>
      <c r="C61" s="28"/>
      <c r="D61" s="29"/>
      <c r="E61" s="29"/>
      <c r="F61" s="29"/>
      <c r="G61" s="29"/>
      <c r="H61" s="29"/>
      <c r="I61" s="29"/>
    </row>
    <row r="62" customFormat="false" ht="15" hidden="false" customHeight="false" outlineLevel="0" collapsed="false">
      <c r="A62" s="26"/>
      <c r="B62" s="27"/>
      <c r="C62" s="28"/>
      <c r="D62" s="29"/>
      <c r="E62" s="29"/>
      <c r="F62" s="29"/>
      <c r="G62" s="29"/>
      <c r="H62" s="29"/>
      <c r="I62" s="29"/>
    </row>
    <row r="63" customFormat="false" ht="15" hidden="false" customHeight="false" outlineLevel="0" collapsed="false">
      <c r="A63" s="26"/>
      <c r="B63" s="27"/>
      <c r="C63" s="28"/>
      <c r="D63" s="29"/>
      <c r="E63" s="29"/>
      <c r="F63" s="29"/>
      <c r="G63" s="29"/>
      <c r="H63" s="29"/>
      <c r="I63" s="29"/>
    </row>
    <row r="64" customFormat="false" ht="15" hidden="false" customHeight="false" outlineLevel="0" collapsed="false">
      <c r="A64" s="26"/>
      <c r="B64" s="27"/>
      <c r="C64" s="28"/>
      <c r="D64" s="29"/>
      <c r="E64" s="29"/>
      <c r="F64" s="29"/>
      <c r="G64" s="29"/>
      <c r="H64" s="29"/>
      <c r="I64" s="29"/>
    </row>
    <row r="65" customFormat="false" ht="15" hidden="false" customHeight="false" outlineLevel="0" collapsed="false">
      <c r="A65" s="26"/>
      <c r="B65" s="27"/>
      <c r="C65" s="28"/>
      <c r="D65" s="29"/>
      <c r="E65" s="29"/>
      <c r="F65" s="29"/>
      <c r="G65" s="29"/>
      <c r="H65" s="29"/>
      <c r="I65" s="29"/>
    </row>
    <row r="66" customFormat="false" ht="15" hidden="false" customHeight="false" outlineLevel="0" collapsed="false">
      <c r="A66" s="26"/>
      <c r="B66" s="27"/>
      <c r="C66" s="28"/>
      <c r="D66" s="29"/>
      <c r="E66" s="29"/>
      <c r="F66" s="29"/>
      <c r="G66" s="29"/>
      <c r="H66" s="29"/>
      <c r="I66" s="29"/>
    </row>
    <row r="67" customFormat="false" ht="15" hidden="false" customHeight="false" outlineLevel="0" collapsed="false">
      <c r="A67" s="26"/>
      <c r="B67" s="27"/>
      <c r="C67" s="28"/>
      <c r="D67" s="29"/>
      <c r="E67" s="29"/>
      <c r="F67" s="29"/>
      <c r="G67" s="29"/>
      <c r="H67" s="29"/>
      <c r="I67" s="29"/>
    </row>
    <row r="68" customFormat="false" ht="15" hidden="false" customHeight="false" outlineLevel="0" collapsed="false">
      <c r="A68" s="26"/>
      <c r="B68" s="27"/>
      <c r="C68" s="28"/>
      <c r="D68" s="29"/>
      <c r="E68" s="29"/>
      <c r="F68" s="29"/>
      <c r="G68" s="29"/>
      <c r="H68" s="29"/>
      <c r="I68" s="29"/>
    </row>
    <row r="69" customFormat="false" ht="15" hidden="false" customHeight="false" outlineLevel="0" collapsed="false">
      <c r="A69" s="26"/>
      <c r="B69" s="27"/>
      <c r="C69" s="28"/>
      <c r="D69" s="29"/>
      <c r="E69" s="29"/>
      <c r="F69" s="29"/>
      <c r="G69" s="29"/>
      <c r="H69" s="29"/>
      <c r="I69" s="29"/>
    </row>
    <row r="70" customFormat="false" ht="15" hidden="false" customHeight="false" outlineLevel="0" collapsed="false">
      <c r="A70" s="26"/>
      <c r="B70" s="27"/>
      <c r="C70" s="28"/>
      <c r="D70" s="29"/>
      <c r="E70" s="29"/>
      <c r="F70" s="29"/>
      <c r="G70" s="29"/>
      <c r="H70" s="29"/>
      <c r="I70" s="29"/>
    </row>
    <row r="71" customFormat="false" ht="15" hidden="false" customHeight="false" outlineLevel="0" collapsed="false">
      <c r="A71" s="26"/>
      <c r="B71" s="27"/>
      <c r="C71" s="28"/>
      <c r="D71" s="29"/>
      <c r="E71" s="29"/>
      <c r="F71" s="29"/>
      <c r="G71" s="29"/>
      <c r="H71" s="29"/>
      <c r="I71" s="29"/>
    </row>
    <row r="72" customFormat="false" ht="15" hidden="false" customHeight="false" outlineLevel="0" collapsed="false">
      <c r="A72" s="26"/>
      <c r="B72" s="27"/>
      <c r="C72" s="28"/>
      <c r="D72" s="29"/>
      <c r="E72" s="29"/>
      <c r="F72" s="29"/>
      <c r="G72" s="29"/>
      <c r="H72" s="29"/>
      <c r="I72" s="29"/>
    </row>
    <row r="73" customFormat="false" ht="15" hidden="false" customHeight="false" outlineLevel="0" collapsed="false">
      <c r="A73" s="26"/>
      <c r="B73" s="27"/>
      <c r="C73" s="28"/>
      <c r="D73" s="29"/>
      <c r="E73" s="29"/>
      <c r="F73" s="29"/>
      <c r="G73" s="29"/>
      <c r="H73" s="29"/>
      <c r="I73" s="29"/>
    </row>
    <row r="74" customFormat="false" ht="15" hidden="false" customHeight="false" outlineLevel="0" collapsed="false">
      <c r="A74" s="26"/>
      <c r="B74" s="27"/>
      <c r="C74" s="28"/>
      <c r="D74" s="29"/>
      <c r="E74" s="29"/>
      <c r="F74" s="29"/>
      <c r="G74" s="29"/>
      <c r="H74" s="29"/>
      <c r="I74" s="29"/>
    </row>
    <row r="75" customFormat="false" ht="15" hidden="false" customHeight="false" outlineLevel="0" collapsed="false">
      <c r="A75" s="26"/>
      <c r="B75" s="27"/>
      <c r="C75" s="28"/>
      <c r="D75" s="29"/>
      <c r="E75" s="29"/>
      <c r="F75" s="29"/>
      <c r="G75" s="29"/>
      <c r="H75" s="29"/>
      <c r="I75" s="29"/>
    </row>
    <row r="76" customFormat="false" ht="15" hidden="false" customHeight="false" outlineLevel="0" collapsed="false">
      <c r="A76" s="26"/>
      <c r="B76" s="27"/>
      <c r="C76" s="28"/>
      <c r="D76" s="29"/>
      <c r="E76" s="29"/>
      <c r="F76" s="29"/>
      <c r="G76" s="29"/>
      <c r="H76" s="29"/>
      <c r="I76" s="29"/>
    </row>
    <row r="77" customFormat="false" ht="15" hidden="false" customHeight="false" outlineLevel="0" collapsed="false">
      <c r="A77" s="26"/>
      <c r="B77" s="27"/>
      <c r="C77" s="28"/>
      <c r="D77" s="29"/>
      <c r="E77" s="29"/>
      <c r="F77" s="29"/>
      <c r="G77" s="29"/>
      <c r="H77" s="29"/>
      <c r="I77" s="29"/>
    </row>
    <row r="78" customFormat="false" ht="15" hidden="false" customHeight="false" outlineLevel="0" collapsed="false">
      <c r="A78" s="26"/>
      <c r="B78" s="27"/>
      <c r="C78" s="28"/>
      <c r="D78" s="29"/>
      <c r="E78" s="29"/>
      <c r="F78" s="29"/>
      <c r="G78" s="29"/>
      <c r="H78" s="29"/>
      <c r="I78" s="29"/>
    </row>
    <row r="79" customFormat="false" ht="15" hidden="false" customHeight="false" outlineLevel="0" collapsed="false">
      <c r="A79" s="26"/>
      <c r="B79" s="27"/>
      <c r="C79" s="28"/>
      <c r="D79" s="29"/>
      <c r="E79" s="29"/>
      <c r="F79" s="29"/>
      <c r="G79" s="29"/>
      <c r="H79" s="29"/>
      <c r="I79" s="29"/>
    </row>
    <row r="80" customFormat="false" ht="15" hidden="false" customHeight="false" outlineLevel="0" collapsed="false">
      <c r="A80" s="26"/>
      <c r="B80" s="27"/>
      <c r="C80" s="28"/>
      <c r="D80" s="29"/>
      <c r="E80" s="29"/>
      <c r="F80" s="29"/>
      <c r="G80" s="29"/>
      <c r="H80" s="29"/>
      <c r="I80" s="29"/>
    </row>
    <row r="81" customFormat="false" ht="15" hidden="false" customHeight="false" outlineLevel="0" collapsed="false">
      <c r="A81" s="26"/>
      <c r="B81" s="27"/>
      <c r="C81" s="28"/>
      <c r="D81" s="29"/>
      <c r="E81" s="29"/>
      <c r="F81" s="29"/>
      <c r="G81" s="29"/>
      <c r="H81" s="29"/>
      <c r="I81" s="29"/>
    </row>
    <row r="82" customFormat="false" ht="15" hidden="false" customHeight="false" outlineLevel="0" collapsed="false">
      <c r="A82" s="26"/>
      <c r="B82" s="27"/>
      <c r="C82" s="28"/>
      <c r="D82" s="29"/>
      <c r="E82" s="29"/>
      <c r="F82" s="29"/>
      <c r="G82" s="29"/>
      <c r="H82" s="29"/>
      <c r="I82" s="29"/>
    </row>
    <row r="83" customFormat="false" ht="15" hidden="false" customHeight="false" outlineLevel="0" collapsed="false">
      <c r="A83" s="26"/>
      <c r="B83" s="27"/>
      <c r="C83" s="28"/>
      <c r="D83" s="29"/>
      <c r="E83" s="29"/>
      <c r="F83" s="29"/>
      <c r="G83" s="29"/>
      <c r="H83" s="29"/>
      <c r="I83" s="29"/>
    </row>
    <row r="84" customFormat="false" ht="15" hidden="false" customHeight="false" outlineLevel="0" collapsed="false">
      <c r="A84" s="26"/>
      <c r="B84" s="27"/>
      <c r="C84" s="28"/>
      <c r="D84" s="29"/>
      <c r="E84" s="29"/>
      <c r="F84" s="29"/>
      <c r="G84" s="29"/>
      <c r="H84" s="29"/>
      <c r="I84" s="29"/>
    </row>
    <row r="85" customFormat="false" ht="15" hidden="false" customHeight="false" outlineLevel="0" collapsed="false">
      <c r="A85" s="26"/>
      <c r="B85" s="27"/>
      <c r="C85" s="28"/>
      <c r="D85" s="29"/>
      <c r="E85" s="29"/>
      <c r="F85" s="29"/>
      <c r="G85" s="29"/>
      <c r="H85" s="29"/>
      <c r="I85" s="29"/>
    </row>
    <row r="86" customFormat="false" ht="15" hidden="false" customHeight="false" outlineLevel="0" collapsed="false">
      <c r="A86" s="26"/>
      <c r="B86" s="27"/>
      <c r="C86" s="28"/>
      <c r="D86" s="29"/>
      <c r="E86" s="29"/>
      <c r="F86" s="29"/>
      <c r="G86" s="29"/>
      <c r="H86" s="29"/>
      <c r="I86" s="29"/>
    </row>
    <row r="87" customFormat="false" ht="15" hidden="false" customHeight="false" outlineLevel="0" collapsed="false">
      <c r="A87" s="26"/>
      <c r="B87" s="27"/>
      <c r="C87" s="28"/>
      <c r="D87" s="29"/>
      <c r="E87" s="29"/>
      <c r="F87" s="29"/>
      <c r="G87" s="29"/>
      <c r="H87" s="29"/>
      <c r="I87" s="29"/>
    </row>
    <row r="88" customFormat="false" ht="15" hidden="false" customHeight="false" outlineLevel="0" collapsed="false">
      <c r="A88" s="26"/>
      <c r="B88" s="27"/>
      <c r="C88" s="28"/>
      <c r="D88" s="29"/>
      <c r="E88" s="29"/>
      <c r="F88" s="29"/>
      <c r="G88" s="29"/>
      <c r="H88" s="29"/>
      <c r="I88" s="29"/>
    </row>
    <row r="89" customFormat="false" ht="15" hidden="false" customHeight="false" outlineLevel="0" collapsed="false">
      <c r="A89" s="26"/>
      <c r="B89" s="27"/>
      <c r="C89" s="28"/>
      <c r="D89" s="29"/>
      <c r="E89" s="29"/>
      <c r="F89" s="29"/>
      <c r="G89" s="29"/>
      <c r="H89" s="29"/>
      <c r="I89" s="29"/>
    </row>
    <row r="90" customFormat="false" ht="15" hidden="false" customHeight="false" outlineLevel="0" collapsed="false">
      <c r="A90" s="26"/>
      <c r="B90" s="27"/>
      <c r="C90" s="28"/>
      <c r="D90" s="29"/>
      <c r="E90" s="29"/>
      <c r="F90" s="29"/>
      <c r="G90" s="29"/>
      <c r="H90" s="29"/>
      <c r="I90" s="29"/>
    </row>
    <row r="91" customFormat="false" ht="15" hidden="false" customHeight="false" outlineLevel="0" collapsed="false">
      <c r="A91" s="26"/>
      <c r="B91" s="27"/>
      <c r="C91" s="28"/>
      <c r="D91" s="29"/>
      <c r="E91" s="29"/>
      <c r="F91" s="29"/>
      <c r="G91" s="29"/>
      <c r="H91" s="29"/>
      <c r="I91" s="29"/>
    </row>
    <row r="92" customFormat="false" ht="15" hidden="false" customHeight="false" outlineLevel="0" collapsed="false">
      <c r="A92" s="26"/>
      <c r="B92" s="27"/>
      <c r="C92" s="28"/>
      <c r="D92" s="29"/>
      <c r="E92" s="29"/>
      <c r="F92" s="29"/>
      <c r="G92" s="29"/>
      <c r="H92" s="29"/>
      <c r="I92" s="29"/>
    </row>
    <row r="93" customFormat="false" ht="15" hidden="false" customHeight="false" outlineLevel="0" collapsed="false">
      <c r="A93" s="26"/>
      <c r="B93" s="27"/>
      <c r="C93" s="28"/>
      <c r="D93" s="29"/>
      <c r="E93" s="29"/>
      <c r="F93" s="29"/>
      <c r="G93" s="29"/>
      <c r="H93" s="29"/>
      <c r="I93" s="29"/>
    </row>
    <row r="94" customFormat="false" ht="15" hidden="false" customHeight="false" outlineLevel="0" collapsed="false">
      <c r="A94" s="26"/>
      <c r="B94" s="27"/>
      <c r="C94" s="28"/>
      <c r="D94" s="29"/>
      <c r="E94" s="29"/>
      <c r="F94" s="29"/>
      <c r="G94" s="29"/>
      <c r="H94" s="29"/>
      <c r="I94" s="29"/>
    </row>
    <row r="95" customFormat="false" ht="15" hidden="false" customHeight="false" outlineLevel="0" collapsed="false">
      <c r="A95" s="26"/>
      <c r="B95" s="27"/>
      <c r="C95" s="28"/>
      <c r="D95" s="29"/>
      <c r="E95" s="29"/>
      <c r="F95" s="29"/>
      <c r="G95" s="29"/>
      <c r="H95" s="29"/>
      <c r="I95" s="29"/>
    </row>
    <row r="96" customFormat="false" ht="15" hidden="false" customHeight="false" outlineLevel="0" collapsed="false">
      <c r="A96" s="26"/>
      <c r="B96" s="27"/>
      <c r="C96" s="28"/>
      <c r="D96" s="29"/>
      <c r="E96" s="29"/>
      <c r="F96" s="29"/>
      <c r="G96" s="29"/>
      <c r="H96" s="29"/>
      <c r="I96" s="29"/>
    </row>
    <row r="97" customFormat="false" ht="15" hidden="false" customHeight="false" outlineLevel="0" collapsed="false">
      <c r="A97" s="26"/>
      <c r="B97" s="27"/>
      <c r="C97" s="28"/>
      <c r="D97" s="29"/>
      <c r="E97" s="29"/>
      <c r="F97" s="29"/>
      <c r="G97" s="29"/>
      <c r="H97" s="29"/>
      <c r="I97" s="29"/>
    </row>
    <row r="98" customFormat="false" ht="15" hidden="false" customHeight="false" outlineLevel="0" collapsed="false">
      <c r="A98" s="26"/>
      <c r="B98" s="27"/>
      <c r="C98" s="28"/>
      <c r="D98" s="29"/>
      <c r="E98" s="29"/>
      <c r="F98" s="29"/>
      <c r="G98" s="29"/>
      <c r="H98" s="29"/>
      <c r="I98" s="29"/>
    </row>
    <row r="99" customFormat="false" ht="15" hidden="false" customHeight="false" outlineLevel="0" collapsed="false">
      <c r="A99" s="26"/>
      <c r="B99" s="27"/>
      <c r="C99" s="28"/>
      <c r="D99" s="29"/>
      <c r="E99" s="29"/>
      <c r="F99" s="29"/>
      <c r="G99" s="29"/>
      <c r="H99" s="29"/>
      <c r="I99" s="29"/>
    </row>
    <row r="100" customFormat="false" ht="15" hidden="false" customHeight="false" outlineLevel="0" collapsed="false">
      <c r="A100" s="26"/>
      <c r="B100" s="27"/>
      <c r="C100" s="28"/>
      <c r="D100" s="29"/>
      <c r="E100" s="29"/>
      <c r="F100" s="29"/>
      <c r="G100" s="29"/>
      <c r="H100" s="29"/>
      <c r="I100" s="29"/>
    </row>
    <row r="101" customFormat="false" ht="15" hidden="false" customHeight="false" outlineLevel="0" collapsed="false">
      <c r="A101" s="26"/>
      <c r="B101" s="27"/>
      <c r="C101" s="28"/>
      <c r="D101" s="29"/>
      <c r="E101" s="29"/>
      <c r="F101" s="29"/>
      <c r="G101" s="29"/>
      <c r="H101" s="29"/>
      <c r="I101" s="29"/>
    </row>
    <row r="102" customFormat="false" ht="15" hidden="false" customHeight="false" outlineLevel="0" collapsed="false">
      <c r="A102" s="26"/>
      <c r="B102" s="27"/>
      <c r="C102" s="28"/>
      <c r="D102" s="29"/>
      <c r="E102" s="29"/>
      <c r="F102" s="29"/>
      <c r="G102" s="29"/>
      <c r="H102" s="29"/>
      <c r="I102" s="29"/>
    </row>
    <row r="103" customFormat="false" ht="15" hidden="false" customHeight="false" outlineLevel="0" collapsed="false">
      <c r="A103" s="26"/>
      <c r="B103" s="27"/>
      <c r="C103" s="28"/>
      <c r="D103" s="29"/>
      <c r="E103" s="29"/>
      <c r="F103" s="29"/>
      <c r="G103" s="29"/>
      <c r="H103" s="29"/>
      <c r="I103" s="29"/>
    </row>
    <row r="104" customFormat="false" ht="15" hidden="false" customHeight="false" outlineLevel="0" collapsed="false">
      <c r="A104" s="26"/>
      <c r="B104" s="27"/>
      <c r="C104" s="28"/>
      <c r="D104" s="29"/>
      <c r="E104" s="29"/>
      <c r="F104" s="29"/>
      <c r="G104" s="29"/>
      <c r="H104" s="29"/>
      <c r="I104" s="29"/>
    </row>
    <row r="105" customFormat="false" ht="15" hidden="false" customHeight="false" outlineLevel="0" collapsed="false">
      <c r="A105" s="26"/>
      <c r="B105" s="27"/>
      <c r="C105" s="28"/>
      <c r="D105" s="29"/>
      <c r="E105" s="29"/>
      <c r="F105" s="29"/>
      <c r="G105" s="29"/>
      <c r="H105" s="29"/>
      <c r="I105" s="29"/>
    </row>
    <row r="106" customFormat="false" ht="15" hidden="false" customHeight="false" outlineLevel="0" collapsed="false">
      <c r="A106" s="26"/>
      <c r="B106" s="27"/>
      <c r="C106" s="28"/>
      <c r="D106" s="29"/>
      <c r="E106" s="29"/>
      <c r="F106" s="29"/>
      <c r="G106" s="29"/>
      <c r="H106" s="29"/>
      <c r="I106" s="29"/>
    </row>
    <row r="107" customFormat="false" ht="15" hidden="false" customHeight="false" outlineLevel="0" collapsed="false">
      <c r="A107" s="26"/>
      <c r="B107" s="27"/>
      <c r="C107" s="28"/>
      <c r="D107" s="29"/>
      <c r="E107" s="29"/>
      <c r="F107" s="29"/>
      <c r="G107" s="29"/>
      <c r="H107" s="29"/>
      <c r="I107" s="29"/>
    </row>
    <row r="108" customFormat="false" ht="15" hidden="false" customHeight="false" outlineLevel="0" collapsed="false">
      <c r="A108" s="26"/>
      <c r="B108" s="27"/>
      <c r="C108" s="28"/>
      <c r="D108" s="29"/>
      <c r="E108" s="29"/>
      <c r="F108" s="29"/>
      <c r="G108" s="29"/>
      <c r="H108" s="29"/>
      <c r="I108" s="29"/>
    </row>
    <row r="109" customFormat="false" ht="15" hidden="false" customHeight="false" outlineLevel="0" collapsed="false">
      <c r="A109" s="26"/>
      <c r="B109" s="27"/>
      <c r="C109" s="28"/>
      <c r="D109" s="29"/>
      <c r="E109" s="29"/>
      <c r="F109" s="29"/>
      <c r="G109" s="29"/>
      <c r="H109" s="29"/>
      <c r="I109" s="29"/>
    </row>
    <row r="110" customFormat="false" ht="15" hidden="false" customHeight="false" outlineLevel="0" collapsed="false">
      <c r="A110" s="26"/>
      <c r="B110" s="27"/>
      <c r="C110" s="28"/>
      <c r="D110" s="29"/>
      <c r="E110" s="29"/>
      <c r="F110" s="29"/>
      <c r="G110" s="29"/>
      <c r="H110" s="29"/>
      <c r="I110" s="29"/>
    </row>
    <row r="111" customFormat="false" ht="15" hidden="false" customHeight="false" outlineLevel="0" collapsed="false">
      <c r="A111" s="26"/>
      <c r="B111" s="27"/>
      <c r="C111" s="28"/>
      <c r="D111" s="29"/>
      <c r="E111" s="29"/>
      <c r="F111" s="29"/>
      <c r="G111" s="29"/>
      <c r="H111" s="29"/>
      <c r="I111" s="29"/>
    </row>
    <row r="112" customFormat="false" ht="15" hidden="false" customHeight="false" outlineLevel="0" collapsed="false">
      <c r="A112" s="26"/>
      <c r="B112" s="27"/>
      <c r="C112" s="28"/>
      <c r="D112" s="29"/>
      <c r="E112" s="29"/>
      <c r="F112" s="29"/>
      <c r="G112" s="29"/>
      <c r="H112" s="29"/>
      <c r="I112" s="29"/>
    </row>
    <row r="113" customFormat="false" ht="15" hidden="false" customHeight="false" outlineLevel="0" collapsed="false">
      <c r="A113" s="26"/>
      <c r="B113" s="27"/>
      <c r="C113" s="28"/>
      <c r="D113" s="29"/>
      <c r="E113" s="29"/>
      <c r="F113" s="29"/>
      <c r="G113" s="29"/>
      <c r="H113" s="29"/>
      <c r="I113" s="29"/>
    </row>
    <row r="114" customFormat="false" ht="15" hidden="false" customHeight="false" outlineLevel="0" collapsed="false">
      <c r="A114" s="26"/>
      <c r="B114" s="27"/>
      <c r="C114" s="28"/>
      <c r="D114" s="29"/>
      <c r="E114" s="29"/>
      <c r="F114" s="29"/>
      <c r="G114" s="29"/>
      <c r="H114" s="29"/>
      <c r="I114" s="29"/>
    </row>
    <row r="115" customFormat="false" ht="15" hidden="false" customHeight="false" outlineLevel="0" collapsed="false">
      <c r="A115" s="26"/>
      <c r="B115" s="27"/>
      <c r="C115" s="28"/>
      <c r="D115" s="29"/>
      <c r="E115" s="29"/>
      <c r="F115" s="29"/>
      <c r="G115" s="29"/>
      <c r="H115" s="29"/>
      <c r="I115" s="29"/>
    </row>
    <row r="116" customFormat="false" ht="15" hidden="false" customHeight="false" outlineLevel="0" collapsed="false">
      <c r="A116" s="26"/>
      <c r="B116" s="27"/>
      <c r="C116" s="28"/>
      <c r="D116" s="29"/>
      <c r="E116" s="29"/>
      <c r="F116" s="29"/>
      <c r="G116" s="29"/>
      <c r="H116" s="29"/>
      <c r="I116" s="29"/>
    </row>
    <row r="117" customFormat="false" ht="15" hidden="false" customHeight="false" outlineLevel="0" collapsed="false">
      <c r="A117" s="26"/>
      <c r="B117" s="27"/>
      <c r="C117" s="28"/>
      <c r="D117" s="29"/>
      <c r="E117" s="29"/>
      <c r="F117" s="29"/>
      <c r="G117" s="29"/>
      <c r="H117" s="29"/>
      <c r="I117" s="29"/>
    </row>
    <row r="118" customFormat="false" ht="15" hidden="false" customHeight="false" outlineLevel="0" collapsed="false">
      <c r="A118" s="26"/>
      <c r="B118" s="27"/>
      <c r="C118" s="28"/>
      <c r="D118" s="29"/>
      <c r="E118" s="29"/>
      <c r="F118" s="29"/>
      <c r="G118" s="29"/>
      <c r="H118" s="29"/>
      <c r="I118" s="29"/>
    </row>
    <row r="119" customFormat="false" ht="15" hidden="false" customHeight="false" outlineLevel="0" collapsed="false">
      <c r="A119" s="26"/>
      <c r="B119" s="27"/>
      <c r="C119" s="28"/>
      <c r="D119" s="29"/>
      <c r="E119" s="29"/>
      <c r="F119" s="29"/>
      <c r="G119" s="29"/>
      <c r="H119" s="29"/>
      <c r="I119" s="29"/>
    </row>
    <row r="120" customFormat="false" ht="15" hidden="false" customHeight="false" outlineLevel="0" collapsed="false">
      <c r="A120" s="26"/>
      <c r="B120" s="27"/>
      <c r="C120" s="28"/>
      <c r="D120" s="29"/>
      <c r="E120" s="29"/>
      <c r="F120" s="29"/>
      <c r="G120" s="29"/>
      <c r="H120" s="29"/>
      <c r="I120" s="29"/>
    </row>
    <row r="121" customFormat="false" ht="15" hidden="false" customHeight="false" outlineLevel="0" collapsed="false">
      <c r="A121" s="26"/>
      <c r="B121" s="27"/>
      <c r="C121" s="28"/>
      <c r="D121" s="29"/>
      <c r="E121" s="29"/>
      <c r="F121" s="29"/>
      <c r="G121" s="29"/>
      <c r="H121" s="29"/>
      <c r="I121" s="29"/>
    </row>
    <row r="122" customFormat="false" ht="15" hidden="false" customHeight="false" outlineLevel="0" collapsed="false">
      <c r="A122" s="26"/>
      <c r="B122" s="27"/>
      <c r="C122" s="28"/>
      <c r="D122" s="29"/>
      <c r="E122" s="29"/>
      <c r="F122" s="29"/>
      <c r="G122" s="29"/>
      <c r="H122" s="29"/>
      <c r="I122" s="29"/>
    </row>
    <row r="123" customFormat="false" ht="15" hidden="false" customHeight="false" outlineLevel="0" collapsed="false">
      <c r="A123" s="26"/>
      <c r="B123" s="27"/>
      <c r="C123" s="28"/>
      <c r="D123" s="29"/>
      <c r="E123" s="29"/>
      <c r="F123" s="29"/>
      <c r="G123" s="29"/>
      <c r="H123" s="29"/>
      <c r="I123" s="29"/>
    </row>
    <row r="124" customFormat="false" ht="15" hidden="false" customHeight="false" outlineLevel="0" collapsed="false">
      <c r="A124" s="26"/>
      <c r="B124" s="27"/>
      <c r="C124" s="28"/>
      <c r="D124" s="29"/>
      <c r="E124" s="29"/>
      <c r="F124" s="29"/>
      <c r="G124" s="29"/>
      <c r="H124" s="29"/>
      <c r="I124" s="29"/>
    </row>
    <row r="125" customFormat="false" ht="15" hidden="false" customHeight="false" outlineLevel="0" collapsed="false">
      <c r="A125" s="26"/>
      <c r="B125" s="27"/>
      <c r="C125" s="28"/>
      <c r="D125" s="29"/>
      <c r="E125" s="29"/>
      <c r="F125" s="29"/>
      <c r="G125" s="29"/>
      <c r="H125" s="29"/>
      <c r="I125" s="29"/>
    </row>
    <row r="126" customFormat="false" ht="15" hidden="false" customHeight="false" outlineLevel="0" collapsed="false">
      <c r="A126" s="26"/>
      <c r="B126" s="27"/>
      <c r="C126" s="28"/>
      <c r="D126" s="29"/>
      <c r="E126" s="29"/>
      <c r="F126" s="29"/>
      <c r="G126" s="29"/>
      <c r="H126" s="29"/>
      <c r="I126" s="29"/>
    </row>
    <row r="127" customFormat="false" ht="15" hidden="false" customHeight="false" outlineLevel="0" collapsed="false">
      <c r="A127" s="26"/>
      <c r="B127" s="27"/>
      <c r="C127" s="28"/>
      <c r="D127" s="29"/>
      <c r="E127" s="29"/>
      <c r="F127" s="29"/>
      <c r="G127" s="29"/>
      <c r="H127" s="29"/>
      <c r="I127" s="29"/>
    </row>
    <row r="128" customFormat="false" ht="15" hidden="false" customHeight="false" outlineLevel="0" collapsed="false">
      <c r="A128" s="26"/>
      <c r="B128" s="27"/>
      <c r="C128" s="28"/>
      <c r="D128" s="29"/>
      <c r="E128" s="29"/>
      <c r="F128" s="29"/>
      <c r="G128" s="29"/>
      <c r="H128" s="29"/>
      <c r="I128" s="29"/>
    </row>
    <row r="129" customFormat="false" ht="15" hidden="false" customHeight="false" outlineLevel="0" collapsed="false">
      <c r="A129" s="26"/>
      <c r="B129" s="27"/>
      <c r="C129" s="28"/>
      <c r="D129" s="29"/>
      <c r="E129" s="29"/>
      <c r="F129" s="29"/>
      <c r="G129" s="29"/>
      <c r="H129" s="29"/>
      <c r="I129" s="29"/>
    </row>
    <row r="130" customFormat="false" ht="15" hidden="false" customHeight="false" outlineLevel="0" collapsed="false">
      <c r="A130" s="26"/>
      <c r="B130" s="27"/>
      <c r="C130" s="28"/>
      <c r="D130" s="29"/>
      <c r="E130" s="29"/>
      <c r="F130" s="29"/>
      <c r="G130" s="29"/>
      <c r="H130" s="29"/>
      <c r="I130" s="29"/>
    </row>
    <row r="131" customFormat="false" ht="15" hidden="false" customHeight="false" outlineLevel="0" collapsed="false">
      <c r="A131" s="26"/>
      <c r="B131" s="27"/>
      <c r="C131" s="28"/>
      <c r="D131" s="29"/>
      <c r="E131" s="29"/>
      <c r="F131" s="29"/>
      <c r="G131" s="29"/>
      <c r="H131" s="29"/>
      <c r="I131" s="29"/>
    </row>
    <row r="132" customFormat="false" ht="15" hidden="false" customHeight="false" outlineLevel="0" collapsed="false">
      <c r="A132" s="26"/>
      <c r="B132" s="27"/>
      <c r="C132" s="28"/>
      <c r="D132" s="29"/>
      <c r="E132" s="29"/>
      <c r="F132" s="29"/>
      <c r="G132" s="29"/>
      <c r="H132" s="29"/>
      <c r="I132" s="29"/>
    </row>
    <row r="133" customFormat="false" ht="15" hidden="false" customHeight="false" outlineLevel="0" collapsed="false">
      <c r="A133" s="26"/>
      <c r="B133" s="27"/>
      <c r="C133" s="28"/>
      <c r="D133" s="29"/>
      <c r="E133" s="29"/>
      <c r="F133" s="29"/>
      <c r="G133" s="29"/>
      <c r="H133" s="29"/>
      <c r="I133" s="29"/>
    </row>
    <row r="134" customFormat="false" ht="15" hidden="false" customHeight="false" outlineLevel="0" collapsed="false">
      <c r="A134" s="26"/>
      <c r="B134" s="27"/>
      <c r="C134" s="28"/>
      <c r="D134" s="29"/>
      <c r="E134" s="29"/>
      <c r="F134" s="29"/>
      <c r="G134" s="29"/>
      <c r="H134" s="29"/>
      <c r="I134" s="29"/>
    </row>
    <row r="135" customFormat="false" ht="15" hidden="false" customHeight="false" outlineLevel="0" collapsed="false">
      <c r="A135" s="26"/>
      <c r="B135" s="27"/>
      <c r="C135" s="28"/>
      <c r="D135" s="29"/>
      <c r="E135" s="29"/>
      <c r="F135" s="29"/>
      <c r="G135" s="29"/>
      <c r="H135" s="29"/>
      <c r="I135" s="29"/>
    </row>
    <row r="136" customFormat="false" ht="15" hidden="false" customHeight="false" outlineLevel="0" collapsed="false">
      <c r="A136" s="26"/>
      <c r="B136" s="27"/>
      <c r="C136" s="28"/>
      <c r="D136" s="29"/>
      <c r="E136" s="29"/>
      <c r="F136" s="29"/>
      <c r="G136" s="29"/>
      <c r="H136" s="29"/>
      <c r="I136" s="29"/>
    </row>
    <row r="137" customFormat="false" ht="15" hidden="false" customHeight="false" outlineLevel="0" collapsed="false">
      <c r="A137" s="26"/>
      <c r="B137" s="27"/>
      <c r="C137" s="28"/>
      <c r="D137" s="29"/>
      <c r="E137" s="29"/>
      <c r="F137" s="29"/>
      <c r="G137" s="29"/>
      <c r="H137" s="29"/>
      <c r="I137" s="29"/>
    </row>
    <row r="138" customFormat="false" ht="15" hidden="false" customHeight="false" outlineLevel="0" collapsed="false">
      <c r="A138" s="26"/>
      <c r="B138" s="27"/>
      <c r="C138" s="28"/>
      <c r="D138" s="29"/>
      <c r="E138" s="29"/>
      <c r="F138" s="29"/>
      <c r="G138" s="29"/>
      <c r="H138" s="29"/>
      <c r="I138" s="29"/>
    </row>
    <row r="139" customFormat="false" ht="15" hidden="false" customHeight="false" outlineLevel="0" collapsed="false">
      <c r="A139" s="26"/>
      <c r="B139" s="27"/>
      <c r="C139" s="28"/>
      <c r="D139" s="29"/>
      <c r="E139" s="29"/>
      <c r="F139" s="29"/>
      <c r="G139" s="29"/>
      <c r="H139" s="29"/>
      <c r="I139" s="29"/>
    </row>
    <row r="140" customFormat="false" ht="15" hidden="false" customHeight="false" outlineLevel="0" collapsed="false">
      <c r="A140" s="26"/>
      <c r="B140" s="27"/>
      <c r="C140" s="28"/>
      <c r="D140" s="29"/>
      <c r="E140" s="29"/>
      <c r="F140" s="29"/>
      <c r="G140" s="29"/>
      <c r="H140" s="29"/>
      <c r="I140" s="29"/>
    </row>
    <row r="141" customFormat="false" ht="15" hidden="false" customHeight="false" outlineLevel="0" collapsed="false">
      <c r="A141" s="26"/>
      <c r="B141" s="27"/>
      <c r="C141" s="28"/>
      <c r="D141" s="29"/>
      <c r="E141" s="29"/>
      <c r="F141" s="29"/>
      <c r="G141" s="29"/>
      <c r="H141" s="29"/>
      <c r="I141" s="29"/>
    </row>
    <row r="142" customFormat="false" ht="15" hidden="false" customHeight="false" outlineLevel="0" collapsed="false">
      <c r="A142" s="26"/>
      <c r="B142" s="27"/>
      <c r="C142" s="28"/>
      <c r="D142" s="29"/>
      <c r="E142" s="29"/>
      <c r="F142" s="29"/>
      <c r="G142" s="29"/>
      <c r="H142" s="29"/>
      <c r="I142" s="29"/>
    </row>
    <row r="143" customFormat="false" ht="15" hidden="false" customHeight="false" outlineLevel="0" collapsed="false">
      <c r="A143" s="26"/>
      <c r="B143" s="27"/>
      <c r="C143" s="28"/>
      <c r="D143" s="29"/>
      <c r="E143" s="29"/>
      <c r="F143" s="29"/>
      <c r="G143" s="29"/>
      <c r="H143" s="29"/>
      <c r="I143" s="29"/>
    </row>
    <row r="144" customFormat="false" ht="15" hidden="false" customHeight="false" outlineLevel="0" collapsed="false">
      <c r="A144" s="26"/>
      <c r="B144" s="27"/>
      <c r="C144" s="28"/>
      <c r="D144" s="29"/>
      <c r="E144" s="29"/>
      <c r="F144" s="29"/>
      <c r="G144" s="29"/>
      <c r="H144" s="29"/>
      <c r="I144" s="29"/>
    </row>
    <row r="145" customFormat="false" ht="15" hidden="false" customHeight="false" outlineLevel="0" collapsed="false">
      <c r="A145" s="26"/>
      <c r="B145" s="27"/>
      <c r="C145" s="28"/>
      <c r="D145" s="29"/>
      <c r="E145" s="29"/>
      <c r="F145" s="29"/>
      <c r="G145" s="29"/>
      <c r="H145" s="29"/>
      <c r="I145" s="29"/>
    </row>
    <row r="146" customFormat="false" ht="15" hidden="false" customHeight="false" outlineLevel="0" collapsed="false">
      <c r="A146" s="26"/>
      <c r="B146" s="27"/>
      <c r="C146" s="28"/>
      <c r="D146" s="29"/>
      <c r="E146" s="29"/>
      <c r="F146" s="29"/>
      <c r="G146" s="29"/>
      <c r="H146" s="29"/>
      <c r="I146" s="29"/>
    </row>
    <row r="147" customFormat="false" ht="15" hidden="false" customHeight="false" outlineLevel="0" collapsed="false">
      <c r="A147" s="26"/>
      <c r="B147" s="27"/>
      <c r="C147" s="28"/>
      <c r="D147" s="29"/>
      <c r="E147" s="29"/>
      <c r="F147" s="29"/>
      <c r="G147" s="29"/>
      <c r="H147" s="29"/>
      <c r="I147" s="29"/>
    </row>
    <row r="148" customFormat="false" ht="15" hidden="false" customHeight="false" outlineLevel="0" collapsed="false">
      <c r="A148" s="26"/>
      <c r="B148" s="27"/>
      <c r="C148" s="28"/>
      <c r="D148" s="29"/>
      <c r="E148" s="29"/>
      <c r="F148" s="29"/>
      <c r="G148" s="29"/>
      <c r="H148" s="29"/>
      <c r="I148" s="29"/>
    </row>
    <row r="149" customFormat="false" ht="15" hidden="false" customHeight="false" outlineLevel="0" collapsed="false">
      <c r="A149" s="26"/>
      <c r="B149" s="27"/>
      <c r="C149" s="28"/>
      <c r="D149" s="29"/>
      <c r="E149" s="29"/>
      <c r="F149" s="29"/>
      <c r="G149" s="29"/>
      <c r="H149" s="29"/>
      <c r="I149" s="29"/>
    </row>
    <row r="150" customFormat="false" ht="15" hidden="false" customHeight="false" outlineLevel="0" collapsed="false">
      <c r="A150" s="26"/>
      <c r="B150" s="27"/>
      <c r="C150" s="28"/>
      <c r="D150" s="29"/>
      <c r="E150" s="29"/>
      <c r="F150" s="29"/>
      <c r="G150" s="29"/>
      <c r="H150" s="29"/>
      <c r="I150" s="29"/>
    </row>
    <row r="151" customFormat="false" ht="15" hidden="false" customHeight="false" outlineLevel="0" collapsed="false">
      <c r="A151" s="26"/>
      <c r="B151" s="27"/>
      <c r="C151" s="28"/>
      <c r="D151" s="29"/>
      <c r="E151" s="29"/>
      <c r="F151" s="29"/>
      <c r="G151" s="29"/>
      <c r="H151" s="29"/>
      <c r="I151" s="29"/>
    </row>
    <row r="152" customFormat="false" ht="15" hidden="false" customHeight="false" outlineLevel="0" collapsed="false">
      <c r="A152" s="26"/>
      <c r="B152" s="27"/>
      <c r="C152" s="28"/>
      <c r="D152" s="29"/>
      <c r="E152" s="29"/>
      <c r="F152" s="29"/>
      <c r="G152" s="29"/>
      <c r="H152" s="29"/>
      <c r="I152" s="29"/>
    </row>
    <row r="153" customFormat="false" ht="15" hidden="false" customHeight="false" outlineLevel="0" collapsed="false">
      <c r="A153" s="26"/>
      <c r="B153" s="27"/>
      <c r="C153" s="28"/>
      <c r="D153" s="29"/>
      <c r="E153" s="29"/>
      <c r="F153" s="29"/>
      <c r="G153" s="29"/>
      <c r="H153" s="29"/>
      <c r="I153" s="29"/>
    </row>
    <row r="154" customFormat="false" ht="15" hidden="false" customHeight="false" outlineLevel="0" collapsed="false">
      <c r="A154" s="26"/>
      <c r="B154" s="27"/>
      <c r="C154" s="28"/>
      <c r="D154" s="29"/>
      <c r="E154" s="29"/>
      <c r="F154" s="29"/>
      <c r="G154" s="29"/>
      <c r="H154" s="29"/>
      <c r="I154" s="29"/>
    </row>
    <row r="155" customFormat="false" ht="15" hidden="false" customHeight="false" outlineLevel="0" collapsed="false">
      <c r="A155" s="26"/>
      <c r="B155" s="27"/>
      <c r="C155" s="28"/>
      <c r="D155" s="29"/>
      <c r="E155" s="29"/>
      <c r="F155" s="29"/>
      <c r="G155" s="29"/>
      <c r="H155" s="29"/>
      <c r="I155" s="29"/>
    </row>
    <row r="156" customFormat="false" ht="15" hidden="false" customHeight="false" outlineLevel="0" collapsed="false">
      <c r="A156" s="26"/>
      <c r="B156" s="27"/>
      <c r="C156" s="28"/>
      <c r="D156" s="29"/>
      <c r="E156" s="29"/>
      <c r="F156" s="29"/>
      <c r="G156" s="29"/>
      <c r="H156" s="29"/>
      <c r="I156" s="29"/>
    </row>
    <row r="157" customFormat="false" ht="15" hidden="false" customHeight="false" outlineLevel="0" collapsed="false">
      <c r="A157" s="26"/>
      <c r="B157" s="27"/>
      <c r="C157" s="28"/>
      <c r="D157" s="29"/>
      <c r="E157" s="29"/>
      <c r="F157" s="29"/>
      <c r="G157" s="29"/>
      <c r="H157" s="29"/>
      <c r="I157" s="29"/>
    </row>
    <row r="158" customFormat="false" ht="15" hidden="false" customHeight="false" outlineLevel="0" collapsed="false">
      <c r="A158" s="26"/>
      <c r="B158" s="27"/>
      <c r="C158" s="28"/>
      <c r="D158" s="29"/>
      <c r="E158" s="29"/>
      <c r="F158" s="29"/>
      <c r="G158" s="29"/>
      <c r="H158" s="29"/>
      <c r="I158" s="29"/>
    </row>
    <row r="159" customFormat="false" ht="15" hidden="false" customHeight="false" outlineLevel="0" collapsed="false">
      <c r="A159" s="26"/>
      <c r="B159" s="27"/>
      <c r="C159" s="28"/>
      <c r="D159" s="29"/>
      <c r="E159" s="29"/>
      <c r="F159" s="29"/>
      <c r="G159" s="29"/>
      <c r="H159" s="29"/>
      <c r="I159" s="29"/>
    </row>
    <row r="160" customFormat="false" ht="15" hidden="false" customHeight="false" outlineLevel="0" collapsed="false">
      <c r="A160" s="26"/>
      <c r="B160" s="27"/>
      <c r="C160" s="28"/>
      <c r="D160" s="29"/>
      <c r="E160" s="29"/>
      <c r="F160" s="29"/>
      <c r="G160" s="29"/>
      <c r="H160" s="29"/>
      <c r="I160" s="29"/>
    </row>
    <row r="161" customFormat="false" ht="15" hidden="false" customHeight="false" outlineLevel="0" collapsed="false">
      <c r="A161" s="26"/>
      <c r="B161" s="27"/>
      <c r="C161" s="28"/>
      <c r="D161" s="29"/>
      <c r="E161" s="29"/>
      <c r="F161" s="29"/>
      <c r="G161" s="29"/>
      <c r="H161" s="29"/>
      <c r="I161" s="29"/>
    </row>
    <row r="162" customFormat="false" ht="15" hidden="false" customHeight="false" outlineLevel="0" collapsed="false">
      <c r="A162" s="26"/>
      <c r="B162" s="27"/>
      <c r="C162" s="28"/>
      <c r="D162" s="29"/>
      <c r="E162" s="29"/>
      <c r="F162" s="29"/>
      <c r="G162" s="29"/>
      <c r="H162" s="29"/>
      <c r="I162" s="29"/>
    </row>
    <row r="163" customFormat="false" ht="15" hidden="false" customHeight="false" outlineLevel="0" collapsed="false">
      <c r="A163" s="26"/>
      <c r="B163" s="27"/>
      <c r="C163" s="28"/>
      <c r="D163" s="29"/>
      <c r="E163" s="29"/>
      <c r="F163" s="29"/>
      <c r="G163" s="29"/>
      <c r="H163" s="29"/>
      <c r="I163" s="29"/>
    </row>
    <row r="164" customFormat="false" ht="15" hidden="false" customHeight="false" outlineLevel="0" collapsed="false">
      <c r="A164" s="26"/>
      <c r="B164" s="27"/>
      <c r="C164" s="28"/>
      <c r="D164" s="29"/>
      <c r="E164" s="29"/>
      <c r="F164" s="29"/>
      <c r="G164" s="29"/>
      <c r="H164" s="29"/>
      <c r="I164" s="29"/>
    </row>
    <row r="165" customFormat="false" ht="15" hidden="false" customHeight="false" outlineLevel="0" collapsed="false">
      <c r="A165" s="26"/>
      <c r="B165" s="27"/>
      <c r="C165" s="28"/>
      <c r="D165" s="29"/>
      <c r="E165" s="29"/>
      <c r="F165" s="29"/>
      <c r="G165" s="29"/>
      <c r="H165" s="29"/>
      <c r="I165" s="29"/>
    </row>
    <row r="166" customFormat="false" ht="15" hidden="false" customHeight="false" outlineLevel="0" collapsed="false">
      <c r="A166" s="26"/>
      <c r="B166" s="27"/>
      <c r="C166" s="28"/>
      <c r="D166" s="29"/>
      <c r="E166" s="29"/>
      <c r="F166" s="29"/>
      <c r="G166" s="29"/>
      <c r="H166" s="29"/>
      <c r="I166" s="29"/>
    </row>
    <row r="167" customFormat="false" ht="15" hidden="false" customHeight="false" outlineLevel="0" collapsed="false">
      <c r="A167" s="26"/>
      <c r="B167" s="27"/>
      <c r="C167" s="28"/>
      <c r="D167" s="29"/>
      <c r="E167" s="29"/>
      <c r="F167" s="29"/>
      <c r="G167" s="29"/>
      <c r="H167" s="29"/>
      <c r="I167" s="29"/>
    </row>
    <row r="168" customFormat="false" ht="15" hidden="false" customHeight="false" outlineLevel="0" collapsed="false">
      <c r="A168" s="26"/>
      <c r="B168" s="27"/>
      <c r="C168" s="28"/>
      <c r="D168" s="29"/>
      <c r="E168" s="29"/>
      <c r="F168" s="29"/>
      <c r="G168" s="29"/>
      <c r="H168" s="29"/>
      <c r="I168" s="29"/>
    </row>
    <row r="169" customFormat="false" ht="15" hidden="false" customHeight="false" outlineLevel="0" collapsed="false">
      <c r="A169" s="26"/>
      <c r="B169" s="27"/>
      <c r="C169" s="28"/>
      <c r="D169" s="29"/>
      <c r="E169" s="29"/>
      <c r="F169" s="29"/>
      <c r="G169" s="29"/>
      <c r="H169" s="29"/>
      <c r="I169" s="29"/>
    </row>
    <row r="170" customFormat="false" ht="15" hidden="false" customHeight="false" outlineLevel="0" collapsed="false">
      <c r="A170" s="26"/>
      <c r="B170" s="27"/>
      <c r="C170" s="28"/>
      <c r="D170" s="29"/>
      <c r="E170" s="29"/>
      <c r="F170" s="29"/>
      <c r="G170" s="29"/>
      <c r="H170" s="29"/>
      <c r="I170" s="29"/>
    </row>
    <row r="171" customFormat="false" ht="15" hidden="false" customHeight="false" outlineLevel="0" collapsed="false">
      <c r="A171" s="26"/>
      <c r="B171" s="27"/>
      <c r="C171" s="28"/>
      <c r="D171" s="29"/>
      <c r="E171" s="29"/>
      <c r="F171" s="29"/>
      <c r="G171" s="29"/>
      <c r="H171" s="29"/>
      <c r="I171" s="29"/>
    </row>
    <row r="172" customFormat="false" ht="15" hidden="false" customHeight="false" outlineLevel="0" collapsed="false">
      <c r="A172" s="26"/>
      <c r="B172" s="27"/>
      <c r="C172" s="28"/>
      <c r="D172" s="29"/>
      <c r="E172" s="29"/>
      <c r="F172" s="29"/>
      <c r="G172" s="29"/>
      <c r="H172" s="29"/>
      <c r="I172" s="29"/>
    </row>
    <row r="173" customFormat="false" ht="15" hidden="false" customHeight="false" outlineLevel="0" collapsed="false">
      <c r="A173" s="26"/>
      <c r="B173" s="27"/>
      <c r="C173" s="28"/>
      <c r="D173" s="29"/>
      <c r="E173" s="29"/>
      <c r="F173" s="29"/>
      <c r="G173" s="29"/>
      <c r="H173" s="29"/>
      <c r="I173" s="29"/>
    </row>
    <row r="174" customFormat="false" ht="15" hidden="false" customHeight="false" outlineLevel="0" collapsed="false">
      <c r="A174" s="26"/>
      <c r="B174" s="27"/>
      <c r="C174" s="28"/>
      <c r="D174" s="29"/>
      <c r="E174" s="29"/>
      <c r="F174" s="29"/>
      <c r="G174" s="29"/>
      <c r="H174" s="29"/>
      <c r="I174" s="29"/>
    </row>
    <row r="175" customFormat="false" ht="15" hidden="false" customHeight="false" outlineLevel="0" collapsed="false">
      <c r="A175" s="26"/>
      <c r="B175" s="27"/>
      <c r="C175" s="28"/>
      <c r="D175" s="29"/>
      <c r="E175" s="29"/>
      <c r="F175" s="29"/>
      <c r="G175" s="29"/>
      <c r="H175" s="29"/>
      <c r="I175" s="29"/>
    </row>
    <row r="176" customFormat="false" ht="15" hidden="false" customHeight="false" outlineLevel="0" collapsed="false">
      <c r="A176" s="26"/>
      <c r="B176" s="27"/>
      <c r="C176" s="28"/>
      <c r="D176" s="29"/>
      <c r="E176" s="29"/>
      <c r="F176" s="29"/>
      <c r="G176" s="29"/>
      <c r="H176" s="29"/>
      <c r="I176" s="29"/>
    </row>
    <row r="177" customFormat="false" ht="15" hidden="false" customHeight="false" outlineLevel="0" collapsed="false">
      <c r="A177" s="26"/>
      <c r="B177" s="27"/>
      <c r="C177" s="28"/>
      <c r="D177" s="29"/>
      <c r="E177" s="29"/>
      <c r="F177" s="29"/>
      <c r="G177" s="29"/>
      <c r="H177" s="29"/>
      <c r="I177" s="29"/>
    </row>
    <row r="178" customFormat="false" ht="15" hidden="false" customHeight="false" outlineLevel="0" collapsed="false">
      <c r="A178" s="26"/>
      <c r="B178" s="27"/>
      <c r="C178" s="28"/>
      <c r="D178" s="29"/>
      <c r="E178" s="29"/>
      <c r="F178" s="29"/>
      <c r="G178" s="29"/>
      <c r="H178" s="29"/>
      <c r="I178" s="29"/>
    </row>
    <row r="179" customFormat="false" ht="15" hidden="false" customHeight="false" outlineLevel="0" collapsed="false">
      <c r="A179" s="26"/>
      <c r="B179" s="27"/>
      <c r="C179" s="28"/>
      <c r="D179" s="29"/>
      <c r="E179" s="29"/>
      <c r="F179" s="29"/>
      <c r="G179" s="29"/>
      <c r="H179" s="29"/>
      <c r="I179" s="29"/>
    </row>
    <row r="180" customFormat="false" ht="15" hidden="false" customHeight="false" outlineLevel="0" collapsed="false">
      <c r="A180" s="26"/>
      <c r="B180" s="27"/>
      <c r="C180" s="28"/>
      <c r="D180" s="29"/>
      <c r="E180" s="29"/>
      <c r="F180" s="29"/>
      <c r="G180" s="29"/>
      <c r="H180" s="29"/>
      <c r="I180" s="29"/>
    </row>
    <row r="181" customFormat="false" ht="15" hidden="false" customHeight="false" outlineLevel="0" collapsed="false">
      <c r="A181" s="26"/>
      <c r="B181" s="27"/>
      <c r="C181" s="28"/>
      <c r="D181" s="29"/>
      <c r="E181" s="29"/>
      <c r="F181" s="29"/>
      <c r="G181" s="29"/>
      <c r="H181" s="29"/>
      <c r="I181" s="29"/>
    </row>
    <row r="182" customFormat="false" ht="15" hidden="false" customHeight="false" outlineLevel="0" collapsed="false">
      <c r="A182" s="26"/>
      <c r="B182" s="27"/>
      <c r="C182" s="28"/>
      <c r="D182" s="29"/>
      <c r="E182" s="29"/>
      <c r="F182" s="29"/>
      <c r="G182" s="29"/>
      <c r="H182" s="29"/>
      <c r="I182" s="29"/>
    </row>
    <row r="183" customFormat="false" ht="15" hidden="false" customHeight="false" outlineLevel="0" collapsed="false">
      <c r="A183" s="26"/>
      <c r="B183" s="27"/>
      <c r="C183" s="28"/>
      <c r="D183" s="29"/>
      <c r="E183" s="29"/>
      <c r="F183" s="29"/>
      <c r="G183" s="29"/>
      <c r="H183" s="29"/>
      <c r="I183" s="29"/>
    </row>
    <row r="184" customFormat="false" ht="15" hidden="false" customHeight="false" outlineLevel="0" collapsed="false">
      <c r="A184" s="26"/>
      <c r="B184" s="27"/>
      <c r="C184" s="28"/>
      <c r="D184" s="29"/>
      <c r="E184" s="29"/>
      <c r="F184" s="29"/>
      <c r="G184" s="29"/>
      <c r="H184" s="29"/>
      <c r="I184" s="29"/>
    </row>
    <row r="185" customFormat="false" ht="15" hidden="false" customHeight="false" outlineLevel="0" collapsed="false">
      <c r="A185" s="26"/>
      <c r="B185" s="27"/>
      <c r="C185" s="28"/>
      <c r="D185" s="29"/>
      <c r="E185" s="29"/>
      <c r="F185" s="29"/>
      <c r="G185" s="29"/>
      <c r="H185" s="29"/>
      <c r="I185" s="29"/>
    </row>
    <row r="186" customFormat="false" ht="15" hidden="false" customHeight="false" outlineLevel="0" collapsed="false">
      <c r="A186" s="26"/>
      <c r="B186" s="27"/>
      <c r="C186" s="28"/>
      <c r="D186" s="29"/>
      <c r="E186" s="29"/>
      <c r="F186" s="29"/>
      <c r="G186" s="29"/>
      <c r="H186" s="29"/>
      <c r="I186" s="29"/>
    </row>
    <row r="187" customFormat="false" ht="15" hidden="false" customHeight="false" outlineLevel="0" collapsed="false">
      <c r="A187" s="26"/>
      <c r="B187" s="27"/>
      <c r="C187" s="28"/>
      <c r="D187" s="29"/>
      <c r="E187" s="29"/>
      <c r="F187" s="29"/>
      <c r="G187" s="29"/>
      <c r="H187" s="29"/>
      <c r="I187" s="29"/>
    </row>
    <row r="188" customFormat="false" ht="15" hidden="false" customHeight="false" outlineLevel="0" collapsed="false">
      <c r="A188" s="26"/>
      <c r="B188" s="27"/>
      <c r="C188" s="28"/>
      <c r="D188" s="29"/>
      <c r="E188" s="29"/>
      <c r="F188" s="29"/>
      <c r="G188" s="29"/>
      <c r="H188" s="29"/>
      <c r="I188" s="29"/>
    </row>
    <row r="189" customFormat="false" ht="15" hidden="false" customHeight="false" outlineLevel="0" collapsed="false">
      <c r="A189" s="26"/>
      <c r="B189" s="27"/>
      <c r="C189" s="28"/>
      <c r="D189" s="29"/>
      <c r="E189" s="29"/>
      <c r="F189" s="29"/>
      <c r="G189" s="29"/>
      <c r="H189" s="29"/>
      <c r="I189" s="29"/>
    </row>
    <row r="190" customFormat="false" ht="15" hidden="false" customHeight="false" outlineLevel="0" collapsed="false">
      <c r="A190" s="26"/>
      <c r="B190" s="27"/>
      <c r="C190" s="28"/>
      <c r="D190" s="29"/>
      <c r="E190" s="29"/>
      <c r="F190" s="29"/>
      <c r="G190" s="29"/>
      <c r="H190" s="29"/>
      <c r="I190" s="29"/>
    </row>
    <row r="191" customFormat="false" ht="15" hidden="false" customHeight="false" outlineLevel="0" collapsed="false">
      <c r="A191" s="26"/>
      <c r="B191" s="27"/>
      <c r="C191" s="28"/>
      <c r="D191" s="29"/>
      <c r="E191" s="29"/>
      <c r="F191" s="29"/>
      <c r="G191" s="29"/>
      <c r="H191" s="29"/>
      <c r="I191" s="29"/>
    </row>
    <row r="192" customFormat="false" ht="15" hidden="false" customHeight="false" outlineLevel="0" collapsed="false">
      <c r="A192" s="26"/>
      <c r="B192" s="27"/>
      <c r="C192" s="28"/>
      <c r="D192" s="29"/>
      <c r="E192" s="29"/>
      <c r="F192" s="29"/>
      <c r="G192" s="29"/>
      <c r="H192" s="29"/>
      <c r="I192" s="29"/>
    </row>
    <row r="193" customFormat="false" ht="15" hidden="false" customHeight="false" outlineLevel="0" collapsed="false">
      <c r="A193" s="26"/>
      <c r="B193" s="27"/>
      <c r="C193" s="28"/>
      <c r="D193" s="29"/>
      <c r="E193" s="29"/>
      <c r="F193" s="29"/>
      <c r="G193" s="29"/>
      <c r="H193" s="29"/>
      <c r="I193" s="29"/>
    </row>
    <row r="194" customFormat="false" ht="15" hidden="false" customHeight="false" outlineLevel="0" collapsed="false">
      <c r="A194" s="26"/>
      <c r="B194" s="27"/>
      <c r="C194" s="28"/>
      <c r="D194" s="29"/>
      <c r="E194" s="29"/>
      <c r="F194" s="29"/>
      <c r="G194" s="29"/>
      <c r="H194" s="29"/>
      <c r="I194" s="29"/>
    </row>
    <row r="195" customFormat="false" ht="15" hidden="false" customHeight="false" outlineLevel="0" collapsed="false">
      <c r="A195" s="26"/>
      <c r="B195" s="27"/>
      <c r="C195" s="28"/>
      <c r="D195" s="29"/>
      <c r="E195" s="29"/>
      <c r="F195" s="29"/>
      <c r="G195" s="29"/>
      <c r="H195" s="29"/>
      <c r="I195" s="29"/>
    </row>
    <row r="196" customFormat="false" ht="15" hidden="false" customHeight="false" outlineLevel="0" collapsed="false">
      <c r="A196" s="26"/>
      <c r="B196" s="27"/>
      <c r="C196" s="28"/>
      <c r="D196" s="29"/>
      <c r="E196" s="29"/>
      <c r="F196" s="29"/>
      <c r="G196" s="29"/>
      <c r="H196" s="29"/>
      <c r="I196" s="29"/>
    </row>
    <row r="197" customFormat="false" ht="15" hidden="false" customHeight="false" outlineLevel="0" collapsed="false">
      <c r="A197" s="26"/>
      <c r="B197" s="27"/>
      <c r="C197" s="28"/>
      <c r="D197" s="29"/>
      <c r="E197" s="29"/>
      <c r="F197" s="29"/>
      <c r="G197" s="29"/>
      <c r="H197" s="29"/>
      <c r="I197" s="29"/>
    </row>
    <row r="198" customFormat="false" ht="15" hidden="false" customHeight="false" outlineLevel="0" collapsed="false">
      <c r="A198" s="26"/>
      <c r="B198" s="27"/>
      <c r="C198" s="28"/>
      <c r="D198" s="29"/>
      <c r="E198" s="29"/>
      <c r="F198" s="29"/>
      <c r="G198" s="29"/>
      <c r="H198" s="29"/>
      <c r="I198" s="29"/>
    </row>
    <row r="199" customFormat="false" ht="15" hidden="false" customHeight="false" outlineLevel="0" collapsed="false">
      <c r="A199" s="26"/>
      <c r="B199" s="27"/>
      <c r="C199" s="28"/>
      <c r="D199" s="29"/>
      <c r="E199" s="29"/>
      <c r="F199" s="29"/>
      <c r="G199" s="29"/>
      <c r="H199" s="29"/>
      <c r="I199" s="29"/>
    </row>
    <row r="200" customFormat="false" ht="15" hidden="false" customHeight="false" outlineLevel="0" collapsed="false">
      <c r="A200" s="26"/>
      <c r="B200" s="27"/>
      <c r="C200" s="28"/>
      <c r="D200" s="29"/>
      <c r="E200" s="29"/>
      <c r="F200" s="29"/>
      <c r="G200" s="29"/>
      <c r="H200" s="29"/>
      <c r="I200" s="29"/>
    </row>
    <row r="201" customFormat="false" ht="15" hidden="false" customHeight="false" outlineLevel="0" collapsed="false">
      <c r="A201" s="26"/>
      <c r="B201" s="27"/>
      <c r="C201" s="28"/>
      <c r="D201" s="29"/>
      <c r="E201" s="29"/>
      <c r="F201" s="29"/>
      <c r="G201" s="29"/>
      <c r="H201" s="29"/>
      <c r="I201" s="29"/>
    </row>
    <row r="202" customFormat="false" ht="15" hidden="false" customHeight="false" outlineLevel="0" collapsed="false">
      <c r="A202" s="26"/>
      <c r="B202" s="27"/>
      <c r="C202" s="28"/>
      <c r="D202" s="29"/>
      <c r="E202" s="29"/>
      <c r="F202" s="29"/>
      <c r="G202" s="29"/>
      <c r="H202" s="29"/>
      <c r="I202" s="29"/>
    </row>
    <row r="203" customFormat="false" ht="15" hidden="false" customHeight="false" outlineLevel="0" collapsed="false">
      <c r="A203" s="26"/>
      <c r="B203" s="27"/>
      <c r="C203" s="28"/>
      <c r="D203" s="29"/>
      <c r="E203" s="29"/>
      <c r="F203" s="29"/>
      <c r="G203" s="29"/>
      <c r="H203" s="29"/>
      <c r="I203" s="29"/>
    </row>
    <row r="204" customFormat="false" ht="15" hidden="false" customHeight="false" outlineLevel="0" collapsed="false">
      <c r="A204" s="26"/>
      <c r="B204" s="27"/>
      <c r="C204" s="28"/>
      <c r="D204" s="29"/>
      <c r="E204" s="29"/>
      <c r="F204" s="29"/>
      <c r="G204" s="29"/>
      <c r="H204" s="29"/>
      <c r="I204" s="29"/>
    </row>
    <row r="205" customFormat="false" ht="15" hidden="false" customHeight="false" outlineLevel="0" collapsed="false">
      <c r="A205" s="26"/>
      <c r="B205" s="27"/>
      <c r="C205" s="28"/>
      <c r="D205" s="29"/>
      <c r="E205" s="29"/>
      <c r="F205" s="29"/>
      <c r="G205" s="29"/>
      <c r="H205" s="29"/>
      <c r="I205" s="29"/>
    </row>
    <row r="206" customFormat="false" ht="15" hidden="false" customHeight="false" outlineLevel="0" collapsed="false">
      <c r="A206" s="26"/>
      <c r="B206" s="27"/>
      <c r="C206" s="28"/>
      <c r="D206" s="29"/>
      <c r="E206" s="29"/>
      <c r="F206" s="29"/>
      <c r="G206" s="29"/>
      <c r="H206" s="29"/>
      <c r="I206" s="29"/>
    </row>
    <row r="207" customFormat="false" ht="15" hidden="false" customHeight="false" outlineLevel="0" collapsed="false">
      <c r="A207" s="26"/>
      <c r="B207" s="27"/>
      <c r="C207" s="28"/>
      <c r="D207" s="29"/>
      <c r="E207" s="29"/>
      <c r="F207" s="29"/>
      <c r="G207" s="29"/>
      <c r="H207" s="29"/>
      <c r="I207" s="29"/>
    </row>
    <row r="208" customFormat="false" ht="15" hidden="false" customHeight="false" outlineLevel="0" collapsed="false">
      <c r="A208" s="26"/>
      <c r="B208" s="27"/>
      <c r="C208" s="28"/>
      <c r="D208" s="29"/>
      <c r="E208" s="29"/>
      <c r="F208" s="29"/>
      <c r="G208" s="29"/>
      <c r="H208" s="29"/>
      <c r="I208" s="29"/>
    </row>
    <row r="209" customFormat="false" ht="15" hidden="false" customHeight="false" outlineLevel="0" collapsed="false">
      <c r="A209" s="26"/>
      <c r="B209" s="27"/>
      <c r="C209" s="28"/>
      <c r="D209" s="29"/>
      <c r="E209" s="29"/>
      <c r="F209" s="29"/>
      <c r="G209" s="29"/>
      <c r="H209" s="29"/>
      <c r="I209" s="29"/>
    </row>
    <row r="210" customFormat="false" ht="15" hidden="false" customHeight="false" outlineLevel="0" collapsed="false">
      <c r="A210" s="26"/>
      <c r="B210" s="27"/>
      <c r="C210" s="28"/>
      <c r="D210" s="29"/>
      <c r="E210" s="29"/>
      <c r="F210" s="29"/>
      <c r="G210" s="29"/>
      <c r="H210" s="29"/>
      <c r="I210" s="29"/>
    </row>
    <row r="211" customFormat="false" ht="15" hidden="false" customHeight="false" outlineLevel="0" collapsed="false">
      <c r="A211" s="26"/>
      <c r="B211" s="27"/>
      <c r="C211" s="28"/>
      <c r="D211" s="29"/>
      <c r="E211" s="29"/>
      <c r="F211" s="29"/>
      <c r="G211" s="29"/>
      <c r="H211" s="29"/>
      <c r="I211" s="29"/>
    </row>
    <row r="212" customFormat="false" ht="15" hidden="false" customHeight="false" outlineLevel="0" collapsed="false">
      <c r="A212" s="26"/>
      <c r="B212" s="27"/>
      <c r="C212" s="28"/>
      <c r="D212" s="29"/>
      <c r="E212" s="29"/>
      <c r="F212" s="29"/>
      <c r="G212" s="29"/>
      <c r="H212" s="29"/>
      <c r="I212" s="29"/>
    </row>
    <row r="213" customFormat="false" ht="15" hidden="false" customHeight="false" outlineLevel="0" collapsed="false">
      <c r="A213" s="26"/>
      <c r="B213" s="27"/>
      <c r="C213" s="28"/>
      <c r="D213" s="29"/>
      <c r="E213" s="29"/>
      <c r="F213" s="29"/>
      <c r="G213" s="29"/>
      <c r="H213" s="29"/>
      <c r="I213" s="29"/>
    </row>
    <row r="214" customFormat="false" ht="15" hidden="false" customHeight="false" outlineLevel="0" collapsed="false">
      <c r="A214" s="26"/>
      <c r="B214" s="27"/>
      <c r="C214" s="28"/>
      <c r="D214" s="29"/>
      <c r="E214" s="29"/>
      <c r="F214" s="29"/>
      <c r="G214" s="29"/>
      <c r="H214" s="29"/>
      <c r="I214" s="29"/>
    </row>
    <row r="215" customFormat="false" ht="15" hidden="false" customHeight="false" outlineLevel="0" collapsed="false">
      <c r="A215" s="26"/>
      <c r="B215" s="27"/>
      <c r="C215" s="28"/>
      <c r="D215" s="29"/>
      <c r="E215" s="29"/>
      <c r="F215" s="29"/>
      <c r="G215" s="29"/>
      <c r="H215" s="29"/>
      <c r="I215" s="29"/>
    </row>
    <row r="216" customFormat="false" ht="15" hidden="false" customHeight="false" outlineLevel="0" collapsed="false">
      <c r="A216" s="26"/>
      <c r="B216" s="27"/>
      <c r="C216" s="28"/>
      <c r="D216" s="29"/>
      <c r="E216" s="29"/>
      <c r="F216" s="29"/>
      <c r="G216" s="29"/>
      <c r="H216" s="29"/>
      <c r="I216" s="29"/>
    </row>
    <row r="217" customFormat="false" ht="15" hidden="false" customHeight="false" outlineLevel="0" collapsed="false">
      <c r="A217" s="26"/>
      <c r="B217" s="27"/>
      <c r="C217" s="28"/>
      <c r="D217" s="29"/>
      <c r="E217" s="29"/>
      <c r="F217" s="29"/>
      <c r="G217" s="29"/>
      <c r="H217" s="29"/>
      <c r="I217" s="29"/>
    </row>
    <row r="218" customFormat="false" ht="15" hidden="false" customHeight="false" outlineLevel="0" collapsed="false">
      <c r="A218" s="26"/>
      <c r="B218" s="27"/>
      <c r="C218" s="28"/>
      <c r="D218" s="29"/>
      <c r="E218" s="29"/>
      <c r="F218" s="29"/>
      <c r="G218" s="29"/>
      <c r="H218" s="29"/>
      <c r="I218" s="29"/>
    </row>
    <row r="219" customFormat="false" ht="15" hidden="false" customHeight="false" outlineLevel="0" collapsed="false">
      <c r="A219" s="26"/>
      <c r="B219" s="27"/>
      <c r="C219" s="28"/>
      <c r="D219" s="29"/>
      <c r="E219" s="29"/>
      <c r="F219" s="29"/>
      <c r="G219" s="29"/>
      <c r="H219" s="29"/>
      <c r="I219" s="29"/>
    </row>
    <row r="220" customFormat="false" ht="15" hidden="false" customHeight="false" outlineLevel="0" collapsed="false">
      <c r="A220" s="26"/>
      <c r="B220" s="27"/>
      <c r="C220" s="28"/>
      <c r="D220" s="29"/>
      <c r="E220" s="29"/>
      <c r="F220" s="29"/>
      <c r="G220" s="29"/>
      <c r="H220" s="29"/>
      <c r="I220" s="29"/>
    </row>
    <row r="221" customFormat="false" ht="15" hidden="false" customHeight="false" outlineLevel="0" collapsed="false">
      <c r="A221" s="26"/>
      <c r="B221" s="27"/>
      <c r="C221" s="28"/>
      <c r="D221" s="29"/>
      <c r="E221" s="29"/>
      <c r="F221" s="29"/>
      <c r="G221" s="29"/>
      <c r="H221" s="29"/>
      <c r="I221" s="29"/>
    </row>
    <row r="222" customFormat="false" ht="15" hidden="false" customHeight="false" outlineLevel="0" collapsed="false">
      <c r="A222" s="26"/>
      <c r="B222" s="27"/>
      <c r="C222" s="28"/>
      <c r="D222" s="29"/>
      <c r="E222" s="29"/>
      <c r="F222" s="29"/>
      <c r="G222" s="29"/>
      <c r="H222" s="29"/>
      <c r="I222" s="29"/>
    </row>
    <row r="223" customFormat="false" ht="15" hidden="false" customHeight="false" outlineLevel="0" collapsed="false">
      <c r="A223" s="26"/>
      <c r="B223" s="27"/>
      <c r="C223" s="28"/>
      <c r="D223" s="29"/>
      <c r="E223" s="29"/>
      <c r="F223" s="29"/>
      <c r="G223" s="29"/>
      <c r="H223" s="29"/>
      <c r="I223" s="29"/>
    </row>
    <row r="224" customFormat="false" ht="15" hidden="false" customHeight="false" outlineLevel="0" collapsed="false">
      <c r="A224" s="26"/>
      <c r="B224" s="27"/>
      <c r="C224" s="28"/>
      <c r="D224" s="29"/>
      <c r="E224" s="29"/>
      <c r="F224" s="29"/>
      <c r="G224" s="29"/>
      <c r="H224" s="29"/>
      <c r="I224" s="29"/>
    </row>
    <row r="225" customFormat="false" ht="15" hidden="false" customHeight="false" outlineLevel="0" collapsed="false">
      <c r="A225" s="26"/>
      <c r="B225" s="27"/>
      <c r="C225" s="28"/>
      <c r="D225" s="29"/>
      <c r="E225" s="29"/>
      <c r="F225" s="29"/>
      <c r="G225" s="29"/>
      <c r="H225" s="29"/>
      <c r="I225" s="29"/>
    </row>
    <row r="226" customFormat="false" ht="15" hidden="false" customHeight="false" outlineLevel="0" collapsed="false">
      <c r="A226" s="26"/>
      <c r="B226" s="27"/>
      <c r="C226" s="28"/>
      <c r="D226" s="29"/>
      <c r="E226" s="29"/>
      <c r="F226" s="29"/>
      <c r="G226" s="29"/>
      <c r="H226" s="29"/>
      <c r="I226" s="29"/>
    </row>
    <row r="227" customFormat="false" ht="15" hidden="false" customHeight="false" outlineLevel="0" collapsed="false">
      <c r="A227" s="26"/>
      <c r="B227" s="27"/>
      <c r="C227" s="28"/>
      <c r="D227" s="29"/>
      <c r="E227" s="29"/>
      <c r="F227" s="29"/>
      <c r="G227" s="29"/>
      <c r="H227" s="29"/>
      <c r="I227" s="29"/>
    </row>
    <row r="228" customFormat="false" ht="15" hidden="false" customHeight="false" outlineLevel="0" collapsed="false">
      <c r="A228" s="26"/>
      <c r="B228" s="27"/>
      <c r="C228" s="28"/>
      <c r="D228" s="29"/>
      <c r="E228" s="29"/>
      <c r="F228" s="29"/>
      <c r="G228" s="29"/>
      <c r="H228" s="29"/>
      <c r="I228" s="29"/>
    </row>
    <row r="229" customFormat="false" ht="15" hidden="false" customHeight="false" outlineLevel="0" collapsed="false">
      <c r="A229" s="26"/>
      <c r="B229" s="27"/>
      <c r="C229" s="28"/>
      <c r="D229" s="29"/>
      <c r="E229" s="29"/>
      <c r="F229" s="29"/>
      <c r="G229" s="29"/>
      <c r="H229" s="29"/>
      <c r="I229" s="29"/>
    </row>
    <row r="230" customFormat="false" ht="15" hidden="false" customHeight="false" outlineLevel="0" collapsed="false">
      <c r="A230" s="26"/>
      <c r="B230" s="27"/>
      <c r="C230" s="28"/>
      <c r="D230" s="29"/>
      <c r="E230" s="29"/>
      <c r="F230" s="29"/>
      <c r="G230" s="29"/>
      <c r="H230" s="29"/>
      <c r="I230" s="29"/>
    </row>
    <row r="231" customFormat="false" ht="15" hidden="false" customHeight="false" outlineLevel="0" collapsed="false">
      <c r="A231" s="26"/>
      <c r="B231" s="27"/>
      <c r="C231" s="28"/>
      <c r="D231" s="29"/>
      <c r="E231" s="29"/>
      <c r="F231" s="29"/>
      <c r="G231" s="29"/>
      <c r="H231" s="29"/>
      <c r="I231" s="29"/>
    </row>
    <row r="232" customFormat="false" ht="15" hidden="false" customHeight="false" outlineLevel="0" collapsed="false">
      <c r="A232" s="26"/>
      <c r="B232" s="27"/>
      <c r="C232" s="28"/>
      <c r="D232" s="29"/>
      <c r="E232" s="29"/>
      <c r="F232" s="29"/>
      <c r="G232" s="29"/>
      <c r="H232" s="29"/>
      <c r="I232" s="29"/>
    </row>
    <row r="233" customFormat="false" ht="15" hidden="false" customHeight="false" outlineLevel="0" collapsed="false">
      <c r="A233" s="26"/>
      <c r="B233" s="27"/>
      <c r="C233" s="28"/>
      <c r="D233" s="29"/>
      <c r="E233" s="29"/>
      <c r="F233" s="29"/>
      <c r="G233" s="29"/>
      <c r="H233" s="29"/>
      <c r="I233" s="29"/>
    </row>
    <row r="234" customFormat="false" ht="15" hidden="false" customHeight="false" outlineLevel="0" collapsed="false">
      <c r="A234" s="26"/>
      <c r="B234" s="27"/>
      <c r="C234" s="28"/>
      <c r="D234" s="29"/>
      <c r="E234" s="29"/>
      <c r="F234" s="29"/>
      <c r="G234" s="29"/>
      <c r="H234" s="29"/>
      <c r="I234" s="29"/>
    </row>
    <row r="235" customFormat="false" ht="15" hidden="false" customHeight="false" outlineLevel="0" collapsed="false">
      <c r="A235" s="26"/>
      <c r="B235" s="27"/>
      <c r="C235" s="28"/>
      <c r="D235" s="29"/>
      <c r="E235" s="29"/>
      <c r="F235" s="29"/>
      <c r="G235" s="29"/>
      <c r="H235" s="29"/>
      <c r="I235" s="29"/>
    </row>
    <row r="236" customFormat="false" ht="15" hidden="false" customHeight="false" outlineLevel="0" collapsed="false">
      <c r="A236" s="26"/>
      <c r="B236" s="27"/>
      <c r="C236" s="28"/>
      <c r="D236" s="29"/>
      <c r="E236" s="29"/>
      <c r="F236" s="29"/>
      <c r="G236" s="29"/>
      <c r="H236" s="29"/>
      <c r="I236" s="29"/>
    </row>
    <row r="237" customFormat="false" ht="15" hidden="false" customHeight="false" outlineLevel="0" collapsed="false">
      <c r="A237" s="26"/>
      <c r="B237" s="27"/>
      <c r="C237" s="28"/>
      <c r="D237" s="29"/>
      <c r="E237" s="29"/>
      <c r="F237" s="29"/>
      <c r="G237" s="29"/>
      <c r="H237" s="29"/>
      <c r="I237" s="29"/>
    </row>
    <row r="238" customFormat="false" ht="15" hidden="false" customHeight="false" outlineLevel="0" collapsed="false">
      <c r="A238" s="26"/>
      <c r="B238" s="27"/>
      <c r="C238" s="28"/>
      <c r="D238" s="29"/>
      <c r="E238" s="29"/>
      <c r="F238" s="29"/>
      <c r="G238" s="29"/>
      <c r="H238" s="29"/>
      <c r="I238" s="29"/>
    </row>
    <row r="239" customFormat="false" ht="15" hidden="false" customHeight="false" outlineLevel="0" collapsed="false">
      <c r="A239" s="26"/>
      <c r="B239" s="27"/>
      <c r="C239" s="28"/>
      <c r="D239" s="29"/>
      <c r="E239" s="29"/>
      <c r="F239" s="29"/>
      <c r="G239" s="29"/>
      <c r="H239" s="29"/>
      <c r="I239" s="29"/>
    </row>
    <row r="240" customFormat="false" ht="15" hidden="false" customHeight="false" outlineLevel="0" collapsed="false">
      <c r="A240" s="26"/>
      <c r="B240" s="27"/>
      <c r="C240" s="28"/>
      <c r="D240" s="29"/>
      <c r="E240" s="29"/>
      <c r="F240" s="29"/>
      <c r="G240" s="29"/>
      <c r="H240" s="29"/>
      <c r="I240" s="29"/>
    </row>
    <row r="241" customFormat="false" ht="15" hidden="false" customHeight="false" outlineLevel="0" collapsed="false">
      <c r="A241" s="26"/>
      <c r="B241" s="27"/>
      <c r="C241" s="28"/>
      <c r="D241" s="29"/>
      <c r="E241" s="29"/>
      <c r="F241" s="29"/>
      <c r="G241" s="29"/>
      <c r="H241" s="29"/>
      <c r="I241" s="29"/>
    </row>
    <row r="242" customFormat="false" ht="15" hidden="false" customHeight="false" outlineLevel="0" collapsed="false">
      <c r="A242" s="26"/>
      <c r="B242" s="27"/>
      <c r="C242" s="28"/>
      <c r="D242" s="29"/>
      <c r="E242" s="29"/>
      <c r="F242" s="29"/>
      <c r="G242" s="29"/>
      <c r="H242" s="29"/>
      <c r="I242" s="29"/>
    </row>
    <row r="243" customFormat="false" ht="15" hidden="false" customHeight="false" outlineLevel="0" collapsed="false">
      <c r="A243" s="26"/>
      <c r="B243" s="27"/>
      <c r="C243" s="28"/>
      <c r="D243" s="29"/>
      <c r="E243" s="29"/>
      <c r="F243" s="29"/>
      <c r="G243" s="29"/>
      <c r="H243" s="29"/>
      <c r="I243" s="29"/>
    </row>
    <row r="244" customFormat="false" ht="15" hidden="false" customHeight="false" outlineLevel="0" collapsed="false">
      <c r="A244" s="26"/>
      <c r="B244" s="27"/>
      <c r="C244" s="28"/>
      <c r="D244" s="29"/>
      <c r="E244" s="29"/>
      <c r="F244" s="29"/>
      <c r="G244" s="29"/>
      <c r="H244" s="29"/>
      <c r="I244" s="29"/>
    </row>
    <row r="245" customFormat="false" ht="15" hidden="false" customHeight="false" outlineLevel="0" collapsed="false">
      <c r="A245" s="26"/>
      <c r="B245" s="27"/>
      <c r="C245" s="28"/>
      <c r="D245" s="29"/>
      <c r="E245" s="29"/>
      <c r="F245" s="29"/>
      <c r="G245" s="29"/>
      <c r="H245" s="29"/>
      <c r="I245" s="29"/>
    </row>
    <row r="246" customFormat="false" ht="15" hidden="false" customHeight="false" outlineLevel="0" collapsed="false">
      <c r="A246" s="26"/>
      <c r="B246" s="27"/>
      <c r="C246" s="28"/>
      <c r="D246" s="29"/>
      <c r="E246" s="29"/>
      <c r="F246" s="29"/>
      <c r="G246" s="29"/>
      <c r="H246" s="29"/>
      <c r="I246" s="29"/>
    </row>
    <row r="247" customFormat="false" ht="15" hidden="false" customHeight="false" outlineLevel="0" collapsed="false">
      <c r="A247" s="26"/>
      <c r="B247" s="27"/>
      <c r="C247" s="28"/>
      <c r="D247" s="29"/>
      <c r="E247" s="29"/>
      <c r="F247" s="29"/>
      <c r="G247" s="29"/>
      <c r="H247" s="29"/>
      <c r="I247" s="29"/>
    </row>
    <row r="248" customFormat="false" ht="15" hidden="false" customHeight="false" outlineLevel="0" collapsed="false">
      <c r="A248" s="26"/>
      <c r="B248" s="27"/>
      <c r="C248" s="28"/>
      <c r="D248" s="29"/>
      <c r="E248" s="29"/>
      <c r="F248" s="29"/>
      <c r="G248" s="29"/>
      <c r="H248" s="29"/>
      <c r="I248" s="29"/>
    </row>
    <row r="249" customFormat="false" ht="15" hidden="false" customHeight="false" outlineLevel="0" collapsed="false">
      <c r="A249" s="26"/>
      <c r="B249" s="27"/>
      <c r="C249" s="28"/>
      <c r="D249" s="29"/>
      <c r="E249" s="29"/>
      <c r="F249" s="29"/>
      <c r="G249" s="29"/>
      <c r="H249" s="29"/>
      <c r="I249" s="29"/>
    </row>
    <row r="250" customFormat="false" ht="15" hidden="false" customHeight="false" outlineLevel="0" collapsed="false">
      <c r="A250" s="26"/>
      <c r="B250" s="27"/>
      <c r="C250" s="28"/>
      <c r="D250" s="29"/>
      <c r="E250" s="29"/>
      <c r="F250" s="29"/>
      <c r="G250" s="29"/>
      <c r="H250" s="29"/>
      <c r="I250" s="29"/>
    </row>
    <row r="251" customFormat="false" ht="15" hidden="false" customHeight="false" outlineLevel="0" collapsed="false">
      <c r="A251" s="26"/>
      <c r="B251" s="27"/>
      <c r="C251" s="28"/>
      <c r="D251" s="29"/>
      <c r="E251" s="29"/>
      <c r="F251" s="29"/>
      <c r="G251" s="29"/>
      <c r="H251" s="29"/>
      <c r="I251" s="29"/>
    </row>
    <row r="252" customFormat="false" ht="15" hidden="false" customHeight="false" outlineLevel="0" collapsed="false">
      <c r="A252" s="26"/>
      <c r="B252" s="27"/>
      <c r="C252" s="28"/>
      <c r="D252" s="29"/>
      <c r="E252" s="29"/>
      <c r="F252" s="29"/>
      <c r="G252" s="29"/>
      <c r="H252" s="29"/>
      <c r="I252" s="29"/>
    </row>
    <row r="253" customFormat="false" ht="15" hidden="false" customHeight="false" outlineLevel="0" collapsed="false">
      <c r="A253" s="26"/>
      <c r="B253" s="27"/>
      <c r="C253" s="28"/>
      <c r="D253" s="29"/>
      <c r="E253" s="29"/>
      <c r="F253" s="29"/>
      <c r="G253" s="29"/>
      <c r="H253" s="29"/>
      <c r="I253" s="29"/>
    </row>
    <row r="254" customFormat="false" ht="15" hidden="false" customHeight="false" outlineLevel="0" collapsed="false">
      <c r="A254" s="26"/>
      <c r="B254" s="27"/>
      <c r="C254" s="28"/>
      <c r="D254" s="29"/>
      <c r="E254" s="29"/>
      <c r="F254" s="29"/>
      <c r="G254" s="29"/>
      <c r="H254" s="29"/>
      <c r="I254" s="29"/>
    </row>
    <row r="255" customFormat="false" ht="15" hidden="false" customHeight="false" outlineLevel="0" collapsed="false">
      <c r="A255" s="26"/>
      <c r="B255" s="27"/>
      <c r="C255" s="28"/>
      <c r="D255" s="29"/>
      <c r="E255" s="29"/>
      <c r="F255" s="29"/>
      <c r="G255" s="29"/>
      <c r="H255" s="29"/>
      <c r="I255" s="29"/>
    </row>
    <row r="256" customFormat="false" ht="15" hidden="false" customHeight="false" outlineLevel="0" collapsed="false">
      <c r="A256" s="26"/>
      <c r="B256" s="27"/>
      <c r="C256" s="28"/>
      <c r="D256" s="29"/>
      <c r="E256" s="29"/>
      <c r="F256" s="29"/>
      <c r="G256" s="29"/>
      <c r="H256" s="29"/>
      <c r="I256" s="29"/>
    </row>
    <row r="257" customFormat="false" ht="15" hidden="false" customHeight="false" outlineLevel="0" collapsed="false">
      <c r="A257" s="26"/>
      <c r="B257" s="27"/>
      <c r="C257" s="28"/>
      <c r="D257" s="29"/>
      <c r="E257" s="29"/>
      <c r="F257" s="29"/>
      <c r="G257" s="29"/>
      <c r="H257" s="29"/>
      <c r="I257" s="29"/>
    </row>
    <row r="258" customFormat="false" ht="15" hidden="false" customHeight="false" outlineLevel="0" collapsed="false">
      <c r="A258" s="26"/>
      <c r="B258" s="27"/>
      <c r="C258" s="28"/>
      <c r="D258" s="29"/>
      <c r="E258" s="29"/>
      <c r="F258" s="29"/>
      <c r="G258" s="29"/>
      <c r="H258" s="29"/>
      <c r="I258" s="29"/>
    </row>
    <row r="259" customFormat="false" ht="15" hidden="false" customHeight="false" outlineLevel="0" collapsed="false">
      <c r="A259" s="26"/>
      <c r="B259" s="27"/>
      <c r="C259" s="28"/>
      <c r="D259" s="29"/>
      <c r="E259" s="29"/>
      <c r="F259" s="29"/>
      <c r="G259" s="29"/>
      <c r="H259" s="29"/>
      <c r="I259" s="29"/>
    </row>
    <row r="260" customFormat="false" ht="15" hidden="false" customHeight="false" outlineLevel="0" collapsed="false">
      <c r="A260" s="26"/>
      <c r="B260" s="27"/>
      <c r="C260" s="28"/>
      <c r="D260" s="29"/>
      <c r="E260" s="29"/>
      <c r="F260" s="29"/>
      <c r="G260" s="29"/>
      <c r="H260" s="29"/>
      <c r="I260" s="29"/>
    </row>
    <row r="261" customFormat="false" ht="15" hidden="false" customHeight="false" outlineLevel="0" collapsed="false">
      <c r="A261" s="26"/>
      <c r="B261" s="27"/>
      <c r="C261" s="28"/>
      <c r="D261" s="29"/>
      <c r="E261" s="29"/>
      <c r="F261" s="29"/>
      <c r="G261" s="29"/>
      <c r="H261" s="29"/>
      <c r="I261" s="29"/>
    </row>
    <row r="262" customFormat="false" ht="15" hidden="false" customHeight="false" outlineLevel="0" collapsed="false">
      <c r="A262" s="26"/>
      <c r="B262" s="27"/>
      <c r="C262" s="28"/>
      <c r="D262" s="29"/>
      <c r="E262" s="29"/>
      <c r="F262" s="29"/>
      <c r="G262" s="29"/>
      <c r="H262" s="29"/>
      <c r="I262" s="29"/>
    </row>
    <row r="263" customFormat="false" ht="15" hidden="false" customHeight="false" outlineLevel="0" collapsed="false">
      <c r="A263" s="26"/>
      <c r="B263" s="27"/>
      <c r="C263" s="28"/>
      <c r="D263" s="29"/>
      <c r="E263" s="29"/>
      <c r="F263" s="29"/>
      <c r="G263" s="29"/>
      <c r="H263" s="29"/>
      <c r="I263" s="29"/>
    </row>
    <row r="264" customFormat="false" ht="15" hidden="false" customHeight="false" outlineLevel="0" collapsed="false">
      <c r="A264" s="26"/>
      <c r="B264" s="27"/>
      <c r="C264" s="28"/>
      <c r="D264" s="29"/>
      <c r="E264" s="29"/>
      <c r="F264" s="29"/>
      <c r="G264" s="29"/>
      <c r="H264" s="29"/>
      <c r="I264" s="29"/>
    </row>
    <row r="265" customFormat="false" ht="15" hidden="false" customHeight="false" outlineLevel="0" collapsed="false">
      <c r="A265" s="26"/>
      <c r="B265" s="27"/>
      <c r="C265" s="28"/>
      <c r="D265" s="29"/>
      <c r="E265" s="29"/>
      <c r="F265" s="29"/>
      <c r="G265" s="29"/>
      <c r="H265" s="29"/>
      <c r="I265" s="29"/>
    </row>
    <row r="266" customFormat="false" ht="15" hidden="false" customHeight="false" outlineLevel="0" collapsed="false">
      <c r="A266" s="26"/>
      <c r="B266" s="27"/>
      <c r="C266" s="28"/>
      <c r="D266" s="29"/>
      <c r="E266" s="29"/>
      <c r="F266" s="29"/>
      <c r="G266" s="29"/>
      <c r="H266" s="29"/>
      <c r="I266" s="29"/>
    </row>
    <row r="267" customFormat="false" ht="15" hidden="false" customHeight="false" outlineLevel="0" collapsed="false">
      <c r="A267" s="26"/>
      <c r="B267" s="27"/>
      <c r="C267" s="28"/>
      <c r="D267" s="29"/>
      <c r="E267" s="29"/>
      <c r="F267" s="29"/>
      <c r="G267" s="29"/>
      <c r="H267" s="29"/>
      <c r="I267" s="29"/>
    </row>
    <row r="268" customFormat="false" ht="15" hidden="false" customHeight="false" outlineLevel="0" collapsed="false">
      <c r="A268" s="26"/>
      <c r="B268" s="27"/>
      <c r="C268" s="28"/>
      <c r="D268" s="29"/>
      <c r="E268" s="29"/>
      <c r="F268" s="29"/>
      <c r="G268" s="29"/>
      <c r="H268" s="29"/>
      <c r="I268" s="29"/>
    </row>
    <row r="269" customFormat="false" ht="15" hidden="false" customHeight="false" outlineLevel="0" collapsed="false">
      <c r="A269" s="26"/>
      <c r="B269" s="27"/>
      <c r="C269" s="28"/>
      <c r="D269" s="29"/>
      <c r="E269" s="29"/>
      <c r="F269" s="29"/>
      <c r="G269" s="29"/>
      <c r="H269" s="29"/>
      <c r="I269" s="29"/>
    </row>
    <row r="270" customFormat="false" ht="15" hidden="false" customHeight="false" outlineLevel="0" collapsed="false">
      <c r="A270" s="26"/>
      <c r="B270" s="27"/>
      <c r="C270" s="28"/>
      <c r="D270" s="29"/>
      <c r="E270" s="29"/>
      <c r="F270" s="29"/>
      <c r="G270" s="29"/>
      <c r="H270" s="29"/>
      <c r="I270" s="29"/>
    </row>
    <row r="271" customFormat="false" ht="15" hidden="false" customHeight="false" outlineLevel="0" collapsed="false">
      <c r="A271" s="26"/>
      <c r="B271" s="27"/>
      <c r="C271" s="28"/>
      <c r="D271" s="29"/>
      <c r="E271" s="29"/>
      <c r="F271" s="29"/>
      <c r="G271" s="29"/>
      <c r="H271" s="29"/>
      <c r="I271" s="29"/>
    </row>
    <row r="272" customFormat="false" ht="15" hidden="false" customHeight="false" outlineLevel="0" collapsed="false">
      <c r="A272" s="26"/>
      <c r="B272" s="27"/>
      <c r="C272" s="28"/>
      <c r="D272" s="29"/>
      <c r="E272" s="29"/>
      <c r="F272" s="29"/>
      <c r="G272" s="29"/>
      <c r="H272" s="29"/>
      <c r="I272" s="29"/>
    </row>
    <row r="273" customFormat="false" ht="15" hidden="false" customHeight="false" outlineLevel="0" collapsed="false">
      <c r="A273" s="26"/>
      <c r="B273" s="27"/>
      <c r="C273" s="28"/>
      <c r="D273" s="29"/>
      <c r="E273" s="29"/>
      <c r="F273" s="29"/>
      <c r="G273" s="29"/>
      <c r="H273" s="29"/>
      <c r="I273" s="29"/>
    </row>
    <row r="274" customFormat="false" ht="15" hidden="false" customHeight="false" outlineLevel="0" collapsed="false">
      <c r="A274" s="26"/>
      <c r="B274" s="27"/>
      <c r="C274" s="28"/>
      <c r="D274" s="29"/>
      <c r="E274" s="29"/>
      <c r="F274" s="29"/>
      <c r="G274" s="29"/>
      <c r="H274" s="29"/>
      <c r="I274" s="29"/>
    </row>
    <row r="275" customFormat="false" ht="15" hidden="false" customHeight="false" outlineLevel="0" collapsed="false">
      <c r="A275" s="26"/>
      <c r="B275" s="27"/>
      <c r="C275" s="28"/>
      <c r="D275" s="29"/>
      <c r="E275" s="29"/>
      <c r="F275" s="29"/>
      <c r="G275" s="29"/>
      <c r="H275" s="29"/>
      <c r="I275" s="29"/>
    </row>
    <row r="276" customFormat="false" ht="15" hidden="false" customHeight="false" outlineLevel="0" collapsed="false">
      <c r="A276" s="26"/>
      <c r="B276" s="27"/>
      <c r="C276" s="28"/>
      <c r="D276" s="29"/>
      <c r="E276" s="29"/>
      <c r="F276" s="29"/>
      <c r="G276" s="29"/>
      <c r="H276" s="29"/>
      <c r="I276" s="29"/>
    </row>
    <row r="277" customFormat="false" ht="15" hidden="false" customHeight="false" outlineLevel="0" collapsed="false">
      <c r="A277" s="26"/>
      <c r="B277" s="27"/>
      <c r="C277" s="28"/>
      <c r="D277" s="29"/>
      <c r="E277" s="29"/>
      <c r="F277" s="29"/>
      <c r="G277" s="29"/>
      <c r="H277" s="29"/>
      <c r="I277" s="29"/>
    </row>
    <row r="278" customFormat="false" ht="15" hidden="false" customHeight="false" outlineLevel="0" collapsed="false">
      <c r="A278" s="26"/>
      <c r="B278" s="27"/>
      <c r="C278" s="28"/>
      <c r="D278" s="29"/>
      <c r="E278" s="29"/>
      <c r="F278" s="29"/>
      <c r="G278" s="29"/>
      <c r="H278" s="29"/>
      <c r="I278" s="29"/>
    </row>
    <row r="279" customFormat="false" ht="15" hidden="false" customHeight="false" outlineLevel="0" collapsed="false">
      <c r="A279" s="26"/>
      <c r="B279" s="27"/>
      <c r="C279" s="28"/>
      <c r="D279" s="29"/>
      <c r="E279" s="29"/>
      <c r="F279" s="29"/>
      <c r="G279" s="29"/>
      <c r="H279" s="29"/>
      <c r="I279" s="29"/>
    </row>
    <row r="280" customFormat="false" ht="15" hidden="false" customHeight="false" outlineLevel="0" collapsed="false">
      <c r="A280" s="26"/>
      <c r="B280" s="27"/>
      <c r="C280" s="28"/>
      <c r="D280" s="29"/>
      <c r="E280" s="29"/>
      <c r="F280" s="29"/>
      <c r="G280" s="29"/>
      <c r="H280" s="29"/>
      <c r="I280" s="29"/>
    </row>
    <row r="281" customFormat="false" ht="15" hidden="false" customHeight="false" outlineLevel="0" collapsed="false">
      <c r="A281" s="26"/>
      <c r="B281" s="27"/>
      <c r="C281" s="28"/>
      <c r="D281" s="29"/>
      <c r="E281" s="29"/>
      <c r="F281" s="29"/>
      <c r="G281" s="29"/>
      <c r="H281" s="29"/>
      <c r="I281" s="29"/>
    </row>
    <row r="282" customFormat="false" ht="15" hidden="false" customHeight="false" outlineLevel="0" collapsed="false">
      <c r="A282" s="26"/>
      <c r="B282" s="27"/>
      <c r="C282" s="28"/>
      <c r="D282" s="29"/>
      <c r="E282" s="29"/>
      <c r="F282" s="29"/>
      <c r="G282" s="29"/>
      <c r="H282" s="29"/>
      <c r="I282" s="29"/>
    </row>
    <row r="283" customFormat="false" ht="15" hidden="false" customHeight="false" outlineLevel="0" collapsed="false">
      <c r="A283" s="26"/>
      <c r="B283" s="27"/>
      <c r="C283" s="28"/>
      <c r="D283" s="29"/>
      <c r="E283" s="29"/>
      <c r="F283" s="29"/>
      <c r="G283" s="29"/>
      <c r="H283" s="29"/>
      <c r="I283" s="29"/>
    </row>
    <row r="284" customFormat="false" ht="15" hidden="false" customHeight="false" outlineLevel="0" collapsed="false">
      <c r="A284" s="26"/>
      <c r="B284" s="27"/>
      <c r="C284" s="28"/>
      <c r="D284" s="29"/>
      <c r="E284" s="29"/>
      <c r="F284" s="29"/>
      <c r="G284" s="29"/>
      <c r="H284" s="29"/>
      <c r="I284" s="29"/>
    </row>
    <row r="285" customFormat="false" ht="15" hidden="false" customHeight="false" outlineLevel="0" collapsed="false">
      <c r="A285" s="26"/>
      <c r="B285" s="27"/>
      <c r="C285" s="28"/>
      <c r="D285" s="29"/>
      <c r="E285" s="29"/>
      <c r="F285" s="29"/>
      <c r="G285" s="29"/>
      <c r="H285" s="29"/>
      <c r="I285" s="29"/>
    </row>
    <row r="286" customFormat="false" ht="15" hidden="false" customHeight="false" outlineLevel="0" collapsed="false">
      <c r="A286" s="26"/>
      <c r="B286" s="27"/>
      <c r="C286" s="28"/>
      <c r="D286" s="29"/>
      <c r="E286" s="29"/>
      <c r="F286" s="29"/>
      <c r="G286" s="29"/>
      <c r="H286" s="29"/>
      <c r="I286" s="29"/>
    </row>
    <row r="287" customFormat="false" ht="15" hidden="false" customHeight="false" outlineLevel="0" collapsed="false">
      <c r="A287" s="26"/>
      <c r="B287" s="27"/>
      <c r="C287" s="28"/>
      <c r="D287" s="29"/>
      <c r="E287" s="29"/>
      <c r="F287" s="29"/>
      <c r="G287" s="29"/>
      <c r="H287" s="29"/>
      <c r="I287" s="29"/>
    </row>
    <row r="288" customFormat="false" ht="15" hidden="false" customHeight="false" outlineLevel="0" collapsed="false">
      <c r="A288" s="26"/>
      <c r="B288" s="27"/>
      <c r="C288" s="28"/>
      <c r="D288" s="29"/>
      <c r="E288" s="29"/>
      <c r="F288" s="29"/>
      <c r="G288" s="29"/>
      <c r="H288" s="29"/>
      <c r="I288" s="29"/>
    </row>
    <row r="289" customFormat="false" ht="15" hidden="false" customHeight="false" outlineLevel="0" collapsed="false">
      <c r="A289" s="26"/>
      <c r="B289" s="27"/>
      <c r="C289" s="28"/>
      <c r="D289" s="29"/>
      <c r="E289" s="29"/>
      <c r="F289" s="29"/>
      <c r="G289" s="29"/>
      <c r="H289" s="29"/>
      <c r="I289" s="29"/>
    </row>
    <row r="290" customFormat="false" ht="15" hidden="false" customHeight="false" outlineLevel="0" collapsed="false">
      <c r="A290" s="26"/>
      <c r="B290" s="27"/>
      <c r="C290" s="28"/>
      <c r="D290" s="29"/>
      <c r="E290" s="29"/>
      <c r="F290" s="29"/>
      <c r="G290" s="29"/>
      <c r="H290" s="29"/>
      <c r="I290" s="29"/>
    </row>
    <row r="291" customFormat="false" ht="15" hidden="false" customHeight="false" outlineLevel="0" collapsed="false">
      <c r="A291" s="26"/>
      <c r="B291" s="27"/>
      <c r="C291" s="28"/>
      <c r="D291" s="29"/>
      <c r="E291" s="29"/>
      <c r="F291" s="29"/>
      <c r="G291" s="29"/>
      <c r="H291" s="29"/>
      <c r="I291" s="29"/>
    </row>
    <row r="292" customFormat="false" ht="15" hidden="false" customHeight="false" outlineLevel="0" collapsed="false">
      <c r="A292" s="26"/>
      <c r="B292" s="27"/>
      <c r="C292" s="28"/>
      <c r="D292" s="29"/>
      <c r="E292" s="29"/>
      <c r="F292" s="29"/>
      <c r="G292" s="29"/>
      <c r="H292" s="29"/>
      <c r="I292" s="29"/>
    </row>
    <row r="293" customFormat="false" ht="15" hidden="false" customHeight="false" outlineLevel="0" collapsed="false">
      <c r="A293" s="26"/>
      <c r="B293" s="27"/>
      <c r="C293" s="28"/>
      <c r="D293" s="29"/>
      <c r="E293" s="29"/>
      <c r="F293" s="29"/>
      <c r="G293" s="29"/>
      <c r="H293" s="29"/>
      <c r="I293" s="29"/>
    </row>
    <row r="294" customFormat="false" ht="15" hidden="false" customHeight="false" outlineLevel="0" collapsed="false">
      <c r="A294" s="26"/>
      <c r="B294" s="27"/>
      <c r="C294" s="28"/>
      <c r="D294" s="29"/>
      <c r="E294" s="29"/>
      <c r="F294" s="29"/>
      <c r="G294" s="29"/>
      <c r="H294" s="29"/>
      <c r="I294" s="29"/>
    </row>
    <row r="295" customFormat="false" ht="15" hidden="false" customHeight="false" outlineLevel="0" collapsed="false">
      <c r="A295" s="26"/>
      <c r="B295" s="27"/>
      <c r="C295" s="28"/>
      <c r="D295" s="29"/>
      <c r="E295" s="29"/>
      <c r="F295" s="29"/>
      <c r="G295" s="29"/>
      <c r="H295" s="29"/>
      <c r="I295" s="29"/>
    </row>
    <row r="296" customFormat="false" ht="15" hidden="false" customHeight="false" outlineLevel="0" collapsed="false">
      <c r="A296" s="26"/>
      <c r="B296" s="27"/>
      <c r="C296" s="28"/>
      <c r="D296" s="29"/>
      <c r="E296" s="29"/>
      <c r="F296" s="29"/>
      <c r="G296" s="29"/>
      <c r="H296" s="29"/>
      <c r="I296" s="29"/>
    </row>
    <row r="297" customFormat="false" ht="15" hidden="false" customHeight="false" outlineLevel="0" collapsed="false">
      <c r="A297" s="26"/>
      <c r="B297" s="27"/>
      <c r="C297" s="28"/>
      <c r="D297" s="29"/>
      <c r="E297" s="29"/>
      <c r="F297" s="29"/>
      <c r="G297" s="29"/>
      <c r="H297" s="29"/>
      <c r="I297" s="29"/>
    </row>
    <row r="298" customFormat="false" ht="15" hidden="false" customHeight="false" outlineLevel="0" collapsed="false">
      <c r="A298" s="26"/>
      <c r="B298" s="27"/>
      <c r="C298" s="28"/>
      <c r="D298" s="29"/>
      <c r="E298" s="29"/>
      <c r="F298" s="29"/>
      <c r="G298" s="29"/>
      <c r="H298" s="29"/>
      <c r="I298" s="29"/>
    </row>
    <row r="299" customFormat="false" ht="15" hidden="false" customHeight="false" outlineLevel="0" collapsed="false">
      <c r="A299" s="26"/>
      <c r="B299" s="27"/>
      <c r="C299" s="28"/>
      <c r="D299" s="29"/>
      <c r="E299" s="29"/>
      <c r="F299" s="29"/>
      <c r="G299" s="29"/>
      <c r="H299" s="29"/>
      <c r="I299" s="29"/>
    </row>
    <row r="300" customFormat="false" ht="15" hidden="false" customHeight="false" outlineLevel="0" collapsed="false">
      <c r="A300" s="26"/>
      <c r="B300" s="27"/>
      <c r="C300" s="28"/>
      <c r="D300" s="29"/>
      <c r="E300" s="29"/>
      <c r="F300" s="29"/>
      <c r="G300" s="29"/>
      <c r="H300" s="29"/>
      <c r="I300" s="29"/>
    </row>
    <row r="301" customFormat="false" ht="15" hidden="false" customHeight="false" outlineLevel="0" collapsed="false">
      <c r="A301" s="26"/>
      <c r="B301" s="27"/>
      <c r="C301" s="28"/>
      <c r="D301" s="29"/>
      <c r="E301" s="29"/>
      <c r="F301" s="29"/>
      <c r="G301" s="29"/>
      <c r="H301" s="29"/>
      <c r="I301" s="29"/>
    </row>
    <row r="302" customFormat="false" ht="15" hidden="false" customHeight="false" outlineLevel="0" collapsed="false">
      <c r="A302" s="26"/>
      <c r="B302" s="27"/>
      <c r="C302" s="28"/>
      <c r="D302" s="29"/>
      <c r="E302" s="29"/>
      <c r="F302" s="29"/>
      <c r="G302" s="29"/>
      <c r="H302" s="29"/>
      <c r="I302" s="29"/>
    </row>
    <row r="303" customFormat="false" ht="15" hidden="false" customHeight="false" outlineLevel="0" collapsed="false">
      <c r="A303" s="26"/>
      <c r="B303" s="27"/>
      <c r="C303" s="28"/>
      <c r="D303" s="29"/>
      <c r="E303" s="29"/>
      <c r="F303" s="29"/>
      <c r="G303" s="29"/>
      <c r="H303" s="29"/>
      <c r="I303" s="29"/>
    </row>
    <row r="304" customFormat="false" ht="15" hidden="false" customHeight="false" outlineLevel="0" collapsed="false">
      <c r="A304" s="26"/>
      <c r="B304" s="27"/>
      <c r="C304" s="28"/>
      <c r="D304" s="29"/>
      <c r="E304" s="29"/>
      <c r="F304" s="29"/>
      <c r="G304" s="29"/>
      <c r="H304" s="29"/>
      <c r="I304" s="29"/>
    </row>
    <row r="305" customFormat="false" ht="15" hidden="false" customHeight="false" outlineLevel="0" collapsed="false">
      <c r="A305" s="26"/>
      <c r="B305" s="27"/>
      <c r="C305" s="28"/>
      <c r="D305" s="29"/>
      <c r="E305" s="29"/>
      <c r="F305" s="29"/>
      <c r="G305" s="29"/>
      <c r="H305" s="29"/>
      <c r="I305" s="29"/>
    </row>
    <row r="306" customFormat="false" ht="15" hidden="false" customHeight="false" outlineLevel="0" collapsed="false">
      <c r="A306" s="26"/>
      <c r="B306" s="27"/>
      <c r="C306" s="28"/>
      <c r="D306" s="29"/>
      <c r="E306" s="29"/>
      <c r="F306" s="29"/>
      <c r="G306" s="29"/>
      <c r="H306" s="29"/>
      <c r="I306" s="29"/>
    </row>
    <row r="307" customFormat="false" ht="15" hidden="false" customHeight="false" outlineLevel="0" collapsed="false">
      <c r="A307" s="26"/>
      <c r="B307" s="27"/>
      <c r="C307" s="28"/>
      <c r="D307" s="29"/>
      <c r="E307" s="29"/>
      <c r="F307" s="29"/>
      <c r="G307" s="29"/>
      <c r="H307" s="29"/>
      <c r="I307" s="29"/>
    </row>
    <row r="308" customFormat="false" ht="15" hidden="false" customHeight="false" outlineLevel="0" collapsed="false">
      <c r="A308" s="26"/>
      <c r="B308" s="27"/>
      <c r="C308" s="28"/>
      <c r="D308" s="29"/>
      <c r="E308" s="29"/>
      <c r="F308" s="29"/>
      <c r="G308" s="29"/>
      <c r="H308" s="29"/>
      <c r="I308" s="29"/>
    </row>
    <row r="309" customFormat="false" ht="15" hidden="false" customHeight="false" outlineLevel="0" collapsed="false">
      <c r="A309" s="26"/>
      <c r="B309" s="27"/>
      <c r="C309" s="28"/>
      <c r="D309" s="29"/>
      <c r="E309" s="29"/>
      <c r="F309" s="29"/>
      <c r="G309" s="29"/>
      <c r="H309" s="29"/>
      <c r="I309" s="29"/>
    </row>
    <row r="310" customFormat="false" ht="15" hidden="false" customHeight="false" outlineLevel="0" collapsed="false">
      <c r="A310" s="26"/>
      <c r="B310" s="27"/>
      <c r="C310" s="28"/>
      <c r="D310" s="29"/>
      <c r="E310" s="29"/>
      <c r="F310" s="29"/>
      <c r="G310" s="29"/>
      <c r="H310" s="29"/>
      <c r="I310" s="29"/>
    </row>
    <row r="311" customFormat="false" ht="15" hidden="false" customHeight="false" outlineLevel="0" collapsed="false">
      <c r="A311" s="26"/>
      <c r="B311" s="27"/>
      <c r="C311" s="28"/>
      <c r="D311" s="29"/>
      <c r="E311" s="29"/>
      <c r="F311" s="29"/>
      <c r="G311" s="29"/>
      <c r="H311" s="29"/>
      <c r="I311" s="29"/>
    </row>
    <row r="312" customFormat="false" ht="15" hidden="false" customHeight="false" outlineLevel="0" collapsed="false">
      <c r="A312" s="26"/>
      <c r="B312" s="27"/>
      <c r="C312" s="28"/>
      <c r="D312" s="29"/>
      <c r="E312" s="29"/>
      <c r="F312" s="29"/>
      <c r="G312" s="29"/>
      <c r="H312" s="29"/>
      <c r="I312" s="29"/>
    </row>
    <row r="313" customFormat="false" ht="15" hidden="false" customHeight="false" outlineLevel="0" collapsed="false">
      <c r="A313" s="26"/>
      <c r="B313" s="27"/>
      <c r="C313" s="28"/>
      <c r="D313" s="29"/>
      <c r="E313" s="29"/>
      <c r="F313" s="29"/>
      <c r="G313" s="29"/>
      <c r="H313" s="29"/>
      <c r="I313" s="29"/>
    </row>
    <row r="314" customFormat="false" ht="15" hidden="false" customHeight="false" outlineLevel="0" collapsed="false">
      <c r="A314" s="26"/>
      <c r="B314" s="27"/>
      <c r="C314" s="28"/>
      <c r="D314" s="29"/>
      <c r="E314" s="29"/>
      <c r="F314" s="29"/>
      <c r="G314" s="29"/>
      <c r="H314" s="29"/>
      <c r="I314" s="29"/>
    </row>
    <row r="315" customFormat="false" ht="15" hidden="false" customHeight="false" outlineLevel="0" collapsed="false">
      <c r="A315" s="26"/>
      <c r="B315" s="27"/>
      <c r="C315" s="28"/>
      <c r="D315" s="29"/>
      <c r="E315" s="29"/>
      <c r="F315" s="29"/>
      <c r="G315" s="29"/>
      <c r="H315" s="29"/>
      <c r="I315" s="29"/>
    </row>
    <row r="316" customFormat="false" ht="15" hidden="false" customHeight="false" outlineLevel="0" collapsed="false">
      <c r="A316" s="26"/>
      <c r="B316" s="27"/>
      <c r="C316" s="28"/>
      <c r="D316" s="29"/>
      <c r="E316" s="29"/>
      <c r="F316" s="29"/>
      <c r="G316" s="29"/>
      <c r="H316" s="29"/>
      <c r="I316" s="29"/>
    </row>
    <row r="317" customFormat="false" ht="15" hidden="false" customHeight="false" outlineLevel="0" collapsed="false">
      <c r="A317" s="26"/>
      <c r="B317" s="27"/>
      <c r="C317" s="28"/>
      <c r="D317" s="29"/>
      <c r="E317" s="29"/>
      <c r="F317" s="29"/>
      <c r="G317" s="29"/>
      <c r="H317" s="29"/>
      <c r="I317" s="29"/>
    </row>
    <row r="318" customFormat="false" ht="15" hidden="false" customHeight="false" outlineLevel="0" collapsed="false">
      <c r="A318" s="26"/>
      <c r="B318" s="27"/>
      <c r="C318" s="28"/>
      <c r="D318" s="29"/>
      <c r="E318" s="29"/>
      <c r="F318" s="29"/>
      <c r="G318" s="29"/>
      <c r="H318" s="29"/>
      <c r="I318" s="29"/>
    </row>
    <row r="319" customFormat="false" ht="15" hidden="false" customHeight="false" outlineLevel="0" collapsed="false">
      <c r="A319" s="26"/>
      <c r="B319" s="27"/>
      <c r="C319" s="28"/>
      <c r="D319" s="29"/>
      <c r="E319" s="29"/>
      <c r="F319" s="29"/>
      <c r="G319" s="29"/>
      <c r="H319" s="29"/>
      <c r="I319" s="29"/>
    </row>
    <row r="320" customFormat="false" ht="15" hidden="false" customHeight="false" outlineLevel="0" collapsed="false">
      <c r="A320" s="26"/>
      <c r="B320" s="27"/>
      <c r="C320" s="28"/>
      <c r="D320" s="29"/>
      <c r="E320" s="29"/>
      <c r="F320" s="29"/>
      <c r="G320" s="29"/>
      <c r="H320" s="29"/>
      <c r="I320" s="29"/>
    </row>
    <row r="321" customFormat="false" ht="15" hidden="false" customHeight="false" outlineLevel="0" collapsed="false">
      <c r="A321" s="26"/>
      <c r="B321" s="27"/>
      <c r="C321" s="28"/>
      <c r="D321" s="29"/>
      <c r="E321" s="29"/>
      <c r="F321" s="29"/>
      <c r="G321" s="29"/>
      <c r="H321" s="29"/>
      <c r="I321" s="29"/>
    </row>
    <row r="322" customFormat="false" ht="15" hidden="false" customHeight="false" outlineLevel="0" collapsed="false">
      <c r="A322" s="26"/>
      <c r="B322" s="27"/>
      <c r="C322" s="28"/>
      <c r="D322" s="29"/>
      <c r="E322" s="29"/>
      <c r="F322" s="29"/>
      <c r="G322" s="29"/>
      <c r="H322" s="29"/>
      <c r="I322" s="29"/>
    </row>
    <row r="323" customFormat="false" ht="15" hidden="false" customHeight="false" outlineLevel="0" collapsed="false">
      <c r="A323" s="26"/>
      <c r="B323" s="27"/>
      <c r="C323" s="28"/>
      <c r="D323" s="29"/>
      <c r="E323" s="29"/>
      <c r="F323" s="29"/>
      <c r="G323" s="29"/>
      <c r="H323" s="29"/>
      <c r="I323" s="29"/>
    </row>
    <row r="324" customFormat="false" ht="15" hidden="false" customHeight="false" outlineLevel="0" collapsed="false">
      <c r="A324" s="26"/>
      <c r="B324" s="27"/>
      <c r="C324" s="28"/>
      <c r="D324" s="29"/>
      <c r="E324" s="29"/>
      <c r="F324" s="29"/>
      <c r="G324" s="29"/>
      <c r="H324" s="29"/>
      <c r="I324" s="29"/>
    </row>
    <row r="325" customFormat="false" ht="15" hidden="false" customHeight="false" outlineLevel="0" collapsed="false">
      <c r="A325" s="26"/>
      <c r="B325" s="27"/>
      <c r="C325" s="28"/>
      <c r="D325" s="29"/>
      <c r="E325" s="29"/>
      <c r="F325" s="29"/>
      <c r="G325" s="29"/>
      <c r="H325" s="29"/>
      <c r="I325" s="29"/>
    </row>
    <row r="326" customFormat="false" ht="15" hidden="false" customHeight="false" outlineLevel="0" collapsed="false">
      <c r="A326" s="26"/>
      <c r="B326" s="27"/>
      <c r="C326" s="28"/>
      <c r="D326" s="29"/>
      <c r="E326" s="29"/>
      <c r="F326" s="29"/>
      <c r="G326" s="29"/>
      <c r="H326" s="29"/>
      <c r="I326" s="29"/>
    </row>
    <row r="327" customFormat="false" ht="15" hidden="false" customHeight="false" outlineLevel="0" collapsed="false">
      <c r="A327" s="26"/>
      <c r="B327" s="27"/>
      <c r="C327" s="28"/>
      <c r="D327" s="29"/>
      <c r="E327" s="29"/>
      <c r="F327" s="29"/>
      <c r="G327" s="29"/>
      <c r="H327" s="29"/>
      <c r="I327" s="29"/>
    </row>
    <row r="328" customFormat="false" ht="15" hidden="false" customHeight="false" outlineLevel="0" collapsed="false">
      <c r="A328" s="26"/>
      <c r="B328" s="27"/>
      <c r="C328" s="28"/>
      <c r="D328" s="29"/>
      <c r="E328" s="29"/>
      <c r="F328" s="29"/>
      <c r="G328" s="29"/>
      <c r="H328" s="29"/>
      <c r="I328" s="29"/>
    </row>
    <row r="329" customFormat="false" ht="15" hidden="false" customHeight="false" outlineLevel="0" collapsed="false">
      <c r="A329" s="26"/>
      <c r="B329" s="27"/>
      <c r="C329" s="28"/>
      <c r="D329" s="29"/>
      <c r="E329" s="29"/>
      <c r="F329" s="29"/>
      <c r="G329" s="29"/>
      <c r="H329" s="29"/>
      <c r="I329" s="29"/>
    </row>
    <row r="330" customFormat="false" ht="15" hidden="false" customHeight="false" outlineLevel="0" collapsed="false">
      <c r="A330" s="26"/>
      <c r="B330" s="27"/>
      <c r="C330" s="28"/>
      <c r="D330" s="29"/>
      <c r="E330" s="29"/>
      <c r="F330" s="29"/>
      <c r="G330" s="29"/>
      <c r="H330" s="29"/>
      <c r="I330" s="29"/>
    </row>
    <row r="331" customFormat="false" ht="15" hidden="false" customHeight="false" outlineLevel="0" collapsed="false">
      <c r="A331" s="26"/>
      <c r="B331" s="27"/>
      <c r="C331" s="28"/>
      <c r="D331" s="29"/>
      <c r="E331" s="29"/>
      <c r="F331" s="29"/>
      <c r="G331" s="29"/>
      <c r="H331" s="29"/>
      <c r="I331" s="29"/>
    </row>
    <row r="332" customFormat="false" ht="15" hidden="false" customHeight="false" outlineLevel="0" collapsed="false">
      <c r="A332" s="26"/>
      <c r="B332" s="27"/>
      <c r="C332" s="28"/>
      <c r="D332" s="29"/>
      <c r="E332" s="29"/>
      <c r="F332" s="29"/>
      <c r="G332" s="29"/>
      <c r="H332" s="29"/>
      <c r="I332" s="29"/>
    </row>
    <row r="333" customFormat="false" ht="15" hidden="false" customHeight="false" outlineLevel="0" collapsed="false">
      <c r="A333" s="26"/>
      <c r="B333" s="27"/>
      <c r="C333" s="28"/>
      <c r="D333" s="29"/>
      <c r="E333" s="29"/>
      <c r="F333" s="29"/>
      <c r="G333" s="29"/>
      <c r="H333" s="29"/>
      <c r="I333" s="29"/>
    </row>
    <row r="334" customFormat="false" ht="15" hidden="false" customHeight="false" outlineLevel="0" collapsed="false">
      <c r="A334" s="26"/>
      <c r="B334" s="27"/>
      <c r="C334" s="28"/>
      <c r="D334" s="29"/>
      <c r="E334" s="29"/>
      <c r="F334" s="29"/>
      <c r="G334" s="29"/>
      <c r="H334" s="29"/>
      <c r="I334" s="29"/>
    </row>
    <row r="335" customFormat="false" ht="15" hidden="false" customHeight="false" outlineLevel="0" collapsed="false">
      <c r="A335" s="26"/>
      <c r="B335" s="27"/>
      <c r="C335" s="28"/>
      <c r="D335" s="29"/>
      <c r="E335" s="29"/>
      <c r="F335" s="29"/>
      <c r="G335" s="29"/>
      <c r="H335" s="29"/>
      <c r="I335" s="29"/>
    </row>
    <row r="336" customFormat="false" ht="15" hidden="false" customHeight="false" outlineLevel="0" collapsed="false">
      <c r="A336" s="26"/>
      <c r="B336" s="27"/>
      <c r="C336" s="28"/>
      <c r="D336" s="29"/>
      <c r="E336" s="29"/>
      <c r="F336" s="29"/>
      <c r="G336" s="29"/>
      <c r="H336" s="29"/>
      <c r="I336" s="29"/>
    </row>
    <row r="337" customFormat="false" ht="15" hidden="false" customHeight="false" outlineLevel="0" collapsed="false">
      <c r="A337" s="26"/>
      <c r="B337" s="27"/>
      <c r="C337" s="28"/>
      <c r="D337" s="29"/>
      <c r="E337" s="29"/>
      <c r="F337" s="29"/>
      <c r="G337" s="29"/>
      <c r="H337" s="29"/>
      <c r="I337" s="29"/>
    </row>
    <row r="338" customFormat="false" ht="15" hidden="false" customHeight="false" outlineLevel="0" collapsed="false">
      <c r="A338" s="26"/>
      <c r="B338" s="27"/>
      <c r="C338" s="28"/>
      <c r="D338" s="29"/>
      <c r="E338" s="29"/>
      <c r="F338" s="29"/>
      <c r="G338" s="29"/>
      <c r="H338" s="29"/>
      <c r="I338" s="29"/>
    </row>
    <row r="339" customFormat="false" ht="15" hidden="false" customHeight="false" outlineLevel="0" collapsed="false">
      <c r="A339" s="26"/>
      <c r="B339" s="27"/>
      <c r="C339" s="28"/>
      <c r="D339" s="29"/>
      <c r="E339" s="29"/>
      <c r="F339" s="29"/>
      <c r="G339" s="29"/>
      <c r="H339" s="29"/>
      <c r="I339" s="29"/>
    </row>
    <row r="340" customFormat="false" ht="15" hidden="false" customHeight="false" outlineLevel="0" collapsed="false">
      <c r="A340" s="26"/>
      <c r="B340" s="27"/>
      <c r="C340" s="28"/>
      <c r="D340" s="29"/>
      <c r="E340" s="29"/>
      <c r="F340" s="29"/>
      <c r="G340" s="29"/>
      <c r="H340" s="29"/>
      <c r="I340" s="29"/>
    </row>
    <row r="341" customFormat="false" ht="15" hidden="false" customHeight="false" outlineLevel="0" collapsed="false">
      <c r="A341" s="26"/>
      <c r="B341" s="27"/>
      <c r="C341" s="28"/>
      <c r="D341" s="29"/>
      <c r="E341" s="29"/>
      <c r="F341" s="29"/>
      <c r="G341" s="29"/>
      <c r="H341" s="29"/>
      <c r="I341" s="29"/>
    </row>
    <row r="342" customFormat="false" ht="15" hidden="false" customHeight="false" outlineLevel="0" collapsed="false">
      <c r="A342" s="26"/>
      <c r="B342" s="27"/>
      <c r="C342" s="28"/>
      <c r="D342" s="29"/>
      <c r="E342" s="29"/>
      <c r="F342" s="29"/>
      <c r="G342" s="29"/>
      <c r="H342" s="29"/>
      <c r="I342" s="29"/>
    </row>
    <row r="343" customFormat="false" ht="15" hidden="false" customHeight="false" outlineLevel="0" collapsed="false">
      <c r="A343" s="26"/>
      <c r="B343" s="27"/>
      <c r="C343" s="28"/>
      <c r="D343" s="29"/>
      <c r="E343" s="29"/>
      <c r="F343" s="29"/>
      <c r="G343" s="29"/>
      <c r="H343" s="29"/>
      <c r="I343" s="29"/>
    </row>
    <row r="344" customFormat="false" ht="15" hidden="false" customHeight="false" outlineLevel="0" collapsed="false">
      <c r="A344" s="26"/>
      <c r="B344" s="27"/>
      <c r="C344" s="28"/>
      <c r="D344" s="29"/>
      <c r="E344" s="29"/>
      <c r="F344" s="29"/>
      <c r="G344" s="29"/>
      <c r="H344" s="29"/>
      <c r="I344" s="29"/>
    </row>
    <row r="345" customFormat="false" ht="15" hidden="false" customHeight="false" outlineLevel="0" collapsed="false">
      <c r="A345" s="26"/>
      <c r="B345" s="27"/>
      <c r="C345" s="28"/>
      <c r="D345" s="29"/>
      <c r="E345" s="29"/>
      <c r="F345" s="29"/>
      <c r="G345" s="29"/>
      <c r="H345" s="29"/>
      <c r="I345" s="29"/>
    </row>
    <row r="346" customFormat="false" ht="15" hidden="false" customHeight="false" outlineLevel="0" collapsed="false">
      <c r="A346" s="26"/>
      <c r="B346" s="27"/>
      <c r="C346" s="28"/>
      <c r="D346" s="29"/>
      <c r="E346" s="29"/>
      <c r="F346" s="29"/>
      <c r="G346" s="29"/>
      <c r="H346" s="29"/>
      <c r="I346" s="29"/>
    </row>
    <row r="347" customFormat="false" ht="15" hidden="false" customHeight="false" outlineLevel="0" collapsed="false">
      <c r="A347" s="26"/>
      <c r="B347" s="27"/>
      <c r="C347" s="28"/>
      <c r="D347" s="29"/>
      <c r="E347" s="29"/>
      <c r="F347" s="29"/>
      <c r="G347" s="29"/>
      <c r="H347" s="29"/>
      <c r="I347" s="29"/>
    </row>
    <row r="348" customFormat="false" ht="15" hidden="false" customHeight="false" outlineLevel="0" collapsed="false">
      <c r="A348" s="26"/>
      <c r="B348" s="27"/>
      <c r="C348" s="28"/>
      <c r="D348" s="29"/>
      <c r="E348" s="29"/>
      <c r="F348" s="29"/>
      <c r="G348" s="29"/>
      <c r="H348" s="29"/>
      <c r="I348" s="29"/>
    </row>
    <row r="349" customFormat="false" ht="15" hidden="false" customHeight="false" outlineLevel="0" collapsed="false">
      <c r="A349" s="26"/>
      <c r="B349" s="27"/>
      <c r="C349" s="28"/>
      <c r="D349" s="29"/>
      <c r="E349" s="29"/>
      <c r="F349" s="29"/>
      <c r="G349" s="29"/>
      <c r="H349" s="29"/>
      <c r="I349" s="29"/>
    </row>
    <row r="350" customFormat="false" ht="15" hidden="false" customHeight="false" outlineLevel="0" collapsed="false">
      <c r="A350" s="26"/>
      <c r="B350" s="27"/>
      <c r="C350" s="28"/>
      <c r="D350" s="29"/>
      <c r="E350" s="29"/>
      <c r="F350" s="29"/>
      <c r="G350" s="29"/>
      <c r="H350" s="29"/>
      <c r="I350" s="29"/>
    </row>
    <row r="351" customFormat="false" ht="15" hidden="false" customHeight="false" outlineLevel="0" collapsed="false">
      <c r="A351" s="26"/>
      <c r="B351" s="27"/>
      <c r="C351" s="28"/>
      <c r="D351" s="29"/>
      <c r="E351" s="29"/>
      <c r="F351" s="29"/>
      <c r="G351" s="29"/>
      <c r="H351" s="29"/>
      <c r="I351" s="29"/>
    </row>
    <row r="352" customFormat="false" ht="15" hidden="false" customHeight="false" outlineLevel="0" collapsed="false">
      <c r="A352" s="26"/>
      <c r="B352" s="27"/>
      <c r="C352" s="28"/>
      <c r="D352" s="29"/>
      <c r="E352" s="29"/>
      <c r="F352" s="29"/>
      <c r="G352" s="29"/>
      <c r="H352" s="29"/>
      <c r="I352" s="29"/>
    </row>
    <row r="353" customFormat="false" ht="15" hidden="false" customHeight="false" outlineLevel="0" collapsed="false">
      <c r="A353" s="26"/>
      <c r="B353" s="27"/>
      <c r="C353" s="28"/>
      <c r="D353" s="29"/>
      <c r="E353" s="29"/>
      <c r="F353" s="29"/>
      <c r="G353" s="29"/>
      <c r="H353" s="29"/>
      <c r="I353" s="29"/>
    </row>
    <row r="354" customFormat="false" ht="15" hidden="false" customHeight="false" outlineLevel="0" collapsed="false">
      <c r="A354" s="26"/>
      <c r="B354" s="27"/>
      <c r="C354" s="28"/>
      <c r="D354" s="29"/>
      <c r="E354" s="29"/>
      <c r="F354" s="29"/>
      <c r="G354" s="29"/>
      <c r="H354" s="29"/>
      <c r="I354" s="29"/>
    </row>
    <row r="355" customFormat="false" ht="15" hidden="false" customHeight="false" outlineLevel="0" collapsed="false">
      <c r="A355" s="26"/>
      <c r="B355" s="27"/>
      <c r="C355" s="28"/>
      <c r="D355" s="29"/>
      <c r="E355" s="29"/>
      <c r="F355" s="29"/>
      <c r="G355" s="29"/>
      <c r="H355" s="29"/>
      <c r="I355" s="29"/>
    </row>
    <row r="356" customFormat="false" ht="15" hidden="false" customHeight="false" outlineLevel="0" collapsed="false">
      <c r="A356" s="26"/>
      <c r="B356" s="27"/>
      <c r="C356" s="28"/>
      <c r="D356" s="29"/>
      <c r="E356" s="29"/>
      <c r="F356" s="29"/>
      <c r="G356" s="29"/>
      <c r="H356" s="29"/>
      <c r="I356" s="29"/>
    </row>
    <row r="357" customFormat="false" ht="15" hidden="false" customHeight="false" outlineLevel="0" collapsed="false">
      <c r="A357" s="26"/>
      <c r="B357" s="27"/>
      <c r="C357" s="28"/>
      <c r="D357" s="29"/>
      <c r="E357" s="29"/>
      <c r="F357" s="29"/>
      <c r="G357" s="29"/>
      <c r="H357" s="29"/>
      <c r="I357" s="29"/>
    </row>
    <row r="358" customFormat="false" ht="15" hidden="false" customHeight="false" outlineLevel="0" collapsed="false">
      <c r="A358" s="26"/>
      <c r="B358" s="27"/>
      <c r="C358" s="28"/>
      <c r="D358" s="29"/>
      <c r="E358" s="29"/>
      <c r="F358" s="29"/>
      <c r="G358" s="29"/>
      <c r="H358" s="29"/>
      <c r="I358" s="29"/>
    </row>
    <row r="359" customFormat="false" ht="15" hidden="false" customHeight="false" outlineLevel="0" collapsed="false">
      <c r="A359" s="26"/>
      <c r="B359" s="27"/>
      <c r="C359" s="28"/>
      <c r="D359" s="29"/>
      <c r="E359" s="29"/>
      <c r="F359" s="29"/>
      <c r="G359" s="29"/>
      <c r="H359" s="29"/>
      <c r="I359" s="29"/>
    </row>
    <row r="360" customFormat="false" ht="15" hidden="false" customHeight="false" outlineLevel="0" collapsed="false">
      <c r="A360" s="26"/>
      <c r="B360" s="27"/>
      <c r="C360" s="28"/>
      <c r="D360" s="29"/>
      <c r="E360" s="29"/>
      <c r="F360" s="29"/>
      <c r="G360" s="29"/>
      <c r="H360" s="29"/>
      <c r="I360" s="29"/>
    </row>
    <row r="361" customFormat="false" ht="15" hidden="false" customHeight="false" outlineLevel="0" collapsed="false">
      <c r="A361" s="26"/>
      <c r="B361" s="27"/>
      <c r="C361" s="28"/>
      <c r="D361" s="29"/>
      <c r="E361" s="29"/>
      <c r="F361" s="29"/>
      <c r="G361" s="29"/>
      <c r="H361" s="29"/>
      <c r="I361" s="29"/>
    </row>
    <row r="362" customFormat="false" ht="15" hidden="false" customHeight="false" outlineLevel="0" collapsed="false">
      <c r="A362" s="26"/>
      <c r="B362" s="27"/>
      <c r="C362" s="28"/>
      <c r="D362" s="29"/>
      <c r="E362" s="29"/>
      <c r="F362" s="29"/>
      <c r="G362" s="29"/>
      <c r="H362" s="29"/>
      <c r="I362" s="29"/>
    </row>
    <row r="363" customFormat="false" ht="15" hidden="false" customHeight="false" outlineLevel="0" collapsed="false">
      <c r="A363" s="26"/>
      <c r="B363" s="27"/>
      <c r="C363" s="28"/>
      <c r="D363" s="29"/>
      <c r="E363" s="29"/>
      <c r="F363" s="29"/>
      <c r="G363" s="29"/>
      <c r="H363" s="29"/>
      <c r="I363" s="29"/>
    </row>
    <row r="364" customFormat="false" ht="15" hidden="false" customHeight="false" outlineLevel="0" collapsed="false">
      <c r="A364" s="26"/>
      <c r="B364" s="27"/>
      <c r="C364" s="28"/>
      <c r="D364" s="29"/>
      <c r="E364" s="29"/>
      <c r="F364" s="29"/>
      <c r="G364" s="29"/>
      <c r="H364" s="29"/>
      <c r="I364" s="29"/>
    </row>
    <row r="365" customFormat="false" ht="15" hidden="false" customHeight="false" outlineLevel="0" collapsed="false">
      <c r="A365" s="26"/>
      <c r="B365" s="27"/>
      <c r="C365" s="28"/>
      <c r="D365" s="29"/>
      <c r="E365" s="29"/>
      <c r="F365" s="29"/>
      <c r="G365" s="29"/>
      <c r="H365" s="29"/>
      <c r="I365" s="29"/>
    </row>
    <row r="366" customFormat="false" ht="15" hidden="false" customHeight="false" outlineLevel="0" collapsed="false">
      <c r="A366" s="26"/>
      <c r="B366" s="27"/>
      <c r="C366" s="28"/>
      <c r="D366" s="29"/>
      <c r="E366" s="29"/>
      <c r="F366" s="29"/>
      <c r="G366" s="29"/>
      <c r="H366" s="29"/>
      <c r="I366" s="29"/>
    </row>
    <row r="367" customFormat="false" ht="15" hidden="false" customHeight="false" outlineLevel="0" collapsed="false">
      <c r="A367" s="26"/>
      <c r="B367" s="27"/>
      <c r="C367" s="28"/>
      <c r="D367" s="29"/>
      <c r="E367" s="29"/>
      <c r="F367" s="29"/>
      <c r="G367" s="29"/>
      <c r="H367" s="29"/>
      <c r="I367" s="29"/>
    </row>
    <row r="368" customFormat="false" ht="15" hidden="false" customHeight="false" outlineLevel="0" collapsed="false">
      <c r="A368" s="26"/>
      <c r="B368" s="27"/>
      <c r="C368" s="28"/>
      <c r="D368" s="29"/>
      <c r="E368" s="29"/>
      <c r="F368" s="29"/>
      <c r="G368" s="29"/>
      <c r="H368" s="29"/>
      <c r="I368" s="29"/>
    </row>
    <row r="369" customFormat="false" ht="15" hidden="false" customHeight="false" outlineLevel="0" collapsed="false">
      <c r="A369" s="26"/>
      <c r="B369" s="27"/>
      <c r="C369" s="28"/>
      <c r="D369" s="29"/>
      <c r="E369" s="29"/>
      <c r="F369" s="29"/>
      <c r="G369" s="29"/>
      <c r="H369" s="29"/>
      <c r="I369" s="29"/>
    </row>
    <row r="370" customFormat="false" ht="15" hidden="false" customHeight="false" outlineLevel="0" collapsed="false">
      <c r="A370" s="26"/>
      <c r="B370" s="27"/>
      <c r="C370" s="28"/>
      <c r="D370" s="29"/>
      <c r="E370" s="29"/>
      <c r="F370" s="29"/>
      <c r="G370" s="29"/>
      <c r="H370" s="29"/>
      <c r="I370" s="29"/>
    </row>
    <row r="371" customFormat="false" ht="15" hidden="false" customHeight="false" outlineLevel="0" collapsed="false">
      <c r="A371" s="26"/>
      <c r="B371" s="27"/>
      <c r="C371" s="28"/>
      <c r="D371" s="29"/>
      <c r="E371" s="29"/>
      <c r="F371" s="29"/>
      <c r="G371" s="29"/>
      <c r="H371" s="29"/>
      <c r="I371" s="29"/>
    </row>
    <row r="372" customFormat="false" ht="15" hidden="false" customHeight="false" outlineLevel="0" collapsed="false">
      <c r="A372" s="26"/>
      <c r="B372" s="27"/>
      <c r="C372" s="28"/>
      <c r="D372" s="29"/>
      <c r="E372" s="29"/>
      <c r="F372" s="29"/>
      <c r="G372" s="29"/>
      <c r="H372" s="29"/>
      <c r="I372" s="29"/>
    </row>
    <row r="373" customFormat="false" ht="15" hidden="false" customHeight="false" outlineLevel="0" collapsed="false">
      <c r="A373" s="26"/>
      <c r="B373" s="27"/>
      <c r="C373" s="28"/>
      <c r="D373" s="29"/>
      <c r="E373" s="29"/>
      <c r="F373" s="29"/>
      <c r="G373" s="29"/>
      <c r="H373" s="29"/>
      <c r="I373" s="29"/>
    </row>
    <row r="374" customFormat="false" ht="15" hidden="false" customHeight="false" outlineLevel="0" collapsed="false">
      <c r="A374" s="26"/>
      <c r="B374" s="27"/>
      <c r="C374" s="28"/>
      <c r="D374" s="29"/>
      <c r="E374" s="29"/>
      <c r="F374" s="29"/>
      <c r="G374" s="29"/>
      <c r="H374" s="29"/>
      <c r="I374" s="29"/>
    </row>
    <row r="375" customFormat="false" ht="15" hidden="false" customHeight="false" outlineLevel="0" collapsed="false">
      <c r="A375" s="26"/>
      <c r="B375" s="27"/>
      <c r="C375" s="28"/>
      <c r="D375" s="29"/>
      <c r="E375" s="29"/>
      <c r="F375" s="29"/>
      <c r="G375" s="29"/>
      <c r="H375" s="29"/>
      <c r="I375" s="29"/>
    </row>
    <row r="376" customFormat="false" ht="15" hidden="false" customHeight="false" outlineLevel="0" collapsed="false">
      <c r="A376" s="26"/>
      <c r="B376" s="27"/>
      <c r="C376" s="28"/>
      <c r="D376" s="29"/>
      <c r="E376" s="29"/>
      <c r="F376" s="29"/>
      <c r="G376" s="29"/>
      <c r="H376" s="29"/>
      <c r="I376" s="29"/>
    </row>
    <row r="377" customFormat="false" ht="15" hidden="false" customHeight="false" outlineLevel="0" collapsed="false">
      <c r="A377" s="26"/>
      <c r="B377" s="27"/>
      <c r="C377" s="28"/>
      <c r="D377" s="29"/>
      <c r="E377" s="29"/>
      <c r="F377" s="29"/>
      <c r="G377" s="29"/>
      <c r="H377" s="29"/>
      <c r="I377" s="29"/>
    </row>
    <row r="378" customFormat="false" ht="15" hidden="false" customHeight="false" outlineLevel="0" collapsed="false">
      <c r="A378" s="26"/>
      <c r="B378" s="27"/>
      <c r="C378" s="28"/>
      <c r="D378" s="29"/>
      <c r="E378" s="29"/>
      <c r="F378" s="29"/>
      <c r="G378" s="29"/>
      <c r="H378" s="29"/>
      <c r="I378" s="29"/>
    </row>
    <row r="379" customFormat="false" ht="15" hidden="false" customHeight="false" outlineLevel="0" collapsed="false">
      <c r="A379" s="26"/>
      <c r="B379" s="27"/>
      <c r="C379" s="28"/>
      <c r="D379" s="29"/>
      <c r="E379" s="29"/>
      <c r="F379" s="29"/>
      <c r="G379" s="29"/>
      <c r="H379" s="29"/>
      <c r="I379" s="29"/>
    </row>
    <row r="380" customFormat="false" ht="15" hidden="false" customHeight="false" outlineLevel="0" collapsed="false">
      <c r="A380" s="26"/>
      <c r="B380" s="27"/>
      <c r="C380" s="28"/>
      <c r="D380" s="29"/>
      <c r="E380" s="29"/>
      <c r="F380" s="29"/>
      <c r="G380" s="29"/>
      <c r="H380" s="29"/>
      <c r="I380" s="29"/>
    </row>
    <row r="381" customFormat="false" ht="15" hidden="false" customHeight="false" outlineLevel="0" collapsed="false">
      <c r="A381" s="26"/>
      <c r="B381" s="27"/>
      <c r="C381" s="28"/>
      <c r="D381" s="29"/>
      <c r="E381" s="29"/>
      <c r="F381" s="29"/>
      <c r="G381" s="29"/>
      <c r="H381" s="29"/>
      <c r="I381" s="29"/>
    </row>
    <row r="382" customFormat="false" ht="15" hidden="false" customHeight="false" outlineLevel="0" collapsed="false">
      <c r="A382" s="26"/>
      <c r="B382" s="27"/>
      <c r="C382" s="28"/>
      <c r="D382" s="29"/>
      <c r="E382" s="29"/>
      <c r="F382" s="29"/>
      <c r="G382" s="29"/>
      <c r="H382" s="29"/>
      <c r="I382" s="29"/>
    </row>
    <row r="383" customFormat="false" ht="15" hidden="false" customHeight="false" outlineLevel="0" collapsed="false">
      <c r="A383" s="26"/>
      <c r="B383" s="27"/>
      <c r="C383" s="28"/>
      <c r="D383" s="29"/>
      <c r="E383" s="29"/>
      <c r="F383" s="29"/>
      <c r="G383" s="29"/>
      <c r="H383" s="29"/>
      <c r="I383" s="29"/>
    </row>
    <row r="384" customFormat="false" ht="15" hidden="false" customHeight="false" outlineLevel="0" collapsed="false">
      <c r="A384" s="26"/>
      <c r="B384" s="27"/>
      <c r="C384" s="28"/>
      <c r="D384" s="29"/>
      <c r="E384" s="29"/>
      <c r="F384" s="29"/>
      <c r="G384" s="29"/>
      <c r="H384" s="29"/>
      <c r="I384" s="29"/>
    </row>
    <row r="385" customFormat="false" ht="15" hidden="false" customHeight="false" outlineLevel="0" collapsed="false">
      <c r="A385" s="26"/>
      <c r="B385" s="27"/>
      <c r="C385" s="28"/>
      <c r="D385" s="29"/>
      <c r="E385" s="29"/>
      <c r="F385" s="29"/>
      <c r="G385" s="29"/>
      <c r="H385" s="29"/>
      <c r="I385" s="29"/>
    </row>
    <row r="386" customFormat="false" ht="15" hidden="false" customHeight="false" outlineLevel="0" collapsed="false">
      <c r="A386" s="26"/>
      <c r="B386" s="27"/>
      <c r="C386" s="28"/>
      <c r="D386" s="29"/>
      <c r="E386" s="29"/>
      <c r="F386" s="29"/>
      <c r="G386" s="29"/>
      <c r="H386" s="29"/>
      <c r="I386" s="29"/>
    </row>
    <row r="387" customFormat="false" ht="15" hidden="false" customHeight="false" outlineLevel="0" collapsed="false">
      <c r="A387" s="26"/>
      <c r="B387" s="27"/>
      <c r="C387" s="28"/>
      <c r="D387" s="29"/>
      <c r="E387" s="29"/>
      <c r="F387" s="29"/>
      <c r="G387" s="29"/>
      <c r="H387" s="29"/>
      <c r="I387" s="29"/>
    </row>
    <row r="388" customFormat="false" ht="15" hidden="false" customHeight="false" outlineLevel="0" collapsed="false">
      <c r="A388" s="26"/>
      <c r="B388" s="27"/>
      <c r="C388" s="28"/>
      <c r="D388" s="29"/>
      <c r="E388" s="29"/>
      <c r="F388" s="29"/>
      <c r="G388" s="29"/>
      <c r="H388" s="29"/>
      <c r="I388" s="29"/>
    </row>
    <row r="389" customFormat="false" ht="15" hidden="false" customHeight="false" outlineLevel="0" collapsed="false">
      <c r="A389" s="26"/>
      <c r="B389" s="27"/>
      <c r="C389" s="28"/>
      <c r="D389" s="29"/>
      <c r="E389" s="29"/>
      <c r="F389" s="29"/>
      <c r="G389" s="29"/>
      <c r="H389" s="29"/>
      <c r="I389" s="29"/>
    </row>
    <row r="390" customFormat="false" ht="15" hidden="false" customHeight="false" outlineLevel="0" collapsed="false">
      <c r="A390" s="26"/>
      <c r="B390" s="27"/>
      <c r="C390" s="28"/>
      <c r="D390" s="29"/>
      <c r="E390" s="29"/>
      <c r="F390" s="29"/>
      <c r="G390" s="29"/>
      <c r="H390" s="29"/>
      <c r="I390" s="29"/>
    </row>
    <row r="391" customFormat="false" ht="15" hidden="false" customHeight="false" outlineLevel="0" collapsed="false">
      <c r="A391" s="26"/>
      <c r="B391" s="27"/>
      <c r="C391" s="28"/>
      <c r="D391" s="29"/>
      <c r="E391" s="29"/>
      <c r="F391" s="29"/>
      <c r="G391" s="29"/>
      <c r="H391" s="29"/>
      <c r="I391" s="29"/>
    </row>
    <row r="392" customFormat="false" ht="15" hidden="false" customHeight="false" outlineLevel="0" collapsed="false">
      <c r="A392" s="26"/>
      <c r="B392" s="27"/>
      <c r="C392" s="28"/>
      <c r="D392" s="29"/>
      <c r="E392" s="29"/>
      <c r="F392" s="29"/>
      <c r="G392" s="29"/>
      <c r="H392" s="29"/>
      <c r="I392" s="29"/>
    </row>
    <row r="393" customFormat="false" ht="15" hidden="false" customHeight="false" outlineLevel="0" collapsed="false">
      <c r="A393" s="26"/>
      <c r="B393" s="27"/>
      <c r="C393" s="28"/>
      <c r="D393" s="29"/>
      <c r="E393" s="29"/>
      <c r="F393" s="29"/>
      <c r="G393" s="29"/>
      <c r="H393" s="29"/>
      <c r="I393" s="29"/>
    </row>
    <row r="394" customFormat="false" ht="15" hidden="false" customHeight="false" outlineLevel="0" collapsed="false">
      <c r="A394" s="26"/>
      <c r="B394" s="27"/>
      <c r="C394" s="28"/>
      <c r="D394" s="29"/>
      <c r="E394" s="29"/>
      <c r="F394" s="29"/>
      <c r="G394" s="29"/>
      <c r="H394" s="29"/>
      <c r="I394" s="29"/>
    </row>
    <row r="395" customFormat="false" ht="15" hidden="false" customHeight="false" outlineLevel="0" collapsed="false">
      <c r="A395" s="26"/>
      <c r="B395" s="27"/>
      <c r="C395" s="28"/>
      <c r="D395" s="29"/>
      <c r="E395" s="29"/>
      <c r="F395" s="29"/>
      <c r="G395" s="29"/>
      <c r="H395" s="29"/>
      <c r="I395" s="29"/>
    </row>
    <row r="396" customFormat="false" ht="15" hidden="false" customHeight="false" outlineLevel="0" collapsed="false">
      <c r="A396" s="26"/>
      <c r="B396" s="27"/>
      <c r="C396" s="28"/>
      <c r="D396" s="29"/>
      <c r="E396" s="29"/>
      <c r="F396" s="29"/>
      <c r="G396" s="29"/>
      <c r="H396" s="29"/>
      <c r="I396" s="29"/>
    </row>
    <row r="397" customFormat="false" ht="15" hidden="false" customHeight="false" outlineLevel="0" collapsed="false">
      <c r="A397" s="26"/>
      <c r="B397" s="27"/>
      <c r="C397" s="28"/>
      <c r="D397" s="29"/>
      <c r="E397" s="29"/>
      <c r="F397" s="29"/>
      <c r="G397" s="29"/>
      <c r="H397" s="29"/>
      <c r="I397" s="29"/>
    </row>
    <row r="398" customFormat="false" ht="15" hidden="false" customHeight="false" outlineLevel="0" collapsed="false">
      <c r="A398" s="26"/>
      <c r="B398" s="27"/>
      <c r="C398" s="28"/>
      <c r="D398" s="29"/>
      <c r="E398" s="29"/>
      <c r="F398" s="29"/>
      <c r="G398" s="29"/>
      <c r="H398" s="29"/>
      <c r="I398" s="29"/>
    </row>
    <row r="399" customFormat="false" ht="15" hidden="false" customHeight="false" outlineLevel="0" collapsed="false">
      <c r="A399" s="26"/>
      <c r="B399" s="27"/>
      <c r="C399" s="28"/>
      <c r="D399" s="29"/>
      <c r="E399" s="29"/>
      <c r="F399" s="29"/>
      <c r="G399" s="29"/>
      <c r="H399" s="29"/>
      <c r="I399" s="29"/>
    </row>
    <row r="400" customFormat="false" ht="15" hidden="false" customHeight="false" outlineLevel="0" collapsed="false">
      <c r="A400" s="26"/>
      <c r="B400" s="27"/>
      <c r="C400" s="28"/>
      <c r="D400" s="29"/>
      <c r="E400" s="29"/>
      <c r="F400" s="29"/>
      <c r="G400" s="29"/>
      <c r="H400" s="29"/>
      <c r="I400" s="29"/>
    </row>
    <row r="401" customFormat="false" ht="15" hidden="false" customHeight="false" outlineLevel="0" collapsed="false">
      <c r="A401" s="26"/>
      <c r="B401" s="27"/>
      <c r="C401" s="28"/>
      <c r="D401" s="29"/>
      <c r="E401" s="29"/>
      <c r="F401" s="29"/>
      <c r="G401" s="29"/>
      <c r="H401" s="29"/>
      <c r="I401" s="29"/>
    </row>
    <row r="402" customFormat="false" ht="15" hidden="false" customHeight="false" outlineLevel="0" collapsed="false">
      <c r="A402" s="26"/>
      <c r="B402" s="27"/>
      <c r="C402" s="28"/>
      <c r="D402" s="29"/>
      <c r="E402" s="29"/>
      <c r="F402" s="29"/>
      <c r="G402" s="29"/>
      <c r="H402" s="29"/>
      <c r="I402" s="29"/>
    </row>
    <row r="403" customFormat="false" ht="15" hidden="false" customHeight="false" outlineLevel="0" collapsed="false">
      <c r="A403" s="26"/>
      <c r="B403" s="27"/>
      <c r="C403" s="28"/>
      <c r="D403" s="29"/>
      <c r="E403" s="29"/>
      <c r="F403" s="29"/>
      <c r="G403" s="29"/>
      <c r="H403" s="29"/>
      <c r="I403" s="29"/>
    </row>
    <row r="404" customFormat="false" ht="15" hidden="false" customHeight="false" outlineLevel="0" collapsed="false">
      <c r="A404" s="26"/>
      <c r="B404" s="27"/>
      <c r="C404" s="28"/>
      <c r="D404" s="29"/>
      <c r="E404" s="29"/>
      <c r="F404" s="29"/>
      <c r="G404" s="29"/>
      <c r="H404" s="29"/>
      <c r="I404" s="29"/>
    </row>
    <row r="405" customFormat="false" ht="15" hidden="false" customHeight="false" outlineLevel="0" collapsed="false">
      <c r="A405" s="26"/>
      <c r="B405" s="27"/>
      <c r="C405" s="28"/>
      <c r="D405" s="29"/>
      <c r="E405" s="29"/>
      <c r="F405" s="29"/>
      <c r="G405" s="29"/>
      <c r="H405" s="29"/>
      <c r="I405" s="29"/>
    </row>
    <row r="406" customFormat="false" ht="15" hidden="false" customHeight="false" outlineLevel="0" collapsed="false">
      <c r="A406" s="26"/>
      <c r="B406" s="27"/>
      <c r="C406" s="28"/>
      <c r="D406" s="29"/>
      <c r="E406" s="29"/>
      <c r="F406" s="29"/>
      <c r="G406" s="29"/>
      <c r="H406" s="29"/>
      <c r="I406" s="29"/>
    </row>
    <row r="407" customFormat="false" ht="15" hidden="false" customHeight="false" outlineLevel="0" collapsed="false">
      <c r="A407" s="26"/>
      <c r="B407" s="27"/>
      <c r="C407" s="28"/>
      <c r="D407" s="29"/>
      <c r="E407" s="29"/>
      <c r="F407" s="29"/>
      <c r="G407" s="29"/>
      <c r="H407" s="29"/>
      <c r="I407" s="29"/>
    </row>
    <row r="408" customFormat="false" ht="15" hidden="false" customHeight="false" outlineLevel="0" collapsed="false">
      <c r="A408" s="26"/>
      <c r="B408" s="27"/>
      <c r="C408" s="28"/>
      <c r="D408" s="29"/>
      <c r="E408" s="29"/>
      <c r="F408" s="29"/>
      <c r="G408" s="29"/>
      <c r="H408" s="29"/>
      <c r="I408" s="29"/>
    </row>
    <row r="409" customFormat="false" ht="15" hidden="false" customHeight="false" outlineLevel="0" collapsed="false">
      <c r="A409" s="26"/>
      <c r="B409" s="27"/>
      <c r="C409" s="28"/>
      <c r="D409" s="29"/>
      <c r="E409" s="29"/>
      <c r="F409" s="29"/>
      <c r="G409" s="29"/>
      <c r="H409" s="29"/>
      <c r="I409" s="29"/>
    </row>
    <row r="410" customFormat="false" ht="15" hidden="false" customHeight="false" outlineLevel="0" collapsed="false">
      <c r="A410" s="26"/>
      <c r="B410" s="27"/>
      <c r="C410" s="28"/>
      <c r="D410" s="29"/>
      <c r="E410" s="29"/>
      <c r="F410" s="29"/>
      <c r="G410" s="29"/>
      <c r="H410" s="29"/>
      <c r="I410" s="29"/>
    </row>
    <row r="411" customFormat="false" ht="15" hidden="false" customHeight="false" outlineLevel="0" collapsed="false">
      <c r="A411" s="26"/>
      <c r="B411" s="27"/>
      <c r="C411" s="28"/>
      <c r="D411" s="29"/>
      <c r="E411" s="29"/>
      <c r="F411" s="29"/>
      <c r="G411" s="29"/>
      <c r="H411" s="29"/>
      <c r="I411" s="29"/>
    </row>
    <row r="412" customFormat="false" ht="15" hidden="false" customHeight="false" outlineLevel="0" collapsed="false">
      <c r="A412" s="26"/>
      <c r="B412" s="27"/>
      <c r="C412" s="28"/>
      <c r="D412" s="29"/>
      <c r="E412" s="29"/>
      <c r="F412" s="29"/>
      <c r="G412" s="29"/>
      <c r="H412" s="29"/>
      <c r="I412" s="29"/>
    </row>
    <row r="413" customFormat="false" ht="15" hidden="false" customHeight="false" outlineLevel="0" collapsed="false">
      <c r="A413" s="26"/>
      <c r="B413" s="27"/>
      <c r="C413" s="28"/>
      <c r="D413" s="29"/>
      <c r="E413" s="29"/>
      <c r="F413" s="29"/>
      <c r="G413" s="29"/>
      <c r="H413" s="29"/>
      <c r="I413" s="29"/>
    </row>
    <row r="414" customFormat="false" ht="15" hidden="false" customHeight="false" outlineLevel="0" collapsed="false">
      <c r="A414" s="26"/>
      <c r="B414" s="27"/>
      <c r="C414" s="28"/>
      <c r="D414" s="29"/>
      <c r="E414" s="29"/>
      <c r="F414" s="29"/>
      <c r="G414" s="29"/>
      <c r="H414" s="29"/>
      <c r="I414" s="29"/>
    </row>
    <row r="415" customFormat="false" ht="15" hidden="false" customHeight="false" outlineLevel="0" collapsed="false">
      <c r="A415" s="26"/>
      <c r="B415" s="27"/>
      <c r="C415" s="28"/>
      <c r="D415" s="29"/>
      <c r="E415" s="29"/>
      <c r="F415" s="29"/>
      <c r="G415" s="29"/>
      <c r="H415" s="29"/>
      <c r="I415" s="29"/>
    </row>
    <row r="416" customFormat="false" ht="15" hidden="false" customHeight="false" outlineLevel="0" collapsed="false">
      <c r="A416" s="26"/>
      <c r="B416" s="27"/>
      <c r="C416" s="28"/>
      <c r="D416" s="29"/>
      <c r="E416" s="29"/>
      <c r="F416" s="29"/>
      <c r="G416" s="29"/>
      <c r="H416" s="29"/>
      <c r="I416" s="29"/>
    </row>
    <row r="417" customFormat="false" ht="15" hidden="false" customHeight="false" outlineLevel="0" collapsed="false">
      <c r="A417" s="26"/>
      <c r="B417" s="27"/>
      <c r="C417" s="28"/>
      <c r="D417" s="29"/>
      <c r="E417" s="29"/>
      <c r="F417" s="29"/>
      <c r="G417" s="29"/>
      <c r="H417" s="29"/>
      <c r="I417" s="29"/>
    </row>
    <row r="418" customFormat="false" ht="15" hidden="false" customHeight="false" outlineLevel="0" collapsed="false">
      <c r="A418" s="26"/>
      <c r="B418" s="27"/>
      <c r="C418" s="28"/>
      <c r="D418" s="29"/>
      <c r="E418" s="29"/>
      <c r="F418" s="29"/>
      <c r="G418" s="29"/>
      <c r="H418" s="29"/>
      <c r="I418" s="29"/>
    </row>
    <row r="419" customFormat="false" ht="15" hidden="false" customHeight="false" outlineLevel="0" collapsed="false">
      <c r="A419" s="26"/>
      <c r="B419" s="27"/>
      <c r="C419" s="28"/>
      <c r="D419" s="29"/>
      <c r="E419" s="29"/>
      <c r="F419" s="29"/>
      <c r="G419" s="29"/>
      <c r="H419" s="29"/>
      <c r="I419" s="29"/>
    </row>
    <row r="420" customFormat="false" ht="15" hidden="false" customHeight="false" outlineLevel="0" collapsed="false">
      <c r="A420" s="26"/>
      <c r="B420" s="27"/>
      <c r="C420" s="28"/>
      <c r="D420" s="29"/>
      <c r="E420" s="29"/>
      <c r="F420" s="29"/>
      <c r="G420" s="29"/>
      <c r="H420" s="29"/>
      <c r="I420" s="29"/>
    </row>
    <row r="421" customFormat="false" ht="15" hidden="false" customHeight="false" outlineLevel="0" collapsed="false">
      <c r="A421" s="26"/>
      <c r="B421" s="27"/>
      <c r="C421" s="28"/>
      <c r="D421" s="29"/>
      <c r="E421" s="29"/>
      <c r="F421" s="29"/>
      <c r="G421" s="29"/>
      <c r="H421" s="29"/>
      <c r="I421" s="29"/>
    </row>
    <row r="422" customFormat="false" ht="15" hidden="false" customHeight="false" outlineLevel="0" collapsed="false">
      <c r="A422" s="26"/>
      <c r="B422" s="27"/>
      <c r="C422" s="28"/>
      <c r="D422" s="29"/>
      <c r="E422" s="29"/>
      <c r="F422" s="29"/>
      <c r="G422" s="29"/>
      <c r="H422" s="29"/>
      <c r="I422" s="29"/>
    </row>
    <row r="423" customFormat="false" ht="15" hidden="false" customHeight="false" outlineLevel="0" collapsed="false">
      <c r="A423" s="26"/>
      <c r="B423" s="27"/>
      <c r="C423" s="28"/>
      <c r="D423" s="29"/>
      <c r="E423" s="29"/>
      <c r="F423" s="29"/>
      <c r="G423" s="29"/>
      <c r="H423" s="29"/>
      <c r="I423" s="29"/>
    </row>
    <row r="424" customFormat="false" ht="15" hidden="false" customHeight="false" outlineLevel="0" collapsed="false">
      <c r="A424" s="26"/>
      <c r="B424" s="27"/>
      <c r="C424" s="28"/>
      <c r="D424" s="29"/>
      <c r="E424" s="29"/>
      <c r="F424" s="29"/>
      <c r="G424" s="29"/>
      <c r="H424" s="29"/>
      <c r="I424" s="29"/>
    </row>
    <row r="425" customFormat="false" ht="15" hidden="false" customHeight="false" outlineLevel="0" collapsed="false">
      <c r="A425" s="26"/>
      <c r="B425" s="27"/>
      <c r="C425" s="28"/>
      <c r="D425" s="29"/>
      <c r="E425" s="29"/>
      <c r="F425" s="29"/>
      <c r="G425" s="29"/>
      <c r="H425" s="29"/>
      <c r="I425" s="29"/>
    </row>
    <row r="426" customFormat="false" ht="15" hidden="false" customHeight="false" outlineLevel="0" collapsed="false">
      <c r="A426" s="26"/>
      <c r="B426" s="27"/>
      <c r="C426" s="28"/>
      <c r="D426" s="29"/>
      <c r="E426" s="29"/>
      <c r="F426" s="29"/>
      <c r="G426" s="29"/>
      <c r="H426" s="29"/>
      <c r="I426" s="29"/>
    </row>
    <row r="427" customFormat="false" ht="15" hidden="false" customHeight="false" outlineLevel="0" collapsed="false">
      <c r="A427" s="26"/>
      <c r="B427" s="27"/>
      <c r="C427" s="28"/>
      <c r="D427" s="29"/>
      <c r="E427" s="29"/>
      <c r="F427" s="29"/>
      <c r="G427" s="29"/>
      <c r="H427" s="29"/>
      <c r="I427" s="29"/>
    </row>
    <row r="428" customFormat="false" ht="15" hidden="false" customHeight="false" outlineLevel="0" collapsed="false">
      <c r="A428" s="26"/>
      <c r="B428" s="27"/>
      <c r="C428" s="28"/>
      <c r="D428" s="29"/>
      <c r="E428" s="29"/>
      <c r="F428" s="29"/>
      <c r="G428" s="29"/>
      <c r="H428" s="29"/>
      <c r="I428" s="29"/>
    </row>
    <row r="429" customFormat="false" ht="15" hidden="false" customHeight="false" outlineLevel="0" collapsed="false">
      <c r="A429" s="26"/>
      <c r="B429" s="27"/>
      <c r="C429" s="28"/>
      <c r="D429" s="29"/>
      <c r="E429" s="29"/>
      <c r="F429" s="29"/>
      <c r="G429" s="29"/>
      <c r="H429" s="29"/>
      <c r="I429" s="29"/>
    </row>
    <row r="430" customFormat="false" ht="15" hidden="false" customHeight="false" outlineLevel="0" collapsed="false">
      <c r="A430" s="26"/>
      <c r="B430" s="27"/>
      <c r="C430" s="28"/>
      <c r="D430" s="29"/>
      <c r="E430" s="29"/>
      <c r="F430" s="29"/>
      <c r="G430" s="29"/>
      <c r="H430" s="29"/>
      <c r="I430" s="29"/>
    </row>
    <row r="431" customFormat="false" ht="15" hidden="false" customHeight="false" outlineLevel="0" collapsed="false">
      <c r="A431" s="26"/>
      <c r="B431" s="27"/>
      <c r="C431" s="28"/>
      <c r="D431" s="29"/>
      <c r="E431" s="29"/>
      <c r="F431" s="29"/>
      <c r="G431" s="29"/>
      <c r="H431" s="29"/>
      <c r="I431" s="29"/>
    </row>
    <row r="432" customFormat="false" ht="15" hidden="false" customHeight="false" outlineLevel="0" collapsed="false">
      <c r="A432" s="26"/>
      <c r="B432" s="27"/>
      <c r="C432" s="28"/>
      <c r="D432" s="29"/>
      <c r="E432" s="29"/>
      <c r="F432" s="29"/>
      <c r="G432" s="29"/>
      <c r="H432" s="29"/>
      <c r="I432" s="29"/>
    </row>
    <row r="433" customFormat="false" ht="15" hidden="false" customHeight="false" outlineLevel="0" collapsed="false">
      <c r="A433" s="26"/>
      <c r="B433" s="27"/>
      <c r="C433" s="28"/>
      <c r="D433" s="29"/>
      <c r="E433" s="29"/>
      <c r="F433" s="29"/>
      <c r="G433" s="29"/>
      <c r="H433" s="29"/>
      <c r="I433" s="29"/>
    </row>
    <row r="434" customFormat="false" ht="15" hidden="false" customHeight="false" outlineLevel="0" collapsed="false">
      <c r="A434" s="26"/>
      <c r="B434" s="27"/>
      <c r="C434" s="28"/>
      <c r="D434" s="29"/>
      <c r="E434" s="29"/>
      <c r="F434" s="29"/>
      <c r="G434" s="29"/>
      <c r="H434" s="29"/>
      <c r="I434" s="29"/>
    </row>
    <row r="435" customFormat="false" ht="15" hidden="false" customHeight="false" outlineLevel="0" collapsed="false">
      <c r="A435" s="26"/>
      <c r="B435" s="27"/>
      <c r="C435" s="28"/>
      <c r="D435" s="29"/>
      <c r="E435" s="29"/>
      <c r="F435" s="29"/>
      <c r="G435" s="29"/>
      <c r="H435" s="29"/>
      <c r="I435" s="29"/>
    </row>
    <row r="436" customFormat="false" ht="15" hidden="false" customHeight="false" outlineLevel="0" collapsed="false">
      <c r="A436" s="26"/>
      <c r="B436" s="27"/>
      <c r="C436" s="28"/>
      <c r="D436" s="29"/>
      <c r="E436" s="29"/>
      <c r="F436" s="29"/>
      <c r="G436" s="29"/>
      <c r="H436" s="29"/>
      <c r="I436" s="29"/>
    </row>
    <row r="437" customFormat="false" ht="15" hidden="false" customHeight="false" outlineLevel="0" collapsed="false">
      <c r="A437" s="26"/>
      <c r="B437" s="27"/>
      <c r="C437" s="28"/>
      <c r="D437" s="29"/>
      <c r="E437" s="29"/>
      <c r="F437" s="29"/>
      <c r="G437" s="29"/>
      <c r="H437" s="29"/>
      <c r="I437" s="29"/>
    </row>
    <row r="438" customFormat="false" ht="15" hidden="false" customHeight="false" outlineLevel="0" collapsed="false">
      <c r="A438" s="26"/>
      <c r="B438" s="27"/>
      <c r="C438" s="28"/>
      <c r="D438" s="29"/>
      <c r="E438" s="29"/>
      <c r="F438" s="29"/>
      <c r="G438" s="29"/>
      <c r="H438" s="29"/>
      <c r="I438" s="29"/>
    </row>
    <row r="439" customFormat="false" ht="15" hidden="false" customHeight="false" outlineLevel="0" collapsed="false">
      <c r="A439" s="26"/>
      <c r="B439" s="27"/>
      <c r="C439" s="28"/>
      <c r="D439" s="29"/>
      <c r="E439" s="29"/>
      <c r="F439" s="29"/>
      <c r="G439" s="29"/>
      <c r="H439" s="29"/>
      <c r="I439" s="29"/>
    </row>
    <row r="440" customFormat="false" ht="15" hidden="false" customHeight="false" outlineLevel="0" collapsed="false">
      <c r="A440" s="26"/>
      <c r="B440" s="27"/>
      <c r="C440" s="28"/>
      <c r="D440" s="29"/>
      <c r="E440" s="29"/>
      <c r="F440" s="29"/>
      <c r="G440" s="29"/>
      <c r="H440" s="29"/>
      <c r="I440" s="29"/>
    </row>
    <row r="441" customFormat="false" ht="15" hidden="false" customHeight="false" outlineLevel="0" collapsed="false">
      <c r="A441" s="26"/>
      <c r="B441" s="27"/>
      <c r="C441" s="28"/>
      <c r="D441" s="29"/>
      <c r="E441" s="29"/>
      <c r="F441" s="29"/>
      <c r="G441" s="29"/>
      <c r="H441" s="29"/>
      <c r="I441" s="29"/>
    </row>
    <row r="442" customFormat="false" ht="15" hidden="false" customHeight="false" outlineLevel="0" collapsed="false">
      <c r="A442" s="26"/>
      <c r="B442" s="27"/>
      <c r="C442" s="28"/>
      <c r="D442" s="29"/>
      <c r="E442" s="29"/>
      <c r="F442" s="29"/>
      <c r="G442" s="29"/>
      <c r="H442" s="29"/>
      <c r="I442" s="29"/>
    </row>
    <row r="443" customFormat="false" ht="15" hidden="false" customHeight="false" outlineLevel="0" collapsed="false">
      <c r="A443" s="26"/>
      <c r="B443" s="27"/>
      <c r="C443" s="28"/>
      <c r="D443" s="29"/>
      <c r="E443" s="29"/>
      <c r="F443" s="29"/>
      <c r="G443" s="29"/>
      <c r="H443" s="29"/>
      <c r="I443" s="29"/>
    </row>
    <row r="444" customFormat="false" ht="15" hidden="false" customHeight="false" outlineLevel="0" collapsed="false">
      <c r="A444" s="26"/>
      <c r="B444" s="27"/>
      <c r="C444" s="28"/>
      <c r="D444" s="29"/>
      <c r="E444" s="29"/>
      <c r="F444" s="29"/>
      <c r="G444" s="29"/>
      <c r="H444" s="29"/>
      <c r="I444" s="29"/>
    </row>
    <row r="445" customFormat="false" ht="15" hidden="false" customHeight="false" outlineLevel="0" collapsed="false">
      <c r="A445" s="26"/>
      <c r="B445" s="27"/>
      <c r="C445" s="28"/>
      <c r="D445" s="29"/>
      <c r="E445" s="29"/>
      <c r="F445" s="29"/>
      <c r="G445" s="29"/>
      <c r="H445" s="29"/>
      <c r="I445" s="29"/>
    </row>
    <row r="446" customFormat="false" ht="15" hidden="false" customHeight="false" outlineLevel="0" collapsed="false">
      <c r="A446" s="26"/>
      <c r="B446" s="27"/>
      <c r="C446" s="28"/>
      <c r="D446" s="29"/>
      <c r="E446" s="29"/>
      <c r="F446" s="29"/>
      <c r="G446" s="29"/>
      <c r="H446" s="29"/>
      <c r="I446" s="29"/>
    </row>
    <row r="447" customFormat="false" ht="15" hidden="false" customHeight="false" outlineLevel="0" collapsed="false">
      <c r="A447" s="26"/>
      <c r="B447" s="27"/>
      <c r="C447" s="28"/>
      <c r="D447" s="29"/>
      <c r="E447" s="29"/>
      <c r="F447" s="29"/>
      <c r="G447" s="29"/>
      <c r="H447" s="29"/>
      <c r="I447" s="29"/>
    </row>
    <row r="448" customFormat="false" ht="15" hidden="false" customHeight="false" outlineLevel="0" collapsed="false">
      <c r="A448" s="26"/>
      <c r="B448" s="27"/>
      <c r="C448" s="28"/>
      <c r="D448" s="29"/>
      <c r="E448" s="29"/>
      <c r="F448" s="29"/>
      <c r="G448" s="29"/>
      <c r="H448" s="29"/>
      <c r="I448" s="29"/>
    </row>
    <row r="449" customFormat="false" ht="15" hidden="false" customHeight="false" outlineLevel="0" collapsed="false">
      <c r="A449" s="26"/>
      <c r="B449" s="27"/>
      <c r="C449" s="28"/>
      <c r="D449" s="29"/>
      <c r="E449" s="29"/>
      <c r="F449" s="29"/>
      <c r="G449" s="29"/>
      <c r="H449" s="29"/>
      <c r="I449" s="29"/>
    </row>
    <row r="450" customFormat="false" ht="15" hidden="false" customHeight="false" outlineLevel="0" collapsed="false">
      <c r="A450" s="26"/>
      <c r="B450" s="27"/>
      <c r="C450" s="28"/>
      <c r="D450" s="29"/>
      <c r="E450" s="29"/>
      <c r="F450" s="29"/>
      <c r="G450" s="29"/>
      <c r="H450" s="29"/>
      <c r="I450" s="29"/>
    </row>
    <row r="451" customFormat="false" ht="15" hidden="false" customHeight="false" outlineLevel="0" collapsed="false">
      <c r="A451" s="26"/>
      <c r="B451" s="27"/>
      <c r="C451" s="28"/>
      <c r="D451" s="29"/>
      <c r="E451" s="29"/>
      <c r="F451" s="29"/>
      <c r="G451" s="29"/>
      <c r="H451" s="29"/>
      <c r="I451" s="29"/>
    </row>
    <row r="452" customFormat="false" ht="15" hidden="false" customHeight="false" outlineLevel="0" collapsed="false">
      <c r="A452" s="26"/>
      <c r="B452" s="27"/>
      <c r="C452" s="28"/>
      <c r="D452" s="29"/>
      <c r="E452" s="29"/>
      <c r="F452" s="29"/>
      <c r="G452" s="29"/>
      <c r="H452" s="29"/>
      <c r="I452" s="29"/>
    </row>
    <row r="453" customFormat="false" ht="15" hidden="false" customHeight="false" outlineLevel="0" collapsed="false">
      <c r="A453" s="26"/>
      <c r="B453" s="27"/>
      <c r="C453" s="28"/>
      <c r="D453" s="29"/>
      <c r="E453" s="29"/>
      <c r="F453" s="29"/>
      <c r="G453" s="29"/>
      <c r="H453" s="29"/>
      <c r="I453" s="29"/>
    </row>
    <row r="454" customFormat="false" ht="15" hidden="false" customHeight="false" outlineLevel="0" collapsed="false">
      <c r="A454" s="26"/>
      <c r="B454" s="27"/>
      <c r="C454" s="28"/>
      <c r="D454" s="29"/>
      <c r="E454" s="29"/>
      <c r="F454" s="29"/>
      <c r="G454" s="29"/>
      <c r="H454" s="29"/>
      <c r="I454" s="29"/>
    </row>
    <row r="455" customFormat="false" ht="15" hidden="false" customHeight="false" outlineLevel="0" collapsed="false">
      <c r="A455" s="26"/>
      <c r="B455" s="27"/>
      <c r="C455" s="28"/>
      <c r="D455" s="29"/>
      <c r="E455" s="29"/>
      <c r="F455" s="29"/>
      <c r="G455" s="29"/>
      <c r="H455" s="29"/>
      <c r="I455" s="29"/>
    </row>
    <row r="456" customFormat="false" ht="15" hidden="false" customHeight="false" outlineLevel="0" collapsed="false">
      <c r="A456" s="26"/>
      <c r="B456" s="27"/>
      <c r="C456" s="28"/>
      <c r="D456" s="29"/>
      <c r="E456" s="29"/>
      <c r="F456" s="29"/>
      <c r="G456" s="29"/>
      <c r="H456" s="29"/>
      <c r="I456" s="29"/>
    </row>
    <row r="457" customFormat="false" ht="15" hidden="false" customHeight="false" outlineLevel="0" collapsed="false">
      <c r="A457" s="26"/>
      <c r="B457" s="27"/>
      <c r="C457" s="28"/>
      <c r="D457" s="29"/>
      <c r="E457" s="29"/>
      <c r="F457" s="29"/>
      <c r="G457" s="29"/>
      <c r="H457" s="29"/>
      <c r="I457" s="29"/>
    </row>
    <row r="458" customFormat="false" ht="15" hidden="false" customHeight="false" outlineLevel="0" collapsed="false">
      <c r="A458" s="26"/>
      <c r="B458" s="27"/>
      <c r="C458" s="28"/>
      <c r="D458" s="29"/>
      <c r="E458" s="29"/>
      <c r="F458" s="29"/>
      <c r="G458" s="29"/>
      <c r="H458" s="29"/>
      <c r="I458" s="29"/>
    </row>
    <row r="459" customFormat="false" ht="15" hidden="false" customHeight="false" outlineLevel="0" collapsed="false">
      <c r="A459" s="26"/>
      <c r="B459" s="27"/>
      <c r="C459" s="28"/>
      <c r="D459" s="29"/>
      <c r="E459" s="29"/>
      <c r="F459" s="29"/>
      <c r="G459" s="29"/>
      <c r="H459" s="29"/>
      <c r="I459" s="29"/>
    </row>
    <row r="460" customFormat="false" ht="15" hidden="false" customHeight="false" outlineLevel="0" collapsed="false">
      <c r="A460" s="26"/>
      <c r="B460" s="27"/>
      <c r="C460" s="28"/>
      <c r="D460" s="29"/>
      <c r="E460" s="29"/>
      <c r="F460" s="29"/>
      <c r="G460" s="29"/>
      <c r="H460" s="29"/>
      <c r="I460" s="29"/>
    </row>
    <row r="461" customFormat="false" ht="15" hidden="false" customHeight="false" outlineLevel="0" collapsed="false">
      <c r="A461" s="26"/>
      <c r="B461" s="27"/>
      <c r="C461" s="28"/>
      <c r="D461" s="29"/>
      <c r="E461" s="29"/>
      <c r="F461" s="29"/>
      <c r="G461" s="29"/>
      <c r="H461" s="29"/>
      <c r="I461" s="29"/>
    </row>
    <row r="462" customFormat="false" ht="15" hidden="false" customHeight="false" outlineLevel="0" collapsed="false">
      <c r="A462" s="26"/>
      <c r="B462" s="27"/>
      <c r="C462" s="28"/>
      <c r="D462" s="29"/>
      <c r="E462" s="29"/>
      <c r="F462" s="29"/>
      <c r="G462" s="29"/>
      <c r="H462" s="29"/>
      <c r="I462" s="29"/>
    </row>
    <row r="463" customFormat="false" ht="15" hidden="false" customHeight="false" outlineLevel="0" collapsed="false">
      <c r="A463" s="26"/>
      <c r="B463" s="27"/>
      <c r="C463" s="28"/>
      <c r="D463" s="29"/>
      <c r="E463" s="29"/>
      <c r="F463" s="29"/>
      <c r="G463" s="29"/>
      <c r="H463" s="29"/>
      <c r="I463" s="29"/>
    </row>
    <row r="464" customFormat="false" ht="15" hidden="false" customHeight="false" outlineLevel="0" collapsed="false">
      <c r="A464" s="26"/>
      <c r="B464" s="27"/>
      <c r="C464" s="28"/>
      <c r="D464" s="29"/>
      <c r="E464" s="29"/>
      <c r="F464" s="29"/>
      <c r="G464" s="29"/>
      <c r="H464" s="29"/>
      <c r="I464" s="29"/>
    </row>
    <row r="465" customFormat="false" ht="15" hidden="false" customHeight="false" outlineLevel="0" collapsed="false">
      <c r="A465" s="26"/>
      <c r="B465" s="27"/>
      <c r="C465" s="28"/>
      <c r="D465" s="29"/>
      <c r="E465" s="29"/>
      <c r="F465" s="29"/>
      <c r="G465" s="29"/>
      <c r="H465" s="29"/>
      <c r="I465" s="29"/>
    </row>
    <row r="466" customFormat="false" ht="15" hidden="false" customHeight="false" outlineLevel="0" collapsed="false">
      <c r="A466" s="26"/>
      <c r="B466" s="27"/>
      <c r="C466" s="28"/>
      <c r="D466" s="29"/>
      <c r="E466" s="29"/>
      <c r="F466" s="29"/>
      <c r="G466" s="29"/>
      <c r="H466" s="29"/>
      <c r="I466" s="29"/>
    </row>
    <row r="467" customFormat="false" ht="15" hidden="false" customHeight="false" outlineLevel="0" collapsed="false">
      <c r="A467" s="26"/>
      <c r="B467" s="27"/>
      <c r="C467" s="28"/>
      <c r="D467" s="29"/>
      <c r="E467" s="29"/>
      <c r="F467" s="29"/>
      <c r="G467" s="29"/>
      <c r="H467" s="29"/>
      <c r="I467" s="29"/>
    </row>
    <row r="468" customFormat="false" ht="15" hidden="false" customHeight="false" outlineLevel="0" collapsed="false">
      <c r="A468" s="26"/>
      <c r="B468" s="27"/>
      <c r="C468" s="28"/>
      <c r="D468" s="29"/>
      <c r="E468" s="29"/>
      <c r="F468" s="29"/>
      <c r="G468" s="29"/>
      <c r="H468" s="29"/>
      <c r="I468" s="29"/>
    </row>
    <row r="469" customFormat="false" ht="15" hidden="false" customHeight="false" outlineLevel="0" collapsed="false">
      <c r="A469" s="26"/>
      <c r="B469" s="27"/>
      <c r="C469" s="28"/>
      <c r="D469" s="29"/>
      <c r="E469" s="29"/>
      <c r="F469" s="29"/>
      <c r="G469" s="29"/>
      <c r="H469" s="29"/>
      <c r="I469" s="29"/>
    </row>
    <row r="470" customFormat="false" ht="15" hidden="false" customHeight="false" outlineLevel="0" collapsed="false">
      <c r="A470" s="26"/>
      <c r="B470" s="27"/>
      <c r="C470" s="28"/>
      <c r="D470" s="29"/>
      <c r="E470" s="29"/>
      <c r="F470" s="29"/>
      <c r="G470" s="29"/>
      <c r="H470" s="29"/>
      <c r="I470" s="29"/>
    </row>
    <row r="471" customFormat="false" ht="15" hidden="false" customHeight="false" outlineLevel="0" collapsed="false">
      <c r="A471" s="26"/>
      <c r="B471" s="27"/>
      <c r="C471" s="28"/>
      <c r="D471" s="29"/>
      <c r="E471" s="29"/>
      <c r="F471" s="29"/>
      <c r="G471" s="29"/>
      <c r="H471" s="29"/>
      <c r="I471" s="29"/>
    </row>
    <row r="472" customFormat="false" ht="15" hidden="false" customHeight="false" outlineLevel="0" collapsed="false">
      <c r="A472" s="26"/>
      <c r="B472" s="27"/>
      <c r="C472" s="28"/>
      <c r="D472" s="29"/>
      <c r="E472" s="29"/>
      <c r="F472" s="29"/>
      <c r="G472" s="29"/>
      <c r="H472" s="29"/>
      <c r="I472" s="29"/>
    </row>
    <row r="473" customFormat="false" ht="15" hidden="false" customHeight="false" outlineLevel="0" collapsed="false">
      <c r="A473" s="26"/>
      <c r="B473" s="27"/>
      <c r="C473" s="28"/>
      <c r="D473" s="29"/>
      <c r="E473" s="29"/>
      <c r="F473" s="29"/>
      <c r="G473" s="29"/>
      <c r="H473" s="29"/>
      <c r="I473" s="29"/>
    </row>
    <row r="474" customFormat="false" ht="15" hidden="false" customHeight="false" outlineLevel="0" collapsed="false">
      <c r="A474" s="26"/>
      <c r="B474" s="27"/>
      <c r="C474" s="28"/>
      <c r="D474" s="29"/>
      <c r="E474" s="29"/>
      <c r="F474" s="29"/>
      <c r="G474" s="29"/>
      <c r="H474" s="29"/>
      <c r="I474" s="29"/>
    </row>
    <row r="475" customFormat="false" ht="15" hidden="false" customHeight="false" outlineLevel="0" collapsed="false">
      <c r="A475" s="26"/>
      <c r="B475" s="27"/>
      <c r="C475" s="28"/>
      <c r="D475" s="29"/>
      <c r="E475" s="29"/>
      <c r="F475" s="29"/>
      <c r="G475" s="29"/>
      <c r="H475" s="29"/>
      <c r="I475" s="29"/>
    </row>
    <row r="476" customFormat="false" ht="15" hidden="false" customHeight="false" outlineLevel="0" collapsed="false">
      <c r="A476" s="26"/>
      <c r="B476" s="27"/>
      <c r="C476" s="28"/>
      <c r="D476" s="29"/>
      <c r="E476" s="29"/>
      <c r="F476" s="29"/>
      <c r="G476" s="29"/>
      <c r="H476" s="29"/>
      <c r="I476" s="29"/>
    </row>
    <row r="477" customFormat="false" ht="15" hidden="false" customHeight="false" outlineLevel="0" collapsed="false">
      <c r="A477" s="26"/>
      <c r="B477" s="27"/>
      <c r="C477" s="28"/>
      <c r="D477" s="29"/>
      <c r="E477" s="29"/>
      <c r="F477" s="29"/>
      <c r="G477" s="29"/>
      <c r="H477" s="29"/>
      <c r="I477" s="29"/>
    </row>
    <row r="478" customFormat="false" ht="15" hidden="false" customHeight="false" outlineLevel="0" collapsed="false">
      <c r="A478" s="26"/>
      <c r="B478" s="27"/>
      <c r="C478" s="28"/>
      <c r="D478" s="29"/>
      <c r="E478" s="29"/>
      <c r="F478" s="29"/>
      <c r="G478" s="29"/>
      <c r="H478" s="29"/>
      <c r="I478" s="29"/>
    </row>
    <row r="479" customFormat="false" ht="15" hidden="false" customHeight="false" outlineLevel="0" collapsed="false">
      <c r="A479" s="26"/>
      <c r="B479" s="27"/>
      <c r="C479" s="28"/>
      <c r="D479" s="29"/>
      <c r="E479" s="29"/>
      <c r="F479" s="29"/>
      <c r="G479" s="29"/>
      <c r="H479" s="29"/>
      <c r="I479" s="29"/>
    </row>
    <row r="480" customFormat="false" ht="15" hidden="false" customHeight="false" outlineLevel="0" collapsed="false">
      <c r="A480" s="26"/>
      <c r="B480" s="27"/>
      <c r="C480" s="28"/>
      <c r="D480" s="29"/>
      <c r="E480" s="29"/>
      <c r="F480" s="29"/>
      <c r="G480" s="29"/>
      <c r="H480" s="29"/>
      <c r="I480" s="29"/>
    </row>
    <row r="481" customFormat="false" ht="15" hidden="false" customHeight="false" outlineLevel="0" collapsed="false">
      <c r="A481" s="26"/>
      <c r="B481" s="27"/>
      <c r="C481" s="28"/>
      <c r="D481" s="29"/>
      <c r="E481" s="29"/>
      <c r="F481" s="29"/>
      <c r="G481" s="29"/>
      <c r="H481" s="29"/>
      <c r="I481" s="29"/>
    </row>
    <row r="482" customFormat="false" ht="15" hidden="false" customHeight="false" outlineLevel="0" collapsed="false">
      <c r="A482" s="26"/>
      <c r="B482" s="27"/>
      <c r="C482" s="28"/>
      <c r="D482" s="29"/>
      <c r="E482" s="29"/>
      <c r="F482" s="29"/>
      <c r="G482" s="29"/>
      <c r="H482" s="29"/>
      <c r="I482" s="29"/>
    </row>
    <row r="483" customFormat="false" ht="15" hidden="false" customHeight="false" outlineLevel="0" collapsed="false">
      <c r="A483" s="26"/>
      <c r="B483" s="27"/>
      <c r="C483" s="28"/>
      <c r="D483" s="29"/>
      <c r="E483" s="29"/>
      <c r="F483" s="29"/>
      <c r="G483" s="29"/>
      <c r="H483" s="29"/>
      <c r="I483" s="29"/>
    </row>
    <row r="484" customFormat="false" ht="15" hidden="false" customHeight="false" outlineLevel="0" collapsed="false">
      <c r="A484" s="26"/>
      <c r="B484" s="27"/>
      <c r="C484" s="28"/>
      <c r="D484" s="29"/>
      <c r="E484" s="29"/>
      <c r="F484" s="29"/>
      <c r="G484" s="29"/>
      <c r="H484" s="29"/>
      <c r="I484" s="29"/>
    </row>
    <row r="485" customFormat="false" ht="15" hidden="false" customHeight="false" outlineLevel="0" collapsed="false">
      <c r="A485" s="26"/>
      <c r="B485" s="27"/>
      <c r="C485" s="28"/>
      <c r="D485" s="29"/>
      <c r="E485" s="29"/>
      <c r="F485" s="29"/>
      <c r="G485" s="29"/>
      <c r="H485" s="29"/>
      <c r="I485" s="29"/>
    </row>
    <row r="486" customFormat="false" ht="15" hidden="false" customHeight="false" outlineLevel="0" collapsed="false">
      <c r="A486" s="26"/>
      <c r="B486" s="27"/>
      <c r="C486" s="28"/>
      <c r="D486" s="29"/>
      <c r="E486" s="29"/>
      <c r="F486" s="29"/>
      <c r="G486" s="29"/>
      <c r="H486" s="29"/>
      <c r="I486" s="29"/>
    </row>
    <row r="487" customFormat="false" ht="15" hidden="false" customHeight="false" outlineLevel="0" collapsed="false">
      <c r="A487" s="26"/>
      <c r="B487" s="27"/>
      <c r="C487" s="28"/>
      <c r="D487" s="29"/>
      <c r="E487" s="29"/>
      <c r="F487" s="29"/>
      <c r="G487" s="29"/>
      <c r="H487" s="29"/>
      <c r="I487" s="29"/>
    </row>
    <row r="488" customFormat="false" ht="15" hidden="false" customHeight="false" outlineLevel="0" collapsed="false">
      <c r="A488" s="26"/>
      <c r="B488" s="27"/>
      <c r="C488" s="28"/>
      <c r="D488" s="29"/>
      <c r="E488" s="29"/>
      <c r="F488" s="29"/>
      <c r="G488" s="29"/>
      <c r="H488" s="29"/>
      <c r="I488" s="29"/>
    </row>
    <row r="489" customFormat="false" ht="15" hidden="false" customHeight="false" outlineLevel="0" collapsed="false">
      <c r="A489" s="26"/>
      <c r="B489" s="27"/>
      <c r="C489" s="28"/>
      <c r="D489" s="29"/>
      <c r="E489" s="29"/>
      <c r="F489" s="29"/>
      <c r="G489" s="29"/>
      <c r="H489" s="29"/>
      <c r="I489" s="29"/>
    </row>
    <row r="490" customFormat="false" ht="15" hidden="false" customHeight="false" outlineLevel="0" collapsed="false">
      <c r="A490" s="26"/>
      <c r="B490" s="27"/>
      <c r="C490" s="28"/>
      <c r="D490" s="29"/>
      <c r="E490" s="29"/>
      <c r="F490" s="29"/>
      <c r="G490" s="29"/>
      <c r="H490" s="29"/>
      <c r="I490" s="29"/>
    </row>
    <row r="491" customFormat="false" ht="15" hidden="false" customHeight="false" outlineLevel="0" collapsed="false">
      <c r="A491" s="26"/>
      <c r="B491" s="27"/>
      <c r="C491" s="28"/>
      <c r="D491" s="29"/>
      <c r="E491" s="29"/>
      <c r="F491" s="29"/>
      <c r="G491" s="29"/>
      <c r="H491" s="29"/>
      <c r="I491" s="29"/>
    </row>
    <row r="492" customFormat="false" ht="15" hidden="false" customHeight="false" outlineLevel="0" collapsed="false">
      <c r="A492" s="26"/>
      <c r="B492" s="27"/>
      <c r="C492" s="28"/>
      <c r="D492" s="29"/>
      <c r="E492" s="29"/>
      <c r="F492" s="29"/>
      <c r="G492" s="29"/>
      <c r="H492" s="29"/>
      <c r="I492" s="29"/>
    </row>
    <row r="493" customFormat="false" ht="15" hidden="false" customHeight="false" outlineLevel="0" collapsed="false">
      <c r="A493" s="26"/>
      <c r="B493" s="27"/>
      <c r="C493" s="28"/>
      <c r="D493" s="29"/>
      <c r="E493" s="29"/>
      <c r="F493" s="29"/>
      <c r="G493" s="29"/>
      <c r="H493" s="29"/>
      <c r="I493" s="29"/>
    </row>
    <row r="494" customFormat="false" ht="15" hidden="false" customHeight="false" outlineLevel="0" collapsed="false">
      <c r="A494" s="26"/>
      <c r="B494" s="27"/>
      <c r="C494" s="28"/>
      <c r="D494" s="29"/>
      <c r="E494" s="29"/>
      <c r="F494" s="29"/>
      <c r="G494" s="29"/>
      <c r="H494" s="29"/>
      <c r="I494" s="29"/>
    </row>
    <row r="495" customFormat="false" ht="15" hidden="false" customHeight="false" outlineLevel="0" collapsed="false">
      <c r="A495" s="26"/>
      <c r="B495" s="27"/>
      <c r="C495" s="28"/>
      <c r="D495" s="29"/>
      <c r="E495" s="29"/>
      <c r="F495" s="29"/>
      <c r="G495" s="29"/>
      <c r="H495" s="29"/>
      <c r="I495" s="29"/>
    </row>
    <row r="496" customFormat="false" ht="15" hidden="false" customHeight="false" outlineLevel="0" collapsed="false">
      <c r="A496" s="26"/>
      <c r="B496" s="27"/>
      <c r="C496" s="28"/>
      <c r="D496" s="29"/>
      <c r="E496" s="29"/>
      <c r="F496" s="29"/>
      <c r="G496" s="29"/>
      <c r="H496" s="29"/>
      <c r="I496" s="29"/>
    </row>
    <row r="497" customFormat="false" ht="15" hidden="false" customHeight="false" outlineLevel="0" collapsed="false">
      <c r="A497" s="26"/>
      <c r="B497" s="27"/>
      <c r="C497" s="28"/>
      <c r="D497" s="29"/>
      <c r="E497" s="29"/>
      <c r="F497" s="29"/>
      <c r="G497" s="29"/>
      <c r="H497" s="29"/>
      <c r="I497" s="29"/>
    </row>
    <row r="498" customFormat="false" ht="15" hidden="false" customHeight="false" outlineLevel="0" collapsed="false">
      <c r="A498" s="26"/>
      <c r="B498" s="27"/>
      <c r="C498" s="28"/>
      <c r="D498" s="29"/>
      <c r="E498" s="29"/>
      <c r="F498" s="29"/>
      <c r="G498" s="29"/>
      <c r="H498" s="29"/>
      <c r="I498" s="29"/>
    </row>
    <row r="499" customFormat="false" ht="15" hidden="false" customHeight="false" outlineLevel="0" collapsed="false">
      <c r="A499" s="26"/>
      <c r="B499" s="27"/>
      <c r="C499" s="28"/>
      <c r="D499" s="29"/>
      <c r="E499" s="29"/>
      <c r="F499" s="29"/>
      <c r="G499" s="29"/>
      <c r="H499" s="29"/>
      <c r="I499" s="29"/>
    </row>
    <row r="500" customFormat="false" ht="15" hidden="false" customHeight="false" outlineLevel="0" collapsed="false">
      <c r="A500" s="26"/>
      <c r="B500" s="27"/>
      <c r="C500" s="28"/>
      <c r="D500" s="29"/>
      <c r="E500" s="29"/>
      <c r="F500" s="29"/>
      <c r="G500" s="29"/>
      <c r="H500" s="29"/>
      <c r="I500" s="29"/>
    </row>
    <row r="501" customFormat="false" ht="15" hidden="false" customHeight="false" outlineLevel="0" collapsed="false">
      <c r="A501" s="26"/>
      <c r="B501" s="27"/>
      <c r="C501" s="28"/>
      <c r="D501" s="29"/>
      <c r="E501" s="29"/>
      <c r="F501" s="29"/>
      <c r="G501" s="29"/>
      <c r="H501" s="29"/>
      <c r="I501" s="29"/>
    </row>
    <row r="502" customFormat="false" ht="15" hidden="false" customHeight="false" outlineLevel="0" collapsed="false">
      <c r="A502" s="26"/>
      <c r="B502" s="27"/>
      <c r="C502" s="28"/>
      <c r="D502" s="29"/>
      <c r="E502" s="29"/>
      <c r="F502" s="29"/>
      <c r="G502" s="29"/>
      <c r="H502" s="29"/>
      <c r="I502" s="29"/>
    </row>
    <row r="503" customFormat="false" ht="15" hidden="false" customHeight="false" outlineLevel="0" collapsed="false">
      <c r="A503" s="26"/>
      <c r="B503" s="27"/>
      <c r="C503" s="28"/>
      <c r="D503" s="29"/>
      <c r="E503" s="29"/>
      <c r="F503" s="29"/>
      <c r="G503" s="29"/>
      <c r="H503" s="29"/>
      <c r="I503" s="29"/>
    </row>
    <row r="504" customFormat="false" ht="15" hidden="false" customHeight="false" outlineLevel="0" collapsed="false">
      <c r="A504" s="26"/>
      <c r="B504" s="27"/>
      <c r="C504" s="28"/>
      <c r="D504" s="29"/>
      <c r="E504" s="29"/>
      <c r="F504" s="29"/>
      <c r="G504" s="29"/>
      <c r="H504" s="29"/>
      <c r="I504" s="29"/>
    </row>
    <row r="505" customFormat="false" ht="15" hidden="false" customHeight="false" outlineLevel="0" collapsed="false">
      <c r="A505" s="26"/>
      <c r="B505" s="27"/>
      <c r="C505" s="28"/>
      <c r="D505" s="29"/>
      <c r="E505" s="29"/>
      <c r="F505" s="29"/>
      <c r="G505" s="29"/>
      <c r="H505" s="29"/>
      <c r="I505" s="29"/>
    </row>
    <row r="506" customFormat="false" ht="15" hidden="false" customHeight="false" outlineLevel="0" collapsed="false">
      <c r="A506" s="26"/>
      <c r="B506" s="27"/>
      <c r="C506" s="28"/>
      <c r="D506" s="29"/>
      <c r="E506" s="29"/>
      <c r="F506" s="29"/>
      <c r="G506" s="29"/>
      <c r="H506" s="29"/>
      <c r="I506" s="29"/>
    </row>
    <row r="507" customFormat="false" ht="15" hidden="false" customHeight="false" outlineLevel="0" collapsed="false">
      <c r="A507" s="26"/>
      <c r="B507" s="27"/>
      <c r="C507" s="28"/>
      <c r="D507" s="29"/>
      <c r="E507" s="29"/>
      <c r="F507" s="29"/>
      <c r="G507" s="29"/>
      <c r="H507" s="29"/>
      <c r="I507" s="29"/>
    </row>
    <row r="508" customFormat="false" ht="15" hidden="false" customHeight="false" outlineLevel="0" collapsed="false">
      <c r="A508" s="26"/>
      <c r="B508" s="27"/>
      <c r="C508" s="28"/>
      <c r="D508" s="29"/>
      <c r="E508" s="29"/>
      <c r="F508" s="29"/>
      <c r="G508" s="29"/>
      <c r="H508" s="29"/>
      <c r="I508" s="29"/>
    </row>
    <row r="509" customFormat="false" ht="15" hidden="false" customHeight="false" outlineLevel="0" collapsed="false">
      <c r="A509" s="26"/>
      <c r="B509" s="27"/>
      <c r="C509" s="28"/>
      <c r="D509" s="29"/>
      <c r="E509" s="29"/>
      <c r="F509" s="29"/>
      <c r="G509" s="29"/>
      <c r="H509" s="29"/>
      <c r="I509" s="29"/>
    </row>
    <row r="510" customFormat="false" ht="15" hidden="false" customHeight="false" outlineLevel="0" collapsed="false">
      <c r="A510" s="26"/>
      <c r="B510" s="27"/>
      <c r="C510" s="28"/>
      <c r="D510" s="29"/>
      <c r="E510" s="29"/>
      <c r="F510" s="29"/>
      <c r="G510" s="29"/>
      <c r="H510" s="29"/>
      <c r="I510" s="29"/>
    </row>
    <row r="511" customFormat="false" ht="15" hidden="false" customHeight="false" outlineLevel="0" collapsed="false">
      <c r="A511" s="26"/>
      <c r="B511" s="27"/>
      <c r="C511" s="28"/>
      <c r="D511" s="29"/>
      <c r="E511" s="29"/>
      <c r="F511" s="29"/>
      <c r="G511" s="29"/>
      <c r="H511" s="29"/>
      <c r="I511" s="29"/>
    </row>
    <row r="512" customFormat="false" ht="15" hidden="false" customHeight="false" outlineLevel="0" collapsed="false">
      <c r="A512" s="26"/>
      <c r="B512" s="27"/>
      <c r="C512" s="28"/>
      <c r="D512" s="29"/>
      <c r="E512" s="29"/>
      <c r="F512" s="29"/>
      <c r="G512" s="29"/>
      <c r="H512" s="29"/>
      <c r="I512" s="29"/>
    </row>
    <row r="513" customFormat="false" ht="15" hidden="false" customHeight="false" outlineLevel="0" collapsed="false">
      <c r="A513" s="26"/>
      <c r="B513" s="27"/>
      <c r="C513" s="28"/>
      <c r="D513" s="29"/>
      <c r="E513" s="29"/>
      <c r="F513" s="29"/>
      <c r="G513" s="29"/>
      <c r="H513" s="29"/>
      <c r="I513" s="29"/>
    </row>
    <row r="514" customFormat="false" ht="15" hidden="false" customHeight="false" outlineLevel="0" collapsed="false">
      <c r="A514" s="26"/>
      <c r="B514" s="27"/>
      <c r="C514" s="28"/>
      <c r="D514" s="29"/>
      <c r="E514" s="29"/>
      <c r="F514" s="29"/>
      <c r="G514" s="29"/>
      <c r="H514" s="29"/>
      <c r="I514" s="29"/>
    </row>
    <row r="515" customFormat="false" ht="15" hidden="false" customHeight="false" outlineLevel="0" collapsed="false">
      <c r="A515" s="26"/>
      <c r="B515" s="27"/>
      <c r="C515" s="28"/>
      <c r="D515" s="29"/>
      <c r="E515" s="29"/>
      <c r="F515" s="29"/>
      <c r="G515" s="29"/>
      <c r="H515" s="29"/>
      <c r="I515" s="29"/>
    </row>
    <row r="516" customFormat="false" ht="15" hidden="false" customHeight="false" outlineLevel="0" collapsed="false">
      <c r="A516" s="26"/>
      <c r="B516" s="27"/>
      <c r="C516" s="28"/>
      <c r="D516" s="29"/>
      <c r="E516" s="29"/>
      <c r="F516" s="29"/>
      <c r="G516" s="29"/>
      <c r="H516" s="29"/>
      <c r="I516" s="29"/>
    </row>
    <row r="517" customFormat="false" ht="15" hidden="false" customHeight="false" outlineLevel="0" collapsed="false">
      <c r="A517" s="26"/>
      <c r="B517" s="27"/>
      <c r="C517" s="28"/>
      <c r="D517" s="29"/>
      <c r="E517" s="29"/>
      <c r="F517" s="29"/>
      <c r="G517" s="29"/>
      <c r="H517" s="29"/>
      <c r="I517" s="29"/>
    </row>
    <row r="518" customFormat="false" ht="15" hidden="false" customHeight="false" outlineLevel="0" collapsed="false">
      <c r="A518" s="26"/>
      <c r="B518" s="27"/>
      <c r="C518" s="28"/>
      <c r="D518" s="29"/>
      <c r="E518" s="29"/>
      <c r="F518" s="29"/>
      <c r="G518" s="29"/>
      <c r="H518" s="29"/>
      <c r="I518" s="29"/>
    </row>
    <row r="519" customFormat="false" ht="15" hidden="false" customHeight="false" outlineLevel="0" collapsed="false">
      <c r="A519" s="26"/>
      <c r="B519" s="27"/>
      <c r="C519" s="28"/>
      <c r="D519" s="29"/>
      <c r="E519" s="29"/>
      <c r="F519" s="29"/>
      <c r="G519" s="29"/>
      <c r="H519" s="29"/>
      <c r="I519" s="29"/>
    </row>
    <row r="520" customFormat="false" ht="15" hidden="false" customHeight="false" outlineLevel="0" collapsed="false">
      <c r="A520" s="26"/>
      <c r="B520" s="27"/>
      <c r="C520" s="28"/>
      <c r="D520" s="29"/>
      <c r="E520" s="29"/>
      <c r="F520" s="29"/>
      <c r="G520" s="29"/>
      <c r="H520" s="29"/>
      <c r="I520" s="29"/>
    </row>
    <row r="521" customFormat="false" ht="15" hidden="false" customHeight="false" outlineLevel="0" collapsed="false">
      <c r="A521" s="26"/>
      <c r="B521" s="27"/>
      <c r="C521" s="28"/>
      <c r="D521" s="29"/>
      <c r="E521" s="29"/>
      <c r="F521" s="29"/>
      <c r="G521" s="29"/>
      <c r="H521" s="29"/>
      <c r="I521" s="29"/>
    </row>
    <row r="522" customFormat="false" ht="15" hidden="false" customHeight="false" outlineLevel="0" collapsed="false">
      <c r="A522" s="26"/>
      <c r="B522" s="27"/>
      <c r="C522" s="28"/>
      <c r="D522" s="29"/>
      <c r="E522" s="29"/>
      <c r="F522" s="29"/>
      <c r="G522" s="29"/>
      <c r="H522" s="29"/>
      <c r="I522" s="29"/>
    </row>
    <row r="523" customFormat="false" ht="15" hidden="false" customHeight="false" outlineLevel="0" collapsed="false">
      <c r="A523" s="26"/>
      <c r="B523" s="27"/>
      <c r="C523" s="28"/>
      <c r="D523" s="29"/>
      <c r="E523" s="29"/>
      <c r="F523" s="29"/>
      <c r="G523" s="29"/>
      <c r="H523" s="29"/>
      <c r="I523" s="29"/>
    </row>
    <row r="524" customFormat="false" ht="15" hidden="false" customHeight="false" outlineLevel="0" collapsed="false">
      <c r="A524" s="26"/>
      <c r="B524" s="27"/>
      <c r="C524" s="28"/>
      <c r="D524" s="29"/>
      <c r="E524" s="29"/>
      <c r="F524" s="29"/>
      <c r="G524" s="29"/>
      <c r="H524" s="29"/>
      <c r="I524" s="29"/>
    </row>
    <row r="525" customFormat="false" ht="15" hidden="false" customHeight="false" outlineLevel="0" collapsed="false">
      <c r="A525" s="26"/>
      <c r="B525" s="27"/>
      <c r="C525" s="28"/>
      <c r="D525" s="29"/>
      <c r="E525" s="29"/>
      <c r="F525" s="29"/>
      <c r="G525" s="29"/>
      <c r="H525" s="29"/>
      <c r="I525" s="29"/>
    </row>
    <row r="526" customFormat="false" ht="15" hidden="false" customHeight="false" outlineLevel="0" collapsed="false">
      <c r="A526" s="26"/>
      <c r="B526" s="27"/>
      <c r="C526" s="28"/>
      <c r="D526" s="29"/>
      <c r="E526" s="29"/>
      <c r="F526" s="29"/>
      <c r="G526" s="29"/>
      <c r="H526" s="29"/>
      <c r="I526" s="29"/>
    </row>
    <row r="527" customFormat="false" ht="15" hidden="false" customHeight="false" outlineLevel="0" collapsed="false">
      <c r="A527" s="26"/>
      <c r="B527" s="27"/>
      <c r="C527" s="28"/>
      <c r="D527" s="29"/>
      <c r="E527" s="29"/>
      <c r="F527" s="29"/>
      <c r="G527" s="29"/>
      <c r="H527" s="29"/>
      <c r="I527" s="29"/>
    </row>
    <row r="528" customFormat="false" ht="15" hidden="false" customHeight="false" outlineLevel="0" collapsed="false">
      <c r="A528" s="26"/>
      <c r="B528" s="27"/>
      <c r="C528" s="28"/>
      <c r="D528" s="29"/>
      <c r="E528" s="29"/>
      <c r="F528" s="29"/>
      <c r="G528" s="29"/>
      <c r="H528" s="29"/>
      <c r="I528" s="29"/>
    </row>
    <row r="529" customFormat="false" ht="15" hidden="false" customHeight="false" outlineLevel="0" collapsed="false">
      <c r="A529" s="26"/>
      <c r="B529" s="27"/>
      <c r="C529" s="28"/>
      <c r="D529" s="29"/>
      <c r="E529" s="29"/>
      <c r="F529" s="29"/>
      <c r="G529" s="29"/>
      <c r="H529" s="29"/>
      <c r="I529" s="29"/>
    </row>
    <row r="530" customFormat="false" ht="15" hidden="false" customHeight="false" outlineLevel="0" collapsed="false">
      <c r="A530" s="26"/>
      <c r="B530" s="27"/>
      <c r="C530" s="28"/>
      <c r="D530" s="29"/>
      <c r="E530" s="29"/>
      <c r="F530" s="29"/>
      <c r="G530" s="29"/>
      <c r="H530" s="29"/>
      <c r="I530" s="29"/>
    </row>
    <row r="531" customFormat="false" ht="15" hidden="false" customHeight="false" outlineLevel="0" collapsed="false">
      <c r="A531" s="26"/>
      <c r="B531" s="27"/>
      <c r="C531" s="28"/>
      <c r="D531" s="29"/>
      <c r="E531" s="29"/>
      <c r="F531" s="29"/>
      <c r="G531" s="29"/>
      <c r="H531" s="29"/>
      <c r="I531" s="29"/>
    </row>
    <row r="532" customFormat="false" ht="15" hidden="false" customHeight="false" outlineLevel="0" collapsed="false">
      <c r="A532" s="26"/>
      <c r="B532" s="27"/>
      <c r="C532" s="28"/>
      <c r="D532" s="29"/>
      <c r="E532" s="29"/>
      <c r="F532" s="29"/>
      <c r="G532" s="29"/>
      <c r="H532" s="29"/>
      <c r="I532" s="29"/>
    </row>
    <row r="533" customFormat="false" ht="15" hidden="false" customHeight="false" outlineLevel="0" collapsed="false">
      <c r="A533" s="26"/>
      <c r="B533" s="27"/>
      <c r="C533" s="28"/>
      <c r="D533" s="29"/>
      <c r="E533" s="29"/>
      <c r="F533" s="29"/>
      <c r="G533" s="29"/>
      <c r="H533" s="29"/>
      <c r="I533" s="29"/>
    </row>
    <row r="534" customFormat="false" ht="15" hidden="false" customHeight="false" outlineLevel="0" collapsed="false">
      <c r="A534" s="26"/>
      <c r="B534" s="27"/>
      <c r="C534" s="28"/>
      <c r="D534" s="29"/>
      <c r="E534" s="29"/>
      <c r="F534" s="29"/>
      <c r="G534" s="29"/>
      <c r="H534" s="29"/>
      <c r="I534" s="29"/>
    </row>
    <row r="535" customFormat="false" ht="15" hidden="false" customHeight="false" outlineLevel="0" collapsed="false">
      <c r="A535" s="26"/>
      <c r="B535" s="27"/>
      <c r="C535" s="28"/>
      <c r="D535" s="29"/>
      <c r="E535" s="29"/>
      <c r="F535" s="29"/>
      <c r="G535" s="29"/>
      <c r="H535" s="29"/>
      <c r="I535" s="29"/>
    </row>
    <row r="536" customFormat="false" ht="15" hidden="false" customHeight="false" outlineLevel="0" collapsed="false">
      <c r="A536" s="26"/>
      <c r="B536" s="27"/>
      <c r="C536" s="28"/>
      <c r="D536" s="29"/>
      <c r="E536" s="29"/>
      <c r="F536" s="29"/>
      <c r="G536" s="29"/>
      <c r="H536" s="29"/>
      <c r="I536" s="29"/>
    </row>
    <row r="537" customFormat="false" ht="15" hidden="false" customHeight="false" outlineLevel="0" collapsed="false">
      <c r="A537" s="26"/>
      <c r="B537" s="27"/>
      <c r="C537" s="28"/>
      <c r="D537" s="29"/>
      <c r="E537" s="29"/>
      <c r="F537" s="29"/>
      <c r="G537" s="29"/>
      <c r="H537" s="29"/>
      <c r="I537" s="29"/>
    </row>
    <row r="538" customFormat="false" ht="15" hidden="false" customHeight="false" outlineLevel="0" collapsed="false">
      <c r="A538" s="26"/>
      <c r="B538" s="27"/>
      <c r="C538" s="28"/>
      <c r="D538" s="29"/>
      <c r="E538" s="29"/>
      <c r="F538" s="29"/>
      <c r="G538" s="29"/>
      <c r="H538" s="29"/>
      <c r="I538" s="29"/>
    </row>
    <row r="539" customFormat="false" ht="15" hidden="false" customHeight="false" outlineLevel="0" collapsed="false">
      <c r="A539" s="26"/>
      <c r="B539" s="27"/>
      <c r="C539" s="28"/>
      <c r="D539" s="29"/>
      <c r="E539" s="29"/>
      <c r="F539" s="29"/>
      <c r="G539" s="29"/>
      <c r="H539" s="29"/>
      <c r="I539" s="29"/>
    </row>
    <row r="540" customFormat="false" ht="15" hidden="false" customHeight="false" outlineLevel="0" collapsed="false">
      <c r="A540" s="26"/>
      <c r="B540" s="27"/>
      <c r="C540" s="28"/>
      <c r="D540" s="29"/>
      <c r="E540" s="29"/>
      <c r="F540" s="29"/>
      <c r="G540" s="29"/>
      <c r="H540" s="29"/>
      <c r="I540" s="29"/>
    </row>
    <row r="541" customFormat="false" ht="15" hidden="false" customHeight="false" outlineLevel="0" collapsed="false">
      <c r="A541" s="26"/>
      <c r="B541" s="27"/>
      <c r="C541" s="28"/>
      <c r="D541" s="29"/>
      <c r="E541" s="29"/>
      <c r="F541" s="29"/>
      <c r="G541" s="29"/>
      <c r="H541" s="29"/>
      <c r="I541" s="29"/>
    </row>
    <row r="542" customFormat="false" ht="15" hidden="false" customHeight="false" outlineLevel="0" collapsed="false">
      <c r="A542" s="26"/>
      <c r="B542" s="27"/>
      <c r="C542" s="28"/>
      <c r="D542" s="29"/>
      <c r="E542" s="29"/>
      <c r="F542" s="29"/>
      <c r="G542" s="29"/>
      <c r="H542" s="29"/>
      <c r="I542" s="29"/>
    </row>
    <row r="543" customFormat="false" ht="15" hidden="false" customHeight="false" outlineLevel="0" collapsed="false">
      <c r="A543" s="26"/>
      <c r="B543" s="27"/>
      <c r="C543" s="28"/>
      <c r="D543" s="29"/>
      <c r="E543" s="29"/>
      <c r="F543" s="29"/>
      <c r="G543" s="29"/>
      <c r="H543" s="29"/>
      <c r="I543" s="29"/>
    </row>
    <row r="544" customFormat="false" ht="15" hidden="false" customHeight="false" outlineLevel="0" collapsed="false">
      <c r="A544" s="26"/>
      <c r="B544" s="27"/>
      <c r="C544" s="28"/>
      <c r="D544" s="29"/>
      <c r="E544" s="29"/>
      <c r="F544" s="29"/>
      <c r="G544" s="29"/>
      <c r="H544" s="29"/>
      <c r="I544" s="29"/>
    </row>
    <row r="545" customFormat="false" ht="15" hidden="false" customHeight="false" outlineLevel="0" collapsed="false">
      <c r="A545" s="26"/>
      <c r="B545" s="27"/>
      <c r="C545" s="28"/>
      <c r="D545" s="29"/>
      <c r="E545" s="29"/>
      <c r="F545" s="29"/>
      <c r="G545" s="29"/>
      <c r="H545" s="29"/>
      <c r="I545" s="29"/>
    </row>
    <row r="546" customFormat="false" ht="15" hidden="false" customHeight="false" outlineLevel="0" collapsed="false">
      <c r="A546" s="26"/>
      <c r="B546" s="27"/>
      <c r="C546" s="28"/>
      <c r="D546" s="29"/>
      <c r="E546" s="29"/>
      <c r="F546" s="29"/>
      <c r="G546" s="29"/>
      <c r="H546" s="29"/>
      <c r="I546" s="29"/>
    </row>
    <row r="547" customFormat="false" ht="15" hidden="false" customHeight="false" outlineLevel="0" collapsed="false">
      <c r="A547" s="26"/>
      <c r="B547" s="27"/>
      <c r="C547" s="28"/>
      <c r="D547" s="29"/>
      <c r="E547" s="29"/>
      <c r="F547" s="29"/>
      <c r="G547" s="29"/>
      <c r="H547" s="29"/>
      <c r="I547" s="29"/>
    </row>
    <row r="548" customFormat="false" ht="15" hidden="false" customHeight="false" outlineLevel="0" collapsed="false">
      <c r="A548" s="26"/>
      <c r="B548" s="27"/>
      <c r="C548" s="28"/>
      <c r="D548" s="29"/>
      <c r="E548" s="29"/>
      <c r="F548" s="29"/>
      <c r="G548" s="29"/>
      <c r="H548" s="29"/>
      <c r="I548" s="29"/>
    </row>
    <row r="549" customFormat="false" ht="15" hidden="false" customHeight="false" outlineLevel="0" collapsed="false">
      <c r="A549" s="26"/>
      <c r="B549" s="27"/>
      <c r="C549" s="28"/>
      <c r="D549" s="29"/>
      <c r="E549" s="29"/>
      <c r="F549" s="29"/>
      <c r="G549" s="29"/>
      <c r="H549" s="29"/>
      <c r="I549" s="29"/>
    </row>
    <row r="550" customFormat="false" ht="15" hidden="false" customHeight="false" outlineLevel="0" collapsed="false">
      <c r="A550" s="26"/>
      <c r="B550" s="27"/>
      <c r="C550" s="28"/>
      <c r="D550" s="29"/>
      <c r="E550" s="29"/>
      <c r="F550" s="29"/>
      <c r="G550" s="29"/>
      <c r="H550" s="29"/>
      <c r="I550" s="29"/>
    </row>
    <row r="551" customFormat="false" ht="15" hidden="false" customHeight="false" outlineLevel="0" collapsed="false">
      <c r="A551" s="26"/>
      <c r="B551" s="27"/>
      <c r="C551" s="28"/>
      <c r="D551" s="29"/>
      <c r="E551" s="29"/>
      <c r="F551" s="29"/>
      <c r="G551" s="29"/>
      <c r="H551" s="29"/>
      <c r="I551" s="29"/>
    </row>
    <row r="552" customFormat="false" ht="15" hidden="false" customHeight="false" outlineLevel="0" collapsed="false">
      <c r="A552" s="26"/>
      <c r="B552" s="27"/>
      <c r="C552" s="28"/>
      <c r="D552" s="29"/>
      <c r="E552" s="29"/>
      <c r="F552" s="29"/>
      <c r="G552" s="29"/>
      <c r="H552" s="29"/>
      <c r="I552" s="29"/>
    </row>
    <row r="553" customFormat="false" ht="15" hidden="false" customHeight="false" outlineLevel="0" collapsed="false">
      <c r="A553" s="26"/>
      <c r="B553" s="27"/>
      <c r="C553" s="28"/>
      <c r="D553" s="29"/>
      <c r="E553" s="29"/>
      <c r="F553" s="29"/>
      <c r="G553" s="29"/>
      <c r="H553" s="29"/>
      <c r="I553" s="29"/>
    </row>
    <row r="554" customFormat="false" ht="15" hidden="false" customHeight="false" outlineLevel="0" collapsed="false">
      <c r="A554" s="26"/>
      <c r="B554" s="27"/>
      <c r="C554" s="28"/>
      <c r="D554" s="29"/>
      <c r="E554" s="29"/>
      <c r="F554" s="29"/>
      <c r="G554" s="29"/>
      <c r="H554" s="29"/>
      <c r="I554" s="29"/>
    </row>
    <row r="555" customFormat="false" ht="15" hidden="false" customHeight="false" outlineLevel="0" collapsed="false">
      <c r="A555" s="26"/>
      <c r="B555" s="27"/>
      <c r="C555" s="28"/>
      <c r="D555" s="29"/>
      <c r="E555" s="29"/>
      <c r="F555" s="29"/>
      <c r="G555" s="29"/>
      <c r="H555" s="29"/>
      <c r="I555" s="29"/>
    </row>
    <row r="556" customFormat="false" ht="15" hidden="false" customHeight="false" outlineLevel="0" collapsed="false">
      <c r="A556" s="26"/>
      <c r="B556" s="27"/>
      <c r="C556" s="28"/>
      <c r="D556" s="29"/>
      <c r="E556" s="29"/>
      <c r="F556" s="29"/>
      <c r="G556" s="29"/>
      <c r="H556" s="29"/>
      <c r="I556" s="29"/>
    </row>
    <row r="557" customFormat="false" ht="15" hidden="false" customHeight="false" outlineLevel="0" collapsed="false">
      <c r="A557" s="26"/>
      <c r="B557" s="27"/>
      <c r="C557" s="28"/>
      <c r="D557" s="29"/>
      <c r="E557" s="29"/>
      <c r="F557" s="29"/>
      <c r="G557" s="29"/>
      <c r="H557" s="29"/>
      <c r="I557" s="29"/>
    </row>
    <row r="558" customFormat="false" ht="15" hidden="false" customHeight="false" outlineLevel="0" collapsed="false">
      <c r="A558" s="26"/>
      <c r="B558" s="27"/>
      <c r="C558" s="28"/>
      <c r="D558" s="29"/>
      <c r="E558" s="29"/>
      <c r="F558" s="29"/>
      <c r="G558" s="29"/>
      <c r="H558" s="29"/>
      <c r="I558" s="29"/>
    </row>
    <row r="559" customFormat="false" ht="15" hidden="false" customHeight="false" outlineLevel="0" collapsed="false">
      <c r="A559" s="26"/>
      <c r="B559" s="27"/>
      <c r="C559" s="28"/>
      <c r="D559" s="29"/>
      <c r="E559" s="29"/>
      <c r="F559" s="29"/>
      <c r="G559" s="29"/>
      <c r="H559" s="29"/>
      <c r="I559" s="29"/>
    </row>
    <row r="560" customFormat="false" ht="15" hidden="false" customHeight="false" outlineLevel="0" collapsed="false">
      <c r="A560" s="26"/>
      <c r="B560" s="27"/>
      <c r="C560" s="28"/>
      <c r="D560" s="29"/>
      <c r="E560" s="29"/>
      <c r="F560" s="29"/>
      <c r="G560" s="29"/>
      <c r="H560" s="29"/>
      <c r="I560" s="29"/>
    </row>
    <row r="561" customFormat="false" ht="15" hidden="false" customHeight="false" outlineLevel="0" collapsed="false">
      <c r="A561" s="26"/>
      <c r="B561" s="27"/>
      <c r="C561" s="28"/>
      <c r="D561" s="29"/>
      <c r="E561" s="29"/>
      <c r="F561" s="29"/>
      <c r="G561" s="29"/>
      <c r="H561" s="29"/>
      <c r="I561" s="29"/>
    </row>
    <row r="562" customFormat="false" ht="15" hidden="false" customHeight="false" outlineLevel="0" collapsed="false">
      <c r="A562" s="26"/>
      <c r="B562" s="27"/>
      <c r="C562" s="28"/>
      <c r="D562" s="29"/>
      <c r="E562" s="29"/>
      <c r="F562" s="29"/>
      <c r="G562" s="29"/>
      <c r="H562" s="29"/>
      <c r="I562" s="29"/>
    </row>
    <row r="563" customFormat="false" ht="15" hidden="false" customHeight="false" outlineLevel="0" collapsed="false">
      <c r="A563" s="26"/>
      <c r="B563" s="27"/>
      <c r="C563" s="28"/>
      <c r="D563" s="29"/>
      <c r="E563" s="29"/>
      <c r="F563" s="29"/>
      <c r="G563" s="29"/>
      <c r="H563" s="29"/>
      <c r="I563" s="29"/>
    </row>
    <row r="564" customFormat="false" ht="15" hidden="false" customHeight="false" outlineLevel="0" collapsed="false">
      <c r="A564" s="26"/>
      <c r="B564" s="27"/>
      <c r="C564" s="28"/>
      <c r="D564" s="29"/>
      <c r="E564" s="29"/>
      <c r="F564" s="29"/>
      <c r="G564" s="29"/>
      <c r="H564" s="29"/>
      <c r="I564" s="29"/>
    </row>
    <row r="565" customFormat="false" ht="15" hidden="false" customHeight="false" outlineLevel="0" collapsed="false">
      <c r="A565" s="26"/>
      <c r="B565" s="27"/>
      <c r="C565" s="28"/>
      <c r="D565" s="29"/>
      <c r="E565" s="29"/>
      <c r="F565" s="29"/>
      <c r="G565" s="29"/>
      <c r="H565" s="29"/>
      <c r="I565" s="29"/>
    </row>
    <row r="566" customFormat="false" ht="15" hidden="false" customHeight="false" outlineLevel="0" collapsed="false">
      <c r="A566" s="26"/>
      <c r="B566" s="27"/>
      <c r="C566" s="28"/>
      <c r="D566" s="29"/>
      <c r="E566" s="29"/>
      <c r="F566" s="29"/>
      <c r="G566" s="29"/>
      <c r="H566" s="29"/>
      <c r="I566" s="29"/>
    </row>
    <row r="567" customFormat="false" ht="15" hidden="false" customHeight="false" outlineLevel="0" collapsed="false">
      <c r="A567" s="26"/>
      <c r="B567" s="27"/>
      <c r="C567" s="28"/>
      <c r="D567" s="29"/>
      <c r="E567" s="29"/>
      <c r="F567" s="29"/>
      <c r="G567" s="29"/>
      <c r="H567" s="29"/>
      <c r="I567" s="29"/>
    </row>
    <row r="568" customFormat="false" ht="15" hidden="false" customHeight="false" outlineLevel="0" collapsed="false">
      <c r="A568" s="26"/>
      <c r="B568" s="27"/>
      <c r="C568" s="28"/>
      <c r="D568" s="29"/>
      <c r="E568" s="29"/>
      <c r="F568" s="29"/>
      <c r="G568" s="29"/>
      <c r="H568" s="29"/>
      <c r="I568" s="29"/>
    </row>
    <row r="569" customFormat="false" ht="15" hidden="false" customHeight="false" outlineLevel="0" collapsed="false">
      <c r="A569" s="26"/>
      <c r="B569" s="27"/>
      <c r="C569" s="28"/>
      <c r="D569" s="29"/>
      <c r="E569" s="29"/>
      <c r="F569" s="29"/>
      <c r="G569" s="29"/>
      <c r="H569" s="29"/>
      <c r="I569" s="29"/>
    </row>
    <row r="570" customFormat="false" ht="15" hidden="false" customHeight="false" outlineLevel="0" collapsed="false">
      <c r="A570" s="26"/>
      <c r="B570" s="27"/>
      <c r="C570" s="28"/>
      <c r="D570" s="29"/>
      <c r="E570" s="29"/>
      <c r="F570" s="29"/>
      <c r="G570" s="29"/>
      <c r="H570" s="29"/>
      <c r="I570" s="29"/>
    </row>
    <row r="571" customFormat="false" ht="15" hidden="false" customHeight="false" outlineLevel="0" collapsed="false">
      <c r="A571" s="26"/>
      <c r="B571" s="27"/>
      <c r="C571" s="28"/>
      <c r="D571" s="29"/>
      <c r="E571" s="29"/>
      <c r="F571" s="29"/>
      <c r="G571" s="29"/>
      <c r="H571" s="29"/>
      <c r="I571" s="29"/>
    </row>
    <row r="572" customFormat="false" ht="15" hidden="false" customHeight="false" outlineLevel="0" collapsed="false">
      <c r="A572" s="26"/>
      <c r="B572" s="27"/>
      <c r="C572" s="28"/>
      <c r="D572" s="29"/>
      <c r="E572" s="29"/>
      <c r="F572" s="29"/>
      <c r="G572" s="29"/>
      <c r="H572" s="29"/>
      <c r="I572" s="29"/>
    </row>
    <row r="573" customFormat="false" ht="15" hidden="false" customHeight="false" outlineLevel="0" collapsed="false">
      <c r="A573" s="26"/>
      <c r="B573" s="27"/>
      <c r="C573" s="28"/>
      <c r="D573" s="29"/>
      <c r="E573" s="29"/>
      <c r="F573" s="29"/>
      <c r="G573" s="29"/>
      <c r="H573" s="29"/>
      <c r="I573" s="29"/>
    </row>
    <row r="574" customFormat="false" ht="15" hidden="false" customHeight="false" outlineLevel="0" collapsed="false">
      <c r="A574" s="26"/>
      <c r="B574" s="27"/>
      <c r="C574" s="28"/>
      <c r="D574" s="29"/>
      <c r="E574" s="29"/>
      <c r="F574" s="29"/>
      <c r="G574" s="29"/>
      <c r="H574" s="29"/>
      <c r="I574" s="29"/>
    </row>
    <row r="575" customFormat="false" ht="15" hidden="false" customHeight="false" outlineLevel="0" collapsed="false">
      <c r="A575" s="26"/>
      <c r="B575" s="27"/>
      <c r="C575" s="28"/>
      <c r="D575" s="29"/>
      <c r="E575" s="29"/>
      <c r="F575" s="29"/>
      <c r="G575" s="29"/>
      <c r="H575" s="29"/>
      <c r="I575" s="29"/>
    </row>
    <row r="576" customFormat="false" ht="15" hidden="false" customHeight="false" outlineLevel="0" collapsed="false">
      <c r="A576" s="26"/>
      <c r="B576" s="27"/>
      <c r="C576" s="28"/>
      <c r="D576" s="29"/>
      <c r="E576" s="29"/>
      <c r="F576" s="29"/>
      <c r="G576" s="29"/>
      <c r="H576" s="29"/>
      <c r="I576" s="29"/>
    </row>
    <row r="577" customFormat="false" ht="15" hidden="false" customHeight="false" outlineLevel="0" collapsed="false">
      <c r="A577" s="26"/>
      <c r="B577" s="27"/>
      <c r="C577" s="28"/>
      <c r="D577" s="29"/>
      <c r="E577" s="29"/>
      <c r="F577" s="29"/>
      <c r="G577" s="29"/>
      <c r="H577" s="29"/>
      <c r="I577" s="29"/>
    </row>
    <row r="578" customFormat="false" ht="15" hidden="false" customHeight="false" outlineLevel="0" collapsed="false">
      <c r="A578" s="26"/>
      <c r="B578" s="27"/>
      <c r="C578" s="28"/>
      <c r="D578" s="29"/>
      <c r="E578" s="29"/>
      <c r="F578" s="29"/>
      <c r="G578" s="29"/>
      <c r="H578" s="29"/>
      <c r="I578" s="29"/>
    </row>
    <row r="579" customFormat="false" ht="15" hidden="false" customHeight="false" outlineLevel="0" collapsed="false">
      <c r="A579" s="26"/>
      <c r="B579" s="27"/>
      <c r="C579" s="28"/>
      <c r="D579" s="29"/>
      <c r="E579" s="29"/>
      <c r="F579" s="29"/>
      <c r="G579" s="29"/>
      <c r="H579" s="29"/>
      <c r="I579" s="29"/>
    </row>
    <row r="580" customFormat="false" ht="15" hidden="false" customHeight="false" outlineLevel="0" collapsed="false">
      <c r="A580" s="26"/>
      <c r="B580" s="27"/>
      <c r="C580" s="28"/>
      <c r="D580" s="29"/>
      <c r="E580" s="29"/>
      <c r="F580" s="29"/>
      <c r="G580" s="29"/>
      <c r="H580" s="29"/>
      <c r="I580" s="29"/>
    </row>
    <row r="581" customFormat="false" ht="15" hidden="false" customHeight="false" outlineLevel="0" collapsed="false">
      <c r="A581" s="26"/>
      <c r="B581" s="27"/>
      <c r="C581" s="28"/>
      <c r="D581" s="29"/>
      <c r="E581" s="29"/>
      <c r="F581" s="29"/>
      <c r="G581" s="29"/>
      <c r="H581" s="29"/>
      <c r="I581" s="29"/>
    </row>
    <row r="582" customFormat="false" ht="15" hidden="false" customHeight="false" outlineLevel="0" collapsed="false">
      <c r="A582" s="26"/>
      <c r="B582" s="27"/>
      <c r="C582" s="28"/>
      <c r="D582" s="29"/>
      <c r="E582" s="29"/>
      <c r="F582" s="29"/>
      <c r="G582" s="29"/>
      <c r="H582" s="29"/>
      <c r="I582" s="29"/>
    </row>
    <row r="583" customFormat="false" ht="15" hidden="false" customHeight="false" outlineLevel="0" collapsed="false">
      <c r="A583" s="26"/>
      <c r="B583" s="27"/>
      <c r="C583" s="28"/>
      <c r="D583" s="29"/>
      <c r="E583" s="29"/>
      <c r="F583" s="29"/>
      <c r="G583" s="29"/>
      <c r="H583" s="29"/>
      <c r="I583" s="29"/>
    </row>
    <row r="584" customFormat="false" ht="15" hidden="false" customHeight="false" outlineLevel="0" collapsed="false">
      <c r="A584" s="26"/>
      <c r="B584" s="27"/>
      <c r="C584" s="28"/>
      <c r="D584" s="29"/>
      <c r="E584" s="29"/>
      <c r="F584" s="29"/>
      <c r="G584" s="29"/>
      <c r="H584" s="29"/>
      <c r="I584" s="29"/>
    </row>
    <row r="585" customFormat="false" ht="15" hidden="false" customHeight="false" outlineLevel="0" collapsed="false">
      <c r="A585" s="26"/>
      <c r="B585" s="27"/>
      <c r="C585" s="28"/>
      <c r="D585" s="29"/>
      <c r="E585" s="29"/>
      <c r="F585" s="29"/>
      <c r="G585" s="29"/>
      <c r="H585" s="29"/>
      <c r="I585" s="29"/>
    </row>
    <row r="586" customFormat="false" ht="15" hidden="false" customHeight="false" outlineLevel="0" collapsed="false">
      <c r="A586" s="26"/>
      <c r="B586" s="27"/>
      <c r="C586" s="28"/>
      <c r="D586" s="29"/>
      <c r="E586" s="29"/>
      <c r="F586" s="29"/>
      <c r="G586" s="29"/>
      <c r="H586" s="29"/>
      <c r="I586" s="29"/>
    </row>
    <row r="587" customFormat="false" ht="15" hidden="false" customHeight="false" outlineLevel="0" collapsed="false">
      <c r="A587" s="26"/>
      <c r="B587" s="27"/>
      <c r="C587" s="28"/>
      <c r="D587" s="29"/>
      <c r="E587" s="29"/>
      <c r="F587" s="29"/>
      <c r="G587" s="29"/>
      <c r="H587" s="29"/>
      <c r="I587" s="29"/>
    </row>
    <row r="588" customFormat="false" ht="15" hidden="false" customHeight="false" outlineLevel="0" collapsed="false">
      <c r="A588" s="26"/>
      <c r="B588" s="27"/>
      <c r="C588" s="28"/>
      <c r="D588" s="29"/>
      <c r="E588" s="29"/>
      <c r="F588" s="29"/>
      <c r="G588" s="29"/>
      <c r="H588" s="29"/>
      <c r="I588" s="29"/>
    </row>
    <row r="589" customFormat="false" ht="15" hidden="false" customHeight="false" outlineLevel="0" collapsed="false">
      <c r="A589" s="26"/>
      <c r="B589" s="27"/>
      <c r="C589" s="28"/>
      <c r="D589" s="29"/>
      <c r="E589" s="29"/>
      <c r="F589" s="29"/>
      <c r="G589" s="29"/>
      <c r="H589" s="29"/>
      <c r="I589" s="29"/>
    </row>
    <row r="590" customFormat="false" ht="15" hidden="false" customHeight="false" outlineLevel="0" collapsed="false">
      <c r="A590" s="26"/>
      <c r="B590" s="27"/>
      <c r="C590" s="28"/>
      <c r="D590" s="29"/>
      <c r="E590" s="29"/>
      <c r="F590" s="29"/>
      <c r="G590" s="29"/>
      <c r="H590" s="29"/>
      <c r="I590" s="29"/>
    </row>
    <row r="591" customFormat="false" ht="15" hidden="false" customHeight="false" outlineLevel="0" collapsed="false">
      <c r="A591" s="26"/>
      <c r="B591" s="27"/>
      <c r="C591" s="28"/>
      <c r="D591" s="29"/>
      <c r="E591" s="29"/>
      <c r="F591" s="29"/>
      <c r="G591" s="29"/>
      <c r="H591" s="29"/>
      <c r="I591" s="29"/>
    </row>
    <row r="592" customFormat="false" ht="15" hidden="false" customHeight="false" outlineLevel="0" collapsed="false">
      <c r="A592" s="26"/>
      <c r="B592" s="27"/>
      <c r="C592" s="28"/>
      <c r="D592" s="29"/>
      <c r="E592" s="29"/>
      <c r="F592" s="29"/>
      <c r="G592" s="29"/>
      <c r="H592" s="29"/>
      <c r="I592" s="29"/>
    </row>
    <row r="593" customFormat="false" ht="15" hidden="false" customHeight="false" outlineLevel="0" collapsed="false">
      <c r="A593" s="26"/>
      <c r="B593" s="27"/>
      <c r="C593" s="28"/>
      <c r="D593" s="29"/>
      <c r="E593" s="29"/>
      <c r="F593" s="29"/>
      <c r="G593" s="29"/>
      <c r="H593" s="29"/>
      <c r="I593" s="29"/>
    </row>
    <row r="594" customFormat="false" ht="15" hidden="false" customHeight="false" outlineLevel="0" collapsed="false">
      <c r="A594" s="26"/>
      <c r="B594" s="27"/>
      <c r="C594" s="28"/>
      <c r="D594" s="29"/>
      <c r="E594" s="29"/>
      <c r="F594" s="29"/>
      <c r="G594" s="29"/>
      <c r="H594" s="29"/>
      <c r="I594" s="29"/>
    </row>
    <row r="595" customFormat="false" ht="15" hidden="false" customHeight="false" outlineLevel="0" collapsed="false">
      <c r="A595" s="26"/>
      <c r="B595" s="27"/>
      <c r="C595" s="28"/>
      <c r="D595" s="29"/>
      <c r="E595" s="29"/>
      <c r="F595" s="29"/>
      <c r="G595" s="29"/>
      <c r="H595" s="29"/>
      <c r="I595" s="29"/>
    </row>
    <row r="596" customFormat="false" ht="15" hidden="false" customHeight="false" outlineLevel="0" collapsed="false">
      <c r="A596" s="26"/>
      <c r="B596" s="27"/>
      <c r="C596" s="28"/>
      <c r="D596" s="29"/>
      <c r="E596" s="29"/>
      <c r="F596" s="29"/>
      <c r="G596" s="29"/>
      <c r="H596" s="29"/>
      <c r="I596" s="29"/>
    </row>
    <row r="597" customFormat="false" ht="15" hidden="false" customHeight="false" outlineLevel="0" collapsed="false">
      <c r="A597" s="26"/>
      <c r="B597" s="27"/>
      <c r="C597" s="28"/>
      <c r="D597" s="29"/>
      <c r="E597" s="29"/>
      <c r="F597" s="29"/>
      <c r="G597" s="29"/>
      <c r="H597" s="29"/>
      <c r="I597" s="29"/>
    </row>
    <row r="598" customFormat="false" ht="15" hidden="false" customHeight="false" outlineLevel="0" collapsed="false">
      <c r="A598" s="26"/>
      <c r="B598" s="27"/>
      <c r="C598" s="28"/>
      <c r="D598" s="29"/>
      <c r="E598" s="29"/>
      <c r="F598" s="29"/>
      <c r="G598" s="29"/>
      <c r="H598" s="29"/>
      <c r="I598" s="29"/>
    </row>
    <row r="599" customFormat="false" ht="15" hidden="false" customHeight="false" outlineLevel="0" collapsed="false">
      <c r="A599" s="26"/>
      <c r="B599" s="27"/>
      <c r="C599" s="28"/>
      <c r="D599" s="29"/>
      <c r="E599" s="29"/>
      <c r="F599" s="29"/>
      <c r="G599" s="29"/>
      <c r="H599" s="29"/>
      <c r="I599" s="29"/>
    </row>
    <row r="600" customFormat="false" ht="15" hidden="false" customHeight="false" outlineLevel="0" collapsed="false">
      <c r="A600" s="26"/>
      <c r="B600" s="27"/>
      <c r="C600" s="28"/>
      <c r="D600" s="29"/>
      <c r="E600" s="29"/>
      <c r="F600" s="29"/>
      <c r="G600" s="29"/>
      <c r="H600" s="29"/>
      <c r="I600" s="29"/>
    </row>
    <row r="601" customFormat="false" ht="15" hidden="false" customHeight="false" outlineLevel="0" collapsed="false">
      <c r="A601" s="26"/>
      <c r="B601" s="27"/>
      <c r="C601" s="28"/>
      <c r="D601" s="29"/>
      <c r="E601" s="29"/>
      <c r="F601" s="29"/>
      <c r="G601" s="29"/>
      <c r="H601" s="29"/>
      <c r="I601" s="29"/>
    </row>
    <row r="602" customFormat="false" ht="15" hidden="false" customHeight="false" outlineLevel="0" collapsed="false">
      <c r="A602" s="26"/>
      <c r="B602" s="27"/>
      <c r="C602" s="28"/>
      <c r="D602" s="29"/>
      <c r="E602" s="29"/>
      <c r="F602" s="29"/>
      <c r="G602" s="29"/>
      <c r="H602" s="29"/>
      <c r="I602" s="29"/>
    </row>
    <row r="603" customFormat="false" ht="15" hidden="false" customHeight="false" outlineLevel="0" collapsed="false">
      <c r="A603" s="26"/>
      <c r="B603" s="27"/>
      <c r="C603" s="28"/>
      <c r="D603" s="29"/>
      <c r="E603" s="29"/>
      <c r="F603" s="29"/>
      <c r="G603" s="29"/>
      <c r="H603" s="29"/>
      <c r="I603" s="29"/>
    </row>
    <row r="604" customFormat="false" ht="15" hidden="false" customHeight="false" outlineLevel="0" collapsed="false">
      <c r="A604" s="26"/>
      <c r="B604" s="27"/>
      <c r="C604" s="28"/>
      <c r="D604" s="29"/>
      <c r="E604" s="29"/>
      <c r="F604" s="29"/>
      <c r="G604" s="29"/>
      <c r="H604" s="29"/>
      <c r="I604" s="29"/>
    </row>
    <row r="605" customFormat="false" ht="15" hidden="false" customHeight="false" outlineLevel="0" collapsed="false">
      <c r="A605" s="26"/>
      <c r="B605" s="27"/>
      <c r="C605" s="28"/>
      <c r="D605" s="29"/>
      <c r="E605" s="29"/>
      <c r="F605" s="29"/>
      <c r="G605" s="29"/>
      <c r="H605" s="29"/>
      <c r="I605" s="29"/>
    </row>
    <row r="606" customFormat="false" ht="15" hidden="false" customHeight="false" outlineLevel="0" collapsed="false">
      <c r="A606" s="26"/>
      <c r="B606" s="27"/>
      <c r="C606" s="28"/>
      <c r="D606" s="29"/>
      <c r="E606" s="29"/>
      <c r="F606" s="29"/>
      <c r="G606" s="29"/>
      <c r="H606" s="29"/>
      <c r="I606" s="29"/>
    </row>
    <row r="607" customFormat="false" ht="15" hidden="false" customHeight="false" outlineLevel="0" collapsed="false">
      <c r="A607" s="26"/>
      <c r="B607" s="27"/>
      <c r="C607" s="28"/>
      <c r="D607" s="29"/>
      <c r="E607" s="29"/>
      <c r="F607" s="29"/>
      <c r="G607" s="29"/>
      <c r="H607" s="29"/>
      <c r="I607" s="29"/>
    </row>
    <row r="608" customFormat="false" ht="15" hidden="false" customHeight="false" outlineLevel="0" collapsed="false">
      <c r="A608" s="26"/>
      <c r="B608" s="27"/>
      <c r="C608" s="28"/>
      <c r="D608" s="29"/>
      <c r="E608" s="29"/>
      <c r="F608" s="29"/>
      <c r="G608" s="29"/>
      <c r="H608" s="29"/>
      <c r="I608" s="29"/>
    </row>
    <row r="609" customFormat="false" ht="15" hidden="false" customHeight="false" outlineLevel="0" collapsed="false">
      <c r="A609" s="26"/>
      <c r="B609" s="27"/>
      <c r="C609" s="28"/>
      <c r="D609" s="29"/>
      <c r="E609" s="29"/>
      <c r="F609" s="29"/>
      <c r="G609" s="29"/>
      <c r="H609" s="29"/>
      <c r="I609" s="29"/>
    </row>
    <row r="610" customFormat="false" ht="15" hidden="false" customHeight="false" outlineLevel="0" collapsed="false">
      <c r="A610" s="26"/>
      <c r="B610" s="27"/>
      <c r="C610" s="28"/>
      <c r="D610" s="29"/>
      <c r="E610" s="29"/>
      <c r="F610" s="29"/>
      <c r="G610" s="29"/>
      <c r="H610" s="29"/>
      <c r="I610" s="29"/>
    </row>
    <row r="611" customFormat="false" ht="15" hidden="false" customHeight="false" outlineLevel="0" collapsed="false">
      <c r="A611" s="26"/>
      <c r="B611" s="27"/>
      <c r="C611" s="28"/>
      <c r="D611" s="29"/>
      <c r="E611" s="29"/>
      <c r="F611" s="29"/>
      <c r="G611" s="29"/>
      <c r="H611" s="29"/>
      <c r="I611" s="29"/>
    </row>
    <row r="612" customFormat="false" ht="15" hidden="false" customHeight="false" outlineLevel="0" collapsed="false">
      <c r="A612" s="26"/>
      <c r="B612" s="27"/>
      <c r="C612" s="28"/>
      <c r="D612" s="29"/>
      <c r="E612" s="29"/>
      <c r="F612" s="29"/>
      <c r="G612" s="29"/>
      <c r="H612" s="29"/>
      <c r="I612" s="29"/>
    </row>
    <row r="613" customFormat="false" ht="15" hidden="false" customHeight="false" outlineLevel="0" collapsed="false">
      <c r="A613" s="26"/>
      <c r="B613" s="27"/>
      <c r="C613" s="28"/>
      <c r="D613" s="29"/>
      <c r="E613" s="29"/>
      <c r="F613" s="29"/>
      <c r="G613" s="29"/>
      <c r="H613" s="29"/>
      <c r="I613" s="29"/>
    </row>
    <row r="614" customFormat="false" ht="15" hidden="false" customHeight="false" outlineLevel="0" collapsed="false">
      <c r="A614" s="26"/>
      <c r="B614" s="27"/>
      <c r="C614" s="28"/>
      <c r="D614" s="29"/>
      <c r="E614" s="29"/>
      <c r="F614" s="29"/>
      <c r="G614" s="29"/>
      <c r="H614" s="29"/>
      <c r="I614" s="29"/>
    </row>
    <row r="615" customFormat="false" ht="15" hidden="false" customHeight="false" outlineLevel="0" collapsed="false">
      <c r="A615" s="26"/>
      <c r="B615" s="27"/>
      <c r="C615" s="28"/>
      <c r="D615" s="29"/>
      <c r="E615" s="29"/>
      <c r="F615" s="29"/>
      <c r="G615" s="29"/>
      <c r="H615" s="29"/>
      <c r="I615" s="29"/>
    </row>
    <row r="616" customFormat="false" ht="15" hidden="false" customHeight="false" outlineLevel="0" collapsed="false">
      <c r="A616" s="26"/>
      <c r="B616" s="27"/>
      <c r="C616" s="28"/>
      <c r="D616" s="29"/>
      <c r="E616" s="29"/>
      <c r="F616" s="29"/>
      <c r="G616" s="29"/>
      <c r="H616" s="29"/>
      <c r="I616" s="29"/>
    </row>
    <row r="617" customFormat="false" ht="15" hidden="false" customHeight="false" outlineLevel="0" collapsed="false">
      <c r="A617" s="26"/>
      <c r="B617" s="27"/>
      <c r="C617" s="28"/>
      <c r="D617" s="29"/>
      <c r="E617" s="29"/>
      <c r="F617" s="29"/>
      <c r="G617" s="29"/>
      <c r="H617" s="29"/>
      <c r="I617" s="29"/>
    </row>
    <row r="618" customFormat="false" ht="15" hidden="false" customHeight="false" outlineLevel="0" collapsed="false">
      <c r="A618" s="26"/>
      <c r="B618" s="27"/>
      <c r="C618" s="28"/>
      <c r="D618" s="29"/>
      <c r="E618" s="29"/>
      <c r="F618" s="29"/>
      <c r="G618" s="29"/>
      <c r="H618" s="29"/>
      <c r="I618" s="29"/>
    </row>
    <row r="619" customFormat="false" ht="15" hidden="false" customHeight="false" outlineLevel="0" collapsed="false">
      <c r="A619" s="26"/>
      <c r="B619" s="27"/>
      <c r="C619" s="28"/>
      <c r="D619" s="29"/>
      <c r="E619" s="29"/>
      <c r="F619" s="29"/>
      <c r="G619" s="29"/>
      <c r="H619" s="29"/>
      <c r="I619" s="29"/>
    </row>
    <row r="620" customFormat="false" ht="15" hidden="false" customHeight="false" outlineLevel="0" collapsed="false">
      <c r="A620" s="26"/>
      <c r="B620" s="27"/>
      <c r="C620" s="28"/>
      <c r="D620" s="29"/>
      <c r="E620" s="29"/>
      <c r="F620" s="29"/>
      <c r="G620" s="29"/>
      <c r="H620" s="29"/>
      <c r="I620" s="29"/>
    </row>
    <row r="621" customFormat="false" ht="15" hidden="false" customHeight="false" outlineLevel="0" collapsed="false">
      <c r="A621" s="26"/>
      <c r="B621" s="27"/>
      <c r="C621" s="28"/>
      <c r="D621" s="29"/>
      <c r="E621" s="29"/>
      <c r="F621" s="29"/>
      <c r="G621" s="29"/>
      <c r="H621" s="29"/>
      <c r="I621" s="29"/>
    </row>
    <row r="622" customFormat="false" ht="15" hidden="false" customHeight="false" outlineLevel="0" collapsed="false">
      <c r="A622" s="26"/>
      <c r="B622" s="27"/>
      <c r="C622" s="28"/>
      <c r="D622" s="29"/>
      <c r="E622" s="29"/>
      <c r="F622" s="29"/>
      <c r="G622" s="29"/>
      <c r="H622" s="29"/>
      <c r="I622" s="29"/>
    </row>
    <row r="623" customFormat="false" ht="15" hidden="false" customHeight="false" outlineLevel="0" collapsed="false">
      <c r="A623" s="26"/>
      <c r="B623" s="27"/>
      <c r="C623" s="28"/>
      <c r="D623" s="29"/>
      <c r="E623" s="29"/>
      <c r="F623" s="29"/>
      <c r="G623" s="29"/>
      <c r="H623" s="29"/>
      <c r="I623" s="29"/>
    </row>
    <row r="624" customFormat="false" ht="15" hidden="false" customHeight="false" outlineLevel="0" collapsed="false">
      <c r="A624" s="26"/>
      <c r="B624" s="27"/>
      <c r="C624" s="28"/>
      <c r="D624" s="29"/>
      <c r="E624" s="29"/>
      <c r="F624" s="29"/>
      <c r="G624" s="29"/>
      <c r="H624" s="29"/>
      <c r="I624" s="29"/>
    </row>
    <row r="625" customFormat="false" ht="15" hidden="false" customHeight="false" outlineLevel="0" collapsed="false">
      <c r="A625" s="26"/>
      <c r="B625" s="27"/>
      <c r="C625" s="28"/>
      <c r="D625" s="29"/>
      <c r="E625" s="29"/>
      <c r="F625" s="29"/>
      <c r="G625" s="29"/>
      <c r="H625" s="29"/>
      <c r="I625" s="29"/>
    </row>
    <row r="626" customFormat="false" ht="15" hidden="false" customHeight="false" outlineLevel="0" collapsed="false">
      <c r="A626" s="26"/>
      <c r="B626" s="27"/>
      <c r="C626" s="28"/>
      <c r="D626" s="29"/>
      <c r="E626" s="29"/>
      <c r="F626" s="29"/>
      <c r="G626" s="29"/>
      <c r="H626" s="29"/>
      <c r="I626" s="29"/>
    </row>
    <row r="627" customFormat="false" ht="15" hidden="false" customHeight="false" outlineLevel="0" collapsed="false">
      <c r="A627" s="26"/>
      <c r="B627" s="27"/>
      <c r="C627" s="28"/>
      <c r="D627" s="29"/>
      <c r="E627" s="29"/>
      <c r="F627" s="29"/>
      <c r="G627" s="29"/>
      <c r="H627" s="29"/>
      <c r="I627" s="29"/>
    </row>
    <row r="628" customFormat="false" ht="15" hidden="false" customHeight="false" outlineLevel="0" collapsed="false">
      <c r="A628" s="26"/>
      <c r="B628" s="27"/>
      <c r="C628" s="28"/>
      <c r="D628" s="29"/>
      <c r="E628" s="29"/>
      <c r="F628" s="29"/>
      <c r="G628" s="29"/>
      <c r="H628" s="29"/>
      <c r="I628" s="29"/>
    </row>
    <row r="629" customFormat="false" ht="15" hidden="false" customHeight="false" outlineLevel="0" collapsed="false">
      <c r="A629" s="26"/>
      <c r="B629" s="27"/>
      <c r="C629" s="28"/>
      <c r="D629" s="29"/>
      <c r="E629" s="29"/>
      <c r="F629" s="29"/>
      <c r="G629" s="29"/>
      <c r="H629" s="29"/>
      <c r="I629" s="29"/>
    </row>
    <row r="630" customFormat="false" ht="15" hidden="false" customHeight="false" outlineLevel="0" collapsed="false">
      <c r="A630" s="26"/>
      <c r="B630" s="27"/>
      <c r="C630" s="28"/>
      <c r="D630" s="29"/>
      <c r="E630" s="29"/>
      <c r="F630" s="29"/>
      <c r="G630" s="29"/>
      <c r="H630" s="29"/>
      <c r="I630" s="29"/>
    </row>
    <row r="631" customFormat="false" ht="15" hidden="false" customHeight="false" outlineLevel="0" collapsed="false">
      <c r="A631" s="26"/>
      <c r="B631" s="27"/>
      <c r="C631" s="28"/>
      <c r="D631" s="29"/>
      <c r="E631" s="29"/>
      <c r="F631" s="29"/>
      <c r="G631" s="29"/>
      <c r="H631" s="29"/>
      <c r="I631" s="29"/>
    </row>
    <row r="632" customFormat="false" ht="15" hidden="false" customHeight="false" outlineLevel="0" collapsed="false">
      <c r="A632" s="26"/>
      <c r="B632" s="27"/>
      <c r="C632" s="28"/>
      <c r="D632" s="29"/>
      <c r="E632" s="29"/>
      <c r="F632" s="29"/>
      <c r="G632" s="29"/>
      <c r="H632" s="29"/>
      <c r="I632" s="29"/>
    </row>
    <row r="633" customFormat="false" ht="15" hidden="false" customHeight="false" outlineLevel="0" collapsed="false">
      <c r="A633" s="26"/>
      <c r="B633" s="27"/>
      <c r="C633" s="28"/>
      <c r="D633" s="29"/>
      <c r="E633" s="29"/>
      <c r="F633" s="29"/>
      <c r="G633" s="29"/>
      <c r="H633" s="29"/>
      <c r="I633" s="29"/>
    </row>
    <row r="634" customFormat="false" ht="15" hidden="false" customHeight="false" outlineLevel="0" collapsed="false">
      <c r="A634" s="26"/>
      <c r="B634" s="27"/>
      <c r="C634" s="28"/>
      <c r="D634" s="29"/>
      <c r="E634" s="29"/>
      <c r="F634" s="29"/>
      <c r="G634" s="29"/>
      <c r="H634" s="29"/>
      <c r="I634" s="29"/>
    </row>
    <row r="635" customFormat="false" ht="15" hidden="false" customHeight="false" outlineLevel="0" collapsed="false">
      <c r="A635" s="26"/>
      <c r="B635" s="27"/>
      <c r="C635" s="28"/>
      <c r="D635" s="29"/>
      <c r="E635" s="29"/>
      <c r="F635" s="29"/>
      <c r="G635" s="29"/>
      <c r="H635" s="29"/>
      <c r="I635" s="29"/>
    </row>
    <row r="636" customFormat="false" ht="15" hidden="false" customHeight="false" outlineLevel="0" collapsed="false">
      <c r="A636" s="26"/>
      <c r="B636" s="27"/>
      <c r="C636" s="28"/>
      <c r="D636" s="29"/>
      <c r="E636" s="29"/>
      <c r="F636" s="29"/>
      <c r="G636" s="29"/>
      <c r="H636" s="29"/>
      <c r="I636" s="29"/>
    </row>
    <row r="637" customFormat="false" ht="15" hidden="false" customHeight="false" outlineLevel="0" collapsed="false">
      <c r="A637" s="26"/>
      <c r="B637" s="27"/>
      <c r="C637" s="28"/>
      <c r="D637" s="29"/>
      <c r="E637" s="29"/>
      <c r="F637" s="29"/>
      <c r="G637" s="29"/>
      <c r="H637" s="29"/>
      <c r="I637" s="29"/>
    </row>
    <row r="638" customFormat="false" ht="15" hidden="false" customHeight="false" outlineLevel="0" collapsed="false">
      <c r="A638" s="26"/>
      <c r="B638" s="27"/>
      <c r="C638" s="28"/>
      <c r="D638" s="29"/>
      <c r="E638" s="29"/>
      <c r="F638" s="29"/>
      <c r="G638" s="29"/>
      <c r="H638" s="29"/>
      <c r="I638" s="29"/>
    </row>
    <row r="639" customFormat="false" ht="15" hidden="false" customHeight="false" outlineLevel="0" collapsed="false">
      <c r="A639" s="26"/>
      <c r="B639" s="27"/>
      <c r="C639" s="28"/>
      <c r="D639" s="29"/>
      <c r="E639" s="29"/>
      <c r="F639" s="29"/>
      <c r="G639" s="29"/>
      <c r="H639" s="29"/>
      <c r="I639" s="29"/>
    </row>
    <row r="640" customFormat="false" ht="15" hidden="false" customHeight="false" outlineLevel="0" collapsed="false">
      <c r="A640" s="26"/>
      <c r="B640" s="27"/>
      <c r="C640" s="28"/>
      <c r="D640" s="29"/>
      <c r="E640" s="29"/>
      <c r="F640" s="29"/>
      <c r="G640" s="29"/>
      <c r="H640" s="29"/>
      <c r="I640" s="29"/>
    </row>
    <row r="641" customFormat="false" ht="15" hidden="false" customHeight="false" outlineLevel="0" collapsed="false">
      <c r="A641" s="26"/>
      <c r="B641" s="27"/>
      <c r="C641" s="28"/>
      <c r="D641" s="29"/>
      <c r="E641" s="29"/>
      <c r="F641" s="29"/>
      <c r="G641" s="29"/>
      <c r="H641" s="29"/>
      <c r="I641" s="29"/>
    </row>
    <row r="642" customFormat="false" ht="15" hidden="false" customHeight="false" outlineLevel="0" collapsed="false">
      <c r="A642" s="26"/>
      <c r="B642" s="27"/>
      <c r="C642" s="28"/>
      <c r="D642" s="29"/>
      <c r="E642" s="29"/>
      <c r="F642" s="29"/>
      <c r="G642" s="29"/>
      <c r="H642" s="29"/>
      <c r="I642" s="29"/>
    </row>
    <row r="643" customFormat="false" ht="15" hidden="false" customHeight="false" outlineLevel="0" collapsed="false">
      <c r="A643" s="26"/>
      <c r="B643" s="27"/>
      <c r="C643" s="28"/>
      <c r="D643" s="29"/>
      <c r="E643" s="29"/>
      <c r="F643" s="29"/>
      <c r="G643" s="29"/>
      <c r="H643" s="29"/>
      <c r="I643" s="29"/>
    </row>
    <row r="644" customFormat="false" ht="15" hidden="false" customHeight="false" outlineLevel="0" collapsed="false">
      <c r="A644" s="26"/>
      <c r="B644" s="27"/>
      <c r="C644" s="28"/>
      <c r="D644" s="29"/>
      <c r="E644" s="29"/>
      <c r="F644" s="29"/>
      <c r="G644" s="29"/>
      <c r="H644" s="29"/>
      <c r="I644" s="29"/>
    </row>
    <row r="645" customFormat="false" ht="15" hidden="false" customHeight="false" outlineLevel="0" collapsed="false">
      <c r="A645" s="26"/>
      <c r="B645" s="27"/>
      <c r="C645" s="28"/>
      <c r="D645" s="29"/>
      <c r="E645" s="29"/>
      <c r="F645" s="29"/>
      <c r="G645" s="29"/>
      <c r="H645" s="29"/>
      <c r="I645" s="29"/>
    </row>
    <row r="646" customFormat="false" ht="15" hidden="false" customHeight="false" outlineLevel="0" collapsed="false">
      <c r="A646" s="26"/>
      <c r="B646" s="27"/>
      <c r="C646" s="28"/>
      <c r="D646" s="29"/>
      <c r="E646" s="29"/>
      <c r="F646" s="29"/>
      <c r="G646" s="29"/>
      <c r="H646" s="29"/>
      <c r="I646" s="29"/>
    </row>
    <row r="647" customFormat="false" ht="15" hidden="false" customHeight="false" outlineLevel="0" collapsed="false">
      <c r="A647" s="26"/>
      <c r="B647" s="27"/>
      <c r="C647" s="28"/>
      <c r="D647" s="29"/>
      <c r="E647" s="29"/>
      <c r="F647" s="29"/>
      <c r="G647" s="29"/>
      <c r="H647" s="29"/>
      <c r="I647" s="29"/>
    </row>
    <row r="648" customFormat="false" ht="15" hidden="false" customHeight="false" outlineLevel="0" collapsed="false">
      <c r="A648" s="26"/>
      <c r="B648" s="27"/>
      <c r="C648" s="28"/>
      <c r="D648" s="29"/>
      <c r="E648" s="29"/>
      <c r="F648" s="29"/>
      <c r="G648" s="29"/>
      <c r="H648" s="29"/>
      <c r="I648" s="29"/>
    </row>
    <row r="649" customFormat="false" ht="15" hidden="false" customHeight="false" outlineLevel="0" collapsed="false">
      <c r="A649" s="26"/>
      <c r="B649" s="27"/>
      <c r="C649" s="28"/>
      <c r="D649" s="29"/>
      <c r="E649" s="29"/>
      <c r="F649" s="29"/>
      <c r="G649" s="29"/>
      <c r="H649" s="29"/>
      <c r="I649" s="29"/>
    </row>
    <row r="650" customFormat="false" ht="15" hidden="false" customHeight="false" outlineLevel="0" collapsed="false">
      <c r="A650" s="26"/>
      <c r="B650" s="27"/>
      <c r="C650" s="28"/>
      <c r="D650" s="29"/>
      <c r="E650" s="29"/>
      <c r="F650" s="29"/>
      <c r="G650" s="29"/>
      <c r="H650" s="29"/>
      <c r="I650" s="29"/>
    </row>
    <row r="651" customFormat="false" ht="15" hidden="false" customHeight="false" outlineLevel="0" collapsed="false">
      <c r="A651" s="26"/>
      <c r="B651" s="27"/>
      <c r="C651" s="28"/>
      <c r="D651" s="29"/>
      <c r="E651" s="29"/>
      <c r="F651" s="29"/>
      <c r="G651" s="29"/>
      <c r="H651" s="29"/>
      <c r="I651" s="29"/>
    </row>
    <row r="652" customFormat="false" ht="15" hidden="false" customHeight="false" outlineLevel="0" collapsed="false">
      <c r="A652" s="26"/>
      <c r="B652" s="27"/>
      <c r="C652" s="28"/>
      <c r="D652" s="29"/>
      <c r="E652" s="29"/>
      <c r="F652" s="29"/>
      <c r="G652" s="29"/>
      <c r="H652" s="29"/>
      <c r="I652" s="29"/>
    </row>
    <row r="653" customFormat="false" ht="15" hidden="false" customHeight="false" outlineLevel="0" collapsed="false">
      <c r="A653" s="26"/>
      <c r="B653" s="27"/>
      <c r="C653" s="28"/>
      <c r="D653" s="29"/>
      <c r="E653" s="29"/>
      <c r="F653" s="29"/>
      <c r="G653" s="29"/>
      <c r="H653" s="29"/>
      <c r="I653" s="29"/>
    </row>
    <row r="654" customFormat="false" ht="15" hidden="false" customHeight="false" outlineLevel="0" collapsed="false">
      <c r="A654" s="26"/>
      <c r="B654" s="27"/>
      <c r="C654" s="28"/>
      <c r="D654" s="29"/>
      <c r="E654" s="29"/>
      <c r="F654" s="29"/>
      <c r="G654" s="29"/>
      <c r="H654" s="29"/>
      <c r="I654" s="29"/>
    </row>
    <row r="655" customFormat="false" ht="15" hidden="false" customHeight="false" outlineLevel="0" collapsed="false">
      <c r="A655" s="26"/>
      <c r="B655" s="27"/>
      <c r="C655" s="28"/>
      <c r="D655" s="29"/>
      <c r="E655" s="29"/>
      <c r="F655" s="29"/>
      <c r="G655" s="29"/>
      <c r="H655" s="29"/>
      <c r="I655" s="29"/>
    </row>
    <row r="656" customFormat="false" ht="15" hidden="false" customHeight="false" outlineLevel="0" collapsed="false">
      <c r="A656" s="26"/>
      <c r="B656" s="27"/>
      <c r="C656" s="28"/>
      <c r="D656" s="29"/>
      <c r="E656" s="29"/>
      <c r="F656" s="29"/>
      <c r="G656" s="29"/>
      <c r="H656" s="29"/>
      <c r="I656" s="29"/>
    </row>
    <row r="657" customFormat="false" ht="15" hidden="false" customHeight="false" outlineLevel="0" collapsed="false">
      <c r="A657" s="26"/>
      <c r="B657" s="27"/>
      <c r="C657" s="28"/>
      <c r="D657" s="29"/>
      <c r="E657" s="29"/>
      <c r="F657" s="29"/>
      <c r="G657" s="29"/>
      <c r="H657" s="29"/>
      <c r="I657" s="29"/>
    </row>
    <row r="658" customFormat="false" ht="15" hidden="false" customHeight="false" outlineLevel="0" collapsed="false">
      <c r="A658" s="26"/>
      <c r="B658" s="27"/>
      <c r="C658" s="28"/>
      <c r="D658" s="29"/>
      <c r="E658" s="29"/>
      <c r="F658" s="29"/>
      <c r="G658" s="29"/>
      <c r="H658" s="29"/>
      <c r="I658" s="29"/>
    </row>
    <row r="659" customFormat="false" ht="15" hidden="false" customHeight="false" outlineLevel="0" collapsed="false">
      <c r="A659" s="26"/>
      <c r="B659" s="27"/>
      <c r="C659" s="28"/>
      <c r="D659" s="29"/>
      <c r="E659" s="29"/>
      <c r="F659" s="29"/>
      <c r="G659" s="29"/>
      <c r="H659" s="29"/>
      <c r="I659" s="29"/>
    </row>
    <row r="660" customFormat="false" ht="15" hidden="false" customHeight="false" outlineLevel="0" collapsed="false">
      <c r="A660" s="26"/>
      <c r="B660" s="27"/>
      <c r="C660" s="28"/>
      <c r="D660" s="29"/>
      <c r="E660" s="29"/>
      <c r="F660" s="29"/>
      <c r="G660" s="29"/>
      <c r="H660" s="29"/>
      <c r="I660" s="29"/>
    </row>
    <row r="661" customFormat="false" ht="15" hidden="false" customHeight="false" outlineLevel="0" collapsed="false">
      <c r="A661" s="26"/>
      <c r="B661" s="27"/>
      <c r="C661" s="28"/>
      <c r="D661" s="29"/>
      <c r="E661" s="29"/>
      <c r="F661" s="29"/>
      <c r="G661" s="29"/>
      <c r="H661" s="29"/>
      <c r="I661" s="29"/>
    </row>
    <row r="662" customFormat="false" ht="15" hidden="false" customHeight="false" outlineLevel="0" collapsed="false">
      <c r="A662" s="26"/>
      <c r="B662" s="27"/>
      <c r="C662" s="28"/>
      <c r="D662" s="29"/>
      <c r="E662" s="29"/>
      <c r="F662" s="29"/>
      <c r="G662" s="29"/>
      <c r="H662" s="29"/>
      <c r="I662" s="29"/>
    </row>
    <row r="663" customFormat="false" ht="15" hidden="false" customHeight="false" outlineLevel="0" collapsed="false">
      <c r="A663" s="26"/>
      <c r="B663" s="27"/>
      <c r="C663" s="28"/>
      <c r="D663" s="29"/>
      <c r="E663" s="29"/>
      <c r="F663" s="29"/>
      <c r="G663" s="29"/>
      <c r="H663" s="29"/>
      <c r="I663" s="29"/>
    </row>
    <row r="664" customFormat="false" ht="15" hidden="false" customHeight="false" outlineLevel="0" collapsed="false">
      <c r="A664" s="26"/>
      <c r="B664" s="27"/>
      <c r="C664" s="28"/>
      <c r="D664" s="29"/>
      <c r="E664" s="29"/>
      <c r="F664" s="29"/>
      <c r="G664" s="29"/>
      <c r="H664" s="29"/>
      <c r="I664" s="29"/>
    </row>
    <row r="665" customFormat="false" ht="15" hidden="false" customHeight="false" outlineLevel="0" collapsed="false">
      <c r="A665" s="26"/>
      <c r="B665" s="27"/>
      <c r="C665" s="28"/>
      <c r="D665" s="29"/>
      <c r="E665" s="29"/>
      <c r="F665" s="29"/>
      <c r="G665" s="29"/>
      <c r="H665" s="29"/>
      <c r="I665" s="29"/>
    </row>
    <row r="666" customFormat="false" ht="15" hidden="false" customHeight="false" outlineLevel="0" collapsed="false">
      <c r="A666" s="26"/>
      <c r="B666" s="27"/>
      <c r="C666" s="28"/>
      <c r="D666" s="29"/>
      <c r="E666" s="29"/>
      <c r="F666" s="29"/>
      <c r="G666" s="29"/>
      <c r="H666" s="29"/>
      <c r="I666" s="29"/>
    </row>
    <row r="667" customFormat="false" ht="15" hidden="false" customHeight="false" outlineLevel="0" collapsed="false">
      <c r="A667" s="26"/>
      <c r="B667" s="27"/>
      <c r="C667" s="28"/>
      <c r="D667" s="29"/>
      <c r="E667" s="29"/>
      <c r="F667" s="29"/>
      <c r="G667" s="29"/>
      <c r="H667" s="29"/>
      <c r="I667" s="29"/>
    </row>
    <row r="668" customFormat="false" ht="15" hidden="false" customHeight="false" outlineLevel="0" collapsed="false">
      <c r="A668" s="26"/>
      <c r="B668" s="27"/>
      <c r="C668" s="28"/>
      <c r="D668" s="29"/>
      <c r="E668" s="29"/>
      <c r="F668" s="29"/>
      <c r="G668" s="29"/>
      <c r="H668" s="29"/>
      <c r="I668" s="29"/>
    </row>
    <row r="669" customFormat="false" ht="15" hidden="false" customHeight="false" outlineLevel="0" collapsed="false">
      <c r="A669" s="26"/>
      <c r="B669" s="27"/>
      <c r="C669" s="28"/>
      <c r="D669" s="29"/>
      <c r="E669" s="29"/>
      <c r="F669" s="29"/>
      <c r="G669" s="29"/>
      <c r="H669" s="29"/>
      <c r="I669" s="29"/>
    </row>
    <row r="670" customFormat="false" ht="15" hidden="false" customHeight="false" outlineLevel="0" collapsed="false">
      <c r="A670" s="26"/>
      <c r="B670" s="27"/>
      <c r="C670" s="28"/>
      <c r="D670" s="29"/>
      <c r="E670" s="29"/>
      <c r="F670" s="29"/>
      <c r="G670" s="29"/>
      <c r="H670" s="29"/>
      <c r="I670" s="29"/>
    </row>
    <row r="671" customFormat="false" ht="15" hidden="false" customHeight="false" outlineLevel="0" collapsed="false">
      <c r="A671" s="26"/>
      <c r="B671" s="27"/>
      <c r="C671" s="28"/>
      <c r="D671" s="29"/>
      <c r="E671" s="29"/>
      <c r="F671" s="29"/>
      <c r="G671" s="29"/>
      <c r="H671" s="29"/>
      <c r="I671" s="29"/>
    </row>
    <row r="672" customFormat="false" ht="15" hidden="false" customHeight="false" outlineLevel="0" collapsed="false">
      <c r="A672" s="26"/>
      <c r="B672" s="27"/>
      <c r="C672" s="28"/>
      <c r="D672" s="29"/>
      <c r="E672" s="29"/>
      <c r="F672" s="29"/>
      <c r="G672" s="29"/>
      <c r="H672" s="29"/>
      <c r="I672" s="29"/>
    </row>
    <row r="673" customFormat="false" ht="15" hidden="false" customHeight="false" outlineLevel="0" collapsed="false">
      <c r="A673" s="26"/>
      <c r="B673" s="27"/>
      <c r="C673" s="28"/>
      <c r="D673" s="29"/>
      <c r="E673" s="29"/>
      <c r="F673" s="29"/>
      <c r="G673" s="29"/>
      <c r="H673" s="29"/>
      <c r="I673" s="29"/>
    </row>
    <row r="674" customFormat="false" ht="15" hidden="false" customHeight="false" outlineLevel="0" collapsed="false">
      <c r="A674" s="26"/>
      <c r="B674" s="27"/>
      <c r="C674" s="28"/>
      <c r="D674" s="29"/>
      <c r="E674" s="29"/>
      <c r="F674" s="29"/>
      <c r="G674" s="29"/>
      <c r="H674" s="29"/>
      <c r="I674" s="29"/>
    </row>
    <row r="675" customFormat="false" ht="15" hidden="false" customHeight="false" outlineLevel="0" collapsed="false">
      <c r="A675" s="26"/>
      <c r="B675" s="27"/>
      <c r="C675" s="28"/>
      <c r="D675" s="29"/>
      <c r="E675" s="29"/>
      <c r="F675" s="29"/>
      <c r="G675" s="29"/>
      <c r="H675" s="29"/>
      <c r="I675" s="29"/>
    </row>
    <row r="676" customFormat="false" ht="15" hidden="false" customHeight="false" outlineLevel="0" collapsed="false">
      <c r="A676" s="26"/>
      <c r="B676" s="27"/>
      <c r="C676" s="28"/>
      <c r="D676" s="29"/>
      <c r="E676" s="29"/>
      <c r="F676" s="29"/>
      <c r="G676" s="29"/>
      <c r="H676" s="29"/>
      <c r="I676" s="29"/>
    </row>
    <row r="677" customFormat="false" ht="15" hidden="false" customHeight="false" outlineLevel="0" collapsed="false">
      <c r="A677" s="26"/>
      <c r="B677" s="27"/>
      <c r="C677" s="28"/>
      <c r="D677" s="29"/>
      <c r="E677" s="29"/>
      <c r="F677" s="29"/>
      <c r="G677" s="29"/>
      <c r="H677" s="29"/>
      <c r="I677" s="29"/>
    </row>
    <row r="678" customFormat="false" ht="15" hidden="false" customHeight="false" outlineLevel="0" collapsed="false">
      <c r="A678" s="26"/>
      <c r="B678" s="27"/>
      <c r="C678" s="28"/>
      <c r="D678" s="29"/>
      <c r="E678" s="29"/>
      <c r="F678" s="29"/>
      <c r="G678" s="29"/>
      <c r="H678" s="29"/>
      <c r="I678" s="29"/>
    </row>
    <row r="679" customFormat="false" ht="15" hidden="false" customHeight="false" outlineLevel="0" collapsed="false">
      <c r="A679" s="26"/>
      <c r="B679" s="27"/>
      <c r="C679" s="28"/>
      <c r="D679" s="29"/>
      <c r="E679" s="29"/>
      <c r="F679" s="29"/>
      <c r="G679" s="29"/>
      <c r="H679" s="29"/>
      <c r="I679" s="29"/>
    </row>
    <row r="680" customFormat="false" ht="15" hidden="false" customHeight="false" outlineLevel="0" collapsed="false">
      <c r="A680" s="26"/>
      <c r="B680" s="27"/>
      <c r="C680" s="28"/>
      <c r="D680" s="29"/>
      <c r="E680" s="29"/>
      <c r="F680" s="29"/>
      <c r="G680" s="29"/>
      <c r="H680" s="29"/>
      <c r="I680" s="29"/>
    </row>
    <row r="681" customFormat="false" ht="15" hidden="false" customHeight="false" outlineLevel="0" collapsed="false">
      <c r="A681" s="26"/>
      <c r="B681" s="27"/>
      <c r="C681" s="28"/>
      <c r="D681" s="29"/>
      <c r="E681" s="29"/>
      <c r="F681" s="29"/>
      <c r="G681" s="29"/>
      <c r="H681" s="29"/>
      <c r="I681" s="29"/>
    </row>
    <row r="682" customFormat="false" ht="15" hidden="false" customHeight="false" outlineLevel="0" collapsed="false">
      <c r="A682" s="26"/>
      <c r="B682" s="27"/>
      <c r="C682" s="28"/>
      <c r="D682" s="29"/>
      <c r="E682" s="29"/>
      <c r="F682" s="29"/>
      <c r="G682" s="29"/>
      <c r="H682" s="29"/>
      <c r="I682" s="29"/>
    </row>
    <row r="683" customFormat="false" ht="15" hidden="false" customHeight="false" outlineLevel="0" collapsed="false">
      <c r="A683" s="26"/>
      <c r="B683" s="27"/>
      <c r="C683" s="28"/>
      <c r="D683" s="29"/>
      <c r="E683" s="29"/>
      <c r="F683" s="29"/>
      <c r="G683" s="29"/>
      <c r="H683" s="29"/>
      <c r="I683" s="29"/>
    </row>
    <row r="684" customFormat="false" ht="15" hidden="false" customHeight="false" outlineLevel="0" collapsed="false">
      <c r="A684" s="26"/>
      <c r="B684" s="27"/>
      <c r="C684" s="28"/>
      <c r="D684" s="29"/>
      <c r="E684" s="29"/>
      <c r="F684" s="29"/>
      <c r="G684" s="29"/>
      <c r="H684" s="29"/>
      <c r="I684" s="29"/>
    </row>
    <row r="685" customFormat="false" ht="15" hidden="false" customHeight="false" outlineLevel="0" collapsed="false">
      <c r="A685" s="26"/>
      <c r="B685" s="27"/>
      <c r="C685" s="28"/>
      <c r="D685" s="29"/>
      <c r="E685" s="29"/>
      <c r="F685" s="29"/>
      <c r="G685" s="29"/>
      <c r="H685" s="29"/>
      <c r="I685" s="29"/>
    </row>
    <row r="686" customFormat="false" ht="15" hidden="false" customHeight="false" outlineLevel="0" collapsed="false">
      <c r="A686" s="26"/>
      <c r="B686" s="27"/>
      <c r="C686" s="28"/>
      <c r="D686" s="29"/>
      <c r="E686" s="29"/>
      <c r="F686" s="29"/>
      <c r="G686" s="29"/>
      <c r="H686" s="29"/>
      <c r="I686" s="29"/>
    </row>
    <row r="687" customFormat="false" ht="15" hidden="false" customHeight="false" outlineLevel="0" collapsed="false">
      <c r="A687" s="26"/>
      <c r="B687" s="27"/>
      <c r="C687" s="28"/>
      <c r="D687" s="29"/>
      <c r="E687" s="29"/>
      <c r="F687" s="29"/>
      <c r="G687" s="29"/>
      <c r="H687" s="29"/>
      <c r="I687" s="29"/>
    </row>
    <row r="688" customFormat="false" ht="15" hidden="false" customHeight="false" outlineLevel="0" collapsed="false">
      <c r="A688" s="26"/>
      <c r="B688" s="27"/>
      <c r="C688" s="28"/>
      <c r="D688" s="29"/>
      <c r="E688" s="29"/>
      <c r="F688" s="29"/>
      <c r="G688" s="29"/>
      <c r="H688" s="29"/>
      <c r="I688" s="29"/>
    </row>
    <row r="689" customFormat="false" ht="15" hidden="false" customHeight="false" outlineLevel="0" collapsed="false">
      <c r="A689" s="26"/>
      <c r="B689" s="27"/>
      <c r="C689" s="28"/>
      <c r="D689" s="29"/>
      <c r="E689" s="29"/>
      <c r="F689" s="29"/>
      <c r="G689" s="29"/>
      <c r="H689" s="29"/>
      <c r="I689" s="29"/>
    </row>
    <row r="690" customFormat="false" ht="15" hidden="false" customHeight="false" outlineLevel="0" collapsed="false">
      <c r="A690" s="26"/>
      <c r="B690" s="27"/>
      <c r="C690" s="28"/>
      <c r="D690" s="29"/>
      <c r="E690" s="29"/>
      <c r="F690" s="29"/>
      <c r="G690" s="29"/>
      <c r="H690" s="29"/>
      <c r="I690" s="29"/>
    </row>
    <row r="691" customFormat="false" ht="15" hidden="false" customHeight="false" outlineLevel="0" collapsed="false">
      <c r="A691" s="26"/>
      <c r="B691" s="27"/>
      <c r="C691" s="28"/>
      <c r="D691" s="29"/>
      <c r="E691" s="29"/>
      <c r="F691" s="29"/>
      <c r="G691" s="29"/>
      <c r="H691" s="29"/>
      <c r="I691" s="29"/>
    </row>
    <row r="692" customFormat="false" ht="15" hidden="false" customHeight="false" outlineLevel="0" collapsed="false">
      <c r="A692" s="26"/>
      <c r="B692" s="27"/>
      <c r="C692" s="28"/>
      <c r="D692" s="29"/>
      <c r="E692" s="29"/>
      <c r="F692" s="29"/>
      <c r="G692" s="29"/>
      <c r="H692" s="29"/>
      <c r="I692" s="29"/>
    </row>
    <row r="693" customFormat="false" ht="15" hidden="false" customHeight="false" outlineLevel="0" collapsed="false">
      <c r="A693" s="26"/>
      <c r="B693" s="27"/>
      <c r="C693" s="28"/>
      <c r="D693" s="29"/>
      <c r="E693" s="29"/>
      <c r="F693" s="29"/>
      <c r="G693" s="29"/>
      <c r="H693" s="29"/>
      <c r="I693" s="29"/>
    </row>
    <row r="694" customFormat="false" ht="15" hidden="false" customHeight="false" outlineLevel="0" collapsed="false">
      <c r="A694" s="26"/>
      <c r="B694" s="27"/>
      <c r="C694" s="28"/>
      <c r="D694" s="29"/>
      <c r="E694" s="29"/>
      <c r="F694" s="29"/>
      <c r="G694" s="29"/>
      <c r="H694" s="29"/>
      <c r="I694" s="29"/>
    </row>
    <row r="695" customFormat="false" ht="15" hidden="false" customHeight="false" outlineLevel="0" collapsed="false">
      <c r="A695" s="26"/>
      <c r="B695" s="27"/>
      <c r="C695" s="28"/>
      <c r="D695" s="29"/>
      <c r="E695" s="29"/>
      <c r="F695" s="29"/>
      <c r="G695" s="29"/>
      <c r="H695" s="29"/>
      <c r="I695" s="29"/>
    </row>
    <row r="696" customFormat="false" ht="15" hidden="false" customHeight="false" outlineLevel="0" collapsed="false">
      <c r="A696" s="26"/>
      <c r="B696" s="27"/>
      <c r="C696" s="28"/>
      <c r="D696" s="29"/>
      <c r="E696" s="29"/>
      <c r="F696" s="29"/>
      <c r="G696" s="29"/>
      <c r="H696" s="29"/>
      <c r="I696" s="29"/>
    </row>
    <row r="697" customFormat="false" ht="15" hidden="false" customHeight="false" outlineLevel="0" collapsed="false">
      <c r="A697" s="26"/>
      <c r="B697" s="27"/>
      <c r="C697" s="28"/>
      <c r="D697" s="29"/>
      <c r="E697" s="29"/>
      <c r="F697" s="29"/>
      <c r="G697" s="29"/>
      <c r="H697" s="29"/>
      <c r="I697" s="29"/>
    </row>
    <row r="698" customFormat="false" ht="15" hidden="false" customHeight="false" outlineLevel="0" collapsed="false">
      <c r="A698" s="26"/>
      <c r="B698" s="27"/>
      <c r="C698" s="28"/>
      <c r="D698" s="29"/>
      <c r="E698" s="29"/>
      <c r="F698" s="29"/>
      <c r="G698" s="29"/>
      <c r="H698" s="29"/>
      <c r="I698" s="29"/>
    </row>
    <row r="699" customFormat="false" ht="15" hidden="false" customHeight="false" outlineLevel="0" collapsed="false">
      <c r="A699" s="26"/>
      <c r="B699" s="27"/>
      <c r="C699" s="28"/>
      <c r="D699" s="29"/>
      <c r="E699" s="29"/>
      <c r="F699" s="29"/>
      <c r="G699" s="29"/>
      <c r="H699" s="29"/>
      <c r="I699" s="29"/>
    </row>
    <row r="700" customFormat="false" ht="15" hidden="false" customHeight="false" outlineLevel="0" collapsed="false">
      <c r="A700" s="26"/>
      <c r="B700" s="27"/>
      <c r="C700" s="28"/>
      <c r="D700" s="29"/>
      <c r="E700" s="29"/>
      <c r="F700" s="29"/>
      <c r="G700" s="29"/>
      <c r="H700" s="29"/>
      <c r="I700" s="29"/>
    </row>
    <row r="701" customFormat="false" ht="15" hidden="false" customHeight="false" outlineLevel="0" collapsed="false">
      <c r="A701" s="26"/>
      <c r="B701" s="27"/>
      <c r="C701" s="28"/>
      <c r="D701" s="29"/>
      <c r="E701" s="29"/>
      <c r="F701" s="29"/>
      <c r="G701" s="29"/>
      <c r="H701" s="29"/>
      <c r="I701" s="29"/>
    </row>
    <row r="702" customFormat="false" ht="15" hidden="false" customHeight="false" outlineLevel="0" collapsed="false">
      <c r="A702" s="26"/>
      <c r="B702" s="27"/>
      <c r="C702" s="28"/>
      <c r="D702" s="29"/>
      <c r="E702" s="29"/>
      <c r="F702" s="29"/>
      <c r="G702" s="29"/>
      <c r="H702" s="29"/>
      <c r="I702" s="29"/>
    </row>
    <row r="703" customFormat="false" ht="15" hidden="false" customHeight="false" outlineLevel="0" collapsed="false">
      <c r="A703" s="26"/>
      <c r="B703" s="27"/>
      <c r="C703" s="28"/>
      <c r="D703" s="29"/>
      <c r="E703" s="29"/>
      <c r="F703" s="29"/>
      <c r="G703" s="29"/>
      <c r="H703" s="29"/>
      <c r="I703" s="29"/>
    </row>
    <row r="704" customFormat="false" ht="15" hidden="false" customHeight="false" outlineLevel="0" collapsed="false">
      <c r="A704" s="26"/>
      <c r="B704" s="27"/>
      <c r="C704" s="28"/>
      <c r="D704" s="29"/>
      <c r="E704" s="29"/>
      <c r="F704" s="29"/>
      <c r="G704" s="29"/>
      <c r="H704" s="29"/>
      <c r="I704" s="29"/>
    </row>
    <row r="705" customFormat="false" ht="15" hidden="false" customHeight="false" outlineLevel="0" collapsed="false">
      <c r="A705" s="26"/>
      <c r="B705" s="27"/>
      <c r="C705" s="28"/>
      <c r="D705" s="29"/>
      <c r="E705" s="29"/>
      <c r="F705" s="29"/>
      <c r="G705" s="29"/>
      <c r="H705" s="29"/>
      <c r="I705" s="29"/>
    </row>
    <row r="706" customFormat="false" ht="15" hidden="false" customHeight="false" outlineLevel="0" collapsed="false">
      <c r="A706" s="26"/>
      <c r="B706" s="27"/>
      <c r="C706" s="28"/>
      <c r="D706" s="29"/>
      <c r="E706" s="29"/>
      <c r="F706" s="29"/>
      <c r="G706" s="29"/>
      <c r="H706" s="29"/>
      <c r="I706" s="29"/>
    </row>
    <row r="707" customFormat="false" ht="15" hidden="false" customHeight="false" outlineLevel="0" collapsed="false">
      <c r="A707" s="26"/>
      <c r="B707" s="27"/>
      <c r="C707" s="28"/>
      <c r="D707" s="29"/>
      <c r="E707" s="29"/>
      <c r="F707" s="29"/>
      <c r="G707" s="29"/>
      <c r="H707" s="29"/>
      <c r="I707" s="29"/>
    </row>
    <row r="708" customFormat="false" ht="15" hidden="false" customHeight="false" outlineLevel="0" collapsed="false">
      <c r="A708" s="26"/>
      <c r="B708" s="27"/>
      <c r="C708" s="28"/>
      <c r="D708" s="29"/>
      <c r="E708" s="29"/>
      <c r="F708" s="29"/>
      <c r="G708" s="29"/>
      <c r="H708" s="29"/>
      <c r="I708" s="29"/>
    </row>
    <row r="709" customFormat="false" ht="15" hidden="false" customHeight="false" outlineLevel="0" collapsed="false">
      <c r="A709" s="26"/>
      <c r="B709" s="27"/>
      <c r="C709" s="28"/>
      <c r="D709" s="29"/>
      <c r="E709" s="29"/>
      <c r="F709" s="29"/>
      <c r="G709" s="29"/>
      <c r="H709" s="29"/>
      <c r="I709" s="29"/>
    </row>
    <row r="710" customFormat="false" ht="15" hidden="false" customHeight="false" outlineLevel="0" collapsed="false">
      <c r="A710" s="26"/>
      <c r="B710" s="27"/>
      <c r="C710" s="28"/>
      <c r="D710" s="29"/>
      <c r="E710" s="29"/>
      <c r="F710" s="29"/>
      <c r="G710" s="29"/>
      <c r="H710" s="29"/>
      <c r="I710" s="29"/>
    </row>
    <row r="711" customFormat="false" ht="15" hidden="false" customHeight="false" outlineLevel="0" collapsed="false">
      <c r="A711" s="26"/>
      <c r="B711" s="27"/>
      <c r="C711" s="28"/>
      <c r="D711" s="29"/>
      <c r="E711" s="29"/>
      <c r="F711" s="29"/>
      <c r="G711" s="29"/>
      <c r="H711" s="29"/>
      <c r="I711" s="29"/>
    </row>
    <row r="712" customFormat="false" ht="15" hidden="false" customHeight="false" outlineLevel="0" collapsed="false">
      <c r="A712" s="26"/>
      <c r="B712" s="27"/>
      <c r="C712" s="28"/>
      <c r="D712" s="29"/>
      <c r="E712" s="29"/>
      <c r="F712" s="29"/>
      <c r="G712" s="29"/>
      <c r="H712" s="29"/>
      <c r="I712" s="29"/>
    </row>
    <row r="713" customFormat="false" ht="15" hidden="false" customHeight="false" outlineLevel="0" collapsed="false">
      <c r="A713" s="26"/>
      <c r="B713" s="27"/>
      <c r="C713" s="28"/>
      <c r="D713" s="29"/>
      <c r="E713" s="29"/>
      <c r="F713" s="29"/>
      <c r="G713" s="29"/>
      <c r="H713" s="29"/>
      <c r="I713" s="29"/>
    </row>
    <row r="714" customFormat="false" ht="15" hidden="false" customHeight="false" outlineLevel="0" collapsed="false">
      <c r="A714" s="26"/>
      <c r="B714" s="27"/>
      <c r="C714" s="28"/>
      <c r="D714" s="29"/>
      <c r="E714" s="29"/>
      <c r="F714" s="29"/>
      <c r="G714" s="29"/>
      <c r="H714" s="29"/>
      <c r="I714" s="29"/>
    </row>
    <row r="715" customFormat="false" ht="15" hidden="false" customHeight="false" outlineLevel="0" collapsed="false">
      <c r="A715" s="26"/>
      <c r="B715" s="27"/>
      <c r="C715" s="28"/>
      <c r="D715" s="29"/>
      <c r="E715" s="29"/>
      <c r="F715" s="29"/>
      <c r="G715" s="29"/>
      <c r="H715" s="29"/>
      <c r="I715" s="29"/>
    </row>
    <row r="716" customFormat="false" ht="15" hidden="false" customHeight="false" outlineLevel="0" collapsed="false">
      <c r="A716" s="26"/>
      <c r="B716" s="27"/>
      <c r="C716" s="28"/>
      <c r="D716" s="29"/>
      <c r="E716" s="29"/>
      <c r="F716" s="29"/>
      <c r="G716" s="29"/>
      <c r="H716" s="29"/>
      <c r="I716" s="29"/>
    </row>
    <row r="717" customFormat="false" ht="15" hidden="false" customHeight="false" outlineLevel="0" collapsed="false">
      <c r="A717" s="26"/>
      <c r="B717" s="27"/>
      <c r="C717" s="28"/>
      <c r="D717" s="29"/>
      <c r="E717" s="29"/>
      <c r="F717" s="29"/>
      <c r="G717" s="29"/>
      <c r="H717" s="29"/>
      <c r="I717" s="29"/>
    </row>
    <row r="718" customFormat="false" ht="15" hidden="false" customHeight="false" outlineLevel="0" collapsed="false">
      <c r="A718" s="26"/>
      <c r="B718" s="27"/>
      <c r="C718" s="28"/>
      <c r="D718" s="29"/>
      <c r="E718" s="29"/>
      <c r="F718" s="29"/>
      <c r="G718" s="29"/>
      <c r="H718" s="29"/>
      <c r="I718" s="29"/>
    </row>
    <row r="719" customFormat="false" ht="15" hidden="false" customHeight="false" outlineLevel="0" collapsed="false">
      <c r="A719" s="26"/>
      <c r="B719" s="27"/>
      <c r="C719" s="28"/>
      <c r="D719" s="29"/>
      <c r="E719" s="29"/>
      <c r="F719" s="29"/>
      <c r="G719" s="29"/>
      <c r="H719" s="29"/>
      <c r="I719" s="29"/>
    </row>
    <row r="720" customFormat="false" ht="15" hidden="false" customHeight="false" outlineLevel="0" collapsed="false">
      <c r="A720" s="26"/>
      <c r="B720" s="27"/>
      <c r="C720" s="28"/>
      <c r="D720" s="29"/>
      <c r="E720" s="29"/>
      <c r="F720" s="29"/>
      <c r="G720" s="29"/>
      <c r="H720" s="29"/>
      <c r="I720" s="29"/>
    </row>
    <row r="721" customFormat="false" ht="15" hidden="false" customHeight="false" outlineLevel="0" collapsed="false">
      <c r="A721" s="26"/>
      <c r="B721" s="27"/>
      <c r="C721" s="28"/>
      <c r="D721" s="29"/>
      <c r="E721" s="29"/>
      <c r="F721" s="29"/>
      <c r="G721" s="29"/>
      <c r="H721" s="29"/>
      <c r="I721" s="29"/>
    </row>
    <row r="722" customFormat="false" ht="15" hidden="false" customHeight="false" outlineLevel="0" collapsed="false">
      <c r="A722" s="26"/>
      <c r="B722" s="27"/>
      <c r="C722" s="28"/>
      <c r="D722" s="29"/>
      <c r="E722" s="29"/>
      <c r="F722" s="29"/>
      <c r="G722" s="29"/>
      <c r="H722" s="29"/>
      <c r="I722" s="29"/>
    </row>
    <row r="723" customFormat="false" ht="15" hidden="false" customHeight="false" outlineLevel="0" collapsed="false">
      <c r="A723" s="26"/>
      <c r="B723" s="27"/>
      <c r="C723" s="28"/>
      <c r="D723" s="29"/>
      <c r="E723" s="29"/>
      <c r="F723" s="29"/>
      <c r="G723" s="29"/>
      <c r="H723" s="29"/>
      <c r="I723" s="29"/>
    </row>
    <row r="724" customFormat="false" ht="15" hidden="false" customHeight="false" outlineLevel="0" collapsed="false">
      <c r="A724" s="26"/>
      <c r="B724" s="27"/>
      <c r="C724" s="28"/>
      <c r="D724" s="29"/>
      <c r="E724" s="29"/>
      <c r="F724" s="29"/>
      <c r="G724" s="29"/>
      <c r="H724" s="29"/>
      <c r="I724" s="29"/>
    </row>
    <row r="725" customFormat="false" ht="15" hidden="false" customHeight="false" outlineLevel="0" collapsed="false">
      <c r="A725" s="26"/>
      <c r="B725" s="27"/>
      <c r="C725" s="28"/>
      <c r="D725" s="29"/>
      <c r="E725" s="29"/>
      <c r="F725" s="29"/>
      <c r="G725" s="29"/>
      <c r="H725" s="29"/>
      <c r="I725" s="29"/>
    </row>
    <row r="726" customFormat="false" ht="15" hidden="false" customHeight="false" outlineLevel="0" collapsed="false">
      <c r="A726" s="26"/>
      <c r="B726" s="27"/>
      <c r="C726" s="28"/>
      <c r="D726" s="29"/>
      <c r="E726" s="29"/>
      <c r="F726" s="29"/>
      <c r="G726" s="29"/>
      <c r="H726" s="29"/>
      <c r="I726" s="29"/>
    </row>
    <row r="727" customFormat="false" ht="15" hidden="false" customHeight="false" outlineLevel="0" collapsed="false">
      <c r="A727" s="26"/>
      <c r="B727" s="27"/>
      <c r="C727" s="28"/>
      <c r="D727" s="29"/>
      <c r="E727" s="29"/>
      <c r="F727" s="29"/>
      <c r="G727" s="29"/>
      <c r="H727" s="29"/>
      <c r="I727" s="29"/>
    </row>
    <row r="728" customFormat="false" ht="15" hidden="false" customHeight="false" outlineLevel="0" collapsed="false">
      <c r="A728" s="26"/>
      <c r="B728" s="27"/>
      <c r="C728" s="28"/>
      <c r="D728" s="29"/>
      <c r="E728" s="29"/>
      <c r="F728" s="29"/>
      <c r="G728" s="29"/>
      <c r="H728" s="29"/>
      <c r="I728" s="29"/>
    </row>
    <row r="729" customFormat="false" ht="15" hidden="false" customHeight="false" outlineLevel="0" collapsed="false">
      <c r="A729" s="26"/>
      <c r="B729" s="27"/>
      <c r="C729" s="28"/>
      <c r="D729" s="29"/>
      <c r="E729" s="29"/>
      <c r="F729" s="29"/>
      <c r="G729" s="29"/>
      <c r="H729" s="29"/>
      <c r="I729" s="29"/>
    </row>
    <row r="730" customFormat="false" ht="15" hidden="false" customHeight="false" outlineLevel="0" collapsed="false">
      <c r="A730" s="26"/>
      <c r="B730" s="27"/>
      <c r="C730" s="28"/>
      <c r="D730" s="29"/>
      <c r="E730" s="29"/>
      <c r="F730" s="29"/>
      <c r="G730" s="29"/>
      <c r="H730" s="29"/>
      <c r="I730" s="29"/>
    </row>
    <row r="731" customFormat="false" ht="15" hidden="false" customHeight="false" outlineLevel="0" collapsed="false">
      <c r="A731" s="26"/>
      <c r="B731" s="27"/>
      <c r="C731" s="28"/>
      <c r="D731" s="29"/>
      <c r="E731" s="29"/>
      <c r="F731" s="29"/>
      <c r="G731" s="29"/>
      <c r="H731" s="29"/>
      <c r="I731" s="29"/>
    </row>
    <row r="732" customFormat="false" ht="15" hidden="false" customHeight="false" outlineLevel="0" collapsed="false">
      <c r="A732" s="26"/>
      <c r="B732" s="27"/>
      <c r="C732" s="28"/>
      <c r="D732" s="29"/>
      <c r="E732" s="29"/>
      <c r="F732" s="29"/>
      <c r="G732" s="29"/>
      <c r="H732" s="29"/>
      <c r="I732" s="29"/>
    </row>
    <row r="733" customFormat="false" ht="15" hidden="false" customHeight="false" outlineLevel="0" collapsed="false">
      <c r="A733" s="26"/>
      <c r="B733" s="27"/>
      <c r="C733" s="28"/>
      <c r="D733" s="29"/>
      <c r="E733" s="29"/>
      <c r="F733" s="29"/>
      <c r="G733" s="29"/>
      <c r="H733" s="29"/>
      <c r="I733" s="29"/>
    </row>
    <row r="734" customFormat="false" ht="15" hidden="false" customHeight="false" outlineLevel="0" collapsed="false">
      <c r="A734" s="26"/>
      <c r="B734" s="27"/>
      <c r="C734" s="28"/>
      <c r="D734" s="29"/>
      <c r="E734" s="29"/>
      <c r="F734" s="29"/>
      <c r="G734" s="29"/>
      <c r="H734" s="29"/>
      <c r="I734" s="29"/>
    </row>
    <row r="735" customFormat="false" ht="15" hidden="false" customHeight="false" outlineLevel="0" collapsed="false">
      <c r="A735" s="26"/>
      <c r="B735" s="27"/>
      <c r="C735" s="28"/>
      <c r="D735" s="29"/>
      <c r="E735" s="29"/>
      <c r="F735" s="29"/>
      <c r="G735" s="29"/>
      <c r="H735" s="29"/>
      <c r="I735" s="29"/>
    </row>
    <row r="736" customFormat="false" ht="15" hidden="false" customHeight="false" outlineLevel="0" collapsed="false">
      <c r="A736" s="26"/>
      <c r="B736" s="27"/>
      <c r="C736" s="28"/>
      <c r="D736" s="29"/>
      <c r="E736" s="29"/>
      <c r="F736" s="29"/>
      <c r="G736" s="29"/>
      <c r="H736" s="29"/>
      <c r="I736" s="29"/>
    </row>
    <row r="737" customFormat="false" ht="15" hidden="false" customHeight="false" outlineLevel="0" collapsed="false">
      <c r="A737" s="26"/>
      <c r="B737" s="27"/>
      <c r="C737" s="28"/>
      <c r="D737" s="29"/>
      <c r="E737" s="29"/>
      <c r="F737" s="29"/>
      <c r="G737" s="29"/>
      <c r="H737" s="29"/>
      <c r="I737" s="29"/>
    </row>
    <row r="738" customFormat="false" ht="15" hidden="false" customHeight="false" outlineLevel="0" collapsed="false">
      <c r="A738" s="26"/>
      <c r="B738" s="27"/>
      <c r="C738" s="28"/>
      <c r="D738" s="29"/>
      <c r="E738" s="29"/>
      <c r="F738" s="29"/>
      <c r="G738" s="29"/>
      <c r="H738" s="29"/>
      <c r="I738" s="29"/>
    </row>
    <row r="739" customFormat="false" ht="15" hidden="false" customHeight="false" outlineLevel="0" collapsed="false">
      <c r="A739" s="26"/>
      <c r="B739" s="27"/>
      <c r="C739" s="28"/>
      <c r="D739" s="29"/>
      <c r="E739" s="29"/>
      <c r="F739" s="29"/>
      <c r="G739" s="29"/>
      <c r="H739" s="29"/>
      <c r="I739" s="29"/>
    </row>
    <row r="740" customFormat="false" ht="15" hidden="false" customHeight="false" outlineLevel="0" collapsed="false">
      <c r="A740" s="26"/>
      <c r="B740" s="27"/>
      <c r="C740" s="28"/>
      <c r="D740" s="29"/>
      <c r="E740" s="29"/>
      <c r="F740" s="29"/>
      <c r="G740" s="29"/>
      <c r="H740" s="29"/>
      <c r="I740" s="29"/>
    </row>
    <row r="741" customFormat="false" ht="15" hidden="false" customHeight="false" outlineLevel="0" collapsed="false">
      <c r="A741" s="26"/>
      <c r="B741" s="27"/>
      <c r="C741" s="28"/>
      <c r="D741" s="29"/>
      <c r="E741" s="29"/>
      <c r="F741" s="29"/>
      <c r="G741" s="29"/>
      <c r="H741" s="29"/>
      <c r="I741" s="29"/>
    </row>
    <row r="742" customFormat="false" ht="15" hidden="false" customHeight="false" outlineLevel="0" collapsed="false">
      <c r="A742" s="26"/>
      <c r="B742" s="27"/>
      <c r="C742" s="28"/>
      <c r="D742" s="29"/>
      <c r="E742" s="29"/>
      <c r="F742" s="29"/>
      <c r="G742" s="29"/>
      <c r="H742" s="29"/>
      <c r="I742" s="29"/>
    </row>
    <row r="743" customFormat="false" ht="15" hidden="false" customHeight="false" outlineLevel="0" collapsed="false">
      <c r="A743" s="26"/>
      <c r="B743" s="27"/>
      <c r="C743" s="28"/>
      <c r="D743" s="29"/>
      <c r="E743" s="29"/>
      <c r="F743" s="29"/>
      <c r="G743" s="29"/>
      <c r="H743" s="29"/>
      <c r="I743" s="29"/>
    </row>
    <row r="744" customFormat="false" ht="15" hidden="false" customHeight="false" outlineLevel="0" collapsed="false">
      <c r="A744" s="26"/>
      <c r="B744" s="27"/>
      <c r="C744" s="28"/>
      <c r="D744" s="29"/>
      <c r="E744" s="29"/>
      <c r="F744" s="29"/>
      <c r="G744" s="29"/>
      <c r="H744" s="29"/>
      <c r="I744" s="29"/>
    </row>
    <row r="745" customFormat="false" ht="15" hidden="false" customHeight="false" outlineLevel="0" collapsed="false">
      <c r="A745" s="26"/>
      <c r="B745" s="27"/>
      <c r="C745" s="28"/>
      <c r="D745" s="29"/>
      <c r="E745" s="29"/>
      <c r="F745" s="29"/>
      <c r="G745" s="29"/>
      <c r="H745" s="29"/>
      <c r="I745" s="29"/>
    </row>
    <row r="746" customFormat="false" ht="15" hidden="false" customHeight="false" outlineLevel="0" collapsed="false">
      <c r="A746" s="26"/>
      <c r="B746" s="27"/>
      <c r="C746" s="28"/>
      <c r="D746" s="29"/>
      <c r="E746" s="29"/>
      <c r="F746" s="29"/>
      <c r="G746" s="29"/>
      <c r="H746" s="29"/>
      <c r="I746" s="29"/>
    </row>
    <row r="747" customFormat="false" ht="15" hidden="false" customHeight="false" outlineLevel="0" collapsed="false">
      <c r="A747" s="26"/>
      <c r="B747" s="27"/>
      <c r="C747" s="28"/>
      <c r="D747" s="29"/>
      <c r="E747" s="29"/>
      <c r="F747" s="29"/>
      <c r="G747" s="29"/>
      <c r="H747" s="29"/>
      <c r="I747" s="29"/>
    </row>
    <row r="748" customFormat="false" ht="15" hidden="false" customHeight="false" outlineLevel="0" collapsed="false">
      <c r="A748" s="26"/>
      <c r="B748" s="27"/>
      <c r="C748" s="28"/>
      <c r="D748" s="29"/>
      <c r="E748" s="29"/>
      <c r="F748" s="29"/>
      <c r="G748" s="29"/>
      <c r="H748" s="29"/>
      <c r="I748" s="29"/>
    </row>
    <row r="749" customFormat="false" ht="15" hidden="false" customHeight="false" outlineLevel="0" collapsed="false">
      <c r="A749" s="26"/>
      <c r="B749" s="27"/>
      <c r="C749" s="28"/>
      <c r="D749" s="29"/>
      <c r="E749" s="29"/>
      <c r="F749" s="29"/>
      <c r="G749" s="29"/>
      <c r="H749" s="29"/>
      <c r="I749" s="29"/>
    </row>
    <row r="750" customFormat="false" ht="15" hidden="false" customHeight="false" outlineLevel="0" collapsed="false">
      <c r="A750" s="26"/>
      <c r="B750" s="27"/>
      <c r="C750" s="28"/>
      <c r="D750" s="29"/>
      <c r="E750" s="29"/>
      <c r="F750" s="29"/>
      <c r="G750" s="29"/>
      <c r="H750" s="29"/>
      <c r="I750" s="29"/>
    </row>
    <row r="751" customFormat="false" ht="15" hidden="false" customHeight="false" outlineLevel="0" collapsed="false">
      <c r="A751" s="26"/>
      <c r="B751" s="27"/>
      <c r="C751" s="28"/>
      <c r="D751" s="29"/>
      <c r="E751" s="29"/>
      <c r="F751" s="29"/>
      <c r="G751" s="29"/>
      <c r="H751" s="29"/>
      <c r="I751" s="29"/>
    </row>
    <row r="752" customFormat="false" ht="15" hidden="false" customHeight="false" outlineLevel="0" collapsed="false">
      <c r="A752" s="26"/>
      <c r="B752" s="27"/>
      <c r="C752" s="28"/>
      <c r="D752" s="29"/>
      <c r="E752" s="29"/>
      <c r="F752" s="29"/>
      <c r="G752" s="29"/>
      <c r="H752" s="29"/>
      <c r="I752" s="29"/>
    </row>
    <row r="753" customFormat="false" ht="15" hidden="false" customHeight="false" outlineLevel="0" collapsed="false">
      <c r="A753" s="26"/>
      <c r="B753" s="27"/>
      <c r="C753" s="28"/>
      <c r="D753" s="29"/>
      <c r="E753" s="29"/>
      <c r="F753" s="29"/>
      <c r="G753" s="29"/>
      <c r="H753" s="29"/>
      <c r="I753" s="29"/>
    </row>
    <row r="754" customFormat="false" ht="15" hidden="false" customHeight="false" outlineLevel="0" collapsed="false">
      <c r="A754" s="26"/>
      <c r="B754" s="27"/>
      <c r="C754" s="28"/>
      <c r="D754" s="29"/>
      <c r="E754" s="29"/>
      <c r="F754" s="29"/>
      <c r="G754" s="29"/>
      <c r="H754" s="29"/>
      <c r="I754" s="29"/>
    </row>
    <row r="755" customFormat="false" ht="15" hidden="false" customHeight="false" outlineLevel="0" collapsed="false">
      <c r="A755" s="26"/>
      <c r="B755" s="27"/>
      <c r="C755" s="28"/>
      <c r="D755" s="29"/>
      <c r="E755" s="29"/>
      <c r="F755" s="29"/>
      <c r="G755" s="29"/>
      <c r="H755" s="29"/>
      <c r="I755" s="29"/>
    </row>
    <row r="756" customFormat="false" ht="15" hidden="false" customHeight="false" outlineLevel="0" collapsed="false">
      <c r="A756" s="26"/>
      <c r="B756" s="27"/>
      <c r="C756" s="28"/>
      <c r="D756" s="29"/>
      <c r="E756" s="29"/>
      <c r="F756" s="29"/>
      <c r="G756" s="29"/>
      <c r="H756" s="29"/>
      <c r="I756" s="29"/>
    </row>
    <row r="757" customFormat="false" ht="15" hidden="false" customHeight="false" outlineLevel="0" collapsed="false">
      <c r="A757" s="26"/>
      <c r="B757" s="27"/>
      <c r="C757" s="28"/>
      <c r="D757" s="29"/>
      <c r="E757" s="29"/>
      <c r="F757" s="29"/>
      <c r="G757" s="29"/>
      <c r="H757" s="29"/>
      <c r="I757" s="29"/>
    </row>
    <row r="758" customFormat="false" ht="15" hidden="false" customHeight="false" outlineLevel="0" collapsed="false">
      <c r="A758" s="26"/>
      <c r="B758" s="27"/>
      <c r="C758" s="28"/>
      <c r="D758" s="29"/>
      <c r="E758" s="29"/>
      <c r="F758" s="29"/>
      <c r="G758" s="29"/>
      <c r="H758" s="29"/>
      <c r="I758" s="29"/>
    </row>
    <row r="759" customFormat="false" ht="15" hidden="false" customHeight="false" outlineLevel="0" collapsed="false">
      <c r="A759" s="26"/>
      <c r="B759" s="27"/>
      <c r="C759" s="28"/>
      <c r="D759" s="29"/>
      <c r="E759" s="29"/>
      <c r="F759" s="29"/>
      <c r="G759" s="29"/>
      <c r="H759" s="29"/>
      <c r="I759" s="29"/>
    </row>
    <row r="760" customFormat="false" ht="15" hidden="false" customHeight="false" outlineLevel="0" collapsed="false">
      <c r="A760" s="26"/>
      <c r="B760" s="27"/>
      <c r="C760" s="28"/>
      <c r="D760" s="29"/>
      <c r="E760" s="29"/>
      <c r="F760" s="29"/>
      <c r="G760" s="29"/>
      <c r="H760" s="29"/>
      <c r="I760" s="29"/>
    </row>
    <row r="761" customFormat="false" ht="15" hidden="false" customHeight="false" outlineLevel="0" collapsed="false">
      <c r="A761" s="26"/>
      <c r="B761" s="27"/>
      <c r="C761" s="28"/>
      <c r="D761" s="29"/>
      <c r="E761" s="29"/>
      <c r="F761" s="29"/>
      <c r="G761" s="29"/>
      <c r="H761" s="29"/>
      <c r="I761" s="29"/>
    </row>
    <row r="762" customFormat="false" ht="15" hidden="false" customHeight="false" outlineLevel="0" collapsed="false">
      <c r="A762" s="26"/>
      <c r="B762" s="27"/>
      <c r="C762" s="28"/>
      <c r="D762" s="29"/>
      <c r="E762" s="29"/>
      <c r="F762" s="29"/>
      <c r="G762" s="29"/>
      <c r="H762" s="29"/>
      <c r="I762" s="29"/>
    </row>
    <row r="763" customFormat="false" ht="15" hidden="false" customHeight="false" outlineLevel="0" collapsed="false">
      <c r="A763" s="26"/>
      <c r="B763" s="27"/>
      <c r="C763" s="28"/>
      <c r="D763" s="29"/>
      <c r="E763" s="29"/>
      <c r="F763" s="29"/>
      <c r="G763" s="29"/>
      <c r="H763" s="29"/>
      <c r="I763" s="29"/>
    </row>
    <row r="764" customFormat="false" ht="15" hidden="false" customHeight="false" outlineLevel="0" collapsed="false">
      <c r="A764" s="26"/>
      <c r="B764" s="27"/>
      <c r="C764" s="28"/>
      <c r="D764" s="29"/>
      <c r="E764" s="29"/>
      <c r="F764" s="29"/>
      <c r="G764" s="29"/>
      <c r="H764" s="29"/>
      <c r="I764" s="29"/>
    </row>
    <row r="765" customFormat="false" ht="15" hidden="false" customHeight="false" outlineLevel="0" collapsed="false">
      <c r="A765" s="26"/>
      <c r="B765" s="27"/>
      <c r="C765" s="28"/>
      <c r="D765" s="29"/>
      <c r="E765" s="29"/>
      <c r="F765" s="29"/>
      <c r="G765" s="29"/>
      <c r="H765" s="29"/>
      <c r="I765" s="29"/>
    </row>
    <row r="766" customFormat="false" ht="15" hidden="false" customHeight="false" outlineLevel="0" collapsed="false">
      <c r="A766" s="26"/>
      <c r="B766" s="27"/>
      <c r="C766" s="28"/>
      <c r="D766" s="29"/>
      <c r="E766" s="29"/>
      <c r="F766" s="29"/>
      <c r="G766" s="29"/>
      <c r="H766" s="29"/>
      <c r="I766" s="29"/>
    </row>
    <row r="767" customFormat="false" ht="15" hidden="false" customHeight="false" outlineLevel="0" collapsed="false">
      <c r="A767" s="26"/>
      <c r="B767" s="27"/>
      <c r="C767" s="28"/>
      <c r="D767" s="29"/>
      <c r="E767" s="29"/>
      <c r="F767" s="29"/>
      <c r="G767" s="29"/>
      <c r="H767" s="29"/>
      <c r="I767" s="29"/>
    </row>
    <row r="768" customFormat="false" ht="15" hidden="false" customHeight="false" outlineLevel="0" collapsed="false">
      <c r="A768" s="26"/>
      <c r="B768" s="27"/>
      <c r="C768" s="28"/>
      <c r="D768" s="29"/>
      <c r="E768" s="29"/>
      <c r="F768" s="29"/>
      <c r="G768" s="29"/>
      <c r="H768" s="29"/>
      <c r="I768" s="29"/>
    </row>
    <row r="769" customFormat="false" ht="15" hidden="false" customHeight="false" outlineLevel="0" collapsed="false">
      <c r="A769" s="26"/>
      <c r="B769" s="27"/>
      <c r="C769" s="28"/>
      <c r="D769" s="29"/>
      <c r="E769" s="29"/>
      <c r="F769" s="29"/>
      <c r="G769" s="29"/>
      <c r="H769" s="29"/>
      <c r="I769" s="29"/>
    </row>
    <row r="770" customFormat="false" ht="15" hidden="false" customHeight="false" outlineLevel="0" collapsed="false">
      <c r="A770" s="26"/>
      <c r="B770" s="27"/>
      <c r="C770" s="28"/>
      <c r="D770" s="29"/>
      <c r="E770" s="29"/>
      <c r="F770" s="29"/>
      <c r="G770" s="29"/>
      <c r="H770" s="29"/>
      <c r="I770" s="29"/>
    </row>
    <row r="771" customFormat="false" ht="15" hidden="false" customHeight="false" outlineLevel="0" collapsed="false">
      <c r="A771" s="26"/>
      <c r="B771" s="27"/>
      <c r="C771" s="28"/>
      <c r="D771" s="29"/>
      <c r="E771" s="29"/>
      <c r="F771" s="29"/>
      <c r="G771" s="29"/>
      <c r="H771" s="29"/>
      <c r="I771" s="29"/>
    </row>
    <row r="772" customFormat="false" ht="15" hidden="false" customHeight="false" outlineLevel="0" collapsed="false">
      <c r="A772" s="26"/>
      <c r="B772" s="27"/>
      <c r="C772" s="28"/>
      <c r="D772" s="29"/>
      <c r="E772" s="29"/>
      <c r="F772" s="29"/>
      <c r="G772" s="29"/>
      <c r="H772" s="29"/>
      <c r="I772" s="29"/>
    </row>
    <row r="773" customFormat="false" ht="15" hidden="false" customHeight="false" outlineLevel="0" collapsed="false">
      <c r="A773" s="26"/>
      <c r="B773" s="27"/>
      <c r="C773" s="28"/>
      <c r="D773" s="29"/>
      <c r="E773" s="29"/>
      <c r="F773" s="29"/>
      <c r="G773" s="29"/>
      <c r="H773" s="29"/>
      <c r="I773" s="29"/>
    </row>
    <row r="774" customFormat="false" ht="15" hidden="false" customHeight="false" outlineLevel="0" collapsed="false">
      <c r="A774" s="26"/>
      <c r="B774" s="27"/>
      <c r="C774" s="28"/>
      <c r="D774" s="29"/>
      <c r="E774" s="29"/>
      <c r="F774" s="29"/>
      <c r="G774" s="29"/>
      <c r="H774" s="29"/>
      <c r="I774" s="29"/>
    </row>
    <row r="775" customFormat="false" ht="15" hidden="false" customHeight="false" outlineLevel="0" collapsed="false">
      <c r="A775" s="26"/>
      <c r="B775" s="27"/>
      <c r="C775" s="28"/>
      <c r="D775" s="29"/>
      <c r="E775" s="29"/>
      <c r="F775" s="29"/>
      <c r="G775" s="29"/>
      <c r="H775" s="29"/>
      <c r="I775" s="29"/>
    </row>
    <row r="776" customFormat="false" ht="15" hidden="false" customHeight="false" outlineLevel="0" collapsed="false">
      <c r="A776" s="26"/>
      <c r="B776" s="27"/>
      <c r="C776" s="28"/>
      <c r="D776" s="29"/>
      <c r="E776" s="29"/>
      <c r="F776" s="29"/>
      <c r="G776" s="29"/>
      <c r="H776" s="29"/>
      <c r="I776" s="29"/>
    </row>
    <row r="777" customFormat="false" ht="15" hidden="false" customHeight="false" outlineLevel="0" collapsed="false">
      <c r="A777" s="26"/>
      <c r="B777" s="27"/>
      <c r="C777" s="28"/>
      <c r="D777" s="29"/>
      <c r="E777" s="29"/>
      <c r="F777" s="29"/>
      <c r="G777" s="29"/>
      <c r="H777" s="29"/>
      <c r="I777" s="29"/>
    </row>
    <row r="778" customFormat="false" ht="15" hidden="false" customHeight="false" outlineLevel="0" collapsed="false">
      <c r="A778" s="26"/>
      <c r="B778" s="27"/>
      <c r="C778" s="28"/>
      <c r="D778" s="29"/>
      <c r="E778" s="29"/>
      <c r="F778" s="29"/>
      <c r="G778" s="29"/>
      <c r="H778" s="29"/>
      <c r="I778" s="29"/>
    </row>
    <row r="779" customFormat="false" ht="15" hidden="false" customHeight="false" outlineLevel="0" collapsed="false">
      <c r="A779" s="26"/>
      <c r="B779" s="27"/>
      <c r="C779" s="28"/>
      <c r="D779" s="29"/>
      <c r="E779" s="29"/>
      <c r="F779" s="29"/>
      <c r="G779" s="29"/>
      <c r="H779" s="29"/>
      <c r="I779" s="29"/>
    </row>
    <row r="780" customFormat="false" ht="15" hidden="false" customHeight="false" outlineLevel="0" collapsed="false">
      <c r="A780" s="26"/>
      <c r="B780" s="27"/>
      <c r="C780" s="28"/>
      <c r="D780" s="29"/>
      <c r="E780" s="29"/>
      <c r="F780" s="29"/>
      <c r="G780" s="29"/>
      <c r="H780" s="29"/>
      <c r="I780" s="29"/>
    </row>
    <row r="781" customFormat="false" ht="15" hidden="false" customHeight="false" outlineLevel="0" collapsed="false">
      <c r="A781" s="26"/>
      <c r="B781" s="27"/>
      <c r="C781" s="28"/>
      <c r="D781" s="29"/>
      <c r="E781" s="29"/>
      <c r="F781" s="29"/>
      <c r="G781" s="29"/>
      <c r="H781" s="29"/>
      <c r="I781" s="29"/>
    </row>
    <row r="782" customFormat="false" ht="15" hidden="false" customHeight="false" outlineLevel="0" collapsed="false">
      <c r="A782" s="26"/>
      <c r="B782" s="27"/>
      <c r="C782" s="28"/>
      <c r="D782" s="29"/>
      <c r="E782" s="29"/>
      <c r="F782" s="29"/>
      <c r="G782" s="29"/>
      <c r="H782" s="29"/>
      <c r="I782" s="29"/>
    </row>
    <row r="783" customFormat="false" ht="15" hidden="false" customHeight="false" outlineLevel="0" collapsed="false">
      <c r="A783" s="26"/>
      <c r="B783" s="27"/>
      <c r="C783" s="28"/>
      <c r="D783" s="29"/>
      <c r="E783" s="29"/>
      <c r="F783" s="29"/>
      <c r="G783" s="29"/>
      <c r="H783" s="29"/>
      <c r="I783" s="29"/>
    </row>
    <row r="784" customFormat="false" ht="15" hidden="false" customHeight="false" outlineLevel="0" collapsed="false">
      <c r="A784" s="26"/>
      <c r="B784" s="27"/>
      <c r="C784" s="28"/>
      <c r="D784" s="29"/>
      <c r="E784" s="29"/>
      <c r="F784" s="29"/>
      <c r="G784" s="29"/>
      <c r="H784" s="29"/>
      <c r="I784" s="29"/>
    </row>
    <row r="785" customFormat="false" ht="15" hidden="false" customHeight="false" outlineLevel="0" collapsed="false">
      <c r="A785" s="26"/>
      <c r="B785" s="27"/>
      <c r="C785" s="28"/>
      <c r="D785" s="29"/>
      <c r="E785" s="29"/>
      <c r="F785" s="29"/>
      <c r="G785" s="29"/>
      <c r="H785" s="29"/>
      <c r="I785" s="29"/>
    </row>
    <row r="786" customFormat="false" ht="15" hidden="false" customHeight="false" outlineLevel="0" collapsed="false">
      <c r="A786" s="26"/>
      <c r="B786" s="27"/>
      <c r="C786" s="28"/>
      <c r="D786" s="29"/>
      <c r="E786" s="29"/>
      <c r="F786" s="29"/>
      <c r="G786" s="29"/>
      <c r="H786" s="29"/>
      <c r="I786" s="29"/>
    </row>
    <row r="787" customFormat="false" ht="15" hidden="false" customHeight="false" outlineLevel="0" collapsed="false">
      <c r="A787" s="26"/>
      <c r="B787" s="27"/>
      <c r="C787" s="28"/>
      <c r="D787" s="29"/>
      <c r="E787" s="29"/>
      <c r="F787" s="29"/>
      <c r="G787" s="29"/>
      <c r="H787" s="29"/>
      <c r="I787" s="29"/>
    </row>
    <row r="788" customFormat="false" ht="15" hidden="false" customHeight="false" outlineLevel="0" collapsed="false">
      <c r="A788" s="26"/>
      <c r="B788" s="27"/>
      <c r="C788" s="28"/>
      <c r="D788" s="29"/>
      <c r="E788" s="29"/>
      <c r="F788" s="29"/>
      <c r="G788" s="29"/>
      <c r="H788" s="29"/>
      <c r="I788" s="29"/>
    </row>
    <row r="789" customFormat="false" ht="15" hidden="false" customHeight="false" outlineLevel="0" collapsed="false">
      <c r="A789" s="26"/>
      <c r="B789" s="27"/>
      <c r="C789" s="28"/>
      <c r="D789" s="29"/>
      <c r="E789" s="29"/>
      <c r="F789" s="29"/>
      <c r="G789" s="29"/>
      <c r="H789" s="29"/>
      <c r="I789" s="29"/>
    </row>
    <row r="790" customFormat="false" ht="15" hidden="false" customHeight="false" outlineLevel="0" collapsed="false">
      <c r="A790" s="26"/>
      <c r="B790" s="27"/>
      <c r="C790" s="28"/>
      <c r="D790" s="29"/>
      <c r="E790" s="29"/>
      <c r="F790" s="29"/>
      <c r="G790" s="29"/>
      <c r="H790" s="29"/>
      <c r="I790" s="29"/>
    </row>
    <row r="791" customFormat="false" ht="15" hidden="false" customHeight="false" outlineLevel="0" collapsed="false">
      <c r="A791" s="26"/>
      <c r="B791" s="27"/>
      <c r="C791" s="28"/>
      <c r="D791" s="29"/>
      <c r="E791" s="29"/>
      <c r="F791" s="29"/>
      <c r="G791" s="29"/>
      <c r="H791" s="29"/>
      <c r="I791" s="29"/>
    </row>
    <row r="792" customFormat="false" ht="15" hidden="false" customHeight="false" outlineLevel="0" collapsed="false">
      <c r="A792" s="26"/>
      <c r="B792" s="27"/>
      <c r="C792" s="28"/>
      <c r="D792" s="29"/>
      <c r="E792" s="29"/>
      <c r="F792" s="29"/>
      <c r="G792" s="29"/>
      <c r="H792" s="29"/>
      <c r="I792" s="29"/>
    </row>
    <row r="793" customFormat="false" ht="15" hidden="false" customHeight="false" outlineLevel="0" collapsed="false">
      <c r="A793" s="26"/>
      <c r="B793" s="27"/>
      <c r="C793" s="28"/>
      <c r="D793" s="29"/>
      <c r="E793" s="29"/>
      <c r="F793" s="29"/>
      <c r="G793" s="29"/>
      <c r="H793" s="29"/>
      <c r="I793" s="29"/>
    </row>
    <row r="794" customFormat="false" ht="15" hidden="false" customHeight="false" outlineLevel="0" collapsed="false">
      <c r="A794" s="26"/>
      <c r="B794" s="27"/>
      <c r="C794" s="28"/>
      <c r="D794" s="29"/>
      <c r="E794" s="29"/>
      <c r="F794" s="29"/>
      <c r="G794" s="29"/>
      <c r="H794" s="29"/>
      <c r="I794" s="29"/>
    </row>
    <row r="795" customFormat="false" ht="15" hidden="false" customHeight="false" outlineLevel="0" collapsed="false">
      <c r="A795" s="26"/>
      <c r="B795" s="27"/>
      <c r="C795" s="28"/>
      <c r="D795" s="29"/>
      <c r="E795" s="29"/>
      <c r="F795" s="29"/>
      <c r="G795" s="29"/>
      <c r="H795" s="29"/>
      <c r="I795" s="29"/>
    </row>
    <row r="796" customFormat="false" ht="15" hidden="false" customHeight="false" outlineLevel="0" collapsed="false">
      <c r="A796" s="26"/>
      <c r="B796" s="27"/>
      <c r="C796" s="28"/>
      <c r="D796" s="29"/>
      <c r="E796" s="29"/>
      <c r="F796" s="29"/>
      <c r="G796" s="29"/>
      <c r="H796" s="29"/>
      <c r="I796" s="29"/>
    </row>
    <row r="797" customFormat="false" ht="15" hidden="false" customHeight="false" outlineLevel="0" collapsed="false">
      <c r="A797" s="26"/>
      <c r="B797" s="27"/>
      <c r="C797" s="28"/>
      <c r="D797" s="29"/>
      <c r="E797" s="29"/>
      <c r="F797" s="29"/>
      <c r="G797" s="29"/>
      <c r="H797" s="29"/>
      <c r="I797" s="29"/>
    </row>
    <row r="798" customFormat="false" ht="15" hidden="false" customHeight="false" outlineLevel="0" collapsed="false">
      <c r="A798" s="26"/>
      <c r="B798" s="27"/>
      <c r="C798" s="28"/>
      <c r="D798" s="29"/>
      <c r="E798" s="29"/>
      <c r="F798" s="29"/>
      <c r="G798" s="29"/>
      <c r="H798" s="29"/>
      <c r="I798" s="29"/>
    </row>
    <row r="799" customFormat="false" ht="15" hidden="false" customHeight="false" outlineLevel="0" collapsed="false">
      <c r="A799" s="26"/>
      <c r="B799" s="27"/>
      <c r="C799" s="28"/>
      <c r="D799" s="29"/>
      <c r="E799" s="29"/>
      <c r="F799" s="29"/>
      <c r="G799" s="29"/>
      <c r="H799" s="29"/>
      <c r="I799" s="29"/>
    </row>
    <row r="800" customFormat="false" ht="15" hidden="false" customHeight="false" outlineLevel="0" collapsed="false">
      <c r="A800" s="26"/>
      <c r="B800" s="27"/>
      <c r="C800" s="28"/>
      <c r="D800" s="29"/>
      <c r="E800" s="29"/>
      <c r="F800" s="29"/>
      <c r="G800" s="29"/>
      <c r="H800" s="29"/>
      <c r="I800" s="29"/>
    </row>
    <row r="801" customFormat="false" ht="15" hidden="false" customHeight="false" outlineLevel="0" collapsed="false">
      <c r="A801" s="26"/>
      <c r="B801" s="27"/>
      <c r="C801" s="28"/>
      <c r="D801" s="29"/>
      <c r="E801" s="29"/>
      <c r="F801" s="29"/>
      <c r="G801" s="29"/>
      <c r="H801" s="29"/>
      <c r="I801" s="29"/>
    </row>
    <row r="802" customFormat="false" ht="15" hidden="false" customHeight="false" outlineLevel="0" collapsed="false">
      <c r="A802" s="26"/>
      <c r="B802" s="27"/>
      <c r="C802" s="28"/>
      <c r="D802" s="29"/>
      <c r="E802" s="29"/>
      <c r="F802" s="29"/>
      <c r="G802" s="29"/>
      <c r="H802" s="29"/>
      <c r="I802" s="29"/>
    </row>
    <row r="803" customFormat="false" ht="15" hidden="false" customHeight="false" outlineLevel="0" collapsed="false">
      <c r="A803" s="26"/>
      <c r="B803" s="27"/>
      <c r="C803" s="28"/>
      <c r="D803" s="29"/>
      <c r="E803" s="29"/>
      <c r="F803" s="29"/>
      <c r="G803" s="29"/>
      <c r="H803" s="29"/>
      <c r="I803" s="29"/>
    </row>
    <row r="804" customFormat="false" ht="15" hidden="false" customHeight="false" outlineLevel="0" collapsed="false">
      <c r="A804" s="26"/>
      <c r="B804" s="27"/>
      <c r="C804" s="28"/>
      <c r="D804" s="29"/>
      <c r="E804" s="29"/>
      <c r="F804" s="29"/>
      <c r="G804" s="29"/>
      <c r="H804" s="29"/>
      <c r="I804" s="29"/>
    </row>
    <row r="805" customFormat="false" ht="15" hidden="false" customHeight="false" outlineLevel="0" collapsed="false">
      <c r="A805" s="26"/>
      <c r="B805" s="27"/>
      <c r="C805" s="28"/>
      <c r="D805" s="29"/>
      <c r="E805" s="29"/>
      <c r="F805" s="29"/>
      <c r="G805" s="29"/>
      <c r="H805" s="29"/>
      <c r="I805" s="29"/>
    </row>
    <row r="806" customFormat="false" ht="15" hidden="false" customHeight="false" outlineLevel="0" collapsed="false">
      <c r="A806" s="26"/>
      <c r="B806" s="27"/>
      <c r="C806" s="28"/>
      <c r="D806" s="29"/>
      <c r="E806" s="29"/>
      <c r="F806" s="29"/>
      <c r="G806" s="29"/>
      <c r="H806" s="29"/>
      <c r="I806" s="29"/>
    </row>
    <row r="807" customFormat="false" ht="15" hidden="false" customHeight="false" outlineLevel="0" collapsed="false">
      <c r="A807" s="26"/>
      <c r="B807" s="27"/>
      <c r="C807" s="28"/>
      <c r="D807" s="29"/>
      <c r="E807" s="29"/>
      <c r="F807" s="29"/>
      <c r="G807" s="29"/>
      <c r="H807" s="29"/>
      <c r="I807" s="29"/>
    </row>
    <row r="808" customFormat="false" ht="15" hidden="false" customHeight="false" outlineLevel="0" collapsed="false">
      <c r="A808" s="26"/>
      <c r="B808" s="27"/>
      <c r="C808" s="28"/>
      <c r="D808" s="29"/>
      <c r="E808" s="29"/>
      <c r="F808" s="29"/>
      <c r="G808" s="29"/>
      <c r="H808" s="29"/>
      <c r="I808" s="29"/>
    </row>
    <row r="809" customFormat="false" ht="15" hidden="false" customHeight="false" outlineLevel="0" collapsed="false">
      <c r="A809" s="26"/>
      <c r="B809" s="27"/>
      <c r="C809" s="28"/>
      <c r="D809" s="29"/>
      <c r="E809" s="29"/>
      <c r="F809" s="29"/>
      <c r="G809" s="29"/>
      <c r="H809" s="29"/>
      <c r="I809" s="29"/>
    </row>
    <row r="810" customFormat="false" ht="15" hidden="false" customHeight="false" outlineLevel="0" collapsed="false">
      <c r="A810" s="26"/>
      <c r="B810" s="27"/>
      <c r="C810" s="28"/>
      <c r="D810" s="29"/>
      <c r="E810" s="29"/>
      <c r="F810" s="29"/>
      <c r="G810" s="29"/>
      <c r="H810" s="29"/>
      <c r="I810" s="29"/>
    </row>
    <row r="811" customFormat="false" ht="15" hidden="false" customHeight="false" outlineLevel="0" collapsed="false">
      <c r="A811" s="26"/>
      <c r="B811" s="27"/>
      <c r="C811" s="28"/>
      <c r="D811" s="29"/>
      <c r="E811" s="29"/>
      <c r="F811" s="29"/>
      <c r="G811" s="29"/>
      <c r="H811" s="29"/>
      <c r="I811" s="29"/>
    </row>
    <row r="812" customFormat="false" ht="15" hidden="false" customHeight="false" outlineLevel="0" collapsed="false">
      <c r="A812" s="26"/>
      <c r="B812" s="27"/>
      <c r="C812" s="28"/>
      <c r="D812" s="29"/>
      <c r="E812" s="29"/>
      <c r="F812" s="29"/>
      <c r="G812" s="29"/>
      <c r="H812" s="29"/>
      <c r="I812" s="29"/>
    </row>
    <row r="813" customFormat="false" ht="15" hidden="false" customHeight="false" outlineLevel="0" collapsed="false">
      <c r="A813" s="26"/>
      <c r="B813" s="27"/>
      <c r="C813" s="28"/>
      <c r="D813" s="29"/>
      <c r="E813" s="29"/>
      <c r="F813" s="29"/>
      <c r="G813" s="29"/>
      <c r="H813" s="29"/>
      <c r="I813" s="29"/>
    </row>
    <row r="814" customFormat="false" ht="15" hidden="false" customHeight="false" outlineLevel="0" collapsed="false">
      <c r="A814" s="26"/>
      <c r="B814" s="27"/>
      <c r="C814" s="28"/>
      <c r="D814" s="29"/>
      <c r="E814" s="29"/>
      <c r="F814" s="29"/>
      <c r="G814" s="29"/>
      <c r="H814" s="29"/>
      <c r="I814" s="29"/>
    </row>
    <row r="815" customFormat="false" ht="15" hidden="false" customHeight="false" outlineLevel="0" collapsed="false">
      <c r="A815" s="26"/>
      <c r="B815" s="27"/>
      <c r="C815" s="28"/>
      <c r="D815" s="29"/>
      <c r="E815" s="29"/>
      <c r="F815" s="29"/>
      <c r="G815" s="29"/>
      <c r="H815" s="29"/>
      <c r="I815" s="29"/>
    </row>
    <row r="816" customFormat="false" ht="15" hidden="false" customHeight="false" outlineLevel="0" collapsed="false">
      <c r="A816" s="26"/>
      <c r="B816" s="27"/>
      <c r="C816" s="28"/>
      <c r="D816" s="29"/>
      <c r="E816" s="29"/>
      <c r="F816" s="29"/>
      <c r="G816" s="29"/>
      <c r="H816" s="29"/>
      <c r="I816" s="29"/>
    </row>
    <row r="817" customFormat="false" ht="15" hidden="false" customHeight="false" outlineLevel="0" collapsed="false">
      <c r="A817" s="26"/>
      <c r="B817" s="27"/>
      <c r="C817" s="28"/>
      <c r="D817" s="29"/>
      <c r="E817" s="29"/>
      <c r="F817" s="29"/>
      <c r="G817" s="29"/>
      <c r="H817" s="29"/>
      <c r="I817" s="29"/>
    </row>
    <row r="818" customFormat="false" ht="15" hidden="false" customHeight="false" outlineLevel="0" collapsed="false">
      <c r="A818" s="26"/>
      <c r="B818" s="27"/>
      <c r="C818" s="28"/>
      <c r="D818" s="29"/>
      <c r="E818" s="29"/>
      <c r="F818" s="29"/>
      <c r="G818" s="29"/>
      <c r="H818" s="29"/>
      <c r="I818" s="29"/>
    </row>
    <row r="819" customFormat="false" ht="15" hidden="false" customHeight="false" outlineLevel="0" collapsed="false">
      <c r="A819" s="26"/>
      <c r="B819" s="27"/>
      <c r="C819" s="28"/>
      <c r="D819" s="29"/>
      <c r="E819" s="29"/>
      <c r="F819" s="29"/>
      <c r="G819" s="29"/>
      <c r="H819" s="29"/>
      <c r="I819" s="29"/>
    </row>
    <row r="820" customFormat="false" ht="15" hidden="false" customHeight="false" outlineLevel="0" collapsed="false">
      <c r="A820" s="26"/>
      <c r="B820" s="27"/>
      <c r="C820" s="28"/>
      <c r="D820" s="29"/>
      <c r="E820" s="29"/>
      <c r="F820" s="29"/>
      <c r="G820" s="29"/>
      <c r="H820" s="29"/>
      <c r="I820" s="29"/>
    </row>
    <row r="821" customFormat="false" ht="15" hidden="false" customHeight="false" outlineLevel="0" collapsed="false">
      <c r="A821" s="26"/>
      <c r="B821" s="27"/>
      <c r="C821" s="28"/>
      <c r="D821" s="29"/>
      <c r="E821" s="29"/>
      <c r="F821" s="29"/>
      <c r="G821" s="29"/>
      <c r="H821" s="29"/>
      <c r="I821" s="29"/>
    </row>
    <row r="822" customFormat="false" ht="15" hidden="false" customHeight="false" outlineLevel="0" collapsed="false">
      <c r="A822" s="26"/>
      <c r="B822" s="27"/>
      <c r="C822" s="28"/>
      <c r="D822" s="29"/>
      <c r="E822" s="29"/>
      <c r="F822" s="29"/>
      <c r="G822" s="29"/>
      <c r="H822" s="29"/>
      <c r="I822" s="29"/>
    </row>
    <row r="823" customFormat="false" ht="15" hidden="false" customHeight="false" outlineLevel="0" collapsed="false">
      <c r="A823" s="26"/>
      <c r="B823" s="27"/>
      <c r="C823" s="28"/>
      <c r="D823" s="29"/>
      <c r="E823" s="29"/>
      <c r="F823" s="29"/>
      <c r="G823" s="29"/>
      <c r="H823" s="29"/>
      <c r="I823" s="29"/>
    </row>
    <row r="824" customFormat="false" ht="15" hidden="false" customHeight="false" outlineLevel="0" collapsed="false">
      <c r="A824" s="26"/>
      <c r="B824" s="27"/>
      <c r="C824" s="28"/>
      <c r="D824" s="29"/>
      <c r="E824" s="29"/>
      <c r="F824" s="29"/>
      <c r="G824" s="29"/>
      <c r="H824" s="29"/>
      <c r="I824" s="29"/>
    </row>
    <row r="825" customFormat="false" ht="15" hidden="false" customHeight="false" outlineLevel="0" collapsed="false">
      <c r="A825" s="26"/>
      <c r="B825" s="27"/>
      <c r="C825" s="28"/>
      <c r="D825" s="29"/>
      <c r="E825" s="29"/>
      <c r="F825" s="29"/>
      <c r="G825" s="29"/>
      <c r="H825" s="29"/>
      <c r="I825" s="29"/>
    </row>
    <row r="826" customFormat="false" ht="15" hidden="false" customHeight="false" outlineLevel="0" collapsed="false">
      <c r="A826" s="26"/>
      <c r="B826" s="27"/>
      <c r="C826" s="28"/>
      <c r="D826" s="29"/>
      <c r="E826" s="29"/>
      <c r="F826" s="29"/>
      <c r="G826" s="29"/>
      <c r="H826" s="29"/>
      <c r="I826" s="29"/>
    </row>
    <row r="827" customFormat="false" ht="15" hidden="false" customHeight="false" outlineLevel="0" collapsed="false">
      <c r="A827" s="26"/>
      <c r="B827" s="27"/>
      <c r="C827" s="28"/>
      <c r="D827" s="29"/>
      <c r="E827" s="29"/>
      <c r="F827" s="29"/>
      <c r="G827" s="29"/>
      <c r="H827" s="29"/>
      <c r="I827" s="29"/>
    </row>
    <row r="828" customFormat="false" ht="15" hidden="false" customHeight="false" outlineLevel="0" collapsed="false">
      <c r="A828" s="26"/>
      <c r="B828" s="27"/>
      <c r="C828" s="28"/>
      <c r="D828" s="29"/>
      <c r="E828" s="29"/>
      <c r="F828" s="29"/>
      <c r="G828" s="29"/>
      <c r="H828" s="29"/>
      <c r="I828" s="29"/>
    </row>
    <row r="829" customFormat="false" ht="15" hidden="false" customHeight="false" outlineLevel="0" collapsed="false">
      <c r="A829" s="26"/>
      <c r="B829" s="27"/>
      <c r="C829" s="28"/>
      <c r="D829" s="29"/>
      <c r="E829" s="29"/>
      <c r="F829" s="29"/>
      <c r="G829" s="29"/>
      <c r="H829" s="29"/>
      <c r="I829" s="29"/>
    </row>
    <row r="830" customFormat="false" ht="15" hidden="false" customHeight="false" outlineLevel="0" collapsed="false">
      <c r="A830" s="26"/>
      <c r="B830" s="27"/>
      <c r="C830" s="28"/>
      <c r="D830" s="29"/>
      <c r="E830" s="29"/>
      <c r="F830" s="29"/>
      <c r="G830" s="29"/>
      <c r="H830" s="29"/>
      <c r="I830" s="29"/>
    </row>
    <row r="831" customFormat="false" ht="15" hidden="false" customHeight="false" outlineLevel="0" collapsed="false">
      <c r="A831" s="26"/>
      <c r="B831" s="27"/>
      <c r="C831" s="28"/>
      <c r="D831" s="29"/>
      <c r="E831" s="29"/>
      <c r="F831" s="29"/>
      <c r="G831" s="29"/>
      <c r="H831" s="29"/>
      <c r="I831" s="29"/>
    </row>
    <row r="832" customFormat="false" ht="15" hidden="false" customHeight="false" outlineLevel="0" collapsed="false">
      <c r="A832" s="26"/>
      <c r="B832" s="27"/>
      <c r="C832" s="28"/>
      <c r="D832" s="29"/>
      <c r="E832" s="29"/>
      <c r="F832" s="29"/>
      <c r="G832" s="29"/>
      <c r="H832" s="29"/>
      <c r="I832" s="29"/>
    </row>
    <row r="833" customFormat="false" ht="15" hidden="false" customHeight="false" outlineLevel="0" collapsed="false">
      <c r="A833" s="26"/>
      <c r="B833" s="27"/>
      <c r="C833" s="28"/>
      <c r="D833" s="29"/>
      <c r="E833" s="29"/>
      <c r="F833" s="29"/>
      <c r="G833" s="29"/>
      <c r="H833" s="29"/>
      <c r="I833" s="29"/>
    </row>
    <row r="834" customFormat="false" ht="15" hidden="false" customHeight="false" outlineLevel="0" collapsed="false">
      <c r="A834" s="26"/>
      <c r="B834" s="27"/>
      <c r="C834" s="28"/>
      <c r="D834" s="29"/>
      <c r="E834" s="29"/>
      <c r="F834" s="29"/>
      <c r="G834" s="29"/>
      <c r="H834" s="29"/>
      <c r="I834" s="29"/>
    </row>
    <row r="835" customFormat="false" ht="15" hidden="false" customHeight="false" outlineLevel="0" collapsed="false">
      <c r="A835" s="26"/>
      <c r="B835" s="27"/>
      <c r="C835" s="28"/>
      <c r="D835" s="29"/>
      <c r="E835" s="29"/>
      <c r="F835" s="29"/>
      <c r="G835" s="29"/>
      <c r="H835" s="29"/>
      <c r="I835" s="29"/>
    </row>
    <row r="836" customFormat="false" ht="15" hidden="false" customHeight="false" outlineLevel="0" collapsed="false">
      <c r="A836" s="26"/>
      <c r="B836" s="27"/>
      <c r="C836" s="28"/>
      <c r="D836" s="29"/>
      <c r="E836" s="29"/>
      <c r="F836" s="29"/>
      <c r="G836" s="29"/>
      <c r="H836" s="29"/>
      <c r="I836" s="29"/>
    </row>
    <row r="837" customFormat="false" ht="15" hidden="false" customHeight="false" outlineLevel="0" collapsed="false">
      <c r="A837" s="26"/>
      <c r="B837" s="27"/>
      <c r="C837" s="28"/>
      <c r="D837" s="29"/>
      <c r="E837" s="29"/>
      <c r="F837" s="29"/>
      <c r="G837" s="29"/>
      <c r="H837" s="29"/>
      <c r="I837" s="29"/>
    </row>
    <row r="838" customFormat="false" ht="15" hidden="false" customHeight="false" outlineLevel="0" collapsed="false">
      <c r="A838" s="26"/>
      <c r="B838" s="27"/>
      <c r="C838" s="28"/>
      <c r="D838" s="29"/>
      <c r="E838" s="29"/>
      <c r="F838" s="29"/>
      <c r="G838" s="29"/>
      <c r="H838" s="29"/>
      <c r="I838" s="29"/>
    </row>
    <row r="839" customFormat="false" ht="15" hidden="false" customHeight="false" outlineLevel="0" collapsed="false">
      <c r="A839" s="26"/>
      <c r="B839" s="27"/>
      <c r="C839" s="28"/>
      <c r="D839" s="29"/>
      <c r="E839" s="29"/>
      <c r="F839" s="29"/>
      <c r="G839" s="29"/>
      <c r="H839" s="29"/>
      <c r="I839" s="29"/>
    </row>
    <row r="840" customFormat="false" ht="15" hidden="false" customHeight="false" outlineLevel="0" collapsed="false">
      <c r="A840" s="26"/>
      <c r="B840" s="27"/>
      <c r="C840" s="28"/>
      <c r="D840" s="29"/>
      <c r="E840" s="29"/>
      <c r="F840" s="29"/>
      <c r="G840" s="29"/>
      <c r="H840" s="29"/>
      <c r="I840" s="29"/>
    </row>
    <row r="841" customFormat="false" ht="15" hidden="false" customHeight="false" outlineLevel="0" collapsed="false">
      <c r="A841" s="26"/>
      <c r="B841" s="27"/>
      <c r="C841" s="28"/>
      <c r="D841" s="29"/>
      <c r="E841" s="29"/>
      <c r="F841" s="29"/>
      <c r="G841" s="29"/>
      <c r="H841" s="29"/>
      <c r="I841" s="29"/>
    </row>
    <row r="842" customFormat="false" ht="15" hidden="false" customHeight="false" outlineLevel="0" collapsed="false">
      <c r="A842" s="26"/>
      <c r="B842" s="27"/>
      <c r="C842" s="28"/>
      <c r="D842" s="29"/>
      <c r="E842" s="29"/>
      <c r="F842" s="29"/>
      <c r="G842" s="29"/>
      <c r="H842" s="29"/>
      <c r="I842" s="29"/>
    </row>
    <row r="843" customFormat="false" ht="15" hidden="false" customHeight="false" outlineLevel="0" collapsed="false">
      <c r="A843" s="26"/>
      <c r="B843" s="27"/>
      <c r="C843" s="28"/>
      <c r="D843" s="29"/>
      <c r="E843" s="29"/>
      <c r="F843" s="29"/>
      <c r="G843" s="29"/>
      <c r="H843" s="29"/>
      <c r="I843" s="29"/>
    </row>
    <row r="844" customFormat="false" ht="15" hidden="false" customHeight="false" outlineLevel="0" collapsed="false">
      <c r="A844" s="26"/>
      <c r="B844" s="27"/>
      <c r="C844" s="28"/>
      <c r="D844" s="29"/>
      <c r="E844" s="29"/>
      <c r="F844" s="29"/>
      <c r="G844" s="29"/>
      <c r="H844" s="29"/>
      <c r="I844" s="29"/>
    </row>
    <row r="845" customFormat="false" ht="15" hidden="false" customHeight="false" outlineLevel="0" collapsed="false">
      <c r="A845" s="26"/>
      <c r="B845" s="27"/>
      <c r="C845" s="28"/>
      <c r="D845" s="29"/>
      <c r="E845" s="29"/>
      <c r="F845" s="29"/>
      <c r="G845" s="29"/>
      <c r="H845" s="29"/>
      <c r="I845" s="29"/>
    </row>
    <row r="846" customFormat="false" ht="15" hidden="false" customHeight="false" outlineLevel="0" collapsed="false">
      <c r="A846" s="26"/>
      <c r="B846" s="27"/>
      <c r="C846" s="28"/>
      <c r="D846" s="29"/>
      <c r="E846" s="29"/>
      <c r="F846" s="29"/>
      <c r="G846" s="29"/>
      <c r="H846" s="29"/>
      <c r="I846" s="29"/>
    </row>
    <row r="847" customFormat="false" ht="15" hidden="false" customHeight="false" outlineLevel="0" collapsed="false">
      <c r="A847" s="26"/>
      <c r="B847" s="27"/>
      <c r="C847" s="28"/>
      <c r="D847" s="29"/>
      <c r="E847" s="29"/>
      <c r="F847" s="29"/>
      <c r="G847" s="29"/>
      <c r="H847" s="29"/>
      <c r="I847" s="29"/>
    </row>
    <row r="848" customFormat="false" ht="15" hidden="false" customHeight="false" outlineLevel="0" collapsed="false">
      <c r="A848" s="26"/>
      <c r="B848" s="27"/>
      <c r="C848" s="28"/>
      <c r="D848" s="29"/>
      <c r="E848" s="29"/>
      <c r="F848" s="29"/>
      <c r="G848" s="29"/>
      <c r="H848" s="29"/>
      <c r="I848" s="29"/>
    </row>
    <row r="849" customFormat="false" ht="15" hidden="false" customHeight="false" outlineLevel="0" collapsed="false">
      <c r="A849" s="26"/>
      <c r="B849" s="27"/>
      <c r="C849" s="28"/>
      <c r="D849" s="29"/>
      <c r="E849" s="29"/>
      <c r="F849" s="29"/>
      <c r="G849" s="29"/>
      <c r="H849" s="29"/>
      <c r="I849" s="29"/>
    </row>
    <row r="850" customFormat="false" ht="15" hidden="false" customHeight="false" outlineLevel="0" collapsed="false">
      <c r="A850" s="26"/>
      <c r="B850" s="27"/>
      <c r="C850" s="28"/>
      <c r="D850" s="29"/>
      <c r="E850" s="29"/>
      <c r="F850" s="29"/>
      <c r="G850" s="29"/>
      <c r="H850" s="29"/>
      <c r="I850" s="29"/>
    </row>
    <row r="851" customFormat="false" ht="15" hidden="false" customHeight="false" outlineLevel="0" collapsed="false">
      <c r="A851" s="26"/>
      <c r="B851" s="27"/>
      <c r="C851" s="28"/>
      <c r="D851" s="29"/>
      <c r="E851" s="29"/>
      <c r="F851" s="29"/>
      <c r="G851" s="29"/>
      <c r="H851" s="29"/>
      <c r="I851" s="29"/>
    </row>
    <row r="852" customFormat="false" ht="15" hidden="false" customHeight="false" outlineLevel="0" collapsed="false">
      <c r="A852" s="26"/>
      <c r="B852" s="27"/>
      <c r="C852" s="28"/>
      <c r="D852" s="29"/>
      <c r="E852" s="29"/>
      <c r="F852" s="29"/>
      <c r="G852" s="29"/>
      <c r="H852" s="29"/>
      <c r="I852" s="29"/>
    </row>
    <row r="853" customFormat="false" ht="15" hidden="false" customHeight="false" outlineLevel="0" collapsed="false">
      <c r="A853" s="26"/>
      <c r="B853" s="27"/>
      <c r="C853" s="28"/>
      <c r="D853" s="29"/>
      <c r="E853" s="29"/>
      <c r="F853" s="29"/>
      <c r="G853" s="29"/>
      <c r="H853" s="29"/>
      <c r="I853" s="29"/>
    </row>
    <row r="854" customFormat="false" ht="15" hidden="false" customHeight="false" outlineLevel="0" collapsed="false">
      <c r="A854" s="26"/>
      <c r="B854" s="27"/>
      <c r="C854" s="28"/>
      <c r="D854" s="29"/>
      <c r="E854" s="29"/>
      <c r="F854" s="29"/>
      <c r="G854" s="29"/>
      <c r="H854" s="29"/>
      <c r="I854" s="29"/>
    </row>
    <row r="855" customFormat="false" ht="15" hidden="false" customHeight="false" outlineLevel="0" collapsed="false">
      <c r="A855" s="26"/>
      <c r="B855" s="27"/>
      <c r="C855" s="28"/>
      <c r="D855" s="29"/>
      <c r="E855" s="29"/>
      <c r="F855" s="29"/>
      <c r="G855" s="29"/>
      <c r="H855" s="29"/>
      <c r="I855" s="29"/>
    </row>
    <row r="856" customFormat="false" ht="15" hidden="false" customHeight="false" outlineLevel="0" collapsed="false">
      <c r="A856" s="26"/>
      <c r="B856" s="27"/>
      <c r="C856" s="28"/>
      <c r="D856" s="29"/>
      <c r="E856" s="29"/>
      <c r="F856" s="29"/>
      <c r="G856" s="29"/>
      <c r="H856" s="29"/>
      <c r="I856" s="29"/>
    </row>
    <row r="857" customFormat="false" ht="15" hidden="false" customHeight="false" outlineLevel="0" collapsed="false">
      <c r="A857" s="26"/>
      <c r="B857" s="27"/>
      <c r="C857" s="28"/>
      <c r="D857" s="29"/>
      <c r="E857" s="29"/>
      <c r="F857" s="29"/>
      <c r="G857" s="29"/>
      <c r="H857" s="29"/>
      <c r="I857" s="29"/>
    </row>
    <row r="858" customFormat="false" ht="15" hidden="false" customHeight="false" outlineLevel="0" collapsed="false">
      <c r="A858" s="26"/>
      <c r="B858" s="27"/>
      <c r="C858" s="28"/>
      <c r="D858" s="29"/>
      <c r="E858" s="29"/>
      <c r="F858" s="29"/>
      <c r="G858" s="29"/>
      <c r="H858" s="29"/>
      <c r="I858" s="29"/>
    </row>
    <row r="859" customFormat="false" ht="15" hidden="false" customHeight="false" outlineLevel="0" collapsed="false">
      <c r="A859" s="26"/>
      <c r="B859" s="27"/>
      <c r="C859" s="28"/>
      <c r="D859" s="29"/>
      <c r="E859" s="29"/>
      <c r="F859" s="29"/>
      <c r="G859" s="29"/>
      <c r="H859" s="29"/>
      <c r="I859" s="29"/>
    </row>
    <row r="860" customFormat="false" ht="15" hidden="false" customHeight="false" outlineLevel="0" collapsed="false">
      <c r="A860" s="26"/>
      <c r="B860" s="27"/>
      <c r="C860" s="28"/>
      <c r="D860" s="29"/>
      <c r="E860" s="29"/>
      <c r="F860" s="29"/>
      <c r="G860" s="29"/>
      <c r="H860" s="29"/>
      <c r="I860" s="29"/>
    </row>
    <row r="861" customFormat="false" ht="15" hidden="false" customHeight="false" outlineLevel="0" collapsed="false">
      <c r="A861" s="26"/>
      <c r="B861" s="27"/>
      <c r="C861" s="28"/>
      <c r="D861" s="29"/>
      <c r="E861" s="29"/>
      <c r="F861" s="29"/>
      <c r="G861" s="29"/>
      <c r="H861" s="29"/>
      <c r="I861" s="29"/>
    </row>
    <row r="862" customFormat="false" ht="15" hidden="false" customHeight="false" outlineLevel="0" collapsed="false">
      <c r="A862" s="26"/>
      <c r="B862" s="27"/>
      <c r="C862" s="28"/>
      <c r="D862" s="29"/>
      <c r="E862" s="29"/>
      <c r="F862" s="29"/>
      <c r="G862" s="29"/>
      <c r="H862" s="29"/>
      <c r="I862" s="29"/>
    </row>
    <row r="863" customFormat="false" ht="15" hidden="false" customHeight="false" outlineLevel="0" collapsed="false">
      <c r="A863" s="26"/>
      <c r="B863" s="27"/>
      <c r="C863" s="28"/>
      <c r="D863" s="29"/>
      <c r="E863" s="29"/>
      <c r="F863" s="29"/>
      <c r="G863" s="29"/>
      <c r="H863" s="29"/>
      <c r="I863" s="29"/>
    </row>
    <row r="864" customFormat="false" ht="15" hidden="false" customHeight="false" outlineLevel="0" collapsed="false">
      <c r="A864" s="26"/>
      <c r="B864" s="27"/>
      <c r="C864" s="28"/>
      <c r="D864" s="29"/>
      <c r="E864" s="29"/>
      <c r="F864" s="29"/>
      <c r="G864" s="29"/>
      <c r="H864" s="29"/>
      <c r="I864" s="29"/>
    </row>
    <row r="865" customFormat="false" ht="15" hidden="false" customHeight="false" outlineLevel="0" collapsed="false">
      <c r="A865" s="26"/>
      <c r="B865" s="27"/>
      <c r="C865" s="28"/>
      <c r="D865" s="29"/>
      <c r="E865" s="29"/>
      <c r="F865" s="29"/>
      <c r="G865" s="29"/>
      <c r="H865" s="29"/>
      <c r="I865" s="29"/>
    </row>
    <row r="866" customFormat="false" ht="15" hidden="false" customHeight="false" outlineLevel="0" collapsed="false">
      <c r="A866" s="26"/>
      <c r="B866" s="27"/>
      <c r="C866" s="28"/>
      <c r="D866" s="29"/>
      <c r="E866" s="29"/>
      <c r="F866" s="29"/>
      <c r="G866" s="29"/>
      <c r="H866" s="29"/>
      <c r="I866" s="29"/>
    </row>
    <row r="867" customFormat="false" ht="15" hidden="false" customHeight="false" outlineLevel="0" collapsed="false">
      <c r="A867" s="26"/>
      <c r="B867" s="27"/>
      <c r="C867" s="28"/>
      <c r="D867" s="29"/>
      <c r="E867" s="29"/>
      <c r="F867" s="29"/>
      <c r="G867" s="29"/>
      <c r="H867" s="29"/>
      <c r="I867" s="29"/>
    </row>
    <row r="868" customFormat="false" ht="15" hidden="false" customHeight="false" outlineLevel="0" collapsed="false">
      <c r="A868" s="26"/>
      <c r="B868" s="27"/>
      <c r="C868" s="28"/>
      <c r="D868" s="29"/>
      <c r="E868" s="29"/>
      <c r="F868" s="29"/>
      <c r="G868" s="29"/>
      <c r="H868" s="29"/>
      <c r="I868" s="29"/>
    </row>
    <row r="869" customFormat="false" ht="15" hidden="false" customHeight="false" outlineLevel="0" collapsed="false">
      <c r="A869" s="26"/>
      <c r="B869" s="27"/>
      <c r="C869" s="28"/>
      <c r="D869" s="29"/>
      <c r="E869" s="29"/>
      <c r="F869" s="29"/>
      <c r="G869" s="29"/>
      <c r="H869" s="29"/>
      <c r="I869" s="29"/>
    </row>
    <row r="870" customFormat="false" ht="15" hidden="false" customHeight="false" outlineLevel="0" collapsed="false">
      <c r="A870" s="26"/>
      <c r="B870" s="27"/>
      <c r="C870" s="28"/>
      <c r="D870" s="29"/>
      <c r="E870" s="29"/>
      <c r="F870" s="29"/>
      <c r="G870" s="29"/>
      <c r="H870" s="29"/>
      <c r="I870" s="29"/>
    </row>
    <row r="871" customFormat="false" ht="15" hidden="false" customHeight="false" outlineLevel="0" collapsed="false">
      <c r="A871" s="26"/>
      <c r="B871" s="27"/>
      <c r="C871" s="28"/>
      <c r="D871" s="29"/>
      <c r="E871" s="29"/>
      <c r="F871" s="29"/>
      <c r="G871" s="29"/>
      <c r="H871" s="29"/>
      <c r="I871" s="29"/>
    </row>
    <row r="872" customFormat="false" ht="15" hidden="false" customHeight="false" outlineLevel="0" collapsed="false">
      <c r="A872" s="26"/>
      <c r="B872" s="27"/>
      <c r="C872" s="28"/>
      <c r="D872" s="29"/>
      <c r="E872" s="29"/>
      <c r="F872" s="29"/>
      <c r="G872" s="29"/>
      <c r="H872" s="29"/>
      <c r="I872" s="29"/>
    </row>
    <row r="873" customFormat="false" ht="15" hidden="false" customHeight="false" outlineLevel="0" collapsed="false">
      <c r="A873" s="26"/>
      <c r="B873" s="27"/>
      <c r="C873" s="28"/>
      <c r="D873" s="29"/>
      <c r="E873" s="29"/>
      <c r="F873" s="29"/>
      <c r="G873" s="29"/>
      <c r="H873" s="29"/>
      <c r="I873" s="29"/>
    </row>
    <row r="874" customFormat="false" ht="15" hidden="false" customHeight="false" outlineLevel="0" collapsed="false">
      <c r="A874" s="26"/>
      <c r="B874" s="27"/>
      <c r="C874" s="28"/>
      <c r="D874" s="29"/>
      <c r="E874" s="29"/>
      <c r="F874" s="29"/>
      <c r="G874" s="29"/>
      <c r="H874" s="29"/>
      <c r="I874" s="29"/>
    </row>
    <row r="875" customFormat="false" ht="15" hidden="false" customHeight="false" outlineLevel="0" collapsed="false">
      <c r="A875" s="26"/>
      <c r="B875" s="27"/>
      <c r="C875" s="28"/>
      <c r="D875" s="29"/>
      <c r="E875" s="29"/>
      <c r="F875" s="29"/>
      <c r="G875" s="29"/>
      <c r="H875" s="29"/>
      <c r="I875" s="29"/>
    </row>
    <row r="876" customFormat="false" ht="15" hidden="false" customHeight="false" outlineLevel="0" collapsed="false">
      <c r="A876" s="26"/>
      <c r="B876" s="27"/>
      <c r="C876" s="28"/>
      <c r="D876" s="29"/>
      <c r="E876" s="29"/>
      <c r="F876" s="29"/>
      <c r="G876" s="29"/>
      <c r="H876" s="29"/>
      <c r="I876" s="29"/>
    </row>
    <row r="877" customFormat="false" ht="15" hidden="false" customHeight="false" outlineLevel="0" collapsed="false">
      <c r="A877" s="26"/>
      <c r="B877" s="27"/>
      <c r="C877" s="28"/>
      <c r="D877" s="29"/>
      <c r="E877" s="29"/>
      <c r="F877" s="29"/>
      <c r="G877" s="29"/>
      <c r="H877" s="29"/>
      <c r="I877" s="29"/>
    </row>
    <row r="878" customFormat="false" ht="15" hidden="false" customHeight="false" outlineLevel="0" collapsed="false">
      <c r="A878" s="26"/>
      <c r="B878" s="27"/>
      <c r="C878" s="28"/>
      <c r="D878" s="29"/>
      <c r="E878" s="29"/>
      <c r="F878" s="29"/>
      <c r="G878" s="29"/>
      <c r="H878" s="29"/>
      <c r="I878" s="29"/>
    </row>
    <row r="879" customFormat="false" ht="15" hidden="false" customHeight="false" outlineLevel="0" collapsed="false">
      <c r="A879" s="26"/>
      <c r="B879" s="27"/>
      <c r="C879" s="28"/>
      <c r="D879" s="29"/>
      <c r="E879" s="29"/>
      <c r="F879" s="29"/>
      <c r="G879" s="29"/>
      <c r="H879" s="29"/>
      <c r="I879" s="29"/>
    </row>
    <row r="880" customFormat="false" ht="15" hidden="false" customHeight="false" outlineLevel="0" collapsed="false">
      <c r="A880" s="26"/>
      <c r="B880" s="27"/>
      <c r="C880" s="28"/>
      <c r="D880" s="29"/>
      <c r="E880" s="29"/>
      <c r="F880" s="29"/>
      <c r="G880" s="29"/>
      <c r="H880" s="29"/>
      <c r="I880" s="29"/>
    </row>
    <row r="881" customFormat="false" ht="15" hidden="false" customHeight="false" outlineLevel="0" collapsed="false">
      <c r="A881" s="26"/>
      <c r="B881" s="27"/>
      <c r="C881" s="28"/>
      <c r="D881" s="29"/>
      <c r="E881" s="29"/>
      <c r="F881" s="29"/>
      <c r="G881" s="29"/>
      <c r="H881" s="29"/>
      <c r="I881" s="29"/>
    </row>
    <row r="882" customFormat="false" ht="15" hidden="false" customHeight="false" outlineLevel="0" collapsed="false">
      <c r="A882" s="26"/>
      <c r="B882" s="27"/>
      <c r="C882" s="28"/>
      <c r="D882" s="29"/>
      <c r="E882" s="29"/>
      <c r="F882" s="29"/>
      <c r="G882" s="29"/>
      <c r="H882" s="29"/>
      <c r="I882" s="29"/>
    </row>
    <row r="883" customFormat="false" ht="15" hidden="false" customHeight="false" outlineLevel="0" collapsed="false">
      <c r="A883" s="26"/>
      <c r="B883" s="27"/>
      <c r="C883" s="28"/>
      <c r="D883" s="29"/>
      <c r="E883" s="29"/>
      <c r="F883" s="29"/>
      <c r="G883" s="29"/>
      <c r="H883" s="29"/>
      <c r="I883" s="29"/>
    </row>
    <row r="884" customFormat="false" ht="15" hidden="false" customHeight="false" outlineLevel="0" collapsed="false">
      <c r="A884" s="26"/>
      <c r="B884" s="27"/>
      <c r="C884" s="28"/>
      <c r="D884" s="29"/>
      <c r="E884" s="29"/>
      <c r="F884" s="29"/>
      <c r="G884" s="29"/>
      <c r="H884" s="29"/>
      <c r="I884" s="29"/>
    </row>
    <row r="885" customFormat="false" ht="15" hidden="false" customHeight="false" outlineLevel="0" collapsed="false">
      <c r="A885" s="26"/>
      <c r="B885" s="27"/>
      <c r="C885" s="28"/>
      <c r="D885" s="29"/>
      <c r="E885" s="29"/>
      <c r="F885" s="29"/>
      <c r="G885" s="29"/>
      <c r="H885" s="29"/>
      <c r="I885" s="29"/>
    </row>
    <row r="886" customFormat="false" ht="15" hidden="false" customHeight="false" outlineLevel="0" collapsed="false">
      <c r="A886" s="26"/>
      <c r="B886" s="27"/>
      <c r="C886" s="28"/>
      <c r="D886" s="29"/>
      <c r="E886" s="29"/>
      <c r="F886" s="29"/>
      <c r="G886" s="29"/>
      <c r="H886" s="29"/>
      <c r="I886" s="29"/>
    </row>
    <row r="887" customFormat="false" ht="15" hidden="false" customHeight="false" outlineLevel="0" collapsed="false">
      <c r="A887" s="26"/>
      <c r="B887" s="27"/>
      <c r="C887" s="28"/>
      <c r="D887" s="29"/>
      <c r="E887" s="29"/>
      <c r="F887" s="29"/>
      <c r="G887" s="29"/>
      <c r="H887" s="29"/>
      <c r="I887" s="29"/>
    </row>
    <row r="888" customFormat="false" ht="15" hidden="false" customHeight="false" outlineLevel="0" collapsed="false">
      <c r="A888" s="26"/>
      <c r="B888" s="27"/>
      <c r="C888" s="28"/>
      <c r="D888" s="29"/>
      <c r="E888" s="29"/>
      <c r="F888" s="29"/>
      <c r="G888" s="29"/>
      <c r="H888" s="29"/>
      <c r="I888" s="29"/>
    </row>
    <row r="889" customFormat="false" ht="15" hidden="false" customHeight="false" outlineLevel="0" collapsed="false">
      <c r="A889" s="26"/>
      <c r="B889" s="27"/>
      <c r="C889" s="28"/>
      <c r="D889" s="29"/>
      <c r="E889" s="29"/>
      <c r="F889" s="29"/>
      <c r="G889" s="29"/>
      <c r="H889" s="29"/>
      <c r="I889" s="29"/>
    </row>
    <row r="890" customFormat="false" ht="15" hidden="false" customHeight="false" outlineLevel="0" collapsed="false">
      <c r="A890" s="26"/>
      <c r="B890" s="27"/>
      <c r="C890" s="28"/>
      <c r="D890" s="29"/>
      <c r="E890" s="29"/>
      <c r="F890" s="29"/>
      <c r="G890" s="29"/>
      <c r="H890" s="29"/>
      <c r="I890" s="29"/>
    </row>
    <row r="891" customFormat="false" ht="15" hidden="false" customHeight="false" outlineLevel="0" collapsed="false">
      <c r="A891" s="26"/>
      <c r="B891" s="27"/>
      <c r="C891" s="28"/>
      <c r="D891" s="29"/>
      <c r="E891" s="29"/>
      <c r="F891" s="29"/>
      <c r="G891" s="29"/>
      <c r="H891" s="29"/>
      <c r="I891" s="29"/>
    </row>
    <row r="892" customFormat="false" ht="15" hidden="false" customHeight="false" outlineLevel="0" collapsed="false">
      <c r="A892" s="26"/>
      <c r="B892" s="27"/>
      <c r="C892" s="28"/>
      <c r="D892" s="29"/>
      <c r="E892" s="29"/>
      <c r="F892" s="29"/>
      <c r="G892" s="29"/>
      <c r="H892" s="29"/>
      <c r="I892" s="29"/>
    </row>
    <row r="893" customFormat="false" ht="15" hidden="false" customHeight="false" outlineLevel="0" collapsed="false">
      <c r="A893" s="26"/>
      <c r="B893" s="27"/>
      <c r="C893" s="28"/>
      <c r="D893" s="29"/>
      <c r="E893" s="29"/>
      <c r="F893" s="29"/>
      <c r="G893" s="29"/>
      <c r="H893" s="29"/>
      <c r="I893" s="29"/>
    </row>
    <row r="894" customFormat="false" ht="15" hidden="false" customHeight="false" outlineLevel="0" collapsed="false">
      <c r="A894" s="26"/>
      <c r="B894" s="27"/>
      <c r="C894" s="28"/>
      <c r="D894" s="29"/>
      <c r="E894" s="29"/>
      <c r="F894" s="29"/>
      <c r="G894" s="29"/>
      <c r="H894" s="29"/>
      <c r="I894" s="29"/>
    </row>
    <row r="895" customFormat="false" ht="15" hidden="false" customHeight="false" outlineLevel="0" collapsed="false">
      <c r="A895" s="26"/>
      <c r="B895" s="27"/>
      <c r="C895" s="28"/>
      <c r="D895" s="29"/>
      <c r="E895" s="29"/>
      <c r="F895" s="29"/>
      <c r="G895" s="29"/>
      <c r="H895" s="29"/>
      <c r="I895" s="29"/>
    </row>
    <row r="896" customFormat="false" ht="15" hidden="false" customHeight="false" outlineLevel="0" collapsed="false">
      <c r="A896" s="26"/>
      <c r="B896" s="27"/>
      <c r="C896" s="28"/>
      <c r="D896" s="29"/>
      <c r="E896" s="29"/>
      <c r="F896" s="29"/>
      <c r="G896" s="29"/>
      <c r="H896" s="29"/>
      <c r="I896" s="29"/>
    </row>
    <row r="897" customFormat="false" ht="15" hidden="false" customHeight="false" outlineLevel="0" collapsed="false">
      <c r="A897" s="26"/>
      <c r="B897" s="27"/>
      <c r="C897" s="28"/>
      <c r="D897" s="29"/>
      <c r="E897" s="29"/>
      <c r="F897" s="29"/>
      <c r="G897" s="29"/>
      <c r="H897" s="29"/>
      <c r="I897" s="29"/>
    </row>
    <row r="898" customFormat="false" ht="15" hidden="false" customHeight="false" outlineLevel="0" collapsed="false">
      <c r="A898" s="26"/>
      <c r="B898" s="27"/>
      <c r="C898" s="28"/>
      <c r="D898" s="29"/>
      <c r="E898" s="29"/>
      <c r="F898" s="29"/>
      <c r="G898" s="29"/>
      <c r="H898" s="29"/>
      <c r="I898" s="29"/>
    </row>
    <row r="899" customFormat="false" ht="15" hidden="false" customHeight="false" outlineLevel="0" collapsed="false">
      <c r="A899" s="26"/>
      <c r="B899" s="27"/>
      <c r="C899" s="28"/>
      <c r="D899" s="29"/>
      <c r="E899" s="29"/>
      <c r="F899" s="29"/>
      <c r="G899" s="29"/>
      <c r="H899" s="29"/>
      <c r="I899" s="29"/>
    </row>
    <row r="900" customFormat="false" ht="15" hidden="false" customHeight="false" outlineLevel="0" collapsed="false">
      <c r="A900" s="26"/>
      <c r="B900" s="27"/>
      <c r="C900" s="28"/>
      <c r="D900" s="29"/>
      <c r="E900" s="29"/>
      <c r="F900" s="29"/>
      <c r="G900" s="29"/>
      <c r="H900" s="29"/>
      <c r="I900" s="29"/>
    </row>
    <row r="901" customFormat="false" ht="15" hidden="false" customHeight="false" outlineLevel="0" collapsed="false">
      <c r="A901" s="26"/>
      <c r="B901" s="27"/>
      <c r="C901" s="28"/>
      <c r="D901" s="29"/>
      <c r="E901" s="29"/>
      <c r="F901" s="29"/>
      <c r="G901" s="29"/>
      <c r="H901" s="29"/>
      <c r="I901" s="29"/>
    </row>
    <row r="902" customFormat="false" ht="15" hidden="false" customHeight="false" outlineLevel="0" collapsed="false">
      <c r="A902" s="26"/>
      <c r="B902" s="27"/>
      <c r="C902" s="28"/>
      <c r="D902" s="29"/>
      <c r="E902" s="29"/>
      <c r="F902" s="29"/>
      <c r="G902" s="29"/>
      <c r="H902" s="29"/>
      <c r="I902" s="29"/>
    </row>
    <row r="903" customFormat="false" ht="15" hidden="false" customHeight="false" outlineLevel="0" collapsed="false">
      <c r="A903" s="26"/>
      <c r="B903" s="27"/>
      <c r="C903" s="28"/>
      <c r="D903" s="29"/>
      <c r="E903" s="29"/>
      <c r="F903" s="29"/>
      <c r="G903" s="29"/>
      <c r="H903" s="29"/>
      <c r="I903" s="29"/>
    </row>
    <row r="904" customFormat="false" ht="15" hidden="false" customHeight="false" outlineLevel="0" collapsed="false">
      <c r="A904" s="26"/>
      <c r="B904" s="27"/>
      <c r="C904" s="28"/>
      <c r="D904" s="29"/>
      <c r="E904" s="29"/>
      <c r="F904" s="29"/>
      <c r="G904" s="29"/>
      <c r="H904" s="29"/>
      <c r="I904" s="29"/>
    </row>
    <row r="905" customFormat="false" ht="15" hidden="false" customHeight="false" outlineLevel="0" collapsed="false">
      <c r="A905" s="26"/>
      <c r="B905" s="27"/>
      <c r="C905" s="28"/>
      <c r="D905" s="29"/>
      <c r="E905" s="29"/>
      <c r="F905" s="29"/>
      <c r="G905" s="29"/>
      <c r="H905" s="29"/>
      <c r="I905" s="29"/>
    </row>
    <row r="906" customFormat="false" ht="15" hidden="false" customHeight="false" outlineLevel="0" collapsed="false">
      <c r="A906" s="26"/>
      <c r="B906" s="27"/>
      <c r="C906" s="28"/>
      <c r="D906" s="29"/>
      <c r="E906" s="29"/>
      <c r="F906" s="29"/>
      <c r="G906" s="29"/>
      <c r="H906" s="29"/>
      <c r="I906" s="29"/>
    </row>
    <row r="907" customFormat="false" ht="15" hidden="false" customHeight="false" outlineLevel="0" collapsed="false">
      <c r="A907" s="26"/>
      <c r="B907" s="27"/>
      <c r="C907" s="28"/>
      <c r="D907" s="29"/>
      <c r="E907" s="29"/>
      <c r="F907" s="29"/>
      <c r="G907" s="29"/>
      <c r="H907" s="29"/>
      <c r="I907" s="29"/>
    </row>
    <row r="908" customFormat="false" ht="15" hidden="false" customHeight="false" outlineLevel="0" collapsed="false">
      <c r="A908" s="26"/>
      <c r="B908" s="27"/>
      <c r="C908" s="28"/>
      <c r="D908" s="29"/>
      <c r="E908" s="29"/>
      <c r="F908" s="29"/>
      <c r="G908" s="29"/>
      <c r="H908" s="29"/>
      <c r="I908" s="29"/>
    </row>
    <row r="909" customFormat="false" ht="15" hidden="false" customHeight="false" outlineLevel="0" collapsed="false">
      <c r="A909" s="26"/>
      <c r="B909" s="27"/>
      <c r="C909" s="28"/>
      <c r="D909" s="29"/>
      <c r="E909" s="29"/>
      <c r="F909" s="29"/>
      <c r="G909" s="29"/>
      <c r="H909" s="29"/>
      <c r="I909" s="29"/>
    </row>
    <row r="910" customFormat="false" ht="15" hidden="false" customHeight="false" outlineLevel="0" collapsed="false">
      <c r="A910" s="26"/>
      <c r="B910" s="27"/>
      <c r="C910" s="28"/>
      <c r="D910" s="29"/>
      <c r="E910" s="29"/>
      <c r="F910" s="29"/>
      <c r="G910" s="29"/>
      <c r="H910" s="29"/>
      <c r="I910" s="29"/>
    </row>
    <row r="911" customFormat="false" ht="15" hidden="false" customHeight="false" outlineLevel="0" collapsed="false">
      <c r="A911" s="26"/>
      <c r="B911" s="27"/>
      <c r="C911" s="28"/>
      <c r="D911" s="29"/>
      <c r="E911" s="29"/>
      <c r="F911" s="29"/>
      <c r="G911" s="29"/>
      <c r="H911" s="29"/>
      <c r="I911" s="29"/>
    </row>
    <row r="912" customFormat="false" ht="15" hidden="false" customHeight="false" outlineLevel="0" collapsed="false">
      <c r="A912" s="26"/>
      <c r="B912" s="27"/>
      <c r="C912" s="28"/>
      <c r="D912" s="29"/>
      <c r="E912" s="29"/>
      <c r="F912" s="29"/>
      <c r="G912" s="29"/>
      <c r="H912" s="29"/>
      <c r="I912" s="29"/>
    </row>
    <row r="913" customFormat="false" ht="15" hidden="false" customHeight="false" outlineLevel="0" collapsed="false">
      <c r="A913" s="26"/>
      <c r="B913" s="27"/>
      <c r="C913" s="28"/>
      <c r="D913" s="29"/>
      <c r="E913" s="29"/>
      <c r="F913" s="29"/>
      <c r="G913" s="29"/>
      <c r="H913" s="29"/>
      <c r="I913" s="29"/>
    </row>
    <row r="914" customFormat="false" ht="15" hidden="false" customHeight="false" outlineLevel="0" collapsed="false">
      <c r="A914" s="26"/>
      <c r="B914" s="27"/>
      <c r="C914" s="28"/>
      <c r="D914" s="29"/>
      <c r="E914" s="29"/>
      <c r="F914" s="29"/>
      <c r="G914" s="29"/>
      <c r="H914" s="29"/>
      <c r="I914" s="29"/>
    </row>
    <row r="915" customFormat="false" ht="15" hidden="false" customHeight="false" outlineLevel="0" collapsed="false">
      <c r="A915" s="26"/>
      <c r="B915" s="27"/>
      <c r="C915" s="28"/>
      <c r="D915" s="29"/>
      <c r="E915" s="29"/>
      <c r="F915" s="29"/>
      <c r="G915" s="29"/>
      <c r="H915" s="29"/>
      <c r="I915" s="29"/>
    </row>
    <row r="916" customFormat="false" ht="15" hidden="false" customHeight="false" outlineLevel="0" collapsed="false">
      <c r="A916" s="26"/>
      <c r="B916" s="27"/>
      <c r="C916" s="28"/>
      <c r="D916" s="29"/>
      <c r="E916" s="29"/>
      <c r="F916" s="29"/>
      <c r="G916" s="29"/>
      <c r="H916" s="29"/>
      <c r="I916" s="29"/>
    </row>
    <row r="917" customFormat="false" ht="15" hidden="false" customHeight="false" outlineLevel="0" collapsed="false">
      <c r="A917" s="26"/>
      <c r="B917" s="27"/>
      <c r="C917" s="28"/>
      <c r="D917" s="29"/>
      <c r="E917" s="29"/>
      <c r="F917" s="29"/>
      <c r="G917" s="29"/>
      <c r="H917" s="29"/>
      <c r="I917" s="29"/>
    </row>
    <row r="918" customFormat="false" ht="15" hidden="false" customHeight="false" outlineLevel="0" collapsed="false">
      <c r="A918" s="26"/>
      <c r="B918" s="27"/>
      <c r="C918" s="28"/>
      <c r="D918" s="29"/>
      <c r="E918" s="29"/>
      <c r="F918" s="29"/>
      <c r="G918" s="29"/>
      <c r="H918" s="29"/>
      <c r="I918" s="29"/>
    </row>
    <row r="919" customFormat="false" ht="15" hidden="false" customHeight="false" outlineLevel="0" collapsed="false">
      <c r="A919" s="26"/>
      <c r="B919" s="27"/>
      <c r="C919" s="28"/>
      <c r="D919" s="29"/>
      <c r="E919" s="29"/>
      <c r="F919" s="29"/>
      <c r="G919" s="29"/>
      <c r="H919" s="29"/>
      <c r="I919" s="29"/>
    </row>
    <row r="920" customFormat="false" ht="15" hidden="false" customHeight="false" outlineLevel="0" collapsed="false">
      <c r="A920" s="26"/>
      <c r="B920" s="27"/>
      <c r="C920" s="28"/>
      <c r="D920" s="29"/>
      <c r="E920" s="29"/>
      <c r="F920" s="29"/>
      <c r="G920" s="29"/>
      <c r="H920" s="29"/>
      <c r="I920" s="29"/>
    </row>
    <row r="921" customFormat="false" ht="15" hidden="false" customHeight="false" outlineLevel="0" collapsed="false">
      <c r="A921" s="26"/>
      <c r="B921" s="27"/>
      <c r="C921" s="28"/>
      <c r="D921" s="29"/>
      <c r="E921" s="29"/>
      <c r="F921" s="29"/>
      <c r="G921" s="29"/>
      <c r="H921" s="29"/>
      <c r="I921" s="29"/>
    </row>
    <row r="922" customFormat="false" ht="15" hidden="false" customHeight="false" outlineLevel="0" collapsed="false">
      <c r="A922" s="26"/>
      <c r="B922" s="27"/>
      <c r="C922" s="28"/>
      <c r="D922" s="29"/>
      <c r="E922" s="29"/>
      <c r="F922" s="29"/>
      <c r="G922" s="29"/>
      <c r="H922" s="29"/>
      <c r="I922" s="29"/>
    </row>
    <row r="923" customFormat="false" ht="15" hidden="false" customHeight="false" outlineLevel="0" collapsed="false">
      <c r="A923" s="26"/>
      <c r="B923" s="27"/>
      <c r="C923" s="28"/>
      <c r="D923" s="29"/>
      <c r="E923" s="29"/>
      <c r="F923" s="29"/>
      <c r="G923" s="29"/>
      <c r="H923" s="29"/>
      <c r="I923" s="29"/>
    </row>
    <row r="924" customFormat="false" ht="15" hidden="false" customHeight="false" outlineLevel="0" collapsed="false">
      <c r="A924" s="26"/>
      <c r="B924" s="27"/>
      <c r="C924" s="28"/>
      <c r="D924" s="29"/>
      <c r="E924" s="29"/>
      <c r="F924" s="29"/>
      <c r="G924" s="29"/>
      <c r="H924" s="29"/>
      <c r="I924" s="29"/>
    </row>
    <row r="925" customFormat="false" ht="15" hidden="false" customHeight="false" outlineLevel="0" collapsed="false">
      <c r="A925" s="26"/>
      <c r="B925" s="27"/>
      <c r="C925" s="28"/>
      <c r="D925" s="29"/>
      <c r="E925" s="29"/>
      <c r="F925" s="29"/>
      <c r="G925" s="29"/>
      <c r="H925" s="29"/>
      <c r="I925" s="29"/>
    </row>
    <row r="926" customFormat="false" ht="15" hidden="false" customHeight="false" outlineLevel="0" collapsed="false">
      <c r="A926" s="26"/>
      <c r="B926" s="27"/>
      <c r="C926" s="28"/>
      <c r="D926" s="29"/>
      <c r="E926" s="29"/>
      <c r="F926" s="29"/>
      <c r="G926" s="29"/>
      <c r="H926" s="29"/>
      <c r="I926" s="29"/>
    </row>
    <row r="927" customFormat="false" ht="15" hidden="false" customHeight="false" outlineLevel="0" collapsed="false">
      <c r="A927" s="26"/>
      <c r="B927" s="27"/>
      <c r="C927" s="28"/>
      <c r="D927" s="29"/>
      <c r="E927" s="29"/>
      <c r="F927" s="29"/>
      <c r="G927" s="29"/>
      <c r="H927" s="29"/>
      <c r="I927" s="29"/>
    </row>
    <row r="928" customFormat="false" ht="15" hidden="false" customHeight="false" outlineLevel="0" collapsed="false">
      <c r="A928" s="26"/>
      <c r="B928" s="27"/>
      <c r="C928" s="28"/>
      <c r="D928" s="29"/>
      <c r="E928" s="29"/>
      <c r="F928" s="29"/>
      <c r="G928" s="29"/>
      <c r="H928" s="29"/>
      <c r="I928" s="29"/>
    </row>
    <row r="929" customFormat="false" ht="15" hidden="false" customHeight="false" outlineLevel="0" collapsed="false">
      <c r="A929" s="26"/>
      <c r="B929" s="27"/>
      <c r="C929" s="28"/>
      <c r="D929" s="29"/>
      <c r="E929" s="29"/>
      <c r="F929" s="29"/>
      <c r="G929" s="29"/>
      <c r="H929" s="29"/>
      <c r="I929" s="29"/>
    </row>
    <row r="930" customFormat="false" ht="15" hidden="false" customHeight="false" outlineLevel="0" collapsed="false">
      <c r="A930" s="26"/>
      <c r="B930" s="27"/>
      <c r="C930" s="28"/>
      <c r="D930" s="29"/>
      <c r="E930" s="29"/>
      <c r="F930" s="29"/>
      <c r="G930" s="29"/>
      <c r="H930" s="29"/>
      <c r="I930" s="29"/>
    </row>
    <row r="931" customFormat="false" ht="15" hidden="false" customHeight="false" outlineLevel="0" collapsed="false">
      <c r="A931" s="26"/>
      <c r="B931" s="27"/>
      <c r="C931" s="28"/>
      <c r="D931" s="29"/>
      <c r="E931" s="29"/>
      <c r="F931" s="29"/>
      <c r="G931" s="29"/>
      <c r="H931" s="29"/>
      <c r="I931" s="29"/>
    </row>
    <row r="932" customFormat="false" ht="15" hidden="false" customHeight="false" outlineLevel="0" collapsed="false">
      <c r="A932" s="26"/>
      <c r="B932" s="27"/>
      <c r="C932" s="28"/>
      <c r="D932" s="29"/>
      <c r="E932" s="29"/>
      <c r="F932" s="29"/>
      <c r="G932" s="29"/>
      <c r="H932" s="29"/>
      <c r="I932" s="29"/>
    </row>
    <row r="933" customFormat="false" ht="15" hidden="false" customHeight="false" outlineLevel="0" collapsed="false">
      <c r="A933" s="26"/>
      <c r="B933" s="27"/>
      <c r="C933" s="28"/>
      <c r="D933" s="29"/>
      <c r="E933" s="29"/>
      <c r="F933" s="29"/>
      <c r="G933" s="29"/>
      <c r="H933" s="29"/>
      <c r="I933" s="29"/>
    </row>
    <row r="934" customFormat="false" ht="15" hidden="false" customHeight="false" outlineLevel="0" collapsed="false">
      <c r="A934" s="26"/>
      <c r="B934" s="27"/>
      <c r="C934" s="28"/>
      <c r="D934" s="29"/>
      <c r="E934" s="29"/>
      <c r="F934" s="29"/>
      <c r="G934" s="29"/>
      <c r="H934" s="29"/>
      <c r="I934" s="29"/>
    </row>
    <row r="935" customFormat="false" ht="15" hidden="false" customHeight="false" outlineLevel="0" collapsed="false">
      <c r="A935" s="26"/>
      <c r="B935" s="27"/>
      <c r="C935" s="28"/>
      <c r="D935" s="29"/>
      <c r="E935" s="29"/>
      <c r="F935" s="29"/>
      <c r="G935" s="29"/>
      <c r="H935" s="29"/>
      <c r="I935" s="29"/>
    </row>
    <row r="936" customFormat="false" ht="15" hidden="false" customHeight="false" outlineLevel="0" collapsed="false">
      <c r="A936" s="26"/>
      <c r="B936" s="27"/>
      <c r="C936" s="28"/>
      <c r="D936" s="29"/>
      <c r="E936" s="29"/>
      <c r="F936" s="29"/>
      <c r="G936" s="29"/>
      <c r="H936" s="29"/>
      <c r="I936" s="29"/>
    </row>
    <row r="937" customFormat="false" ht="15" hidden="false" customHeight="false" outlineLevel="0" collapsed="false">
      <c r="A937" s="26"/>
      <c r="B937" s="27"/>
      <c r="C937" s="28"/>
      <c r="D937" s="29"/>
      <c r="E937" s="29"/>
      <c r="F937" s="29"/>
      <c r="G937" s="29"/>
      <c r="H937" s="29"/>
      <c r="I937" s="29"/>
    </row>
    <row r="938" customFormat="false" ht="15" hidden="false" customHeight="false" outlineLevel="0" collapsed="false">
      <c r="A938" s="26"/>
      <c r="B938" s="27"/>
      <c r="C938" s="28"/>
      <c r="D938" s="29"/>
      <c r="E938" s="29"/>
      <c r="F938" s="29"/>
      <c r="G938" s="29"/>
      <c r="H938" s="29"/>
      <c r="I938" s="29"/>
    </row>
    <row r="939" customFormat="false" ht="15" hidden="false" customHeight="false" outlineLevel="0" collapsed="false">
      <c r="A939" s="26"/>
      <c r="B939" s="27"/>
      <c r="C939" s="28"/>
      <c r="D939" s="29"/>
      <c r="E939" s="29"/>
      <c r="F939" s="29"/>
      <c r="G939" s="29"/>
      <c r="H939" s="29"/>
      <c r="I939" s="29"/>
    </row>
    <row r="940" customFormat="false" ht="15" hidden="false" customHeight="false" outlineLevel="0" collapsed="false">
      <c r="A940" s="26"/>
      <c r="B940" s="27"/>
      <c r="C940" s="28"/>
      <c r="D940" s="29"/>
      <c r="E940" s="29"/>
      <c r="F940" s="29"/>
      <c r="G940" s="29"/>
      <c r="H940" s="29"/>
      <c r="I940" s="29"/>
    </row>
    <row r="941" customFormat="false" ht="15" hidden="false" customHeight="false" outlineLevel="0" collapsed="false">
      <c r="A941" s="26"/>
      <c r="B941" s="27"/>
      <c r="C941" s="28"/>
      <c r="D941" s="29"/>
      <c r="E941" s="29"/>
      <c r="F941" s="29"/>
      <c r="G941" s="29"/>
      <c r="H941" s="29"/>
      <c r="I941" s="29"/>
    </row>
    <row r="942" customFormat="false" ht="15" hidden="false" customHeight="false" outlineLevel="0" collapsed="false">
      <c r="A942" s="26"/>
      <c r="B942" s="27"/>
      <c r="C942" s="28"/>
      <c r="D942" s="29"/>
      <c r="E942" s="29"/>
      <c r="F942" s="29"/>
      <c r="G942" s="29"/>
      <c r="H942" s="29"/>
      <c r="I942" s="29"/>
    </row>
    <row r="943" customFormat="false" ht="15" hidden="false" customHeight="false" outlineLevel="0" collapsed="false">
      <c r="A943" s="26"/>
      <c r="B943" s="27"/>
      <c r="C943" s="28"/>
      <c r="D943" s="29"/>
      <c r="E943" s="29"/>
      <c r="F943" s="29"/>
      <c r="G943" s="29"/>
      <c r="H943" s="29"/>
      <c r="I943" s="29"/>
    </row>
    <row r="944" customFormat="false" ht="15" hidden="false" customHeight="false" outlineLevel="0" collapsed="false">
      <c r="A944" s="26"/>
      <c r="B944" s="27"/>
      <c r="C944" s="28"/>
      <c r="D944" s="29"/>
      <c r="E944" s="29"/>
      <c r="F944" s="29"/>
      <c r="G944" s="29"/>
      <c r="H944" s="29"/>
      <c r="I944" s="29"/>
    </row>
    <row r="945" customFormat="false" ht="15" hidden="false" customHeight="false" outlineLevel="0" collapsed="false">
      <c r="A945" s="26"/>
      <c r="B945" s="27"/>
      <c r="C945" s="28"/>
      <c r="D945" s="29"/>
      <c r="E945" s="29"/>
      <c r="F945" s="29"/>
      <c r="G945" s="29"/>
      <c r="H945" s="29"/>
      <c r="I945" s="29"/>
    </row>
    <row r="946" customFormat="false" ht="15" hidden="false" customHeight="false" outlineLevel="0" collapsed="false">
      <c r="A946" s="26"/>
      <c r="B946" s="27"/>
      <c r="C946" s="28"/>
      <c r="D946" s="29"/>
      <c r="E946" s="29"/>
      <c r="F946" s="29"/>
      <c r="G946" s="29"/>
      <c r="H946" s="29"/>
      <c r="I946" s="29"/>
    </row>
    <row r="947" customFormat="false" ht="15" hidden="false" customHeight="false" outlineLevel="0" collapsed="false">
      <c r="A947" s="26"/>
      <c r="B947" s="27"/>
      <c r="C947" s="28"/>
      <c r="D947" s="29"/>
      <c r="E947" s="29"/>
      <c r="F947" s="29"/>
      <c r="G947" s="29"/>
      <c r="H947" s="29"/>
      <c r="I947" s="29"/>
    </row>
    <row r="948" customFormat="false" ht="15" hidden="false" customHeight="false" outlineLevel="0" collapsed="false">
      <c r="A948" s="26"/>
      <c r="B948" s="27"/>
      <c r="C948" s="28"/>
      <c r="D948" s="29"/>
      <c r="E948" s="29"/>
      <c r="F948" s="29"/>
      <c r="G948" s="29"/>
      <c r="H948" s="29"/>
      <c r="I948" s="29"/>
    </row>
    <row r="949" customFormat="false" ht="15" hidden="false" customHeight="false" outlineLevel="0" collapsed="false">
      <c r="A949" s="26"/>
      <c r="B949" s="27"/>
      <c r="C949" s="28"/>
      <c r="D949" s="29"/>
      <c r="E949" s="29"/>
      <c r="F949" s="29"/>
      <c r="G949" s="29"/>
      <c r="H949" s="29"/>
      <c r="I949" s="29"/>
    </row>
    <row r="950" customFormat="false" ht="15" hidden="false" customHeight="false" outlineLevel="0" collapsed="false">
      <c r="A950" s="26"/>
      <c r="B950" s="27"/>
      <c r="C950" s="28"/>
      <c r="D950" s="29"/>
      <c r="E950" s="29"/>
      <c r="F950" s="29"/>
      <c r="G950" s="29"/>
      <c r="H950" s="29"/>
      <c r="I950" s="29"/>
    </row>
    <row r="951" customFormat="false" ht="15" hidden="false" customHeight="false" outlineLevel="0" collapsed="false">
      <c r="A951" s="26"/>
      <c r="B951" s="27"/>
      <c r="C951" s="28"/>
      <c r="D951" s="29"/>
      <c r="E951" s="29"/>
      <c r="F951" s="29"/>
      <c r="G951" s="29"/>
      <c r="H951" s="29"/>
      <c r="I951" s="29"/>
    </row>
    <row r="952" customFormat="false" ht="15" hidden="false" customHeight="false" outlineLevel="0" collapsed="false">
      <c r="A952" s="26"/>
      <c r="B952" s="27"/>
      <c r="C952" s="28"/>
      <c r="D952" s="29"/>
      <c r="E952" s="29"/>
      <c r="F952" s="29"/>
      <c r="G952" s="29"/>
      <c r="H952" s="29"/>
      <c r="I952" s="29"/>
    </row>
    <row r="953" customFormat="false" ht="15" hidden="false" customHeight="false" outlineLevel="0" collapsed="false">
      <c r="A953" s="26"/>
      <c r="B953" s="27"/>
      <c r="C953" s="28"/>
      <c r="D953" s="29"/>
      <c r="E953" s="29"/>
      <c r="F953" s="29"/>
      <c r="G953" s="29"/>
      <c r="H953" s="29"/>
      <c r="I953" s="29"/>
    </row>
    <row r="954" customFormat="false" ht="15" hidden="false" customHeight="false" outlineLevel="0" collapsed="false">
      <c r="A954" s="26"/>
      <c r="B954" s="27"/>
      <c r="C954" s="28"/>
      <c r="D954" s="29"/>
      <c r="E954" s="29"/>
      <c r="F954" s="29"/>
      <c r="G954" s="29"/>
      <c r="H954" s="29"/>
      <c r="I954" s="29"/>
    </row>
    <row r="955" customFormat="false" ht="15" hidden="false" customHeight="false" outlineLevel="0" collapsed="false">
      <c r="A955" s="26"/>
      <c r="B955" s="27"/>
      <c r="C955" s="28"/>
      <c r="D955" s="29"/>
      <c r="E955" s="29"/>
      <c r="F955" s="29"/>
      <c r="G955" s="29"/>
      <c r="H955" s="29"/>
      <c r="I955" s="29"/>
    </row>
    <row r="956" customFormat="false" ht="15" hidden="false" customHeight="false" outlineLevel="0" collapsed="false">
      <c r="A956" s="26"/>
      <c r="B956" s="27"/>
      <c r="C956" s="28"/>
      <c r="D956" s="29"/>
      <c r="E956" s="29"/>
      <c r="F956" s="29"/>
      <c r="G956" s="29"/>
      <c r="H956" s="29"/>
      <c r="I956" s="29"/>
    </row>
    <row r="957" customFormat="false" ht="15" hidden="false" customHeight="false" outlineLevel="0" collapsed="false">
      <c r="A957" s="26"/>
      <c r="B957" s="27"/>
      <c r="C957" s="28"/>
      <c r="D957" s="29"/>
      <c r="E957" s="29"/>
      <c r="F957" s="29"/>
      <c r="G957" s="29"/>
      <c r="H957" s="29"/>
      <c r="I957" s="29"/>
    </row>
    <row r="958" customFormat="false" ht="15" hidden="false" customHeight="false" outlineLevel="0" collapsed="false">
      <c r="A958" s="26"/>
      <c r="B958" s="27"/>
      <c r="C958" s="28"/>
      <c r="D958" s="29"/>
      <c r="E958" s="29"/>
      <c r="F958" s="29"/>
      <c r="G958" s="29"/>
      <c r="H958" s="29"/>
      <c r="I958" s="29"/>
    </row>
    <row r="959" customFormat="false" ht="15" hidden="false" customHeight="false" outlineLevel="0" collapsed="false">
      <c r="A959" s="26"/>
      <c r="B959" s="27"/>
      <c r="C959" s="28"/>
      <c r="D959" s="29"/>
      <c r="E959" s="29"/>
      <c r="F959" s="29"/>
      <c r="G959" s="29"/>
      <c r="H959" s="29"/>
      <c r="I959" s="29"/>
    </row>
    <row r="960" customFormat="false" ht="15" hidden="false" customHeight="false" outlineLevel="0" collapsed="false">
      <c r="A960" s="26"/>
      <c r="B960" s="27"/>
      <c r="C960" s="28"/>
      <c r="D960" s="29"/>
      <c r="E960" s="29"/>
      <c r="F960" s="29"/>
      <c r="G960" s="29"/>
      <c r="H960" s="29"/>
      <c r="I960" s="29"/>
    </row>
    <row r="961" customFormat="false" ht="15" hidden="false" customHeight="false" outlineLevel="0" collapsed="false">
      <c r="A961" s="26"/>
      <c r="B961" s="27"/>
      <c r="C961" s="28"/>
      <c r="D961" s="29"/>
      <c r="E961" s="29"/>
      <c r="F961" s="29"/>
      <c r="G961" s="29"/>
      <c r="H961" s="29"/>
      <c r="I961" s="29"/>
    </row>
    <row r="962" customFormat="false" ht="15" hidden="false" customHeight="false" outlineLevel="0" collapsed="false">
      <c r="A962" s="26"/>
      <c r="B962" s="27"/>
      <c r="C962" s="28"/>
      <c r="D962" s="29"/>
      <c r="E962" s="29"/>
      <c r="F962" s="29"/>
      <c r="G962" s="29"/>
      <c r="H962" s="29"/>
      <c r="I962" s="29"/>
    </row>
    <row r="963" customFormat="false" ht="15" hidden="false" customHeight="false" outlineLevel="0" collapsed="false">
      <c r="A963" s="26"/>
      <c r="B963" s="27"/>
      <c r="C963" s="28"/>
      <c r="D963" s="29"/>
      <c r="E963" s="29"/>
      <c r="F963" s="29"/>
      <c r="G963" s="29"/>
      <c r="H963" s="29"/>
      <c r="I963" s="29"/>
    </row>
    <row r="964" customFormat="false" ht="15" hidden="false" customHeight="false" outlineLevel="0" collapsed="false">
      <c r="A964" s="26"/>
      <c r="B964" s="27"/>
      <c r="C964" s="28"/>
      <c r="D964" s="29"/>
      <c r="E964" s="29"/>
      <c r="F964" s="29"/>
      <c r="G964" s="29"/>
      <c r="H964" s="29"/>
      <c r="I964" s="29"/>
    </row>
    <row r="965" customFormat="false" ht="15" hidden="false" customHeight="false" outlineLevel="0" collapsed="false">
      <c r="A965" s="26"/>
      <c r="B965" s="27"/>
      <c r="C965" s="28"/>
      <c r="D965" s="29"/>
      <c r="E965" s="29"/>
      <c r="F965" s="29"/>
      <c r="G965" s="29"/>
      <c r="H965" s="29"/>
      <c r="I965" s="29"/>
    </row>
    <row r="966" customFormat="false" ht="15" hidden="false" customHeight="false" outlineLevel="0" collapsed="false">
      <c r="A966" s="26"/>
      <c r="B966" s="27"/>
      <c r="C966" s="28"/>
      <c r="D966" s="29"/>
      <c r="E966" s="29"/>
      <c r="F966" s="29"/>
      <c r="G966" s="29"/>
      <c r="H966" s="29"/>
      <c r="I966" s="29"/>
    </row>
    <row r="967" customFormat="false" ht="15" hidden="false" customHeight="false" outlineLevel="0" collapsed="false">
      <c r="A967" s="26"/>
      <c r="B967" s="27"/>
      <c r="C967" s="28"/>
      <c r="D967" s="29"/>
      <c r="E967" s="29"/>
      <c r="F967" s="29"/>
      <c r="G967" s="29"/>
      <c r="H967" s="29"/>
      <c r="I967" s="29"/>
    </row>
    <row r="968" customFormat="false" ht="15" hidden="false" customHeight="false" outlineLevel="0" collapsed="false">
      <c r="A968" s="26"/>
      <c r="B968" s="27"/>
      <c r="C968" s="28"/>
      <c r="D968" s="29"/>
      <c r="E968" s="29"/>
      <c r="F968" s="29"/>
      <c r="G968" s="29"/>
      <c r="H968" s="29"/>
      <c r="I968" s="29"/>
    </row>
    <row r="969" customFormat="false" ht="15" hidden="false" customHeight="false" outlineLevel="0" collapsed="false">
      <c r="A969" s="26"/>
      <c r="B969" s="27"/>
      <c r="C969" s="28"/>
      <c r="D969" s="29"/>
      <c r="E969" s="29"/>
      <c r="F969" s="29"/>
      <c r="G969" s="29"/>
      <c r="H969" s="29"/>
      <c r="I969" s="29"/>
    </row>
    <row r="970" customFormat="false" ht="15" hidden="false" customHeight="false" outlineLevel="0" collapsed="false">
      <c r="A970" s="26"/>
      <c r="B970" s="27"/>
      <c r="C970" s="28"/>
      <c r="D970" s="29"/>
      <c r="E970" s="29"/>
      <c r="F970" s="29"/>
      <c r="G970" s="29"/>
      <c r="H970" s="29"/>
      <c r="I970" s="29"/>
    </row>
    <row r="971" customFormat="false" ht="15" hidden="false" customHeight="false" outlineLevel="0" collapsed="false">
      <c r="A971" s="26"/>
      <c r="B971" s="27"/>
      <c r="C971" s="28"/>
      <c r="D971" s="29"/>
      <c r="E971" s="29"/>
      <c r="F971" s="29"/>
      <c r="G971" s="29"/>
      <c r="H971" s="29"/>
      <c r="I971" s="29"/>
    </row>
    <row r="972" customFormat="false" ht="15" hidden="false" customHeight="false" outlineLevel="0" collapsed="false">
      <c r="A972" s="26"/>
      <c r="B972" s="27"/>
      <c r="C972" s="28"/>
      <c r="D972" s="29"/>
      <c r="E972" s="29"/>
      <c r="F972" s="29"/>
      <c r="G972" s="29"/>
      <c r="H972" s="29"/>
      <c r="I972" s="29"/>
    </row>
    <row r="973" customFormat="false" ht="15" hidden="false" customHeight="false" outlineLevel="0" collapsed="false">
      <c r="A973" s="26"/>
      <c r="B973" s="27"/>
      <c r="C973" s="28"/>
      <c r="D973" s="29"/>
      <c r="E973" s="29"/>
      <c r="F973" s="29"/>
      <c r="G973" s="29"/>
      <c r="H973" s="29"/>
      <c r="I973" s="29"/>
    </row>
    <row r="974" customFormat="false" ht="15" hidden="false" customHeight="false" outlineLevel="0" collapsed="false">
      <c r="A974" s="26"/>
      <c r="B974" s="27"/>
      <c r="C974" s="28"/>
      <c r="D974" s="29"/>
      <c r="E974" s="29"/>
      <c r="F974" s="29"/>
      <c r="G974" s="29"/>
      <c r="H974" s="29"/>
      <c r="I974" s="29"/>
    </row>
    <row r="975" customFormat="false" ht="15" hidden="false" customHeight="false" outlineLevel="0" collapsed="false">
      <c r="A975" s="26"/>
      <c r="B975" s="27"/>
      <c r="C975" s="28"/>
      <c r="D975" s="29"/>
      <c r="E975" s="29"/>
      <c r="F975" s="29"/>
      <c r="G975" s="29"/>
      <c r="H975" s="29"/>
      <c r="I975" s="29"/>
    </row>
    <row r="976" customFormat="false" ht="15" hidden="false" customHeight="false" outlineLevel="0" collapsed="false">
      <c r="A976" s="26"/>
      <c r="B976" s="27"/>
      <c r="C976" s="28"/>
      <c r="D976" s="29"/>
      <c r="E976" s="29"/>
      <c r="F976" s="29"/>
      <c r="G976" s="29"/>
      <c r="H976" s="29"/>
      <c r="I976" s="29"/>
    </row>
    <row r="977" customFormat="false" ht="15" hidden="false" customHeight="false" outlineLevel="0" collapsed="false">
      <c r="A977" s="26"/>
      <c r="B977" s="27"/>
      <c r="C977" s="28"/>
      <c r="D977" s="29"/>
      <c r="E977" s="29"/>
      <c r="F977" s="29"/>
      <c r="G977" s="29"/>
      <c r="H977" s="29"/>
      <c r="I977" s="29"/>
    </row>
    <row r="978" customFormat="false" ht="15" hidden="false" customHeight="false" outlineLevel="0" collapsed="false">
      <c r="A978" s="26"/>
      <c r="B978" s="27"/>
      <c r="C978" s="28"/>
      <c r="D978" s="29"/>
      <c r="E978" s="29"/>
      <c r="F978" s="29"/>
      <c r="G978" s="29"/>
      <c r="H978" s="29"/>
      <c r="I978" s="29"/>
    </row>
    <row r="979" customFormat="false" ht="15" hidden="false" customHeight="false" outlineLevel="0" collapsed="false">
      <c r="A979" s="26"/>
      <c r="B979" s="27"/>
      <c r="C979" s="28"/>
      <c r="D979" s="29"/>
      <c r="E979" s="29"/>
      <c r="F979" s="29"/>
      <c r="G979" s="29"/>
      <c r="H979" s="29"/>
      <c r="I979" s="29"/>
    </row>
    <row r="980" customFormat="false" ht="15" hidden="false" customHeight="false" outlineLevel="0" collapsed="false">
      <c r="A980" s="26"/>
      <c r="B980" s="27"/>
      <c r="C980" s="28"/>
      <c r="D980" s="29"/>
      <c r="E980" s="29"/>
      <c r="F980" s="29"/>
      <c r="G980" s="29"/>
      <c r="H980" s="29"/>
      <c r="I980" s="29"/>
    </row>
    <row r="981" customFormat="false" ht="15" hidden="false" customHeight="false" outlineLevel="0" collapsed="false">
      <c r="A981" s="26"/>
      <c r="B981" s="27"/>
      <c r="C981" s="28"/>
      <c r="D981" s="29"/>
      <c r="E981" s="29"/>
      <c r="F981" s="29"/>
      <c r="G981" s="29"/>
      <c r="H981" s="29"/>
      <c r="I981" s="29"/>
    </row>
    <row r="982" customFormat="false" ht="15" hidden="false" customHeight="false" outlineLevel="0" collapsed="false">
      <c r="A982" s="26"/>
      <c r="B982" s="27"/>
      <c r="C982" s="28"/>
      <c r="D982" s="29"/>
      <c r="E982" s="29"/>
      <c r="F982" s="29"/>
      <c r="G982" s="29"/>
      <c r="H982" s="29"/>
      <c r="I982" s="29"/>
    </row>
    <row r="983" customFormat="false" ht="15" hidden="false" customHeight="false" outlineLevel="0" collapsed="false">
      <c r="A983" s="26"/>
      <c r="B983" s="27"/>
      <c r="C983" s="28"/>
      <c r="D983" s="29"/>
      <c r="E983" s="29"/>
      <c r="F983" s="29"/>
      <c r="G983" s="29"/>
      <c r="H983" s="29"/>
      <c r="I983" s="29"/>
    </row>
    <row r="984" customFormat="false" ht="15" hidden="false" customHeight="false" outlineLevel="0" collapsed="false">
      <c r="A984" s="26"/>
      <c r="B984" s="27"/>
      <c r="C984" s="28"/>
      <c r="D984" s="29"/>
      <c r="E984" s="29"/>
      <c r="F984" s="29"/>
      <c r="G984" s="29"/>
      <c r="H984" s="29"/>
      <c r="I984" s="29"/>
    </row>
    <row r="985" customFormat="false" ht="15" hidden="false" customHeight="false" outlineLevel="0" collapsed="false">
      <c r="A985" s="26"/>
      <c r="B985" s="27"/>
      <c r="C985" s="28"/>
      <c r="D985" s="29"/>
      <c r="E985" s="29"/>
      <c r="F985" s="29"/>
      <c r="G985" s="29"/>
      <c r="H985" s="29"/>
      <c r="I985" s="29"/>
    </row>
    <row r="986" customFormat="false" ht="15" hidden="false" customHeight="false" outlineLevel="0" collapsed="false">
      <c r="A986" s="26"/>
      <c r="B986" s="27"/>
      <c r="C986" s="28"/>
      <c r="D986" s="29"/>
      <c r="E986" s="29"/>
      <c r="F986" s="29"/>
      <c r="G986" s="29"/>
      <c r="H986" s="29"/>
      <c r="I986" s="29"/>
    </row>
    <row r="987" customFormat="false" ht="15" hidden="false" customHeight="false" outlineLevel="0" collapsed="false">
      <c r="A987" s="26"/>
      <c r="B987" s="27"/>
      <c r="C987" s="28"/>
      <c r="D987" s="29"/>
      <c r="E987" s="29"/>
      <c r="F987" s="29"/>
      <c r="G987" s="29"/>
      <c r="H987" s="29"/>
      <c r="I987" s="29"/>
    </row>
    <row r="988" customFormat="false" ht="15" hidden="false" customHeight="false" outlineLevel="0" collapsed="false">
      <c r="A988" s="26"/>
      <c r="B988" s="27"/>
      <c r="C988" s="28"/>
      <c r="D988" s="29"/>
      <c r="E988" s="29"/>
      <c r="F988" s="29"/>
      <c r="G988" s="29"/>
      <c r="H988" s="29"/>
      <c r="I988" s="29"/>
    </row>
    <row r="989" customFormat="false" ht="15" hidden="false" customHeight="false" outlineLevel="0" collapsed="false">
      <c r="A989" s="26"/>
      <c r="B989" s="27"/>
      <c r="C989" s="28"/>
      <c r="D989" s="29"/>
      <c r="E989" s="29"/>
      <c r="F989" s="29"/>
      <c r="G989" s="29"/>
      <c r="H989" s="29"/>
      <c r="I989" s="29"/>
    </row>
    <row r="990" customFormat="false" ht="15" hidden="false" customHeight="false" outlineLevel="0" collapsed="false">
      <c r="A990" s="26"/>
      <c r="B990" s="27"/>
      <c r="C990" s="28"/>
      <c r="D990" s="29"/>
      <c r="E990" s="29"/>
      <c r="F990" s="29"/>
      <c r="G990" s="29"/>
      <c r="H990" s="29"/>
      <c r="I990" s="29"/>
    </row>
    <row r="991" customFormat="false" ht="15" hidden="false" customHeight="false" outlineLevel="0" collapsed="false">
      <c r="A991" s="26"/>
      <c r="B991" s="27"/>
      <c r="C991" s="28"/>
      <c r="D991" s="29"/>
      <c r="E991" s="29"/>
      <c r="F991" s="29"/>
      <c r="G991" s="29"/>
      <c r="H991" s="29"/>
      <c r="I991" s="29"/>
    </row>
    <row r="992" customFormat="false" ht="15" hidden="false" customHeight="false" outlineLevel="0" collapsed="false">
      <c r="A992" s="26"/>
      <c r="B992" s="27"/>
      <c r="C992" s="28"/>
      <c r="D992" s="29"/>
      <c r="E992" s="29"/>
      <c r="F992" s="29"/>
      <c r="G992" s="29"/>
      <c r="H992" s="29"/>
      <c r="I992" s="29"/>
    </row>
    <row r="993" customFormat="false" ht="15" hidden="false" customHeight="false" outlineLevel="0" collapsed="false">
      <c r="A993" s="26"/>
      <c r="B993" s="27"/>
      <c r="C993" s="28"/>
      <c r="D993" s="29"/>
      <c r="E993" s="29"/>
      <c r="F993" s="29"/>
      <c r="G993" s="29"/>
      <c r="H993" s="29"/>
      <c r="I993" s="29"/>
    </row>
    <row r="994" customFormat="false" ht="15" hidden="false" customHeight="false" outlineLevel="0" collapsed="false">
      <c r="A994" s="26"/>
      <c r="B994" s="27"/>
      <c r="C994" s="28"/>
      <c r="D994" s="29"/>
      <c r="E994" s="29"/>
      <c r="F994" s="29"/>
      <c r="G994" s="29"/>
      <c r="H994" s="29"/>
      <c r="I994" s="29"/>
    </row>
    <row r="995" customFormat="false" ht="15" hidden="false" customHeight="false" outlineLevel="0" collapsed="false">
      <c r="A995" s="26"/>
      <c r="B995" s="27"/>
      <c r="C995" s="28"/>
      <c r="D995" s="29"/>
      <c r="E995" s="29"/>
      <c r="F995" s="29"/>
      <c r="G995" s="29"/>
      <c r="H995" s="29"/>
      <c r="I995" s="29"/>
    </row>
    <row r="996" customFormat="false" ht="15" hidden="false" customHeight="false" outlineLevel="0" collapsed="false">
      <c r="A996" s="26"/>
      <c r="B996" s="27"/>
      <c r="C996" s="28"/>
      <c r="D996" s="29"/>
      <c r="E996" s="29"/>
      <c r="F996" s="29"/>
      <c r="G996" s="29"/>
      <c r="H996" s="29"/>
      <c r="I996" s="29"/>
    </row>
    <row r="997" customFormat="false" ht="15" hidden="false" customHeight="false" outlineLevel="0" collapsed="false">
      <c r="A997" s="26"/>
      <c r="B997" s="27"/>
      <c r="C997" s="28"/>
      <c r="D997" s="29"/>
      <c r="E997" s="29"/>
      <c r="F997" s="29"/>
      <c r="G997" s="29"/>
      <c r="H997" s="29"/>
      <c r="I997" s="29"/>
    </row>
    <row r="998" customFormat="false" ht="15" hidden="false" customHeight="false" outlineLevel="0" collapsed="false">
      <c r="A998" s="26"/>
      <c r="B998" s="27"/>
      <c r="C998" s="28"/>
      <c r="D998" s="29"/>
      <c r="E998" s="29"/>
      <c r="F998" s="29"/>
      <c r="G998" s="29"/>
      <c r="H998" s="29"/>
      <c r="I998" s="29"/>
    </row>
    <row r="999" customFormat="false" ht="15" hidden="false" customHeight="false" outlineLevel="0" collapsed="false">
      <c r="A999" s="26"/>
      <c r="B999" s="27"/>
      <c r="C999" s="28"/>
      <c r="D999" s="29"/>
      <c r="E999" s="29"/>
      <c r="F999" s="29"/>
      <c r="G999" s="29"/>
      <c r="H999" s="29"/>
      <c r="I999" s="29"/>
    </row>
    <row r="1000" customFormat="false" ht="15" hidden="false" customHeight="false" outlineLevel="0" collapsed="false">
      <c r="A1000" s="26"/>
      <c r="B1000" s="27"/>
      <c r="C1000" s="28"/>
      <c r="D1000" s="29"/>
      <c r="E1000" s="29"/>
      <c r="F1000" s="29"/>
      <c r="G1000" s="29"/>
      <c r="H1000" s="29"/>
      <c r="I1000" s="29"/>
    </row>
    <row r="1001" customFormat="false" ht="15" hidden="false" customHeight="false" outlineLevel="0" collapsed="false">
      <c r="A1001" s="26"/>
      <c r="B1001" s="27"/>
      <c r="C1001" s="28"/>
      <c r="D1001" s="29"/>
      <c r="E1001" s="29"/>
      <c r="F1001" s="29"/>
      <c r="G1001" s="29"/>
      <c r="H1001" s="29"/>
      <c r="I1001" s="29"/>
    </row>
    <row r="1002" customFormat="false" ht="15" hidden="false" customHeight="false" outlineLevel="0" collapsed="false">
      <c r="A1002" s="26"/>
      <c r="B1002" s="27"/>
      <c r="C1002" s="28"/>
      <c r="D1002" s="29"/>
      <c r="E1002" s="29"/>
      <c r="F1002" s="29"/>
      <c r="G1002" s="29"/>
      <c r="H1002" s="29"/>
      <c r="I1002" s="29"/>
    </row>
    <row r="1003" customFormat="false" ht="15" hidden="false" customHeight="false" outlineLevel="0" collapsed="false">
      <c r="A1003" s="26"/>
      <c r="B1003" s="27"/>
      <c r="C1003" s="28"/>
      <c r="D1003" s="29"/>
      <c r="E1003" s="29"/>
      <c r="F1003" s="29"/>
      <c r="G1003" s="29"/>
      <c r="H1003" s="29"/>
      <c r="I1003" s="29"/>
    </row>
    <row r="1004" customFormat="false" ht="15" hidden="false" customHeight="false" outlineLevel="0" collapsed="false">
      <c r="A1004" s="26"/>
      <c r="B1004" s="26"/>
      <c r="C1004" s="26"/>
    </row>
    <row r="1006" customFormat="false" ht="19.5" hidden="false" customHeight="true" outlineLevel="0" collapsed="false">
      <c r="A1006" s="11" t="s">
        <v>64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3:I3"/>
    <mergeCell ref="A1006:AN1006"/>
  </mergeCells>
  <conditionalFormatting sqref="E6">
    <cfRule type="cellIs" priority="2" operator="greaterThan" aboveAverage="0" equalAverage="0" bottom="0" percent="0" rank="0" text="" dxfId="7">
      <formula>0</formula>
    </cfRule>
  </conditionalFormatting>
  <conditionalFormatting sqref="F6">
    <cfRule type="cellIs" priority="3" operator="greaterThan" aboveAverage="0" equalAverage="0" bottom="0" percent="0" rank="0" text="" dxfId="7">
      <formula>0</formula>
    </cfRule>
  </conditionalFormatting>
  <conditionalFormatting sqref="I6">
    <cfRule type="cellIs" priority="4" operator="lessThan" aboveAverage="0" equalAverage="0" bottom="0" percent="0" rank="0" text="" dxfId="8">
      <formula>0</formula>
    </cfRule>
  </conditionalFormatting>
  <conditionalFormatting sqref="E7">
    <cfRule type="cellIs" priority="5" operator="greaterThan" aboveAverage="0" equalAverage="0" bottom="0" percent="0" rank="0" text="" dxfId="7">
      <formula>0</formula>
    </cfRule>
  </conditionalFormatting>
  <conditionalFormatting sqref="F7">
    <cfRule type="cellIs" priority="6" operator="greaterThan" aboveAverage="0" equalAverage="0" bottom="0" percent="0" rank="0" text="" dxfId="7">
      <formula>0</formula>
    </cfRule>
  </conditionalFormatting>
  <conditionalFormatting sqref="I7">
    <cfRule type="cellIs" priority="7" operator="lessThan" aboveAverage="0" equalAverage="0" bottom="0" percent="0" rank="0" text="" dxfId="8">
      <formula>0</formula>
    </cfRule>
  </conditionalFormatting>
  <conditionalFormatting sqref="E8">
    <cfRule type="cellIs" priority="8" operator="greaterThan" aboveAverage="0" equalAverage="0" bottom="0" percent="0" rank="0" text="" dxfId="7">
      <formula>0</formula>
    </cfRule>
  </conditionalFormatting>
  <conditionalFormatting sqref="F8">
    <cfRule type="cellIs" priority="9" operator="greaterThan" aboveAverage="0" equalAverage="0" bottom="0" percent="0" rank="0" text="" dxfId="7">
      <formula>0</formula>
    </cfRule>
  </conditionalFormatting>
  <conditionalFormatting sqref="I8">
    <cfRule type="cellIs" priority="10" operator="lessThan" aboveAverage="0" equalAverage="0" bottom="0" percent="0" rank="0" text="" dxfId="8">
      <formula>0</formula>
    </cfRule>
  </conditionalFormatting>
  <conditionalFormatting sqref="E9">
    <cfRule type="cellIs" priority="11" operator="greaterThan" aboveAverage="0" equalAverage="0" bottom="0" percent="0" rank="0" text="" dxfId="7">
      <formula>0</formula>
    </cfRule>
  </conditionalFormatting>
  <conditionalFormatting sqref="F9">
    <cfRule type="cellIs" priority="12" operator="greaterThan" aboveAverage="0" equalAverage="0" bottom="0" percent="0" rank="0" text="" dxfId="7">
      <formula>0</formula>
    </cfRule>
  </conditionalFormatting>
  <conditionalFormatting sqref="I9">
    <cfRule type="cellIs" priority="13" operator="lessThan" aboveAverage="0" equalAverage="0" bottom="0" percent="0" rank="0" text="" dxfId="8">
      <formula>0</formula>
    </cfRule>
  </conditionalFormatting>
  <conditionalFormatting sqref="E10">
    <cfRule type="cellIs" priority="14" operator="greaterThan" aboveAverage="0" equalAverage="0" bottom="0" percent="0" rank="0" text="" dxfId="7">
      <formula>0</formula>
    </cfRule>
  </conditionalFormatting>
  <conditionalFormatting sqref="F10">
    <cfRule type="cellIs" priority="15" operator="greaterThan" aboveAverage="0" equalAverage="0" bottom="0" percent="0" rank="0" text="" dxfId="7">
      <formula>0</formula>
    </cfRule>
  </conditionalFormatting>
  <conditionalFormatting sqref="I10">
    <cfRule type="cellIs" priority="16" operator="lessThan" aboveAverage="0" equalAverage="0" bottom="0" percent="0" rank="0" text="" dxfId="8">
      <formula>0</formula>
    </cfRule>
  </conditionalFormatting>
  <conditionalFormatting sqref="E11">
    <cfRule type="cellIs" priority="17" operator="greaterThan" aboveAverage="0" equalAverage="0" bottom="0" percent="0" rank="0" text="" dxfId="7">
      <formula>0</formula>
    </cfRule>
  </conditionalFormatting>
  <conditionalFormatting sqref="F11">
    <cfRule type="cellIs" priority="18" operator="greaterThan" aboveAverage="0" equalAverage="0" bottom="0" percent="0" rank="0" text="" dxfId="7">
      <formula>0</formula>
    </cfRule>
  </conditionalFormatting>
  <conditionalFormatting sqref="I11">
    <cfRule type="cellIs" priority="19" operator="lessThan" aboveAverage="0" equalAverage="0" bottom="0" percent="0" rank="0" text="" dxfId="8">
      <formula>0</formula>
    </cfRule>
  </conditionalFormatting>
  <conditionalFormatting sqref="E12">
    <cfRule type="cellIs" priority="20" operator="greaterThan" aboveAverage="0" equalAverage="0" bottom="0" percent="0" rank="0" text="" dxfId="7">
      <formula>0</formula>
    </cfRule>
  </conditionalFormatting>
  <conditionalFormatting sqref="F12">
    <cfRule type="cellIs" priority="21" operator="greaterThan" aboveAverage="0" equalAverage="0" bottom="0" percent="0" rank="0" text="" dxfId="7">
      <formula>0</formula>
    </cfRule>
  </conditionalFormatting>
  <conditionalFormatting sqref="I12">
    <cfRule type="cellIs" priority="22" operator="lessThan" aboveAverage="0" equalAverage="0" bottom="0" percent="0" rank="0" text="" dxfId="8">
      <formula>0</formula>
    </cfRule>
  </conditionalFormatting>
  <conditionalFormatting sqref="E13">
    <cfRule type="cellIs" priority="23" operator="greaterThan" aboveAverage="0" equalAverage="0" bottom="0" percent="0" rank="0" text="" dxfId="7">
      <formula>0</formula>
    </cfRule>
  </conditionalFormatting>
  <conditionalFormatting sqref="F13">
    <cfRule type="cellIs" priority="24" operator="greaterThan" aboveAverage="0" equalAverage="0" bottom="0" percent="0" rank="0" text="" dxfId="7">
      <formula>0</formula>
    </cfRule>
  </conditionalFormatting>
  <conditionalFormatting sqref="I13">
    <cfRule type="cellIs" priority="25" operator="lessThan" aboveAverage="0" equalAverage="0" bottom="0" percent="0" rank="0" text="" dxfId="8">
      <formula>0</formula>
    </cfRule>
  </conditionalFormatting>
  <conditionalFormatting sqref="E14">
    <cfRule type="cellIs" priority="26" operator="greaterThan" aboveAverage="0" equalAverage="0" bottom="0" percent="0" rank="0" text="" dxfId="7">
      <formula>0</formula>
    </cfRule>
  </conditionalFormatting>
  <conditionalFormatting sqref="F14">
    <cfRule type="cellIs" priority="27" operator="greaterThan" aboveAverage="0" equalAverage="0" bottom="0" percent="0" rank="0" text="" dxfId="7">
      <formula>0</formula>
    </cfRule>
  </conditionalFormatting>
  <conditionalFormatting sqref="I14">
    <cfRule type="cellIs" priority="28" operator="lessThan" aboveAverage="0" equalAverage="0" bottom="0" percent="0" rank="0" text="" dxfId="8">
      <formula>0</formula>
    </cfRule>
  </conditionalFormatting>
  <conditionalFormatting sqref="E15">
    <cfRule type="cellIs" priority="29" operator="greaterThan" aboveAverage="0" equalAverage="0" bottom="0" percent="0" rank="0" text="" dxfId="7">
      <formula>0</formula>
    </cfRule>
  </conditionalFormatting>
  <conditionalFormatting sqref="F15">
    <cfRule type="cellIs" priority="30" operator="greaterThan" aboveAverage="0" equalAverage="0" bottom="0" percent="0" rank="0" text="" dxfId="7">
      <formula>0</formula>
    </cfRule>
  </conditionalFormatting>
  <conditionalFormatting sqref="I15">
    <cfRule type="cellIs" priority="31" operator="lessThan" aboveAverage="0" equalAverage="0" bottom="0" percent="0" rank="0" text="" dxfId="8">
      <formula>0</formula>
    </cfRule>
  </conditionalFormatting>
  <conditionalFormatting sqref="E16">
    <cfRule type="cellIs" priority="32" operator="greaterThan" aboveAverage="0" equalAverage="0" bottom="0" percent="0" rank="0" text="" dxfId="7">
      <formula>0</formula>
    </cfRule>
  </conditionalFormatting>
  <conditionalFormatting sqref="F16">
    <cfRule type="cellIs" priority="33" operator="greaterThan" aboveAverage="0" equalAverage="0" bottom="0" percent="0" rank="0" text="" dxfId="7">
      <formula>0</formula>
    </cfRule>
  </conditionalFormatting>
  <conditionalFormatting sqref="I16">
    <cfRule type="cellIs" priority="34" operator="lessThan" aboveAverage="0" equalAverage="0" bottom="0" percent="0" rank="0" text="" dxfId="8">
      <formula>0</formula>
    </cfRule>
  </conditionalFormatting>
  <conditionalFormatting sqref="E17">
    <cfRule type="cellIs" priority="35" operator="greaterThan" aboveAverage="0" equalAverage="0" bottom="0" percent="0" rank="0" text="" dxfId="7">
      <formula>0</formula>
    </cfRule>
  </conditionalFormatting>
  <conditionalFormatting sqref="F17">
    <cfRule type="cellIs" priority="36" operator="greaterThan" aboveAverage="0" equalAverage="0" bottom="0" percent="0" rank="0" text="" dxfId="7">
      <formula>0</formula>
    </cfRule>
  </conditionalFormatting>
  <conditionalFormatting sqref="I17">
    <cfRule type="cellIs" priority="37" operator="lessThan" aboveAverage="0" equalAverage="0" bottom="0" percent="0" rank="0" text="" dxfId="8">
      <formula>0</formula>
    </cfRule>
  </conditionalFormatting>
  <conditionalFormatting sqref="E18">
    <cfRule type="cellIs" priority="38" operator="greaterThan" aboveAverage="0" equalAverage="0" bottom="0" percent="0" rank="0" text="" dxfId="7">
      <formula>0</formula>
    </cfRule>
  </conditionalFormatting>
  <conditionalFormatting sqref="F18">
    <cfRule type="cellIs" priority="39" operator="greaterThan" aboveAverage="0" equalAverage="0" bottom="0" percent="0" rank="0" text="" dxfId="7">
      <formula>0</formula>
    </cfRule>
  </conditionalFormatting>
  <conditionalFormatting sqref="I18">
    <cfRule type="cellIs" priority="40" operator="lessThan" aboveAverage="0" equalAverage="0" bottom="0" percent="0" rank="0" text="" dxfId="8">
      <formula>0</formula>
    </cfRule>
  </conditionalFormatting>
  <conditionalFormatting sqref="E19">
    <cfRule type="cellIs" priority="41" operator="greaterThan" aboveAverage="0" equalAverage="0" bottom="0" percent="0" rank="0" text="" dxfId="7">
      <formula>0</formula>
    </cfRule>
  </conditionalFormatting>
  <conditionalFormatting sqref="F19">
    <cfRule type="cellIs" priority="42" operator="greaterThan" aboveAverage="0" equalAverage="0" bottom="0" percent="0" rank="0" text="" dxfId="7">
      <formula>0</formula>
    </cfRule>
  </conditionalFormatting>
  <conditionalFormatting sqref="I19">
    <cfRule type="cellIs" priority="43" operator="lessThan" aboveAverage="0" equalAverage="0" bottom="0" percent="0" rank="0" text="" dxfId="8">
      <formula>0</formula>
    </cfRule>
  </conditionalFormatting>
  <conditionalFormatting sqref="E20">
    <cfRule type="cellIs" priority="44" operator="greaterThan" aboveAverage="0" equalAverage="0" bottom="0" percent="0" rank="0" text="" dxfId="7">
      <formula>0</formula>
    </cfRule>
  </conditionalFormatting>
  <conditionalFormatting sqref="F20">
    <cfRule type="cellIs" priority="45" operator="greaterThan" aboveAverage="0" equalAverage="0" bottom="0" percent="0" rank="0" text="" dxfId="7">
      <formula>0</formula>
    </cfRule>
  </conditionalFormatting>
  <conditionalFormatting sqref="I20">
    <cfRule type="cellIs" priority="46" operator="lessThan" aboveAverage="0" equalAverage="0" bottom="0" percent="0" rank="0" text="" dxfId="8">
      <formula>0</formula>
    </cfRule>
  </conditionalFormatting>
  <conditionalFormatting sqref="E21">
    <cfRule type="cellIs" priority="47" operator="greaterThan" aboveAverage="0" equalAverage="0" bottom="0" percent="0" rank="0" text="" dxfId="7">
      <formula>0</formula>
    </cfRule>
  </conditionalFormatting>
  <conditionalFormatting sqref="F21">
    <cfRule type="cellIs" priority="48" operator="greaterThan" aboveAverage="0" equalAverage="0" bottom="0" percent="0" rank="0" text="" dxfId="7">
      <formula>0</formula>
    </cfRule>
  </conditionalFormatting>
  <conditionalFormatting sqref="I21">
    <cfRule type="cellIs" priority="49" operator="lessThan" aboveAverage="0" equalAverage="0" bottom="0" percent="0" rank="0" text="" dxfId="8">
      <formula>0</formula>
    </cfRule>
  </conditionalFormatting>
  <conditionalFormatting sqref="E22">
    <cfRule type="cellIs" priority="50" operator="greaterThan" aboveAverage="0" equalAverage="0" bottom="0" percent="0" rank="0" text="" dxfId="7">
      <formula>0</formula>
    </cfRule>
  </conditionalFormatting>
  <conditionalFormatting sqref="F22">
    <cfRule type="cellIs" priority="51" operator="greaterThan" aboveAverage="0" equalAverage="0" bottom="0" percent="0" rank="0" text="" dxfId="7">
      <formula>0</formula>
    </cfRule>
  </conditionalFormatting>
  <conditionalFormatting sqref="I22">
    <cfRule type="cellIs" priority="52" operator="lessThan" aboveAverage="0" equalAverage="0" bottom="0" percent="0" rank="0" text="" dxfId="8">
      <formula>0</formula>
    </cfRule>
  </conditionalFormatting>
  <conditionalFormatting sqref="E23">
    <cfRule type="cellIs" priority="53" operator="greaterThan" aboveAverage="0" equalAverage="0" bottom="0" percent="0" rank="0" text="" dxfId="7">
      <formula>0</formula>
    </cfRule>
  </conditionalFormatting>
  <conditionalFormatting sqref="F23">
    <cfRule type="cellIs" priority="54" operator="greaterThan" aboveAverage="0" equalAverage="0" bottom="0" percent="0" rank="0" text="" dxfId="7">
      <formula>0</formula>
    </cfRule>
  </conditionalFormatting>
  <conditionalFormatting sqref="I23">
    <cfRule type="cellIs" priority="55" operator="lessThan" aboveAverage="0" equalAverage="0" bottom="0" percent="0" rank="0" text="" dxfId="8">
      <formula>0</formula>
    </cfRule>
  </conditionalFormatting>
  <conditionalFormatting sqref="E24">
    <cfRule type="cellIs" priority="56" operator="greaterThan" aboveAverage="0" equalAverage="0" bottom="0" percent="0" rank="0" text="" dxfId="7">
      <formula>0</formula>
    </cfRule>
  </conditionalFormatting>
  <conditionalFormatting sqref="F24">
    <cfRule type="cellIs" priority="57" operator="greaterThan" aboveAverage="0" equalAverage="0" bottom="0" percent="0" rank="0" text="" dxfId="7">
      <formula>0</formula>
    </cfRule>
  </conditionalFormatting>
  <conditionalFormatting sqref="I24">
    <cfRule type="cellIs" priority="58" operator="lessThan" aboveAverage="0" equalAverage="0" bottom="0" percent="0" rank="0" text="" dxfId="8">
      <formula>0</formula>
    </cfRule>
  </conditionalFormatting>
  <conditionalFormatting sqref="E25">
    <cfRule type="cellIs" priority="59" operator="greaterThan" aboveAverage="0" equalAverage="0" bottom="0" percent="0" rank="0" text="" dxfId="7">
      <formula>0</formula>
    </cfRule>
  </conditionalFormatting>
  <conditionalFormatting sqref="F25">
    <cfRule type="cellIs" priority="60" operator="greaterThan" aboveAverage="0" equalAverage="0" bottom="0" percent="0" rank="0" text="" dxfId="7">
      <formula>0</formula>
    </cfRule>
  </conditionalFormatting>
  <conditionalFormatting sqref="I25">
    <cfRule type="cellIs" priority="61" operator="lessThan" aboveAverage="0" equalAverage="0" bottom="0" percent="0" rank="0" text="" dxfId="8">
      <formula>0</formula>
    </cfRule>
  </conditionalFormatting>
  <conditionalFormatting sqref="E26">
    <cfRule type="cellIs" priority="62" operator="greaterThan" aboveAverage="0" equalAverage="0" bottom="0" percent="0" rank="0" text="" dxfId="7">
      <formula>0</formula>
    </cfRule>
  </conditionalFormatting>
  <conditionalFormatting sqref="F26">
    <cfRule type="cellIs" priority="63" operator="greaterThan" aboveAverage="0" equalAverage="0" bottom="0" percent="0" rank="0" text="" dxfId="7">
      <formula>0</formula>
    </cfRule>
  </conditionalFormatting>
  <conditionalFormatting sqref="I26">
    <cfRule type="cellIs" priority="64" operator="lessThan" aboveAverage="0" equalAverage="0" bottom="0" percent="0" rank="0" text="" dxfId="8">
      <formula>0</formula>
    </cfRule>
  </conditionalFormatting>
  <conditionalFormatting sqref="E27">
    <cfRule type="cellIs" priority="65" operator="greaterThan" aboveAverage="0" equalAverage="0" bottom="0" percent="0" rank="0" text="" dxfId="7">
      <formula>0</formula>
    </cfRule>
  </conditionalFormatting>
  <conditionalFormatting sqref="F27">
    <cfRule type="cellIs" priority="66" operator="greaterThan" aboveAverage="0" equalAverage="0" bottom="0" percent="0" rank="0" text="" dxfId="7">
      <formula>0</formula>
    </cfRule>
  </conditionalFormatting>
  <conditionalFormatting sqref="I27">
    <cfRule type="cellIs" priority="67" operator="lessThan" aboveAverage="0" equalAverage="0" bottom="0" percent="0" rank="0" text="" dxfId="8">
      <formula>0</formula>
    </cfRule>
  </conditionalFormatting>
  <conditionalFormatting sqref="E28">
    <cfRule type="cellIs" priority="68" operator="greaterThan" aboveAverage="0" equalAverage="0" bottom="0" percent="0" rank="0" text="" dxfId="7">
      <formula>0</formula>
    </cfRule>
  </conditionalFormatting>
  <conditionalFormatting sqref="F28">
    <cfRule type="cellIs" priority="69" operator="greaterThan" aboveAverage="0" equalAverage="0" bottom="0" percent="0" rank="0" text="" dxfId="7">
      <formula>0</formula>
    </cfRule>
  </conditionalFormatting>
  <conditionalFormatting sqref="I28">
    <cfRule type="cellIs" priority="70" operator="lessThan" aboveAverage="0" equalAverage="0" bottom="0" percent="0" rank="0" text="" dxfId="8">
      <formula>0</formula>
    </cfRule>
  </conditionalFormatting>
  <conditionalFormatting sqref="E29">
    <cfRule type="cellIs" priority="71" operator="greaterThan" aboveAverage="0" equalAverage="0" bottom="0" percent="0" rank="0" text="" dxfId="7">
      <formula>0</formula>
    </cfRule>
  </conditionalFormatting>
  <conditionalFormatting sqref="F29">
    <cfRule type="cellIs" priority="72" operator="greaterThan" aboveAverage="0" equalAverage="0" bottom="0" percent="0" rank="0" text="" dxfId="7">
      <formula>0</formula>
    </cfRule>
  </conditionalFormatting>
  <conditionalFormatting sqref="I29">
    <cfRule type="cellIs" priority="73" operator="lessThan" aboveAverage="0" equalAverage="0" bottom="0" percent="0" rank="0" text="" dxfId="8">
      <formula>0</formula>
    </cfRule>
  </conditionalFormatting>
  <conditionalFormatting sqref="E30">
    <cfRule type="cellIs" priority="74" operator="greaterThan" aboveAverage="0" equalAverage="0" bottom="0" percent="0" rank="0" text="" dxfId="7">
      <formula>0</formula>
    </cfRule>
  </conditionalFormatting>
  <conditionalFormatting sqref="F30">
    <cfRule type="cellIs" priority="75" operator="greaterThan" aboveAverage="0" equalAverage="0" bottom="0" percent="0" rank="0" text="" dxfId="7">
      <formula>0</formula>
    </cfRule>
  </conditionalFormatting>
  <conditionalFormatting sqref="I30">
    <cfRule type="cellIs" priority="76" operator="lessThan" aboveAverage="0" equalAverage="0" bottom="0" percent="0" rank="0" text="" dxfId="8">
      <formula>0</formula>
    </cfRule>
  </conditionalFormatting>
  <conditionalFormatting sqref="E31">
    <cfRule type="cellIs" priority="77" operator="greaterThan" aboveAverage="0" equalAverage="0" bottom="0" percent="0" rank="0" text="" dxfId="7">
      <formula>0</formula>
    </cfRule>
  </conditionalFormatting>
  <conditionalFormatting sqref="F31">
    <cfRule type="cellIs" priority="78" operator="greaterThan" aboveAverage="0" equalAverage="0" bottom="0" percent="0" rank="0" text="" dxfId="7">
      <formula>0</formula>
    </cfRule>
  </conditionalFormatting>
  <conditionalFormatting sqref="I31">
    <cfRule type="cellIs" priority="79" operator="lessThan" aboveAverage="0" equalAverage="0" bottom="0" percent="0" rank="0" text="" dxfId="8">
      <formula>0</formula>
    </cfRule>
  </conditionalFormatting>
  <conditionalFormatting sqref="E32">
    <cfRule type="cellIs" priority="80" operator="greaterThan" aboveAverage="0" equalAverage="0" bottom="0" percent="0" rank="0" text="" dxfId="7">
      <formula>0</formula>
    </cfRule>
  </conditionalFormatting>
  <conditionalFormatting sqref="F32">
    <cfRule type="cellIs" priority="81" operator="greaterThan" aboveAverage="0" equalAverage="0" bottom="0" percent="0" rank="0" text="" dxfId="7">
      <formula>0</formula>
    </cfRule>
  </conditionalFormatting>
  <conditionalFormatting sqref="I32">
    <cfRule type="cellIs" priority="82" operator="lessThan" aboveAverage="0" equalAverage="0" bottom="0" percent="0" rank="0" text="" dxfId="8">
      <formula>0</formula>
    </cfRule>
  </conditionalFormatting>
  <conditionalFormatting sqref="E33">
    <cfRule type="cellIs" priority="83" operator="greaterThan" aboveAverage="0" equalAverage="0" bottom="0" percent="0" rank="0" text="" dxfId="7">
      <formula>0</formula>
    </cfRule>
  </conditionalFormatting>
  <conditionalFormatting sqref="F33">
    <cfRule type="cellIs" priority="84" operator="greaterThan" aboveAverage="0" equalAverage="0" bottom="0" percent="0" rank="0" text="" dxfId="7">
      <formula>0</formula>
    </cfRule>
  </conditionalFormatting>
  <conditionalFormatting sqref="I33">
    <cfRule type="cellIs" priority="85" operator="lessThan" aboveAverage="0" equalAverage="0" bottom="0" percent="0" rank="0" text="" dxfId="8">
      <formula>0</formula>
    </cfRule>
  </conditionalFormatting>
  <conditionalFormatting sqref="E34">
    <cfRule type="cellIs" priority="86" operator="greaterThan" aboveAverage="0" equalAverage="0" bottom="0" percent="0" rank="0" text="" dxfId="7">
      <formula>0</formula>
    </cfRule>
  </conditionalFormatting>
  <conditionalFormatting sqref="F34">
    <cfRule type="cellIs" priority="87" operator="greaterThan" aboveAverage="0" equalAverage="0" bottom="0" percent="0" rank="0" text="" dxfId="7">
      <formula>0</formula>
    </cfRule>
  </conditionalFormatting>
  <conditionalFormatting sqref="I34">
    <cfRule type="cellIs" priority="88" operator="lessThan" aboveAverage="0" equalAverage="0" bottom="0" percent="0" rank="0" text="" dxfId="8">
      <formula>0</formula>
    </cfRule>
  </conditionalFormatting>
  <conditionalFormatting sqref="E35">
    <cfRule type="cellIs" priority="89" operator="greaterThan" aboveAverage="0" equalAverage="0" bottom="0" percent="0" rank="0" text="" dxfId="7">
      <formula>0</formula>
    </cfRule>
  </conditionalFormatting>
  <conditionalFormatting sqref="F35">
    <cfRule type="cellIs" priority="90" operator="greaterThan" aboveAverage="0" equalAverage="0" bottom="0" percent="0" rank="0" text="" dxfId="7">
      <formula>0</formula>
    </cfRule>
  </conditionalFormatting>
  <conditionalFormatting sqref="I35">
    <cfRule type="cellIs" priority="91" operator="lessThan" aboveAverage="0" equalAverage="0" bottom="0" percent="0" rank="0" text="" dxfId="8">
      <formula>0</formula>
    </cfRule>
  </conditionalFormatting>
  <conditionalFormatting sqref="E36">
    <cfRule type="cellIs" priority="92" operator="greaterThan" aboveAverage="0" equalAverage="0" bottom="0" percent="0" rank="0" text="" dxfId="7">
      <formula>0</formula>
    </cfRule>
  </conditionalFormatting>
  <conditionalFormatting sqref="F36">
    <cfRule type="cellIs" priority="93" operator="greaterThan" aboveAverage="0" equalAverage="0" bottom="0" percent="0" rank="0" text="" dxfId="7">
      <formula>0</formula>
    </cfRule>
  </conditionalFormatting>
  <conditionalFormatting sqref="I36">
    <cfRule type="cellIs" priority="94" operator="lessThan" aboveAverage="0" equalAverage="0" bottom="0" percent="0" rank="0" text="" dxfId="8">
      <formula>0</formula>
    </cfRule>
  </conditionalFormatting>
  <conditionalFormatting sqref="E37">
    <cfRule type="cellIs" priority="95" operator="greaterThan" aboveAverage="0" equalAverage="0" bottom="0" percent="0" rank="0" text="" dxfId="7">
      <formula>0</formula>
    </cfRule>
  </conditionalFormatting>
  <conditionalFormatting sqref="F37">
    <cfRule type="cellIs" priority="96" operator="greaterThan" aboveAverage="0" equalAverage="0" bottom="0" percent="0" rank="0" text="" dxfId="7">
      <formula>0</formula>
    </cfRule>
  </conditionalFormatting>
  <conditionalFormatting sqref="I37">
    <cfRule type="cellIs" priority="97" operator="lessThan" aboveAverage="0" equalAverage="0" bottom="0" percent="0" rank="0" text="" dxfId="8">
      <formula>0</formula>
    </cfRule>
  </conditionalFormatting>
  <conditionalFormatting sqref="E38">
    <cfRule type="cellIs" priority="98" operator="greaterThan" aboveAverage="0" equalAverage="0" bottom="0" percent="0" rank="0" text="" dxfId="7">
      <formula>0</formula>
    </cfRule>
  </conditionalFormatting>
  <conditionalFormatting sqref="F38">
    <cfRule type="cellIs" priority="99" operator="greaterThan" aboveAverage="0" equalAverage="0" bottom="0" percent="0" rank="0" text="" dxfId="7">
      <formula>0</formula>
    </cfRule>
  </conditionalFormatting>
  <conditionalFormatting sqref="I38">
    <cfRule type="cellIs" priority="100" operator="lessThan" aboveAverage="0" equalAverage="0" bottom="0" percent="0" rank="0" text="" dxfId="8">
      <formula>0</formula>
    </cfRule>
  </conditionalFormatting>
  <conditionalFormatting sqref="E39">
    <cfRule type="cellIs" priority="101" operator="greaterThan" aboveAverage="0" equalAverage="0" bottom="0" percent="0" rank="0" text="" dxfId="7">
      <formula>0</formula>
    </cfRule>
  </conditionalFormatting>
  <conditionalFormatting sqref="F39">
    <cfRule type="cellIs" priority="102" operator="greaterThan" aboveAverage="0" equalAverage="0" bottom="0" percent="0" rank="0" text="" dxfId="7">
      <formula>0</formula>
    </cfRule>
  </conditionalFormatting>
  <conditionalFormatting sqref="I39">
    <cfRule type="cellIs" priority="103" operator="lessThan" aboveAverage="0" equalAverage="0" bottom="0" percent="0" rank="0" text="" dxfId="8">
      <formula>0</formula>
    </cfRule>
  </conditionalFormatting>
  <conditionalFormatting sqref="E40">
    <cfRule type="cellIs" priority="104" operator="greaterThan" aboveAverage="0" equalAverage="0" bottom="0" percent="0" rank="0" text="" dxfId="7">
      <formula>0</formula>
    </cfRule>
  </conditionalFormatting>
  <conditionalFormatting sqref="F40">
    <cfRule type="cellIs" priority="105" operator="greaterThan" aboveAverage="0" equalAverage="0" bottom="0" percent="0" rank="0" text="" dxfId="7">
      <formula>0</formula>
    </cfRule>
  </conditionalFormatting>
  <conditionalFormatting sqref="I40">
    <cfRule type="cellIs" priority="106" operator="lessThan" aboveAverage="0" equalAverage="0" bottom="0" percent="0" rank="0" text="" dxfId="8">
      <formula>0</formula>
    </cfRule>
  </conditionalFormatting>
  <conditionalFormatting sqref="E41">
    <cfRule type="cellIs" priority="107" operator="greaterThan" aboveAverage="0" equalAverage="0" bottom="0" percent="0" rank="0" text="" dxfId="7">
      <formula>0</formula>
    </cfRule>
  </conditionalFormatting>
  <conditionalFormatting sqref="F41">
    <cfRule type="cellIs" priority="108" operator="greaterThan" aboveAverage="0" equalAverage="0" bottom="0" percent="0" rank="0" text="" dxfId="7">
      <formula>0</formula>
    </cfRule>
  </conditionalFormatting>
  <conditionalFormatting sqref="I41">
    <cfRule type="cellIs" priority="109" operator="lessThan" aboveAverage="0" equalAverage="0" bottom="0" percent="0" rank="0" text="" dxfId="8">
      <formula>0</formula>
    </cfRule>
  </conditionalFormatting>
  <conditionalFormatting sqref="E42">
    <cfRule type="cellIs" priority="110" operator="greaterThan" aboveAverage="0" equalAverage="0" bottom="0" percent="0" rank="0" text="" dxfId="7">
      <formula>0</formula>
    </cfRule>
  </conditionalFormatting>
  <conditionalFormatting sqref="F42">
    <cfRule type="cellIs" priority="111" operator="greaterThan" aboveAverage="0" equalAverage="0" bottom="0" percent="0" rank="0" text="" dxfId="7">
      <formula>0</formula>
    </cfRule>
  </conditionalFormatting>
  <conditionalFormatting sqref="I42">
    <cfRule type="cellIs" priority="112" operator="lessThan" aboveAverage="0" equalAverage="0" bottom="0" percent="0" rank="0" text="" dxfId="8">
      <formula>0</formula>
    </cfRule>
  </conditionalFormatting>
  <conditionalFormatting sqref="E43">
    <cfRule type="cellIs" priority="113" operator="greaterThan" aboveAverage="0" equalAverage="0" bottom="0" percent="0" rank="0" text="" dxfId="7">
      <formula>0</formula>
    </cfRule>
  </conditionalFormatting>
  <conditionalFormatting sqref="F43">
    <cfRule type="cellIs" priority="114" operator="greaterThan" aboveAverage="0" equalAverage="0" bottom="0" percent="0" rank="0" text="" dxfId="7">
      <formula>0</formula>
    </cfRule>
  </conditionalFormatting>
  <conditionalFormatting sqref="I43">
    <cfRule type="cellIs" priority="115" operator="lessThan" aboveAverage="0" equalAverage="0" bottom="0" percent="0" rank="0" text="" dxfId="8">
      <formula>0</formula>
    </cfRule>
  </conditionalFormatting>
  <conditionalFormatting sqref="E44">
    <cfRule type="cellIs" priority="116" operator="greaterThan" aboveAverage="0" equalAverage="0" bottom="0" percent="0" rank="0" text="" dxfId="7">
      <formula>0</formula>
    </cfRule>
  </conditionalFormatting>
  <conditionalFormatting sqref="F44">
    <cfRule type="cellIs" priority="117" operator="greaterThan" aboveAverage="0" equalAverage="0" bottom="0" percent="0" rank="0" text="" dxfId="7">
      <formula>0</formula>
    </cfRule>
  </conditionalFormatting>
  <conditionalFormatting sqref="I44">
    <cfRule type="cellIs" priority="118" operator="lessThan" aboveAverage="0" equalAverage="0" bottom="0" percent="0" rank="0" text="" dxfId="8">
      <formula>0</formula>
    </cfRule>
  </conditionalFormatting>
  <conditionalFormatting sqref="E45">
    <cfRule type="cellIs" priority="119" operator="greaterThan" aboveAverage="0" equalAverage="0" bottom="0" percent="0" rank="0" text="" dxfId="7">
      <formula>0</formula>
    </cfRule>
  </conditionalFormatting>
  <conditionalFormatting sqref="F45">
    <cfRule type="cellIs" priority="120" operator="greaterThan" aboveAverage="0" equalAverage="0" bottom="0" percent="0" rank="0" text="" dxfId="7">
      <formula>0</formula>
    </cfRule>
  </conditionalFormatting>
  <conditionalFormatting sqref="I45">
    <cfRule type="cellIs" priority="121" operator="lessThan" aboveAverage="0" equalAverage="0" bottom="0" percent="0" rank="0" text="" dxfId="8">
      <formula>0</formula>
    </cfRule>
  </conditionalFormatting>
  <conditionalFormatting sqref="E46">
    <cfRule type="cellIs" priority="122" operator="greaterThan" aboveAverage="0" equalAverage="0" bottom="0" percent="0" rank="0" text="" dxfId="7">
      <formula>0</formula>
    </cfRule>
  </conditionalFormatting>
  <conditionalFormatting sqref="F46">
    <cfRule type="cellIs" priority="123" operator="greaterThan" aboveAverage="0" equalAverage="0" bottom="0" percent="0" rank="0" text="" dxfId="7">
      <formula>0</formula>
    </cfRule>
  </conditionalFormatting>
  <conditionalFormatting sqref="I46">
    <cfRule type="cellIs" priority="124" operator="lessThan" aboveAverage="0" equalAverage="0" bottom="0" percent="0" rank="0" text="" dxfId="8">
      <formula>0</formula>
    </cfRule>
  </conditionalFormatting>
  <conditionalFormatting sqref="E47">
    <cfRule type="cellIs" priority="125" operator="greaterThan" aboveAverage="0" equalAverage="0" bottom="0" percent="0" rank="0" text="" dxfId="7">
      <formula>0</formula>
    </cfRule>
  </conditionalFormatting>
  <conditionalFormatting sqref="F47">
    <cfRule type="cellIs" priority="126" operator="greaterThan" aboveAverage="0" equalAverage="0" bottom="0" percent="0" rank="0" text="" dxfId="7">
      <formula>0</formula>
    </cfRule>
  </conditionalFormatting>
  <conditionalFormatting sqref="I47">
    <cfRule type="cellIs" priority="127" operator="lessThan" aboveAverage="0" equalAverage="0" bottom="0" percent="0" rank="0" text="" dxfId="8">
      <formula>0</formula>
    </cfRule>
  </conditionalFormatting>
  <conditionalFormatting sqref="E48">
    <cfRule type="cellIs" priority="128" operator="greaterThan" aboveAverage="0" equalAverage="0" bottom="0" percent="0" rank="0" text="" dxfId="7">
      <formula>0</formula>
    </cfRule>
  </conditionalFormatting>
  <conditionalFormatting sqref="F48">
    <cfRule type="cellIs" priority="129" operator="greaterThan" aboveAverage="0" equalAverage="0" bottom="0" percent="0" rank="0" text="" dxfId="7">
      <formula>0</formula>
    </cfRule>
  </conditionalFormatting>
  <conditionalFormatting sqref="I48">
    <cfRule type="cellIs" priority="130" operator="lessThan" aboveAverage="0" equalAverage="0" bottom="0" percent="0" rank="0" text="" dxfId="8">
      <formula>0</formula>
    </cfRule>
  </conditionalFormatting>
  <conditionalFormatting sqref="E49">
    <cfRule type="cellIs" priority="131" operator="greaterThan" aboveAverage="0" equalAverage="0" bottom="0" percent="0" rank="0" text="" dxfId="7">
      <formula>0</formula>
    </cfRule>
  </conditionalFormatting>
  <conditionalFormatting sqref="F49">
    <cfRule type="cellIs" priority="132" operator="greaterThan" aboveAverage="0" equalAverage="0" bottom="0" percent="0" rank="0" text="" dxfId="7">
      <formula>0</formula>
    </cfRule>
  </conditionalFormatting>
  <conditionalFormatting sqref="I49">
    <cfRule type="cellIs" priority="133" operator="lessThan" aboveAverage="0" equalAverage="0" bottom="0" percent="0" rank="0" text="" dxfId="8">
      <formula>0</formula>
    </cfRule>
  </conditionalFormatting>
  <conditionalFormatting sqref="E50">
    <cfRule type="cellIs" priority="134" operator="greaterThan" aboveAverage="0" equalAverage="0" bottom="0" percent="0" rank="0" text="" dxfId="7">
      <formula>0</formula>
    </cfRule>
  </conditionalFormatting>
  <conditionalFormatting sqref="F50">
    <cfRule type="cellIs" priority="135" operator="greaterThan" aboveAverage="0" equalAverage="0" bottom="0" percent="0" rank="0" text="" dxfId="7">
      <formula>0</formula>
    </cfRule>
  </conditionalFormatting>
  <conditionalFormatting sqref="I50">
    <cfRule type="cellIs" priority="136" operator="lessThan" aboveAverage="0" equalAverage="0" bottom="0" percent="0" rank="0" text="" dxfId="8">
      <formula>0</formula>
    </cfRule>
  </conditionalFormatting>
  <conditionalFormatting sqref="E51">
    <cfRule type="cellIs" priority="137" operator="greaterThan" aboveAverage="0" equalAverage="0" bottom="0" percent="0" rank="0" text="" dxfId="7">
      <formula>0</formula>
    </cfRule>
  </conditionalFormatting>
  <conditionalFormatting sqref="F51">
    <cfRule type="cellIs" priority="138" operator="greaterThan" aboveAverage="0" equalAverage="0" bottom="0" percent="0" rank="0" text="" dxfId="7">
      <formula>0</formula>
    </cfRule>
  </conditionalFormatting>
  <conditionalFormatting sqref="I51">
    <cfRule type="cellIs" priority="139" operator="lessThan" aboveAverage="0" equalAverage="0" bottom="0" percent="0" rank="0" text="" dxfId="8">
      <formula>0</formula>
    </cfRule>
  </conditionalFormatting>
  <conditionalFormatting sqref="E52">
    <cfRule type="cellIs" priority="140" operator="greaterThan" aboveAverage="0" equalAverage="0" bottom="0" percent="0" rank="0" text="" dxfId="7">
      <formula>0</formula>
    </cfRule>
  </conditionalFormatting>
  <conditionalFormatting sqref="F52">
    <cfRule type="cellIs" priority="141" operator="greaterThan" aboveAverage="0" equalAverage="0" bottom="0" percent="0" rank="0" text="" dxfId="7">
      <formula>0</formula>
    </cfRule>
  </conditionalFormatting>
  <conditionalFormatting sqref="I52">
    <cfRule type="cellIs" priority="142" operator="lessThan" aboveAverage="0" equalAverage="0" bottom="0" percent="0" rank="0" text="" dxfId="8">
      <formula>0</formula>
    </cfRule>
  </conditionalFormatting>
  <conditionalFormatting sqref="E53">
    <cfRule type="cellIs" priority="143" operator="greaterThan" aboveAverage="0" equalAverage="0" bottom="0" percent="0" rank="0" text="" dxfId="7">
      <formula>0</formula>
    </cfRule>
  </conditionalFormatting>
  <conditionalFormatting sqref="F53">
    <cfRule type="cellIs" priority="144" operator="greaterThan" aboveAverage="0" equalAverage="0" bottom="0" percent="0" rank="0" text="" dxfId="7">
      <formula>0</formula>
    </cfRule>
  </conditionalFormatting>
  <conditionalFormatting sqref="I53">
    <cfRule type="cellIs" priority="145" operator="lessThan" aboveAverage="0" equalAverage="0" bottom="0" percent="0" rank="0" text="" dxfId="8">
      <formula>0</formula>
    </cfRule>
  </conditionalFormatting>
  <conditionalFormatting sqref="E54">
    <cfRule type="cellIs" priority="146" operator="greaterThan" aboveAverage="0" equalAverage="0" bottom="0" percent="0" rank="0" text="" dxfId="7">
      <formula>0</formula>
    </cfRule>
  </conditionalFormatting>
  <conditionalFormatting sqref="F54">
    <cfRule type="cellIs" priority="147" operator="greaterThan" aboveAverage="0" equalAverage="0" bottom="0" percent="0" rank="0" text="" dxfId="7">
      <formula>0</formula>
    </cfRule>
  </conditionalFormatting>
  <conditionalFormatting sqref="I54">
    <cfRule type="cellIs" priority="148" operator="lessThan" aboveAverage="0" equalAverage="0" bottom="0" percent="0" rank="0" text="" dxfId="8">
      <formula>0</formula>
    </cfRule>
  </conditionalFormatting>
  <conditionalFormatting sqref="E55">
    <cfRule type="cellIs" priority="149" operator="greaterThan" aboveAverage="0" equalAverage="0" bottom="0" percent="0" rank="0" text="" dxfId="7">
      <formula>0</formula>
    </cfRule>
  </conditionalFormatting>
  <conditionalFormatting sqref="F55">
    <cfRule type="cellIs" priority="150" operator="greaterThan" aboveAverage="0" equalAverage="0" bottom="0" percent="0" rank="0" text="" dxfId="7">
      <formula>0</formula>
    </cfRule>
  </conditionalFormatting>
  <conditionalFormatting sqref="I55">
    <cfRule type="cellIs" priority="151" operator="lessThan" aboveAverage="0" equalAverage="0" bottom="0" percent="0" rank="0" text="" dxfId="8">
      <formula>0</formula>
    </cfRule>
  </conditionalFormatting>
  <conditionalFormatting sqref="E56">
    <cfRule type="cellIs" priority="152" operator="greaterThan" aboveAverage="0" equalAverage="0" bottom="0" percent="0" rank="0" text="" dxfId="7">
      <formula>0</formula>
    </cfRule>
  </conditionalFormatting>
  <conditionalFormatting sqref="F56">
    <cfRule type="cellIs" priority="153" operator="greaterThan" aboveAverage="0" equalAverage="0" bottom="0" percent="0" rank="0" text="" dxfId="7">
      <formula>0</formula>
    </cfRule>
  </conditionalFormatting>
  <conditionalFormatting sqref="I56">
    <cfRule type="cellIs" priority="154" operator="lessThan" aboveAverage="0" equalAverage="0" bottom="0" percent="0" rank="0" text="" dxfId="8">
      <formula>0</formula>
    </cfRule>
  </conditionalFormatting>
  <conditionalFormatting sqref="E57">
    <cfRule type="cellIs" priority="155" operator="greaterThan" aboveAverage="0" equalAverage="0" bottom="0" percent="0" rank="0" text="" dxfId="7">
      <formula>0</formula>
    </cfRule>
  </conditionalFormatting>
  <conditionalFormatting sqref="F57">
    <cfRule type="cellIs" priority="156" operator="greaterThan" aboveAverage="0" equalAverage="0" bottom="0" percent="0" rank="0" text="" dxfId="7">
      <formula>0</formula>
    </cfRule>
  </conditionalFormatting>
  <conditionalFormatting sqref="I57">
    <cfRule type="cellIs" priority="157" operator="lessThan" aboveAverage="0" equalAverage="0" bottom="0" percent="0" rank="0" text="" dxfId="8">
      <formula>0</formula>
    </cfRule>
  </conditionalFormatting>
  <conditionalFormatting sqref="E58">
    <cfRule type="cellIs" priority="158" operator="greaterThan" aboveAverage="0" equalAverage="0" bottom="0" percent="0" rank="0" text="" dxfId="7">
      <formula>0</formula>
    </cfRule>
  </conditionalFormatting>
  <conditionalFormatting sqref="F58">
    <cfRule type="cellIs" priority="159" operator="greaterThan" aboveAverage="0" equalAverage="0" bottom="0" percent="0" rank="0" text="" dxfId="7">
      <formula>0</formula>
    </cfRule>
  </conditionalFormatting>
  <conditionalFormatting sqref="I58">
    <cfRule type="cellIs" priority="160" operator="lessThan" aboveAverage="0" equalAverage="0" bottom="0" percent="0" rank="0" text="" dxfId="8">
      <formula>0</formula>
    </cfRule>
  </conditionalFormatting>
  <conditionalFormatting sqref="E59">
    <cfRule type="cellIs" priority="161" operator="greaterThan" aboveAverage="0" equalAverage="0" bottom="0" percent="0" rank="0" text="" dxfId="7">
      <formula>0</formula>
    </cfRule>
  </conditionalFormatting>
  <conditionalFormatting sqref="F59">
    <cfRule type="cellIs" priority="162" operator="greaterThan" aboveAverage="0" equalAverage="0" bottom="0" percent="0" rank="0" text="" dxfId="7">
      <formula>0</formula>
    </cfRule>
  </conditionalFormatting>
  <conditionalFormatting sqref="I59">
    <cfRule type="cellIs" priority="163" operator="lessThan" aboveAverage="0" equalAverage="0" bottom="0" percent="0" rank="0" text="" dxfId="8">
      <formula>0</formula>
    </cfRule>
  </conditionalFormatting>
  <conditionalFormatting sqref="E60">
    <cfRule type="cellIs" priority="164" operator="greaterThan" aboveAverage="0" equalAverage="0" bottom="0" percent="0" rank="0" text="" dxfId="7">
      <formula>0</formula>
    </cfRule>
  </conditionalFormatting>
  <conditionalFormatting sqref="F60">
    <cfRule type="cellIs" priority="165" operator="greaterThan" aboveAverage="0" equalAverage="0" bottom="0" percent="0" rank="0" text="" dxfId="7">
      <formula>0</formula>
    </cfRule>
  </conditionalFormatting>
  <conditionalFormatting sqref="I60">
    <cfRule type="cellIs" priority="166" operator="lessThan" aboveAverage="0" equalAverage="0" bottom="0" percent="0" rank="0" text="" dxfId="8">
      <formula>0</formula>
    </cfRule>
  </conditionalFormatting>
  <conditionalFormatting sqref="E61">
    <cfRule type="cellIs" priority="167" operator="greaterThan" aboveAverage="0" equalAverage="0" bottom="0" percent="0" rank="0" text="" dxfId="7">
      <formula>0</formula>
    </cfRule>
  </conditionalFormatting>
  <conditionalFormatting sqref="F61">
    <cfRule type="cellIs" priority="168" operator="greaterThan" aboveAverage="0" equalAverage="0" bottom="0" percent="0" rank="0" text="" dxfId="7">
      <formula>0</formula>
    </cfRule>
  </conditionalFormatting>
  <conditionalFormatting sqref="I61">
    <cfRule type="cellIs" priority="169" operator="lessThan" aboveAverage="0" equalAverage="0" bottom="0" percent="0" rank="0" text="" dxfId="8">
      <formula>0</formula>
    </cfRule>
  </conditionalFormatting>
  <conditionalFormatting sqref="E62">
    <cfRule type="cellIs" priority="170" operator="greaterThan" aboveAverage="0" equalAverage="0" bottom="0" percent="0" rank="0" text="" dxfId="7">
      <formula>0</formula>
    </cfRule>
  </conditionalFormatting>
  <conditionalFormatting sqref="F62">
    <cfRule type="cellIs" priority="171" operator="greaterThan" aboveAverage="0" equalAverage="0" bottom="0" percent="0" rank="0" text="" dxfId="7">
      <formula>0</formula>
    </cfRule>
  </conditionalFormatting>
  <conditionalFormatting sqref="I62">
    <cfRule type="cellIs" priority="172" operator="lessThan" aboveAverage="0" equalAverage="0" bottom="0" percent="0" rank="0" text="" dxfId="8">
      <formula>0</formula>
    </cfRule>
  </conditionalFormatting>
  <conditionalFormatting sqref="E63">
    <cfRule type="cellIs" priority="173" operator="greaterThan" aboveAverage="0" equalAverage="0" bottom="0" percent="0" rank="0" text="" dxfId="7">
      <formula>0</formula>
    </cfRule>
  </conditionalFormatting>
  <conditionalFormatting sqref="F63">
    <cfRule type="cellIs" priority="174" operator="greaterThan" aboveAverage="0" equalAverage="0" bottom="0" percent="0" rank="0" text="" dxfId="7">
      <formula>0</formula>
    </cfRule>
  </conditionalFormatting>
  <conditionalFormatting sqref="I63">
    <cfRule type="cellIs" priority="175" operator="lessThan" aboveAverage="0" equalAverage="0" bottom="0" percent="0" rank="0" text="" dxfId="8">
      <formula>0</formula>
    </cfRule>
  </conditionalFormatting>
  <conditionalFormatting sqref="E64">
    <cfRule type="cellIs" priority="176" operator="greaterThan" aboveAverage="0" equalAverage="0" bottom="0" percent="0" rank="0" text="" dxfId="7">
      <formula>0</formula>
    </cfRule>
  </conditionalFormatting>
  <conditionalFormatting sqref="F64">
    <cfRule type="cellIs" priority="177" operator="greaterThan" aboveAverage="0" equalAverage="0" bottom="0" percent="0" rank="0" text="" dxfId="7">
      <formula>0</formula>
    </cfRule>
  </conditionalFormatting>
  <conditionalFormatting sqref="I64">
    <cfRule type="cellIs" priority="178" operator="lessThan" aboveAverage="0" equalAverage="0" bottom="0" percent="0" rank="0" text="" dxfId="8">
      <formula>0</formula>
    </cfRule>
  </conditionalFormatting>
  <conditionalFormatting sqref="E65">
    <cfRule type="cellIs" priority="179" operator="greaterThan" aboveAverage="0" equalAverage="0" bottom="0" percent="0" rank="0" text="" dxfId="7">
      <formula>0</formula>
    </cfRule>
  </conditionalFormatting>
  <conditionalFormatting sqref="F65">
    <cfRule type="cellIs" priority="180" operator="greaterThan" aboveAverage="0" equalAverage="0" bottom="0" percent="0" rank="0" text="" dxfId="7">
      <formula>0</formula>
    </cfRule>
  </conditionalFormatting>
  <conditionalFormatting sqref="I65">
    <cfRule type="cellIs" priority="181" operator="lessThan" aboveAverage="0" equalAverage="0" bottom="0" percent="0" rank="0" text="" dxfId="8">
      <formula>0</formula>
    </cfRule>
  </conditionalFormatting>
  <conditionalFormatting sqref="E66">
    <cfRule type="cellIs" priority="182" operator="greaterThan" aboveAverage="0" equalAverage="0" bottom="0" percent="0" rank="0" text="" dxfId="7">
      <formula>0</formula>
    </cfRule>
  </conditionalFormatting>
  <conditionalFormatting sqref="F66">
    <cfRule type="cellIs" priority="183" operator="greaterThan" aboveAverage="0" equalAverage="0" bottom="0" percent="0" rank="0" text="" dxfId="7">
      <formula>0</formula>
    </cfRule>
  </conditionalFormatting>
  <conditionalFormatting sqref="I66">
    <cfRule type="cellIs" priority="184" operator="lessThan" aboveAverage="0" equalAverage="0" bottom="0" percent="0" rank="0" text="" dxfId="8">
      <formula>0</formula>
    </cfRule>
  </conditionalFormatting>
  <conditionalFormatting sqref="E67">
    <cfRule type="cellIs" priority="185" operator="greaterThan" aboveAverage="0" equalAverage="0" bottom="0" percent="0" rank="0" text="" dxfId="7">
      <formula>0</formula>
    </cfRule>
  </conditionalFormatting>
  <conditionalFormatting sqref="F67">
    <cfRule type="cellIs" priority="186" operator="greaterThan" aboveAverage="0" equalAverage="0" bottom="0" percent="0" rank="0" text="" dxfId="7">
      <formula>0</formula>
    </cfRule>
  </conditionalFormatting>
  <conditionalFormatting sqref="I67">
    <cfRule type="cellIs" priority="187" operator="lessThan" aboveAverage="0" equalAverage="0" bottom="0" percent="0" rank="0" text="" dxfId="8">
      <formula>0</formula>
    </cfRule>
  </conditionalFormatting>
  <conditionalFormatting sqref="E68">
    <cfRule type="cellIs" priority="188" operator="greaterThan" aboveAverage="0" equalAverage="0" bottom="0" percent="0" rank="0" text="" dxfId="7">
      <formula>0</formula>
    </cfRule>
  </conditionalFormatting>
  <conditionalFormatting sqref="F68">
    <cfRule type="cellIs" priority="189" operator="greaterThan" aboveAverage="0" equalAverage="0" bottom="0" percent="0" rank="0" text="" dxfId="7">
      <formula>0</formula>
    </cfRule>
  </conditionalFormatting>
  <conditionalFormatting sqref="I68">
    <cfRule type="cellIs" priority="190" operator="lessThan" aboveAverage="0" equalAverage="0" bottom="0" percent="0" rank="0" text="" dxfId="8">
      <formula>0</formula>
    </cfRule>
  </conditionalFormatting>
  <conditionalFormatting sqref="E69">
    <cfRule type="cellIs" priority="191" operator="greaterThan" aboveAverage="0" equalAverage="0" bottom="0" percent="0" rank="0" text="" dxfId="7">
      <formula>0</formula>
    </cfRule>
  </conditionalFormatting>
  <conditionalFormatting sqref="F69">
    <cfRule type="cellIs" priority="192" operator="greaterThan" aboveAverage="0" equalAverage="0" bottom="0" percent="0" rank="0" text="" dxfId="7">
      <formula>0</formula>
    </cfRule>
  </conditionalFormatting>
  <conditionalFormatting sqref="I69">
    <cfRule type="cellIs" priority="193" operator="lessThan" aboveAverage="0" equalAverage="0" bottom="0" percent="0" rank="0" text="" dxfId="8">
      <formula>0</formula>
    </cfRule>
  </conditionalFormatting>
  <conditionalFormatting sqref="E70">
    <cfRule type="cellIs" priority="194" operator="greaterThan" aboveAverage="0" equalAverage="0" bottom="0" percent="0" rank="0" text="" dxfId="7">
      <formula>0</formula>
    </cfRule>
  </conditionalFormatting>
  <conditionalFormatting sqref="F70">
    <cfRule type="cellIs" priority="195" operator="greaterThan" aboveAverage="0" equalAverage="0" bottom="0" percent="0" rank="0" text="" dxfId="7">
      <formula>0</formula>
    </cfRule>
  </conditionalFormatting>
  <conditionalFormatting sqref="I70">
    <cfRule type="cellIs" priority="196" operator="lessThan" aboveAverage="0" equalAverage="0" bottom="0" percent="0" rank="0" text="" dxfId="8">
      <formula>0</formula>
    </cfRule>
  </conditionalFormatting>
  <conditionalFormatting sqref="E71">
    <cfRule type="cellIs" priority="197" operator="greaterThan" aboveAverage="0" equalAverage="0" bottom="0" percent="0" rank="0" text="" dxfId="7">
      <formula>0</formula>
    </cfRule>
  </conditionalFormatting>
  <conditionalFormatting sqref="F71">
    <cfRule type="cellIs" priority="198" operator="greaterThan" aboveAverage="0" equalAverage="0" bottom="0" percent="0" rank="0" text="" dxfId="7">
      <formula>0</formula>
    </cfRule>
  </conditionalFormatting>
  <conditionalFormatting sqref="I71">
    <cfRule type="cellIs" priority="199" operator="lessThan" aboveAverage="0" equalAverage="0" bottom="0" percent="0" rank="0" text="" dxfId="8">
      <formula>0</formula>
    </cfRule>
  </conditionalFormatting>
  <conditionalFormatting sqref="E72">
    <cfRule type="cellIs" priority="200" operator="greaterThan" aboveAverage="0" equalAverage="0" bottom="0" percent="0" rank="0" text="" dxfId="7">
      <formula>0</formula>
    </cfRule>
  </conditionalFormatting>
  <conditionalFormatting sqref="F72">
    <cfRule type="cellIs" priority="201" operator="greaterThan" aboveAverage="0" equalAverage="0" bottom="0" percent="0" rank="0" text="" dxfId="7">
      <formula>0</formula>
    </cfRule>
  </conditionalFormatting>
  <conditionalFormatting sqref="I72">
    <cfRule type="cellIs" priority="202" operator="lessThan" aboveAverage="0" equalAverage="0" bottom="0" percent="0" rank="0" text="" dxfId="8">
      <formula>0</formula>
    </cfRule>
  </conditionalFormatting>
  <conditionalFormatting sqref="E73">
    <cfRule type="cellIs" priority="203" operator="greaterThan" aboveAverage="0" equalAverage="0" bottom="0" percent="0" rank="0" text="" dxfId="7">
      <formula>0</formula>
    </cfRule>
  </conditionalFormatting>
  <conditionalFormatting sqref="F73">
    <cfRule type="cellIs" priority="204" operator="greaterThan" aboveAverage="0" equalAverage="0" bottom="0" percent="0" rank="0" text="" dxfId="7">
      <formula>0</formula>
    </cfRule>
  </conditionalFormatting>
  <conditionalFormatting sqref="I73">
    <cfRule type="cellIs" priority="205" operator="lessThan" aboveAverage="0" equalAverage="0" bottom="0" percent="0" rank="0" text="" dxfId="8">
      <formula>0</formula>
    </cfRule>
  </conditionalFormatting>
  <conditionalFormatting sqref="E74">
    <cfRule type="cellIs" priority="206" operator="greaterThan" aboveAverage="0" equalAverage="0" bottom="0" percent="0" rank="0" text="" dxfId="7">
      <formula>0</formula>
    </cfRule>
  </conditionalFormatting>
  <conditionalFormatting sqref="F74">
    <cfRule type="cellIs" priority="207" operator="greaterThan" aboveAverage="0" equalAverage="0" bottom="0" percent="0" rank="0" text="" dxfId="7">
      <formula>0</formula>
    </cfRule>
  </conditionalFormatting>
  <conditionalFormatting sqref="I74">
    <cfRule type="cellIs" priority="208" operator="lessThan" aboveAverage="0" equalAverage="0" bottom="0" percent="0" rank="0" text="" dxfId="8">
      <formula>0</formula>
    </cfRule>
  </conditionalFormatting>
  <conditionalFormatting sqref="E75">
    <cfRule type="cellIs" priority="209" operator="greaterThan" aboveAverage="0" equalAverage="0" bottom="0" percent="0" rank="0" text="" dxfId="7">
      <formula>0</formula>
    </cfRule>
  </conditionalFormatting>
  <conditionalFormatting sqref="F75">
    <cfRule type="cellIs" priority="210" operator="greaterThan" aboveAverage="0" equalAverage="0" bottom="0" percent="0" rank="0" text="" dxfId="7">
      <formula>0</formula>
    </cfRule>
  </conditionalFormatting>
  <conditionalFormatting sqref="I75">
    <cfRule type="cellIs" priority="211" operator="lessThan" aboveAverage="0" equalAverage="0" bottom="0" percent="0" rank="0" text="" dxfId="8">
      <formula>0</formula>
    </cfRule>
  </conditionalFormatting>
  <conditionalFormatting sqref="E76">
    <cfRule type="cellIs" priority="212" operator="greaterThan" aboveAverage="0" equalAverage="0" bottom="0" percent="0" rank="0" text="" dxfId="7">
      <formula>0</formula>
    </cfRule>
  </conditionalFormatting>
  <conditionalFormatting sqref="F76">
    <cfRule type="cellIs" priority="213" operator="greaterThan" aboveAverage="0" equalAverage="0" bottom="0" percent="0" rank="0" text="" dxfId="7">
      <formula>0</formula>
    </cfRule>
  </conditionalFormatting>
  <conditionalFormatting sqref="I76">
    <cfRule type="cellIs" priority="214" operator="lessThan" aboveAverage="0" equalAverage="0" bottom="0" percent="0" rank="0" text="" dxfId="8">
      <formula>0</formula>
    </cfRule>
  </conditionalFormatting>
  <conditionalFormatting sqref="E77">
    <cfRule type="cellIs" priority="215" operator="greaterThan" aboveAverage="0" equalAverage="0" bottom="0" percent="0" rank="0" text="" dxfId="7">
      <formula>0</formula>
    </cfRule>
  </conditionalFormatting>
  <conditionalFormatting sqref="F77">
    <cfRule type="cellIs" priority="216" operator="greaterThan" aboveAverage="0" equalAverage="0" bottom="0" percent="0" rank="0" text="" dxfId="7">
      <formula>0</formula>
    </cfRule>
  </conditionalFormatting>
  <conditionalFormatting sqref="I77">
    <cfRule type="cellIs" priority="217" operator="lessThan" aboveAverage="0" equalAverage="0" bottom="0" percent="0" rank="0" text="" dxfId="8">
      <formula>0</formula>
    </cfRule>
  </conditionalFormatting>
  <conditionalFormatting sqref="E78">
    <cfRule type="cellIs" priority="218" operator="greaterThan" aboveAverage="0" equalAverage="0" bottom="0" percent="0" rank="0" text="" dxfId="7">
      <formula>0</formula>
    </cfRule>
  </conditionalFormatting>
  <conditionalFormatting sqref="F78">
    <cfRule type="cellIs" priority="219" operator="greaterThan" aboveAverage="0" equalAverage="0" bottom="0" percent="0" rank="0" text="" dxfId="7">
      <formula>0</formula>
    </cfRule>
  </conditionalFormatting>
  <conditionalFormatting sqref="I78">
    <cfRule type="cellIs" priority="220" operator="lessThan" aboveAverage="0" equalAverage="0" bottom="0" percent="0" rank="0" text="" dxfId="8">
      <formula>0</formula>
    </cfRule>
  </conditionalFormatting>
  <conditionalFormatting sqref="E79">
    <cfRule type="cellIs" priority="221" operator="greaterThan" aboveAverage="0" equalAverage="0" bottom="0" percent="0" rank="0" text="" dxfId="7">
      <formula>0</formula>
    </cfRule>
  </conditionalFormatting>
  <conditionalFormatting sqref="F79">
    <cfRule type="cellIs" priority="222" operator="greaterThan" aboveAverage="0" equalAverage="0" bottom="0" percent="0" rank="0" text="" dxfId="7">
      <formula>0</formula>
    </cfRule>
  </conditionalFormatting>
  <conditionalFormatting sqref="I79">
    <cfRule type="cellIs" priority="223" operator="lessThan" aboveAverage="0" equalAverage="0" bottom="0" percent="0" rank="0" text="" dxfId="8">
      <formula>0</formula>
    </cfRule>
  </conditionalFormatting>
  <conditionalFormatting sqref="E80">
    <cfRule type="cellIs" priority="224" operator="greaterThan" aboveAverage="0" equalAverage="0" bottom="0" percent="0" rank="0" text="" dxfId="7">
      <formula>0</formula>
    </cfRule>
  </conditionalFormatting>
  <conditionalFormatting sqref="F80">
    <cfRule type="cellIs" priority="225" operator="greaterThan" aboveAverage="0" equalAverage="0" bottom="0" percent="0" rank="0" text="" dxfId="7">
      <formula>0</formula>
    </cfRule>
  </conditionalFormatting>
  <conditionalFormatting sqref="I80">
    <cfRule type="cellIs" priority="226" operator="lessThan" aboveAverage="0" equalAverage="0" bottom="0" percent="0" rank="0" text="" dxfId="8">
      <formula>0</formula>
    </cfRule>
  </conditionalFormatting>
  <conditionalFormatting sqref="E81">
    <cfRule type="cellIs" priority="227" operator="greaterThan" aboveAverage="0" equalAverage="0" bottom="0" percent="0" rank="0" text="" dxfId="7">
      <formula>0</formula>
    </cfRule>
  </conditionalFormatting>
  <conditionalFormatting sqref="F81">
    <cfRule type="cellIs" priority="228" operator="greaterThan" aboveAverage="0" equalAverage="0" bottom="0" percent="0" rank="0" text="" dxfId="7">
      <formula>0</formula>
    </cfRule>
  </conditionalFormatting>
  <conditionalFormatting sqref="I81">
    <cfRule type="cellIs" priority="229" operator="lessThan" aboveAverage="0" equalAverage="0" bottom="0" percent="0" rank="0" text="" dxfId="8">
      <formula>0</formula>
    </cfRule>
  </conditionalFormatting>
  <conditionalFormatting sqref="E82">
    <cfRule type="cellIs" priority="230" operator="greaterThan" aboveAverage="0" equalAverage="0" bottom="0" percent="0" rank="0" text="" dxfId="7">
      <formula>0</formula>
    </cfRule>
  </conditionalFormatting>
  <conditionalFormatting sqref="F82">
    <cfRule type="cellIs" priority="231" operator="greaterThan" aboveAverage="0" equalAverage="0" bottom="0" percent="0" rank="0" text="" dxfId="7">
      <formula>0</formula>
    </cfRule>
  </conditionalFormatting>
  <conditionalFormatting sqref="I82">
    <cfRule type="cellIs" priority="232" operator="lessThan" aboveAverage="0" equalAverage="0" bottom="0" percent="0" rank="0" text="" dxfId="8">
      <formula>0</formula>
    </cfRule>
  </conditionalFormatting>
  <conditionalFormatting sqref="E83">
    <cfRule type="cellIs" priority="233" operator="greaterThan" aboveAverage="0" equalAverage="0" bottom="0" percent="0" rank="0" text="" dxfId="7">
      <formula>0</formula>
    </cfRule>
  </conditionalFormatting>
  <conditionalFormatting sqref="F83">
    <cfRule type="cellIs" priority="234" operator="greaterThan" aboveAverage="0" equalAverage="0" bottom="0" percent="0" rank="0" text="" dxfId="7">
      <formula>0</formula>
    </cfRule>
  </conditionalFormatting>
  <conditionalFormatting sqref="I83">
    <cfRule type="cellIs" priority="235" operator="lessThan" aboveAverage="0" equalAverage="0" bottom="0" percent="0" rank="0" text="" dxfId="8">
      <formula>0</formula>
    </cfRule>
  </conditionalFormatting>
  <conditionalFormatting sqref="E84">
    <cfRule type="cellIs" priority="236" operator="greaterThan" aboveAverage="0" equalAverage="0" bottom="0" percent="0" rank="0" text="" dxfId="7">
      <formula>0</formula>
    </cfRule>
  </conditionalFormatting>
  <conditionalFormatting sqref="F84">
    <cfRule type="cellIs" priority="237" operator="greaterThan" aboveAverage="0" equalAverage="0" bottom="0" percent="0" rank="0" text="" dxfId="7">
      <formula>0</formula>
    </cfRule>
  </conditionalFormatting>
  <conditionalFormatting sqref="I84">
    <cfRule type="cellIs" priority="238" operator="lessThan" aboveAverage="0" equalAverage="0" bottom="0" percent="0" rank="0" text="" dxfId="8">
      <formula>0</formula>
    </cfRule>
  </conditionalFormatting>
  <conditionalFormatting sqref="E85">
    <cfRule type="cellIs" priority="239" operator="greaterThan" aboveAverage="0" equalAverage="0" bottom="0" percent="0" rank="0" text="" dxfId="7">
      <formula>0</formula>
    </cfRule>
  </conditionalFormatting>
  <conditionalFormatting sqref="F85">
    <cfRule type="cellIs" priority="240" operator="greaterThan" aboveAverage="0" equalAverage="0" bottom="0" percent="0" rank="0" text="" dxfId="7">
      <formula>0</formula>
    </cfRule>
  </conditionalFormatting>
  <conditionalFormatting sqref="I85">
    <cfRule type="cellIs" priority="241" operator="lessThan" aboveAverage="0" equalAverage="0" bottom="0" percent="0" rank="0" text="" dxfId="8">
      <formula>0</formula>
    </cfRule>
  </conditionalFormatting>
  <conditionalFormatting sqref="E86">
    <cfRule type="cellIs" priority="242" operator="greaterThan" aboveAverage="0" equalAverage="0" bottom="0" percent="0" rank="0" text="" dxfId="7">
      <formula>0</formula>
    </cfRule>
  </conditionalFormatting>
  <conditionalFormatting sqref="F86">
    <cfRule type="cellIs" priority="243" operator="greaterThan" aboveAverage="0" equalAverage="0" bottom="0" percent="0" rank="0" text="" dxfId="7">
      <formula>0</formula>
    </cfRule>
  </conditionalFormatting>
  <conditionalFormatting sqref="I86">
    <cfRule type="cellIs" priority="244" operator="lessThan" aboveAverage="0" equalAverage="0" bottom="0" percent="0" rank="0" text="" dxfId="8">
      <formula>0</formula>
    </cfRule>
  </conditionalFormatting>
  <conditionalFormatting sqref="E87">
    <cfRule type="cellIs" priority="245" operator="greaterThan" aboveAverage="0" equalAverage="0" bottom="0" percent="0" rank="0" text="" dxfId="7">
      <formula>0</formula>
    </cfRule>
  </conditionalFormatting>
  <conditionalFormatting sqref="F87">
    <cfRule type="cellIs" priority="246" operator="greaterThan" aboveAverage="0" equalAverage="0" bottom="0" percent="0" rank="0" text="" dxfId="7">
      <formula>0</formula>
    </cfRule>
  </conditionalFormatting>
  <conditionalFormatting sqref="I87">
    <cfRule type="cellIs" priority="247" operator="lessThan" aboveAverage="0" equalAverage="0" bottom="0" percent="0" rank="0" text="" dxfId="8">
      <formula>0</formula>
    </cfRule>
  </conditionalFormatting>
  <conditionalFormatting sqref="E88">
    <cfRule type="cellIs" priority="248" operator="greaterThan" aboveAverage="0" equalAverage="0" bottom="0" percent="0" rank="0" text="" dxfId="7">
      <formula>0</formula>
    </cfRule>
  </conditionalFormatting>
  <conditionalFormatting sqref="F88">
    <cfRule type="cellIs" priority="249" operator="greaterThan" aboveAverage="0" equalAverage="0" bottom="0" percent="0" rank="0" text="" dxfId="7">
      <formula>0</formula>
    </cfRule>
  </conditionalFormatting>
  <conditionalFormatting sqref="I88">
    <cfRule type="cellIs" priority="250" operator="lessThan" aboveAverage="0" equalAverage="0" bottom="0" percent="0" rank="0" text="" dxfId="8">
      <formula>0</formula>
    </cfRule>
  </conditionalFormatting>
  <conditionalFormatting sqref="E89">
    <cfRule type="cellIs" priority="251" operator="greaterThan" aboveAverage="0" equalAverage="0" bottom="0" percent="0" rank="0" text="" dxfId="7">
      <formula>0</formula>
    </cfRule>
  </conditionalFormatting>
  <conditionalFormatting sqref="F89">
    <cfRule type="cellIs" priority="252" operator="greaterThan" aboveAverage="0" equalAverage="0" bottom="0" percent="0" rank="0" text="" dxfId="7">
      <formula>0</formula>
    </cfRule>
  </conditionalFormatting>
  <conditionalFormatting sqref="I89">
    <cfRule type="cellIs" priority="253" operator="lessThan" aboveAverage="0" equalAverage="0" bottom="0" percent="0" rank="0" text="" dxfId="8">
      <formula>0</formula>
    </cfRule>
  </conditionalFormatting>
  <conditionalFormatting sqref="E90">
    <cfRule type="cellIs" priority="254" operator="greaterThan" aboveAverage="0" equalAverage="0" bottom="0" percent="0" rank="0" text="" dxfId="7">
      <formula>0</formula>
    </cfRule>
  </conditionalFormatting>
  <conditionalFormatting sqref="F90">
    <cfRule type="cellIs" priority="255" operator="greaterThan" aboveAverage="0" equalAverage="0" bottom="0" percent="0" rank="0" text="" dxfId="7">
      <formula>0</formula>
    </cfRule>
  </conditionalFormatting>
  <conditionalFormatting sqref="I90">
    <cfRule type="cellIs" priority="256" operator="lessThan" aboveAverage="0" equalAverage="0" bottom="0" percent="0" rank="0" text="" dxfId="8">
      <formula>0</formula>
    </cfRule>
  </conditionalFormatting>
  <conditionalFormatting sqref="E91">
    <cfRule type="cellIs" priority="257" operator="greaterThan" aboveAverage="0" equalAverage="0" bottom="0" percent="0" rank="0" text="" dxfId="7">
      <formula>0</formula>
    </cfRule>
  </conditionalFormatting>
  <conditionalFormatting sqref="F91">
    <cfRule type="cellIs" priority="258" operator="greaterThan" aboveAverage="0" equalAverage="0" bottom="0" percent="0" rank="0" text="" dxfId="7">
      <formula>0</formula>
    </cfRule>
  </conditionalFormatting>
  <conditionalFormatting sqref="I91">
    <cfRule type="cellIs" priority="259" operator="lessThan" aboveAverage="0" equalAverage="0" bottom="0" percent="0" rank="0" text="" dxfId="8">
      <formula>0</formula>
    </cfRule>
  </conditionalFormatting>
  <conditionalFormatting sqref="E92">
    <cfRule type="cellIs" priority="260" operator="greaterThan" aboveAverage="0" equalAverage="0" bottom="0" percent="0" rank="0" text="" dxfId="7">
      <formula>0</formula>
    </cfRule>
  </conditionalFormatting>
  <conditionalFormatting sqref="F92">
    <cfRule type="cellIs" priority="261" operator="greaterThan" aboveAverage="0" equalAverage="0" bottom="0" percent="0" rank="0" text="" dxfId="7">
      <formula>0</formula>
    </cfRule>
  </conditionalFormatting>
  <conditionalFormatting sqref="I92">
    <cfRule type="cellIs" priority="262" operator="lessThan" aboveAverage="0" equalAverage="0" bottom="0" percent="0" rank="0" text="" dxfId="8">
      <formula>0</formula>
    </cfRule>
  </conditionalFormatting>
  <conditionalFormatting sqref="E93">
    <cfRule type="cellIs" priority="263" operator="greaterThan" aboveAverage="0" equalAverage="0" bottom="0" percent="0" rank="0" text="" dxfId="7">
      <formula>0</formula>
    </cfRule>
  </conditionalFormatting>
  <conditionalFormatting sqref="F93">
    <cfRule type="cellIs" priority="264" operator="greaterThan" aboveAverage="0" equalAverage="0" bottom="0" percent="0" rank="0" text="" dxfId="7">
      <formula>0</formula>
    </cfRule>
  </conditionalFormatting>
  <conditionalFormatting sqref="I93">
    <cfRule type="cellIs" priority="265" operator="lessThan" aboveAverage="0" equalAverage="0" bottom="0" percent="0" rank="0" text="" dxfId="8">
      <formula>0</formula>
    </cfRule>
  </conditionalFormatting>
  <conditionalFormatting sqref="E94">
    <cfRule type="cellIs" priority="266" operator="greaterThan" aboveAverage="0" equalAverage="0" bottom="0" percent="0" rank="0" text="" dxfId="7">
      <formula>0</formula>
    </cfRule>
  </conditionalFormatting>
  <conditionalFormatting sqref="F94">
    <cfRule type="cellIs" priority="267" operator="greaterThan" aboveAverage="0" equalAverage="0" bottom="0" percent="0" rank="0" text="" dxfId="7">
      <formula>0</formula>
    </cfRule>
  </conditionalFormatting>
  <conditionalFormatting sqref="I94">
    <cfRule type="cellIs" priority="268" operator="lessThan" aboveAverage="0" equalAverage="0" bottom="0" percent="0" rank="0" text="" dxfId="8">
      <formula>0</formula>
    </cfRule>
  </conditionalFormatting>
  <conditionalFormatting sqref="E95">
    <cfRule type="cellIs" priority="269" operator="greaterThan" aboveAverage="0" equalAverage="0" bottom="0" percent="0" rank="0" text="" dxfId="7">
      <formula>0</formula>
    </cfRule>
  </conditionalFormatting>
  <conditionalFormatting sqref="F95">
    <cfRule type="cellIs" priority="270" operator="greaterThan" aboveAverage="0" equalAverage="0" bottom="0" percent="0" rank="0" text="" dxfId="7">
      <formula>0</formula>
    </cfRule>
  </conditionalFormatting>
  <conditionalFormatting sqref="I95">
    <cfRule type="cellIs" priority="271" operator="lessThan" aboveAverage="0" equalAverage="0" bottom="0" percent="0" rank="0" text="" dxfId="8">
      <formula>0</formula>
    </cfRule>
  </conditionalFormatting>
  <conditionalFormatting sqref="E96">
    <cfRule type="cellIs" priority="272" operator="greaterThan" aboveAverage="0" equalAverage="0" bottom="0" percent="0" rank="0" text="" dxfId="7">
      <formula>0</formula>
    </cfRule>
  </conditionalFormatting>
  <conditionalFormatting sqref="F96">
    <cfRule type="cellIs" priority="273" operator="greaterThan" aboveAverage="0" equalAverage="0" bottom="0" percent="0" rank="0" text="" dxfId="7">
      <formula>0</formula>
    </cfRule>
  </conditionalFormatting>
  <conditionalFormatting sqref="I96">
    <cfRule type="cellIs" priority="274" operator="lessThan" aboveAverage="0" equalAverage="0" bottom="0" percent="0" rank="0" text="" dxfId="8">
      <formula>0</formula>
    </cfRule>
  </conditionalFormatting>
  <conditionalFormatting sqref="E97">
    <cfRule type="cellIs" priority="275" operator="greaterThan" aboveAverage="0" equalAverage="0" bottom="0" percent="0" rank="0" text="" dxfId="7">
      <formula>0</formula>
    </cfRule>
  </conditionalFormatting>
  <conditionalFormatting sqref="F97">
    <cfRule type="cellIs" priority="276" operator="greaterThan" aboveAverage="0" equalAverage="0" bottom="0" percent="0" rank="0" text="" dxfId="7">
      <formula>0</formula>
    </cfRule>
  </conditionalFormatting>
  <conditionalFormatting sqref="I97">
    <cfRule type="cellIs" priority="277" operator="lessThan" aboveAverage="0" equalAverage="0" bottom="0" percent="0" rank="0" text="" dxfId="8">
      <formula>0</formula>
    </cfRule>
  </conditionalFormatting>
  <conditionalFormatting sqref="E98">
    <cfRule type="cellIs" priority="278" operator="greaterThan" aboveAverage="0" equalAverage="0" bottom="0" percent="0" rank="0" text="" dxfId="7">
      <formula>0</formula>
    </cfRule>
  </conditionalFormatting>
  <conditionalFormatting sqref="F98">
    <cfRule type="cellIs" priority="279" operator="greaterThan" aboveAverage="0" equalAverage="0" bottom="0" percent="0" rank="0" text="" dxfId="7">
      <formula>0</formula>
    </cfRule>
  </conditionalFormatting>
  <conditionalFormatting sqref="I98">
    <cfRule type="cellIs" priority="280" operator="lessThan" aboveAverage="0" equalAverage="0" bottom="0" percent="0" rank="0" text="" dxfId="8">
      <formula>0</formula>
    </cfRule>
  </conditionalFormatting>
  <conditionalFormatting sqref="E99">
    <cfRule type="cellIs" priority="281" operator="greaterThan" aboveAverage="0" equalAverage="0" bottom="0" percent="0" rank="0" text="" dxfId="7">
      <formula>0</formula>
    </cfRule>
  </conditionalFormatting>
  <conditionalFormatting sqref="F99">
    <cfRule type="cellIs" priority="282" operator="greaterThan" aboveAverage="0" equalAverage="0" bottom="0" percent="0" rank="0" text="" dxfId="7">
      <formula>0</formula>
    </cfRule>
  </conditionalFormatting>
  <conditionalFormatting sqref="I99">
    <cfRule type="cellIs" priority="283" operator="lessThan" aboveAverage="0" equalAverage="0" bottom="0" percent="0" rank="0" text="" dxfId="8">
      <formula>0</formula>
    </cfRule>
  </conditionalFormatting>
  <conditionalFormatting sqref="E100">
    <cfRule type="cellIs" priority="284" operator="greaterThan" aboveAverage="0" equalAverage="0" bottom="0" percent="0" rank="0" text="" dxfId="7">
      <formula>0</formula>
    </cfRule>
  </conditionalFormatting>
  <conditionalFormatting sqref="F100">
    <cfRule type="cellIs" priority="285" operator="greaterThan" aboveAverage="0" equalAverage="0" bottom="0" percent="0" rank="0" text="" dxfId="7">
      <formula>0</formula>
    </cfRule>
  </conditionalFormatting>
  <conditionalFormatting sqref="I100">
    <cfRule type="cellIs" priority="286" operator="lessThan" aboveAverage="0" equalAverage="0" bottom="0" percent="0" rank="0" text="" dxfId="8">
      <formula>0</formula>
    </cfRule>
  </conditionalFormatting>
  <conditionalFormatting sqref="E101">
    <cfRule type="cellIs" priority="287" operator="greaterThan" aboveAverage="0" equalAverage="0" bottom="0" percent="0" rank="0" text="" dxfId="7">
      <formula>0</formula>
    </cfRule>
  </conditionalFormatting>
  <conditionalFormatting sqref="F101">
    <cfRule type="cellIs" priority="288" operator="greaterThan" aboveAverage="0" equalAverage="0" bottom="0" percent="0" rank="0" text="" dxfId="7">
      <formula>0</formula>
    </cfRule>
  </conditionalFormatting>
  <conditionalFormatting sqref="I101">
    <cfRule type="cellIs" priority="289" operator="lessThan" aboveAverage="0" equalAverage="0" bottom="0" percent="0" rank="0" text="" dxfId="8">
      <formula>0</formula>
    </cfRule>
  </conditionalFormatting>
  <conditionalFormatting sqref="E102">
    <cfRule type="cellIs" priority="290" operator="greaterThan" aboveAverage="0" equalAverage="0" bottom="0" percent="0" rank="0" text="" dxfId="7">
      <formula>0</formula>
    </cfRule>
  </conditionalFormatting>
  <conditionalFormatting sqref="F102">
    <cfRule type="cellIs" priority="291" operator="greaterThan" aboveAverage="0" equalAverage="0" bottom="0" percent="0" rank="0" text="" dxfId="7">
      <formula>0</formula>
    </cfRule>
  </conditionalFormatting>
  <conditionalFormatting sqref="I102">
    <cfRule type="cellIs" priority="292" operator="lessThan" aboveAverage="0" equalAverage="0" bottom="0" percent="0" rank="0" text="" dxfId="8">
      <formula>0</formula>
    </cfRule>
  </conditionalFormatting>
  <conditionalFormatting sqref="E103">
    <cfRule type="cellIs" priority="293" operator="greaterThan" aboveAverage="0" equalAverage="0" bottom="0" percent="0" rank="0" text="" dxfId="7">
      <formula>0</formula>
    </cfRule>
  </conditionalFormatting>
  <conditionalFormatting sqref="F103">
    <cfRule type="cellIs" priority="294" operator="greaterThan" aboveAverage="0" equalAverage="0" bottom="0" percent="0" rank="0" text="" dxfId="7">
      <formula>0</formula>
    </cfRule>
  </conditionalFormatting>
  <conditionalFormatting sqref="I103">
    <cfRule type="cellIs" priority="295" operator="lessThan" aboveAverage="0" equalAverage="0" bottom="0" percent="0" rank="0" text="" dxfId="8">
      <formula>0</formula>
    </cfRule>
  </conditionalFormatting>
  <conditionalFormatting sqref="E104">
    <cfRule type="cellIs" priority="296" operator="greaterThan" aboveAverage="0" equalAverage="0" bottom="0" percent="0" rank="0" text="" dxfId="7">
      <formula>0</formula>
    </cfRule>
  </conditionalFormatting>
  <conditionalFormatting sqref="F104">
    <cfRule type="cellIs" priority="297" operator="greaterThan" aboveAverage="0" equalAverage="0" bottom="0" percent="0" rank="0" text="" dxfId="7">
      <formula>0</formula>
    </cfRule>
  </conditionalFormatting>
  <conditionalFormatting sqref="I104">
    <cfRule type="cellIs" priority="298" operator="lessThan" aboveAverage="0" equalAverage="0" bottom="0" percent="0" rank="0" text="" dxfId="8">
      <formula>0</formula>
    </cfRule>
  </conditionalFormatting>
  <conditionalFormatting sqref="E105">
    <cfRule type="cellIs" priority="299" operator="greaterThan" aboveAverage="0" equalAverage="0" bottom="0" percent="0" rank="0" text="" dxfId="7">
      <formula>0</formula>
    </cfRule>
  </conditionalFormatting>
  <conditionalFormatting sqref="F105">
    <cfRule type="cellIs" priority="300" operator="greaterThan" aboveAverage="0" equalAverage="0" bottom="0" percent="0" rank="0" text="" dxfId="7">
      <formula>0</formula>
    </cfRule>
  </conditionalFormatting>
  <conditionalFormatting sqref="I105">
    <cfRule type="cellIs" priority="301" operator="lessThan" aboveAverage="0" equalAverage="0" bottom="0" percent="0" rank="0" text="" dxfId="8">
      <formula>0</formula>
    </cfRule>
  </conditionalFormatting>
  <conditionalFormatting sqref="E106">
    <cfRule type="cellIs" priority="302" operator="greaterThan" aboveAverage="0" equalAverage="0" bottom="0" percent="0" rank="0" text="" dxfId="7">
      <formula>0</formula>
    </cfRule>
  </conditionalFormatting>
  <conditionalFormatting sqref="F106">
    <cfRule type="cellIs" priority="303" operator="greaterThan" aboveAverage="0" equalAverage="0" bottom="0" percent="0" rank="0" text="" dxfId="7">
      <formula>0</formula>
    </cfRule>
  </conditionalFormatting>
  <conditionalFormatting sqref="I106">
    <cfRule type="cellIs" priority="304" operator="lessThan" aboveAverage="0" equalAverage="0" bottom="0" percent="0" rank="0" text="" dxfId="8">
      <formula>0</formula>
    </cfRule>
  </conditionalFormatting>
  <conditionalFormatting sqref="E107">
    <cfRule type="cellIs" priority="305" operator="greaterThan" aboveAverage="0" equalAverage="0" bottom="0" percent="0" rank="0" text="" dxfId="7">
      <formula>0</formula>
    </cfRule>
  </conditionalFormatting>
  <conditionalFormatting sqref="F107">
    <cfRule type="cellIs" priority="306" operator="greaterThan" aboveAverage="0" equalAverage="0" bottom="0" percent="0" rank="0" text="" dxfId="7">
      <formula>0</formula>
    </cfRule>
  </conditionalFormatting>
  <conditionalFormatting sqref="I107">
    <cfRule type="cellIs" priority="307" operator="lessThan" aboveAverage="0" equalAverage="0" bottom="0" percent="0" rank="0" text="" dxfId="8">
      <formula>0</formula>
    </cfRule>
  </conditionalFormatting>
  <conditionalFormatting sqref="E108">
    <cfRule type="cellIs" priority="308" operator="greaterThan" aboveAverage="0" equalAverage="0" bottom="0" percent="0" rank="0" text="" dxfId="7">
      <formula>0</formula>
    </cfRule>
  </conditionalFormatting>
  <conditionalFormatting sqref="F108">
    <cfRule type="cellIs" priority="309" operator="greaterThan" aboveAverage="0" equalAverage="0" bottom="0" percent="0" rank="0" text="" dxfId="7">
      <formula>0</formula>
    </cfRule>
  </conditionalFormatting>
  <conditionalFormatting sqref="I108">
    <cfRule type="cellIs" priority="310" operator="lessThan" aboveAverage="0" equalAverage="0" bottom="0" percent="0" rank="0" text="" dxfId="8">
      <formula>0</formula>
    </cfRule>
  </conditionalFormatting>
  <conditionalFormatting sqref="E109">
    <cfRule type="cellIs" priority="311" operator="greaterThan" aboveAverage="0" equalAverage="0" bottom="0" percent="0" rank="0" text="" dxfId="7">
      <formula>0</formula>
    </cfRule>
  </conditionalFormatting>
  <conditionalFormatting sqref="F109">
    <cfRule type="cellIs" priority="312" operator="greaterThan" aboveAverage="0" equalAverage="0" bottom="0" percent="0" rank="0" text="" dxfId="7">
      <formula>0</formula>
    </cfRule>
  </conditionalFormatting>
  <conditionalFormatting sqref="I109">
    <cfRule type="cellIs" priority="313" operator="lessThan" aboveAverage="0" equalAverage="0" bottom="0" percent="0" rank="0" text="" dxfId="8">
      <formula>0</formula>
    </cfRule>
  </conditionalFormatting>
  <conditionalFormatting sqref="E110">
    <cfRule type="cellIs" priority="314" operator="greaterThan" aboveAverage="0" equalAverage="0" bottom="0" percent="0" rank="0" text="" dxfId="7">
      <formula>0</formula>
    </cfRule>
  </conditionalFormatting>
  <conditionalFormatting sqref="F110">
    <cfRule type="cellIs" priority="315" operator="greaterThan" aboveAverage="0" equalAverage="0" bottom="0" percent="0" rank="0" text="" dxfId="7">
      <formula>0</formula>
    </cfRule>
  </conditionalFormatting>
  <conditionalFormatting sqref="I110">
    <cfRule type="cellIs" priority="316" operator="lessThan" aboveAverage="0" equalAverage="0" bottom="0" percent="0" rank="0" text="" dxfId="8">
      <formula>0</formula>
    </cfRule>
  </conditionalFormatting>
  <conditionalFormatting sqref="E111">
    <cfRule type="cellIs" priority="317" operator="greaterThan" aboveAverage="0" equalAverage="0" bottom="0" percent="0" rank="0" text="" dxfId="7">
      <formula>0</formula>
    </cfRule>
  </conditionalFormatting>
  <conditionalFormatting sqref="F111">
    <cfRule type="cellIs" priority="318" operator="greaterThan" aboveAverage="0" equalAverage="0" bottom="0" percent="0" rank="0" text="" dxfId="7">
      <formula>0</formula>
    </cfRule>
  </conditionalFormatting>
  <conditionalFormatting sqref="I111">
    <cfRule type="cellIs" priority="319" operator="lessThan" aboveAverage="0" equalAverage="0" bottom="0" percent="0" rank="0" text="" dxfId="8">
      <formula>0</formula>
    </cfRule>
  </conditionalFormatting>
  <conditionalFormatting sqref="E112">
    <cfRule type="cellIs" priority="320" operator="greaterThan" aboveAverage="0" equalAverage="0" bottom="0" percent="0" rank="0" text="" dxfId="7">
      <formula>0</formula>
    </cfRule>
  </conditionalFormatting>
  <conditionalFormatting sqref="F112">
    <cfRule type="cellIs" priority="321" operator="greaterThan" aboveAverage="0" equalAverage="0" bottom="0" percent="0" rank="0" text="" dxfId="7">
      <formula>0</formula>
    </cfRule>
  </conditionalFormatting>
  <conditionalFormatting sqref="I112">
    <cfRule type="cellIs" priority="322" operator="lessThan" aboveAverage="0" equalAverage="0" bottom="0" percent="0" rank="0" text="" dxfId="8">
      <formula>0</formula>
    </cfRule>
  </conditionalFormatting>
  <conditionalFormatting sqref="E113">
    <cfRule type="cellIs" priority="323" operator="greaterThan" aboveAverage="0" equalAverage="0" bottom="0" percent="0" rank="0" text="" dxfId="7">
      <formula>0</formula>
    </cfRule>
  </conditionalFormatting>
  <conditionalFormatting sqref="F113">
    <cfRule type="cellIs" priority="324" operator="greaterThan" aboveAverage="0" equalAverage="0" bottom="0" percent="0" rank="0" text="" dxfId="7">
      <formula>0</formula>
    </cfRule>
  </conditionalFormatting>
  <conditionalFormatting sqref="I113">
    <cfRule type="cellIs" priority="325" operator="lessThan" aboveAverage="0" equalAverage="0" bottom="0" percent="0" rank="0" text="" dxfId="8">
      <formula>0</formula>
    </cfRule>
  </conditionalFormatting>
  <conditionalFormatting sqref="E114">
    <cfRule type="cellIs" priority="326" operator="greaterThan" aboveAverage="0" equalAverage="0" bottom="0" percent="0" rank="0" text="" dxfId="7">
      <formula>0</formula>
    </cfRule>
  </conditionalFormatting>
  <conditionalFormatting sqref="F114">
    <cfRule type="cellIs" priority="327" operator="greaterThan" aboveAverage="0" equalAverage="0" bottom="0" percent="0" rank="0" text="" dxfId="7">
      <formula>0</formula>
    </cfRule>
  </conditionalFormatting>
  <conditionalFormatting sqref="I114">
    <cfRule type="cellIs" priority="328" operator="lessThan" aboveAverage="0" equalAverage="0" bottom="0" percent="0" rank="0" text="" dxfId="8">
      <formula>0</formula>
    </cfRule>
  </conditionalFormatting>
  <conditionalFormatting sqref="E115">
    <cfRule type="cellIs" priority="329" operator="greaterThan" aboveAverage="0" equalAverage="0" bottom="0" percent="0" rank="0" text="" dxfId="7">
      <formula>0</formula>
    </cfRule>
  </conditionalFormatting>
  <conditionalFormatting sqref="F115">
    <cfRule type="cellIs" priority="330" operator="greaterThan" aboveAverage="0" equalAverage="0" bottom="0" percent="0" rank="0" text="" dxfId="7">
      <formula>0</formula>
    </cfRule>
  </conditionalFormatting>
  <conditionalFormatting sqref="I115">
    <cfRule type="cellIs" priority="331" operator="lessThan" aboveAverage="0" equalAverage="0" bottom="0" percent="0" rank="0" text="" dxfId="8">
      <formula>0</formula>
    </cfRule>
  </conditionalFormatting>
  <conditionalFormatting sqref="E116">
    <cfRule type="cellIs" priority="332" operator="greaterThan" aboveAverage="0" equalAverage="0" bottom="0" percent="0" rank="0" text="" dxfId="7">
      <formula>0</formula>
    </cfRule>
  </conditionalFormatting>
  <conditionalFormatting sqref="F116">
    <cfRule type="cellIs" priority="333" operator="greaterThan" aboveAverage="0" equalAverage="0" bottom="0" percent="0" rank="0" text="" dxfId="7">
      <formula>0</formula>
    </cfRule>
  </conditionalFormatting>
  <conditionalFormatting sqref="I116">
    <cfRule type="cellIs" priority="334" operator="lessThan" aboveAverage="0" equalAverage="0" bottom="0" percent="0" rank="0" text="" dxfId="8">
      <formula>0</formula>
    </cfRule>
  </conditionalFormatting>
  <conditionalFormatting sqref="E117">
    <cfRule type="cellIs" priority="335" operator="greaterThan" aboveAverage="0" equalAverage="0" bottom="0" percent="0" rank="0" text="" dxfId="7">
      <formula>0</formula>
    </cfRule>
  </conditionalFormatting>
  <conditionalFormatting sqref="F117">
    <cfRule type="cellIs" priority="336" operator="greaterThan" aboveAverage="0" equalAverage="0" bottom="0" percent="0" rank="0" text="" dxfId="7">
      <formula>0</formula>
    </cfRule>
  </conditionalFormatting>
  <conditionalFormatting sqref="I117">
    <cfRule type="cellIs" priority="337" operator="lessThan" aboveAverage="0" equalAverage="0" bottom="0" percent="0" rank="0" text="" dxfId="8">
      <formula>0</formula>
    </cfRule>
  </conditionalFormatting>
  <conditionalFormatting sqref="E118">
    <cfRule type="cellIs" priority="338" operator="greaterThan" aboveAverage="0" equalAverage="0" bottom="0" percent="0" rank="0" text="" dxfId="7">
      <formula>0</formula>
    </cfRule>
  </conditionalFormatting>
  <conditionalFormatting sqref="F118">
    <cfRule type="cellIs" priority="339" operator="greaterThan" aboveAverage="0" equalAverage="0" bottom="0" percent="0" rank="0" text="" dxfId="7">
      <formula>0</formula>
    </cfRule>
  </conditionalFormatting>
  <conditionalFormatting sqref="I118">
    <cfRule type="cellIs" priority="340" operator="lessThan" aboveAverage="0" equalAverage="0" bottom="0" percent="0" rank="0" text="" dxfId="8">
      <formula>0</formula>
    </cfRule>
  </conditionalFormatting>
  <conditionalFormatting sqref="E119">
    <cfRule type="cellIs" priority="341" operator="greaterThan" aboveAverage="0" equalAverage="0" bottom="0" percent="0" rank="0" text="" dxfId="7">
      <formula>0</formula>
    </cfRule>
  </conditionalFormatting>
  <conditionalFormatting sqref="F119">
    <cfRule type="cellIs" priority="342" operator="greaterThan" aboveAverage="0" equalAverage="0" bottom="0" percent="0" rank="0" text="" dxfId="7">
      <formula>0</formula>
    </cfRule>
  </conditionalFormatting>
  <conditionalFormatting sqref="I119">
    <cfRule type="cellIs" priority="343" operator="lessThan" aboveAverage="0" equalAverage="0" bottom="0" percent="0" rank="0" text="" dxfId="8">
      <formula>0</formula>
    </cfRule>
  </conditionalFormatting>
  <conditionalFormatting sqref="E120">
    <cfRule type="cellIs" priority="344" operator="greaterThan" aboveAverage="0" equalAverage="0" bottom="0" percent="0" rank="0" text="" dxfId="7">
      <formula>0</formula>
    </cfRule>
  </conditionalFormatting>
  <conditionalFormatting sqref="F120">
    <cfRule type="cellIs" priority="345" operator="greaterThan" aboveAverage="0" equalAverage="0" bottom="0" percent="0" rank="0" text="" dxfId="7">
      <formula>0</formula>
    </cfRule>
  </conditionalFormatting>
  <conditionalFormatting sqref="I120">
    <cfRule type="cellIs" priority="346" operator="lessThan" aboveAverage="0" equalAverage="0" bottom="0" percent="0" rank="0" text="" dxfId="8">
      <formula>0</formula>
    </cfRule>
  </conditionalFormatting>
  <conditionalFormatting sqref="E121">
    <cfRule type="cellIs" priority="347" operator="greaterThan" aboveAverage="0" equalAverage="0" bottom="0" percent="0" rank="0" text="" dxfId="7">
      <formula>0</formula>
    </cfRule>
  </conditionalFormatting>
  <conditionalFormatting sqref="F121">
    <cfRule type="cellIs" priority="348" operator="greaterThan" aboveAverage="0" equalAverage="0" bottom="0" percent="0" rank="0" text="" dxfId="7">
      <formula>0</formula>
    </cfRule>
  </conditionalFormatting>
  <conditionalFormatting sqref="I121">
    <cfRule type="cellIs" priority="349" operator="lessThan" aboveAverage="0" equalAverage="0" bottom="0" percent="0" rank="0" text="" dxfId="8">
      <formula>0</formula>
    </cfRule>
  </conditionalFormatting>
  <conditionalFormatting sqref="E122">
    <cfRule type="cellIs" priority="350" operator="greaterThan" aboveAverage="0" equalAverage="0" bottom="0" percent="0" rank="0" text="" dxfId="7">
      <formula>0</formula>
    </cfRule>
  </conditionalFormatting>
  <conditionalFormatting sqref="F122">
    <cfRule type="cellIs" priority="351" operator="greaterThan" aboveAverage="0" equalAverage="0" bottom="0" percent="0" rank="0" text="" dxfId="7">
      <formula>0</formula>
    </cfRule>
  </conditionalFormatting>
  <conditionalFormatting sqref="I122">
    <cfRule type="cellIs" priority="352" operator="lessThan" aboveAverage="0" equalAverage="0" bottom="0" percent="0" rank="0" text="" dxfId="8">
      <formula>0</formula>
    </cfRule>
  </conditionalFormatting>
  <conditionalFormatting sqref="E123">
    <cfRule type="cellIs" priority="353" operator="greaterThan" aboveAverage="0" equalAverage="0" bottom="0" percent="0" rank="0" text="" dxfId="7">
      <formula>0</formula>
    </cfRule>
  </conditionalFormatting>
  <conditionalFormatting sqref="F123">
    <cfRule type="cellIs" priority="354" operator="greaterThan" aboveAverage="0" equalAverage="0" bottom="0" percent="0" rank="0" text="" dxfId="7">
      <formula>0</formula>
    </cfRule>
  </conditionalFormatting>
  <conditionalFormatting sqref="I123">
    <cfRule type="cellIs" priority="355" operator="lessThan" aboveAverage="0" equalAverage="0" bottom="0" percent="0" rank="0" text="" dxfId="8">
      <formula>0</formula>
    </cfRule>
  </conditionalFormatting>
  <conditionalFormatting sqref="E124">
    <cfRule type="cellIs" priority="356" operator="greaterThan" aboveAverage="0" equalAverage="0" bottom="0" percent="0" rank="0" text="" dxfId="7">
      <formula>0</formula>
    </cfRule>
  </conditionalFormatting>
  <conditionalFormatting sqref="F124">
    <cfRule type="cellIs" priority="357" operator="greaterThan" aboveAverage="0" equalAverage="0" bottom="0" percent="0" rank="0" text="" dxfId="7">
      <formula>0</formula>
    </cfRule>
  </conditionalFormatting>
  <conditionalFormatting sqref="I124">
    <cfRule type="cellIs" priority="358" operator="lessThan" aboveAverage="0" equalAverage="0" bottom="0" percent="0" rank="0" text="" dxfId="8">
      <formula>0</formula>
    </cfRule>
  </conditionalFormatting>
  <conditionalFormatting sqref="E125">
    <cfRule type="cellIs" priority="359" operator="greaterThan" aboveAverage="0" equalAverage="0" bottom="0" percent="0" rank="0" text="" dxfId="7">
      <formula>0</formula>
    </cfRule>
  </conditionalFormatting>
  <conditionalFormatting sqref="F125">
    <cfRule type="cellIs" priority="360" operator="greaterThan" aboveAverage="0" equalAverage="0" bottom="0" percent="0" rank="0" text="" dxfId="7">
      <formula>0</formula>
    </cfRule>
  </conditionalFormatting>
  <conditionalFormatting sqref="I125">
    <cfRule type="cellIs" priority="361" operator="lessThan" aboveAverage="0" equalAverage="0" bottom="0" percent="0" rank="0" text="" dxfId="8">
      <formula>0</formula>
    </cfRule>
  </conditionalFormatting>
  <conditionalFormatting sqref="E126">
    <cfRule type="cellIs" priority="362" operator="greaterThan" aboveAverage="0" equalAverage="0" bottom="0" percent="0" rank="0" text="" dxfId="7">
      <formula>0</formula>
    </cfRule>
  </conditionalFormatting>
  <conditionalFormatting sqref="F126">
    <cfRule type="cellIs" priority="363" operator="greaterThan" aboveAverage="0" equalAverage="0" bottom="0" percent="0" rank="0" text="" dxfId="7">
      <formula>0</formula>
    </cfRule>
  </conditionalFormatting>
  <conditionalFormatting sqref="I126">
    <cfRule type="cellIs" priority="364" operator="lessThan" aboveAverage="0" equalAverage="0" bottom="0" percent="0" rank="0" text="" dxfId="8">
      <formula>0</formula>
    </cfRule>
  </conditionalFormatting>
  <conditionalFormatting sqref="E127">
    <cfRule type="cellIs" priority="365" operator="greaterThan" aboveAverage="0" equalAverage="0" bottom="0" percent="0" rank="0" text="" dxfId="7">
      <formula>0</formula>
    </cfRule>
  </conditionalFormatting>
  <conditionalFormatting sqref="F127">
    <cfRule type="cellIs" priority="366" operator="greaterThan" aboveAverage="0" equalAverage="0" bottom="0" percent="0" rank="0" text="" dxfId="7">
      <formula>0</formula>
    </cfRule>
  </conditionalFormatting>
  <conditionalFormatting sqref="I127">
    <cfRule type="cellIs" priority="367" operator="lessThan" aboveAverage="0" equalAverage="0" bottom="0" percent="0" rank="0" text="" dxfId="8">
      <formula>0</formula>
    </cfRule>
  </conditionalFormatting>
  <conditionalFormatting sqref="E128">
    <cfRule type="cellIs" priority="368" operator="greaterThan" aboveAverage="0" equalAverage="0" bottom="0" percent="0" rank="0" text="" dxfId="7">
      <formula>0</formula>
    </cfRule>
  </conditionalFormatting>
  <conditionalFormatting sqref="F128">
    <cfRule type="cellIs" priority="369" operator="greaterThan" aboveAverage="0" equalAverage="0" bottom="0" percent="0" rank="0" text="" dxfId="7">
      <formula>0</formula>
    </cfRule>
  </conditionalFormatting>
  <conditionalFormatting sqref="I128">
    <cfRule type="cellIs" priority="370" operator="lessThan" aboveAverage="0" equalAverage="0" bottom="0" percent="0" rank="0" text="" dxfId="8">
      <formula>0</formula>
    </cfRule>
  </conditionalFormatting>
  <conditionalFormatting sqref="E129">
    <cfRule type="cellIs" priority="371" operator="greaterThan" aboveAverage="0" equalAverage="0" bottom="0" percent="0" rank="0" text="" dxfId="7">
      <formula>0</formula>
    </cfRule>
  </conditionalFormatting>
  <conditionalFormatting sqref="F129">
    <cfRule type="cellIs" priority="372" operator="greaterThan" aboveAverage="0" equalAverage="0" bottom="0" percent="0" rank="0" text="" dxfId="7">
      <formula>0</formula>
    </cfRule>
  </conditionalFormatting>
  <conditionalFormatting sqref="I129">
    <cfRule type="cellIs" priority="373" operator="lessThan" aboveAverage="0" equalAverage="0" bottom="0" percent="0" rank="0" text="" dxfId="8">
      <formula>0</formula>
    </cfRule>
  </conditionalFormatting>
  <conditionalFormatting sqref="E130">
    <cfRule type="cellIs" priority="374" operator="greaterThan" aboveAverage="0" equalAverage="0" bottom="0" percent="0" rank="0" text="" dxfId="7">
      <formula>0</formula>
    </cfRule>
  </conditionalFormatting>
  <conditionalFormatting sqref="F130">
    <cfRule type="cellIs" priority="375" operator="greaterThan" aboveAverage="0" equalAverage="0" bottom="0" percent="0" rank="0" text="" dxfId="7">
      <formula>0</formula>
    </cfRule>
  </conditionalFormatting>
  <conditionalFormatting sqref="I130">
    <cfRule type="cellIs" priority="376" operator="lessThan" aboveAverage="0" equalAverage="0" bottom="0" percent="0" rank="0" text="" dxfId="8">
      <formula>0</formula>
    </cfRule>
  </conditionalFormatting>
  <conditionalFormatting sqref="E131">
    <cfRule type="cellIs" priority="377" operator="greaterThan" aboveAverage="0" equalAverage="0" bottom="0" percent="0" rank="0" text="" dxfId="7">
      <formula>0</formula>
    </cfRule>
  </conditionalFormatting>
  <conditionalFormatting sqref="F131">
    <cfRule type="cellIs" priority="378" operator="greaterThan" aboveAverage="0" equalAverage="0" bottom="0" percent="0" rank="0" text="" dxfId="7">
      <formula>0</formula>
    </cfRule>
  </conditionalFormatting>
  <conditionalFormatting sqref="I131">
    <cfRule type="cellIs" priority="379" operator="lessThan" aboveAverage="0" equalAverage="0" bottom="0" percent="0" rank="0" text="" dxfId="8">
      <formula>0</formula>
    </cfRule>
  </conditionalFormatting>
  <conditionalFormatting sqref="E132">
    <cfRule type="cellIs" priority="380" operator="greaterThan" aboveAverage="0" equalAverage="0" bottom="0" percent="0" rank="0" text="" dxfId="7">
      <formula>0</formula>
    </cfRule>
  </conditionalFormatting>
  <conditionalFormatting sqref="F132">
    <cfRule type="cellIs" priority="381" operator="greaterThan" aboveAverage="0" equalAverage="0" bottom="0" percent="0" rank="0" text="" dxfId="7">
      <formula>0</formula>
    </cfRule>
  </conditionalFormatting>
  <conditionalFormatting sqref="I132">
    <cfRule type="cellIs" priority="382" operator="lessThan" aboveAverage="0" equalAverage="0" bottom="0" percent="0" rank="0" text="" dxfId="8">
      <formula>0</formula>
    </cfRule>
  </conditionalFormatting>
  <conditionalFormatting sqref="E133">
    <cfRule type="cellIs" priority="383" operator="greaterThan" aboveAverage="0" equalAverage="0" bottom="0" percent="0" rank="0" text="" dxfId="7">
      <formula>0</formula>
    </cfRule>
  </conditionalFormatting>
  <conditionalFormatting sqref="F133">
    <cfRule type="cellIs" priority="384" operator="greaterThan" aboveAverage="0" equalAverage="0" bottom="0" percent="0" rank="0" text="" dxfId="7">
      <formula>0</formula>
    </cfRule>
  </conditionalFormatting>
  <conditionalFormatting sqref="I133">
    <cfRule type="cellIs" priority="385" operator="lessThan" aboveAverage="0" equalAverage="0" bottom="0" percent="0" rank="0" text="" dxfId="8">
      <formula>0</formula>
    </cfRule>
  </conditionalFormatting>
  <conditionalFormatting sqref="E134">
    <cfRule type="cellIs" priority="386" operator="greaterThan" aboveAverage="0" equalAverage="0" bottom="0" percent="0" rank="0" text="" dxfId="7">
      <formula>0</formula>
    </cfRule>
  </conditionalFormatting>
  <conditionalFormatting sqref="F134">
    <cfRule type="cellIs" priority="387" operator="greaterThan" aboveAverage="0" equalAverage="0" bottom="0" percent="0" rank="0" text="" dxfId="7">
      <formula>0</formula>
    </cfRule>
  </conditionalFormatting>
  <conditionalFormatting sqref="I134">
    <cfRule type="cellIs" priority="388" operator="lessThan" aboveAverage="0" equalAverage="0" bottom="0" percent="0" rank="0" text="" dxfId="8">
      <formula>0</formula>
    </cfRule>
  </conditionalFormatting>
  <conditionalFormatting sqref="E135">
    <cfRule type="cellIs" priority="389" operator="greaterThan" aboveAverage="0" equalAverage="0" bottom="0" percent="0" rank="0" text="" dxfId="7">
      <formula>0</formula>
    </cfRule>
  </conditionalFormatting>
  <conditionalFormatting sqref="F135">
    <cfRule type="cellIs" priority="390" operator="greaterThan" aboveAverage="0" equalAverage="0" bottom="0" percent="0" rank="0" text="" dxfId="7">
      <formula>0</formula>
    </cfRule>
  </conditionalFormatting>
  <conditionalFormatting sqref="I135">
    <cfRule type="cellIs" priority="391" operator="lessThan" aboveAverage="0" equalAverage="0" bottom="0" percent="0" rank="0" text="" dxfId="8">
      <formula>0</formula>
    </cfRule>
  </conditionalFormatting>
  <conditionalFormatting sqref="E136">
    <cfRule type="cellIs" priority="392" operator="greaterThan" aboveAverage="0" equalAverage="0" bottom="0" percent="0" rank="0" text="" dxfId="7">
      <formula>0</formula>
    </cfRule>
  </conditionalFormatting>
  <conditionalFormatting sqref="F136">
    <cfRule type="cellIs" priority="393" operator="greaterThan" aboveAverage="0" equalAverage="0" bottom="0" percent="0" rank="0" text="" dxfId="7">
      <formula>0</formula>
    </cfRule>
  </conditionalFormatting>
  <conditionalFormatting sqref="I136">
    <cfRule type="cellIs" priority="394" operator="lessThan" aboveAverage="0" equalAverage="0" bottom="0" percent="0" rank="0" text="" dxfId="8">
      <formula>0</formula>
    </cfRule>
  </conditionalFormatting>
  <conditionalFormatting sqref="E137">
    <cfRule type="cellIs" priority="395" operator="greaterThan" aboveAverage="0" equalAverage="0" bottom="0" percent="0" rank="0" text="" dxfId="7">
      <formula>0</formula>
    </cfRule>
  </conditionalFormatting>
  <conditionalFormatting sqref="F137">
    <cfRule type="cellIs" priority="396" operator="greaterThan" aboveAverage="0" equalAverage="0" bottom="0" percent="0" rank="0" text="" dxfId="7">
      <formula>0</formula>
    </cfRule>
  </conditionalFormatting>
  <conditionalFormatting sqref="I137">
    <cfRule type="cellIs" priority="397" operator="lessThan" aboveAverage="0" equalAverage="0" bottom="0" percent="0" rank="0" text="" dxfId="8">
      <formula>0</formula>
    </cfRule>
  </conditionalFormatting>
  <conditionalFormatting sqref="E138">
    <cfRule type="cellIs" priority="398" operator="greaterThan" aboveAverage="0" equalAverage="0" bottom="0" percent="0" rank="0" text="" dxfId="7">
      <formula>0</formula>
    </cfRule>
  </conditionalFormatting>
  <conditionalFormatting sqref="F138">
    <cfRule type="cellIs" priority="399" operator="greaterThan" aboveAverage="0" equalAverage="0" bottom="0" percent="0" rank="0" text="" dxfId="7">
      <formula>0</formula>
    </cfRule>
  </conditionalFormatting>
  <conditionalFormatting sqref="I138">
    <cfRule type="cellIs" priority="400" operator="lessThan" aboveAverage="0" equalAverage="0" bottom="0" percent="0" rank="0" text="" dxfId="8">
      <formula>0</formula>
    </cfRule>
  </conditionalFormatting>
  <conditionalFormatting sqref="E139">
    <cfRule type="cellIs" priority="401" operator="greaterThan" aboveAverage="0" equalAverage="0" bottom="0" percent="0" rank="0" text="" dxfId="7">
      <formula>0</formula>
    </cfRule>
  </conditionalFormatting>
  <conditionalFormatting sqref="F139">
    <cfRule type="cellIs" priority="402" operator="greaterThan" aboveAverage="0" equalAverage="0" bottom="0" percent="0" rank="0" text="" dxfId="7">
      <formula>0</formula>
    </cfRule>
  </conditionalFormatting>
  <conditionalFormatting sqref="I139">
    <cfRule type="cellIs" priority="403" operator="lessThan" aboveAverage="0" equalAverage="0" bottom="0" percent="0" rank="0" text="" dxfId="8">
      <formula>0</formula>
    </cfRule>
  </conditionalFormatting>
  <conditionalFormatting sqref="E140">
    <cfRule type="cellIs" priority="404" operator="greaterThan" aboveAverage="0" equalAverage="0" bottom="0" percent="0" rank="0" text="" dxfId="7">
      <formula>0</formula>
    </cfRule>
  </conditionalFormatting>
  <conditionalFormatting sqref="F140">
    <cfRule type="cellIs" priority="405" operator="greaterThan" aboveAverage="0" equalAverage="0" bottom="0" percent="0" rank="0" text="" dxfId="7">
      <formula>0</formula>
    </cfRule>
  </conditionalFormatting>
  <conditionalFormatting sqref="I140">
    <cfRule type="cellIs" priority="406" operator="lessThan" aboveAverage="0" equalAverage="0" bottom="0" percent="0" rank="0" text="" dxfId="8">
      <formula>0</formula>
    </cfRule>
  </conditionalFormatting>
  <conditionalFormatting sqref="E141">
    <cfRule type="cellIs" priority="407" operator="greaterThan" aboveAverage="0" equalAverage="0" bottom="0" percent="0" rank="0" text="" dxfId="7">
      <formula>0</formula>
    </cfRule>
  </conditionalFormatting>
  <conditionalFormatting sqref="F141">
    <cfRule type="cellIs" priority="408" operator="greaterThan" aboveAverage="0" equalAverage="0" bottom="0" percent="0" rank="0" text="" dxfId="7">
      <formula>0</formula>
    </cfRule>
  </conditionalFormatting>
  <conditionalFormatting sqref="I141">
    <cfRule type="cellIs" priority="409" operator="lessThan" aboveAverage="0" equalAverage="0" bottom="0" percent="0" rank="0" text="" dxfId="8">
      <formula>0</formula>
    </cfRule>
  </conditionalFormatting>
  <conditionalFormatting sqref="E142">
    <cfRule type="cellIs" priority="410" operator="greaterThan" aboveAverage="0" equalAverage="0" bottom="0" percent="0" rank="0" text="" dxfId="7">
      <formula>0</formula>
    </cfRule>
  </conditionalFormatting>
  <conditionalFormatting sqref="F142">
    <cfRule type="cellIs" priority="411" operator="greaterThan" aboveAverage="0" equalAverage="0" bottom="0" percent="0" rank="0" text="" dxfId="7">
      <formula>0</formula>
    </cfRule>
  </conditionalFormatting>
  <conditionalFormatting sqref="I142">
    <cfRule type="cellIs" priority="412" operator="lessThan" aboveAverage="0" equalAverage="0" bottom="0" percent="0" rank="0" text="" dxfId="8">
      <formula>0</formula>
    </cfRule>
  </conditionalFormatting>
  <conditionalFormatting sqref="E143">
    <cfRule type="cellIs" priority="413" operator="greaterThan" aboveAverage="0" equalAverage="0" bottom="0" percent="0" rank="0" text="" dxfId="7">
      <formula>0</formula>
    </cfRule>
  </conditionalFormatting>
  <conditionalFormatting sqref="F143">
    <cfRule type="cellIs" priority="414" operator="greaterThan" aboveAverage="0" equalAverage="0" bottom="0" percent="0" rank="0" text="" dxfId="7">
      <formula>0</formula>
    </cfRule>
  </conditionalFormatting>
  <conditionalFormatting sqref="I143">
    <cfRule type="cellIs" priority="415" operator="lessThan" aboveAverage="0" equalAverage="0" bottom="0" percent="0" rank="0" text="" dxfId="8">
      <formula>0</formula>
    </cfRule>
  </conditionalFormatting>
  <conditionalFormatting sqref="E144">
    <cfRule type="cellIs" priority="416" operator="greaterThan" aboveAverage="0" equalAverage="0" bottom="0" percent="0" rank="0" text="" dxfId="7">
      <formula>0</formula>
    </cfRule>
  </conditionalFormatting>
  <conditionalFormatting sqref="F144">
    <cfRule type="cellIs" priority="417" operator="greaterThan" aboveAverage="0" equalAverage="0" bottom="0" percent="0" rank="0" text="" dxfId="7">
      <formula>0</formula>
    </cfRule>
  </conditionalFormatting>
  <conditionalFormatting sqref="I144">
    <cfRule type="cellIs" priority="418" operator="lessThan" aboveAverage="0" equalAverage="0" bottom="0" percent="0" rank="0" text="" dxfId="8">
      <formula>0</formula>
    </cfRule>
  </conditionalFormatting>
  <conditionalFormatting sqref="E145">
    <cfRule type="cellIs" priority="419" operator="greaterThan" aboveAverage="0" equalAverage="0" bottom="0" percent="0" rank="0" text="" dxfId="7">
      <formula>0</formula>
    </cfRule>
  </conditionalFormatting>
  <conditionalFormatting sqref="F145">
    <cfRule type="cellIs" priority="420" operator="greaterThan" aboveAverage="0" equalAverage="0" bottom="0" percent="0" rank="0" text="" dxfId="7">
      <formula>0</formula>
    </cfRule>
  </conditionalFormatting>
  <conditionalFormatting sqref="I145">
    <cfRule type="cellIs" priority="421" operator="lessThan" aboveAverage="0" equalAverage="0" bottom="0" percent="0" rank="0" text="" dxfId="8">
      <formula>0</formula>
    </cfRule>
  </conditionalFormatting>
  <conditionalFormatting sqref="E146">
    <cfRule type="cellIs" priority="422" operator="greaterThan" aboveAverage="0" equalAverage="0" bottom="0" percent="0" rank="0" text="" dxfId="7">
      <formula>0</formula>
    </cfRule>
  </conditionalFormatting>
  <conditionalFormatting sqref="F146">
    <cfRule type="cellIs" priority="423" operator="greaterThan" aboveAverage="0" equalAverage="0" bottom="0" percent="0" rank="0" text="" dxfId="7">
      <formula>0</formula>
    </cfRule>
  </conditionalFormatting>
  <conditionalFormatting sqref="I146">
    <cfRule type="cellIs" priority="424" operator="lessThan" aboveAverage="0" equalAverage="0" bottom="0" percent="0" rank="0" text="" dxfId="8">
      <formula>0</formula>
    </cfRule>
  </conditionalFormatting>
  <conditionalFormatting sqref="E147">
    <cfRule type="cellIs" priority="425" operator="greaterThan" aboveAverage="0" equalAverage="0" bottom="0" percent="0" rank="0" text="" dxfId="7">
      <formula>0</formula>
    </cfRule>
  </conditionalFormatting>
  <conditionalFormatting sqref="F147">
    <cfRule type="cellIs" priority="426" operator="greaterThan" aboveAverage="0" equalAverage="0" bottom="0" percent="0" rank="0" text="" dxfId="7">
      <formula>0</formula>
    </cfRule>
  </conditionalFormatting>
  <conditionalFormatting sqref="I147">
    <cfRule type="cellIs" priority="427" operator="lessThan" aboveAverage="0" equalAverage="0" bottom="0" percent="0" rank="0" text="" dxfId="8">
      <formula>0</formula>
    </cfRule>
  </conditionalFormatting>
  <conditionalFormatting sqref="E148">
    <cfRule type="cellIs" priority="428" operator="greaterThan" aboveAverage="0" equalAverage="0" bottom="0" percent="0" rank="0" text="" dxfId="7">
      <formula>0</formula>
    </cfRule>
  </conditionalFormatting>
  <conditionalFormatting sqref="F148">
    <cfRule type="cellIs" priority="429" operator="greaterThan" aboveAverage="0" equalAverage="0" bottom="0" percent="0" rank="0" text="" dxfId="7">
      <formula>0</formula>
    </cfRule>
  </conditionalFormatting>
  <conditionalFormatting sqref="I148">
    <cfRule type="cellIs" priority="430" operator="lessThan" aboveAverage="0" equalAverage="0" bottom="0" percent="0" rank="0" text="" dxfId="8">
      <formula>0</formula>
    </cfRule>
  </conditionalFormatting>
  <conditionalFormatting sqref="E149">
    <cfRule type="cellIs" priority="431" operator="greaterThan" aboveAverage="0" equalAverage="0" bottom="0" percent="0" rank="0" text="" dxfId="7">
      <formula>0</formula>
    </cfRule>
  </conditionalFormatting>
  <conditionalFormatting sqref="F149">
    <cfRule type="cellIs" priority="432" operator="greaterThan" aboveAverage="0" equalAverage="0" bottom="0" percent="0" rank="0" text="" dxfId="7">
      <formula>0</formula>
    </cfRule>
  </conditionalFormatting>
  <conditionalFormatting sqref="I149">
    <cfRule type="cellIs" priority="433" operator="lessThan" aboveAverage="0" equalAverage="0" bottom="0" percent="0" rank="0" text="" dxfId="8">
      <formula>0</formula>
    </cfRule>
  </conditionalFormatting>
  <conditionalFormatting sqref="E150">
    <cfRule type="cellIs" priority="434" operator="greaterThan" aboveAverage="0" equalAverage="0" bottom="0" percent="0" rank="0" text="" dxfId="7">
      <formula>0</formula>
    </cfRule>
  </conditionalFormatting>
  <conditionalFormatting sqref="F150">
    <cfRule type="cellIs" priority="435" operator="greaterThan" aboveAverage="0" equalAverage="0" bottom="0" percent="0" rank="0" text="" dxfId="7">
      <formula>0</formula>
    </cfRule>
  </conditionalFormatting>
  <conditionalFormatting sqref="I150">
    <cfRule type="cellIs" priority="436" operator="lessThan" aboveAverage="0" equalAverage="0" bottom="0" percent="0" rank="0" text="" dxfId="8">
      <formula>0</formula>
    </cfRule>
  </conditionalFormatting>
  <conditionalFormatting sqref="E151">
    <cfRule type="cellIs" priority="437" operator="greaterThan" aboveAverage="0" equalAverage="0" bottom="0" percent="0" rank="0" text="" dxfId="7">
      <formula>0</formula>
    </cfRule>
  </conditionalFormatting>
  <conditionalFormatting sqref="F151">
    <cfRule type="cellIs" priority="438" operator="greaterThan" aboveAverage="0" equalAverage="0" bottom="0" percent="0" rank="0" text="" dxfId="7">
      <formula>0</formula>
    </cfRule>
  </conditionalFormatting>
  <conditionalFormatting sqref="I151">
    <cfRule type="cellIs" priority="439" operator="lessThan" aboveAverage="0" equalAverage="0" bottom="0" percent="0" rank="0" text="" dxfId="8">
      <formula>0</formula>
    </cfRule>
  </conditionalFormatting>
  <conditionalFormatting sqref="E152">
    <cfRule type="cellIs" priority="440" operator="greaterThan" aboveAverage="0" equalAverage="0" bottom="0" percent="0" rank="0" text="" dxfId="7">
      <formula>0</formula>
    </cfRule>
  </conditionalFormatting>
  <conditionalFormatting sqref="F152">
    <cfRule type="cellIs" priority="441" operator="greaterThan" aboveAverage="0" equalAverage="0" bottom="0" percent="0" rank="0" text="" dxfId="7">
      <formula>0</formula>
    </cfRule>
  </conditionalFormatting>
  <conditionalFormatting sqref="I152">
    <cfRule type="cellIs" priority="442" operator="lessThan" aboveAverage="0" equalAverage="0" bottom="0" percent="0" rank="0" text="" dxfId="8">
      <formula>0</formula>
    </cfRule>
  </conditionalFormatting>
  <conditionalFormatting sqref="E153">
    <cfRule type="cellIs" priority="443" operator="greaterThan" aboveAverage="0" equalAverage="0" bottom="0" percent="0" rank="0" text="" dxfId="7">
      <formula>0</formula>
    </cfRule>
  </conditionalFormatting>
  <conditionalFormatting sqref="F153">
    <cfRule type="cellIs" priority="444" operator="greaterThan" aboveAverage="0" equalAverage="0" bottom="0" percent="0" rank="0" text="" dxfId="7">
      <formula>0</formula>
    </cfRule>
  </conditionalFormatting>
  <conditionalFormatting sqref="I153">
    <cfRule type="cellIs" priority="445" operator="lessThan" aboveAverage="0" equalAverage="0" bottom="0" percent="0" rank="0" text="" dxfId="8">
      <formula>0</formula>
    </cfRule>
  </conditionalFormatting>
  <conditionalFormatting sqref="E154">
    <cfRule type="cellIs" priority="446" operator="greaterThan" aboveAverage="0" equalAverage="0" bottom="0" percent="0" rank="0" text="" dxfId="7">
      <formula>0</formula>
    </cfRule>
  </conditionalFormatting>
  <conditionalFormatting sqref="F154">
    <cfRule type="cellIs" priority="447" operator="greaterThan" aboveAverage="0" equalAverage="0" bottom="0" percent="0" rank="0" text="" dxfId="7">
      <formula>0</formula>
    </cfRule>
  </conditionalFormatting>
  <conditionalFormatting sqref="I154">
    <cfRule type="cellIs" priority="448" operator="lessThan" aboveAverage="0" equalAverage="0" bottom="0" percent="0" rank="0" text="" dxfId="8">
      <formula>0</formula>
    </cfRule>
  </conditionalFormatting>
  <conditionalFormatting sqref="E155">
    <cfRule type="cellIs" priority="449" operator="greaterThan" aboveAverage="0" equalAverage="0" bottom="0" percent="0" rank="0" text="" dxfId="7">
      <formula>0</formula>
    </cfRule>
  </conditionalFormatting>
  <conditionalFormatting sqref="F155">
    <cfRule type="cellIs" priority="450" operator="greaterThan" aboveAverage="0" equalAverage="0" bottom="0" percent="0" rank="0" text="" dxfId="7">
      <formula>0</formula>
    </cfRule>
  </conditionalFormatting>
  <conditionalFormatting sqref="I155">
    <cfRule type="cellIs" priority="451" operator="lessThan" aboveAverage="0" equalAverage="0" bottom="0" percent="0" rank="0" text="" dxfId="8">
      <formula>0</formula>
    </cfRule>
  </conditionalFormatting>
  <conditionalFormatting sqref="E156">
    <cfRule type="cellIs" priority="452" operator="greaterThan" aboveAverage="0" equalAverage="0" bottom="0" percent="0" rank="0" text="" dxfId="7">
      <formula>0</formula>
    </cfRule>
  </conditionalFormatting>
  <conditionalFormatting sqref="F156">
    <cfRule type="cellIs" priority="453" operator="greaterThan" aboveAverage="0" equalAverage="0" bottom="0" percent="0" rank="0" text="" dxfId="7">
      <formula>0</formula>
    </cfRule>
  </conditionalFormatting>
  <conditionalFormatting sqref="I156">
    <cfRule type="cellIs" priority="454" operator="lessThan" aboveAverage="0" equalAverage="0" bottom="0" percent="0" rank="0" text="" dxfId="8">
      <formula>0</formula>
    </cfRule>
  </conditionalFormatting>
  <conditionalFormatting sqref="E157">
    <cfRule type="cellIs" priority="455" operator="greaterThan" aboveAverage="0" equalAverage="0" bottom="0" percent="0" rank="0" text="" dxfId="7">
      <formula>0</formula>
    </cfRule>
  </conditionalFormatting>
  <conditionalFormatting sqref="F157">
    <cfRule type="cellIs" priority="456" operator="greaterThan" aboveAverage="0" equalAverage="0" bottom="0" percent="0" rank="0" text="" dxfId="7">
      <formula>0</formula>
    </cfRule>
  </conditionalFormatting>
  <conditionalFormatting sqref="I157">
    <cfRule type="cellIs" priority="457" operator="lessThan" aboveAverage="0" equalAverage="0" bottom="0" percent="0" rank="0" text="" dxfId="8">
      <formula>0</formula>
    </cfRule>
  </conditionalFormatting>
  <conditionalFormatting sqref="E158">
    <cfRule type="cellIs" priority="458" operator="greaterThan" aboveAverage="0" equalAverage="0" bottom="0" percent="0" rank="0" text="" dxfId="7">
      <formula>0</formula>
    </cfRule>
  </conditionalFormatting>
  <conditionalFormatting sqref="F158">
    <cfRule type="cellIs" priority="459" operator="greaterThan" aboveAverage="0" equalAverage="0" bottom="0" percent="0" rank="0" text="" dxfId="7">
      <formula>0</formula>
    </cfRule>
  </conditionalFormatting>
  <conditionalFormatting sqref="I158">
    <cfRule type="cellIs" priority="460" operator="lessThan" aboveAverage="0" equalAverage="0" bottom="0" percent="0" rank="0" text="" dxfId="8">
      <formula>0</formula>
    </cfRule>
  </conditionalFormatting>
  <conditionalFormatting sqref="E159">
    <cfRule type="cellIs" priority="461" operator="greaterThan" aboveAverage="0" equalAverage="0" bottom="0" percent="0" rank="0" text="" dxfId="7">
      <formula>0</formula>
    </cfRule>
  </conditionalFormatting>
  <conditionalFormatting sqref="F159">
    <cfRule type="cellIs" priority="462" operator="greaterThan" aboveAverage="0" equalAverage="0" bottom="0" percent="0" rank="0" text="" dxfId="7">
      <formula>0</formula>
    </cfRule>
  </conditionalFormatting>
  <conditionalFormatting sqref="I159">
    <cfRule type="cellIs" priority="463" operator="lessThan" aboveAverage="0" equalAverage="0" bottom="0" percent="0" rank="0" text="" dxfId="8">
      <formula>0</formula>
    </cfRule>
  </conditionalFormatting>
  <conditionalFormatting sqref="E160">
    <cfRule type="cellIs" priority="464" operator="greaterThan" aboveAverage="0" equalAverage="0" bottom="0" percent="0" rank="0" text="" dxfId="7">
      <formula>0</formula>
    </cfRule>
  </conditionalFormatting>
  <conditionalFormatting sqref="F160">
    <cfRule type="cellIs" priority="465" operator="greaterThan" aboveAverage="0" equalAverage="0" bottom="0" percent="0" rank="0" text="" dxfId="7">
      <formula>0</formula>
    </cfRule>
  </conditionalFormatting>
  <conditionalFormatting sqref="I160">
    <cfRule type="cellIs" priority="466" operator="lessThan" aboveAverage="0" equalAverage="0" bottom="0" percent="0" rank="0" text="" dxfId="8">
      <formula>0</formula>
    </cfRule>
  </conditionalFormatting>
  <conditionalFormatting sqref="E161">
    <cfRule type="cellIs" priority="467" operator="greaterThan" aboveAverage="0" equalAverage="0" bottom="0" percent="0" rank="0" text="" dxfId="7">
      <formula>0</formula>
    </cfRule>
  </conditionalFormatting>
  <conditionalFormatting sqref="F161">
    <cfRule type="cellIs" priority="468" operator="greaterThan" aboveAverage="0" equalAverage="0" bottom="0" percent="0" rank="0" text="" dxfId="7">
      <formula>0</formula>
    </cfRule>
  </conditionalFormatting>
  <conditionalFormatting sqref="I161">
    <cfRule type="cellIs" priority="469" operator="lessThan" aboveAverage="0" equalAverage="0" bottom="0" percent="0" rank="0" text="" dxfId="8">
      <formula>0</formula>
    </cfRule>
  </conditionalFormatting>
  <conditionalFormatting sqref="E162">
    <cfRule type="cellIs" priority="470" operator="greaterThan" aboveAverage="0" equalAverage="0" bottom="0" percent="0" rank="0" text="" dxfId="7">
      <formula>0</formula>
    </cfRule>
  </conditionalFormatting>
  <conditionalFormatting sqref="F162">
    <cfRule type="cellIs" priority="471" operator="greaterThan" aboveAverage="0" equalAverage="0" bottom="0" percent="0" rank="0" text="" dxfId="7">
      <formula>0</formula>
    </cfRule>
  </conditionalFormatting>
  <conditionalFormatting sqref="I162">
    <cfRule type="cellIs" priority="472" operator="lessThan" aboveAverage="0" equalAverage="0" bottom="0" percent="0" rank="0" text="" dxfId="8">
      <formula>0</formula>
    </cfRule>
  </conditionalFormatting>
  <conditionalFormatting sqref="E163">
    <cfRule type="cellIs" priority="473" operator="greaterThan" aboveAverage="0" equalAverage="0" bottom="0" percent="0" rank="0" text="" dxfId="7">
      <formula>0</formula>
    </cfRule>
  </conditionalFormatting>
  <conditionalFormatting sqref="F163">
    <cfRule type="cellIs" priority="474" operator="greaterThan" aboveAverage="0" equalAverage="0" bottom="0" percent="0" rank="0" text="" dxfId="7">
      <formula>0</formula>
    </cfRule>
  </conditionalFormatting>
  <conditionalFormatting sqref="I163">
    <cfRule type="cellIs" priority="475" operator="lessThan" aboveAverage="0" equalAverage="0" bottom="0" percent="0" rank="0" text="" dxfId="8">
      <formula>0</formula>
    </cfRule>
  </conditionalFormatting>
  <conditionalFormatting sqref="E164">
    <cfRule type="cellIs" priority="476" operator="greaterThan" aboveAverage="0" equalAverage="0" bottom="0" percent="0" rank="0" text="" dxfId="7">
      <formula>0</formula>
    </cfRule>
  </conditionalFormatting>
  <conditionalFormatting sqref="F164">
    <cfRule type="cellIs" priority="477" operator="greaterThan" aboveAverage="0" equalAverage="0" bottom="0" percent="0" rank="0" text="" dxfId="7">
      <formula>0</formula>
    </cfRule>
  </conditionalFormatting>
  <conditionalFormatting sqref="I164">
    <cfRule type="cellIs" priority="478" operator="lessThan" aboveAverage="0" equalAverage="0" bottom="0" percent="0" rank="0" text="" dxfId="8">
      <formula>0</formula>
    </cfRule>
  </conditionalFormatting>
  <conditionalFormatting sqref="E165">
    <cfRule type="cellIs" priority="479" operator="greaterThan" aboveAverage="0" equalAverage="0" bottom="0" percent="0" rank="0" text="" dxfId="7">
      <formula>0</formula>
    </cfRule>
  </conditionalFormatting>
  <conditionalFormatting sqref="F165">
    <cfRule type="cellIs" priority="480" operator="greaterThan" aboveAverage="0" equalAverage="0" bottom="0" percent="0" rank="0" text="" dxfId="7">
      <formula>0</formula>
    </cfRule>
  </conditionalFormatting>
  <conditionalFormatting sqref="I165">
    <cfRule type="cellIs" priority="481" operator="lessThan" aboveAverage="0" equalAverage="0" bottom="0" percent="0" rank="0" text="" dxfId="8">
      <formula>0</formula>
    </cfRule>
  </conditionalFormatting>
  <conditionalFormatting sqref="E166">
    <cfRule type="cellIs" priority="482" operator="greaterThan" aboveAverage="0" equalAverage="0" bottom="0" percent="0" rank="0" text="" dxfId="7">
      <formula>0</formula>
    </cfRule>
  </conditionalFormatting>
  <conditionalFormatting sqref="F166">
    <cfRule type="cellIs" priority="483" operator="greaterThan" aboveAverage="0" equalAverage="0" bottom="0" percent="0" rank="0" text="" dxfId="7">
      <formula>0</formula>
    </cfRule>
  </conditionalFormatting>
  <conditionalFormatting sqref="I166">
    <cfRule type="cellIs" priority="484" operator="lessThan" aboveAverage="0" equalAverage="0" bottom="0" percent="0" rank="0" text="" dxfId="8">
      <formula>0</formula>
    </cfRule>
  </conditionalFormatting>
  <conditionalFormatting sqref="E167">
    <cfRule type="cellIs" priority="485" operator="greaterThan" aboveAverage="0" equalAverage="0" bottom="0" percent="0" rank="0" text="" dxfId="7">
      <formula>0</formula>
    </cfRule>
  </conditionalFormatting>
  <conditionalFormatting sqref="F167">
    <cfRule type="cellIs" priority="486" operator="greaterThan" aboveAverage="0" equalAverage="0" bottom="0" percent="0" rank="0" text="" dxfId="7">
      <formula>0</formula>
    </cfRule>
  </conditionalFormatting>
  <conditionalFormatting sqref="I167">
    <cfRule type="cellIs" priority="487" operator="lessThan" aboveAverage="0" equalAverage="0" bottom="0" percent="0" rank="0" text="" dxfId="8">
      <formula>0</formula>
    </cfRule>
  </conditionalFormatting>
  <conditionalFormatting sqref="E168">
    <cfRule type="cellIs" priority="488" operator="greaterThan" aboveAverage="0" equalAverage="0" bottom="0" percent="0" rank="0" text="" dxfId="7">
      <formula>0</formula>
    </cfRule>
  </conditionalFormatting>
  <conditionalFormatting sqref="F168">
    <cfRule type="cellIs" priority="489" operator="greaterThan" aboveAverage="0" equalAverage="0" bottom="0" percent="0" rank="0" text="" dxfId="7">
      <formula>0</formula>
    </cfRule>
  </conditionalFormatting>
  <conditionalFormatting sqref="I168">
    <cfRule type="cellIs" priority="490" operator="lessThan" aboveAverage="0" equalAverage="0" bottom="0" percent="0" rank="0" text="" dxfId="8">
      <formula>0</formula>
    </cfRule>
  </conditionalFormatting>
  <conditionalFormatting sqref="E169">
    <cfRule type="cellIs" priority="491" operator="greaterThan" aboveAverage="0" equalAverage="0" bottom="0" percent="0" rank="0" text="" dxfId="7">
      <formula>0</formula>
    </cfRule>
  </conditionalFormatting>
  <conditionalFormatting sqref="F169">
    <cfRule type="cellIs" priority="492" operator="greaterThan" aboveAverage="0" equalAverage="0" bottom="0" percent="0" rank="0" text="" dxfId="7">
      <formula>0</formula>
    </cfRule>
  </conditionalFormatting>
  <conditionalFormatting sqref="I169">
    <cfRule type="cellIs" priority="493" operator="lessThan" aboveAverage="0" equalAverage="0" bottom="0" percent="0" rank="0" text="" dxfId="8">
      <formula>0</formula>
    </cfRule>
  </conditionalFormatting>
  <conditionalFormatting sqref="E170">
    <cfRule type="cellIs" priority="494" operator="greaterThan" aboveAverage="0" equalAverage="0" bottom="0" percent="0" rank="0" text="" dxfId="7">
      <formula>0</formula>
    </cfRule>
  </conditionalFormatting>
  <conditionalFormatting sqref="F170">
    <cfRule type="cellIs" priority="495" operator="greaterThan" aboveAverage="0" equalAverage="0" bottom="0" percent="0" rank="0" text="" dxfId="7">
      <formula>0</formula>
    </cfRule>
  </conditionalFormatting>
  <conditionalFormatting sqref="I170">
    <cfRule type="cellIs" priority="496" operator="lessThan" aboveAverage="0" equalAverage="0" bottom="0" percent="0" rank="0" text="" dxfId="8">
      <formula>0</formula>
    </cfRule>
  </conditionalFormatting>
  <conditionalFormatting sqref="E171">
    <cfRule type="cellIs" priority="497" operator="greaterThan" aboveAverage="0" equalAverage="0" bottom="0" percent="0" rank="0" text="" dxfId="7">
      <formula>0</formula>
    </cfRule>
  </conditionalFormatting>
  <conditionalFormatting sqref="F171">
    <cfRule type="cellIs" priority="498" operator="greaterThan" aboveAverage="0" equalAverage="0" bottom="0" percent="0" rank="0" text="" dxfId="7">
      <formula>0</formula>
    </cfRule>
  </conditionalFormatting>
  <conditionalFormatting sqref="I171">
    <cfRule type="cellIs" priority="499" operator="lessThan" aboveAverage="0" equalAverage="0" bottom="0" percent="0" rank="0" text="" dxfId="8">
      <formula>0</formula>
    </cfRule>
  </conditionalFormatting>
  <conditionalFormatting sqref="E172">
    <cfRule type="cellIs" priority="500" operator="greaterThan" aboveAverage="0" equalAverage="0" bottom="0" percent="0" rank="0" text="" dxfId="7">
      <formula>0</formula>
    </cfRule>
  </conditionalFormatting>
  <conditionalFormatting sqref="F172">
    <cfRule type="cellIs" priority="501" operator="greaterThan" aboveAverage="0" equalAverage="0" bottom="0" percent="0" rank="0" text="" dxfId="7">
      <formula>0</formula>
    </cfRule>
  </conditionalFormatting>
  <conditionalFormatting sqref="I172">
    <cfRule type="cellIs" priority="502" operator="lessThan" aboveAverage="0" equalAverage="0" bottom="0" percent="0" rank="0" text="" dxfId="8">
      <formula>0</formula>
    </cfRule>
  </conditionalFormatting>
  <conditionalFormatting sqref="E173">
    <cfRule type="cellIs" priority="503" operator="greaterThan" aboveAverage="0" equalAverage="0" bottom="0" percent="0" rank="0" text="" dxfId="7">
      <formula>0</formula>
    </cfRule>
  </conditionalFormatting>
  <conditionalFormatting sqref="F173">
    <cfRule type="cellIs" priority="504" operator="greaterThan" aboveAverage="0" equalAverage="0" bottom="0" percent="0" rank="0" text="" dxfId="7">
      <formula>0</formula>
    </cfRule>
  </conditionalFormatting>
  <conditionalFormatting sqref="I173">
    <cfRule type="cellIs" priority="505" operator="lessThan" aboveAverage="0" equalAverage="0" bottom="0" percent="0" rank="0" text="" dxfId="8">
      <formula>0</formula>
    </cfRule>
  </conditionalFormatting>
  <conditionalFormatting sqref="E174">
    <cfRule type="cellIs" priority="506" operator="greaterThan" aboveAverage="0" equalAverage="0" bottom="0" percent="0" rank="0" text="" dxfId="7">
      <formula>0</formula>
    </cfRule>
  </conditionalFormatting>
  <conditionalFormatting sqref="F174">
    <cfRule type="cellIs" priority="507" operator="greaterThan" aboveAverage="0" equalAverage="0" bottom="0" percent="0" rank="0" text="" dxfId="7">
      <formula>0</formula>
    </cfRule>
  </conditionalFormatting>
  <conditionalFormatting sqref="I174">
    <cfRule type="cellIs" priority="508" operator="lessThan" aboveAverage="0" equalAverage="0" bottom="0" percent="0" rank="0" text="" dxfId="8">
      <formula>0</formula>
    </cfRule>
  </conditionalFormatting>
  <conditionalFormatting sqref="E175">
    <cfRule type="cellIs" priority="509" operator="greaterThan" aboveAverage="0" equalAverage="0" bottom="0" percent="0" rank="0" text="" dxfId="7">
      <formula>0</formula>
    </cfRule>
  </conditionalFormatting>
  <conditionalFormatting sqref="F175">
    <cfRule type="cellIs" priority="510" operator="greaterThan" aboveAverage="0" equalAverage="0" bottom="0" percent="0" rank="0" text="" dxfId="7">
      <formula>0</formula>
    </cfRule>
  </conditionalFormatting>
  <conditionalFormatting sqref="I175">
    <cfRule type="cellIs" priority="511" operator="lessThan" aboveAverage="0" equalAverage="0" bottom="0" percent="0" rank="0" text="" dxfId="8">
      <formula>0</formula>
    </cfRule>
  </conditionalFormatting>
  <conditionalFormatting sqref="E176">
    <cfRule type="cellIs" priority="512" operator="greaterThan" aboveAverage="0" equalAverage="0" bottom="0" percent="0" rank="0" text="" dxfId="7">
      <formula>0</formula>
    </cfRule>
  </conditionalFormatting>
  <conditionalFormatting sqref="F176">
    <cfRule type="cellIs" priority="513" operator="greaterThan" aboveAverage="0" equalAverage="0" bottom="0" percent="0" rank="0" text="" dxfId="7">
      <formula>0</formula>
    </cfRule>
  </conditionalFormatting>
  <conditionalFormatting sqref="I176">
    <cfRule type="cellIs" priority="514" operator="lessThan" aboveAverage="0" equalAverage="0" bottom="0" percent="0" rank="0" text="" dxfId="8">
      <formula>0</formula>
    </cfRule>
  </conditionalFormatting>
  <conditionalFormatting sqref="E177">
    <cfRule type="cellIs" priority="515" operator="greaterThan" aboveAverage="0" equalAverage="0" bottom="0" percent="0" rank="0" text="" dxfId="7">
      <formula>0</formula>
    </cfRule>
  </conditionalFormatting>
  <conditionalFormatting sqref="F177">
    <cfRule type="cellIs" priority="516" operator="greaterThan" aboveAverage="0" equalAverage="0" bottom="0" percent="0" rank="0" text="" dxfId="7">
      <formula>0</formula>
    </cfRule>
  </conditionalFormatting>
  <conditionalFormatting sqref="I177">
    <cfRule type="cellIs" priority="517" operator="lessThan" aboveAverage="0" equalAverage="0" bottom="0" percent="0" rank="0" text="" dxfId="8">
      <formula>0</formula>
    </cfRule>
  </conditionalFormatting>
  <conditionalFormatting sqref="E178">
    <cfRule type="cellIs" priority="518" operator="greaterThan" aboveAverage="0" equalAverage="0" bottom="0" percent="0" rank="0" text="" dxfId="7">
      <formula>0</formula>
    </cfRule>
  </conditionalFormatting>
  <conditionalFormatting sqref="F178">
    <cfRule type="cellIs" priority="519" operator="greaterThan" aboveAverage="0" equalAverage="0" bottom="0" percent="0" rank="0" text="" dxfId="7">
      <formula>0</formula>
    </cfRule>
  </conditionalFormatting>
  <conditionalFormatting sqref="I178">
    <cfRule type="cellIs" priority="520" operator="lessThan" aboveAverage="0" equalAverage="0" bottom="0" percent="0" rank="0" text="" dxfId="8">
      <formula>0</formula>
    </cfRule>
  </conditionalFormatting>
  <conditionalFormatting sqref="E179">
    <cfRule type="cellIs" priority="521" operator="greaterThan" aboveAverage="0" equalAverage="0" bottom="0" percent="0" rank="0" text="" dxfId="7">
      <formula>0</formula>
    </cfRule>
  </conditionalFormatting>
  <conditionalFormatting sqref="F179">
    <cfRule type="cellIs" priority="522" operator="greaterThan" aboveAverage="0" equalAverage="0" bottom="0" percent="0" rank="0" text="" dxfId="7">
      <formula>0</formula>
    </cfRule>
  </conditionalFormatting>
  <conditionalFormatting sqref="I179">
    <cfRule type="cellIs" priority="523" operator="lessThan" aboveAverage="0" equalAverage="0" bottom="0" percent="0" rank="0" text="" dxfId="8">
      <formula>0</formula>
    </cfRule>
  </conditionalFormatting>
  <conditionalFormatting sqref="E180">
    <cfRule type="cellIs" priority="524" operator="greaterThan" aboveAverage="0" equalAverage="0" bottom="0" percent="0" rank="0" text="" dxfId="7">
      <formula>0</formula>
    </cfRule>
  </conditionalFormatting>
  <conditionalFormatting sqref="F180">
    <cfRule type="cellIs" priority="525" operator="greaterThan" aboveAverage="0" equalAverage="0" bottom="0" percent="0" rank="0" text="" dxfId="7">
      <formula>0</formula>
    </cfRule>
  </conditionalFormatting>
  <conditionalFormatting sqref="I180">
    <cfRule type="cellIs" priority="526" operator="lessThan" aboveAverage="0" equalAverage="0" bottom="0" percent="0" rank="0" text="" dxfId="8">
      <formula>0</formula>
    </cfRule>
  </conditionalFormatting>
  <conditionalFormatting sqref="E181">
    <cfRule type="cellIs" priority="527" operator="greaterThan" aboveAverage="0" equalAverage="0" bottom="0" percent="0" rank="0" text="" dxfId="7">
      <formula>0</formula>
    </cfRule>
  </conditionalFormatting>
  <conditionalFormatting sqref="F181">
    <cfRule type="cellIs" priority="528" operator="greaterThan" aboveAverage="0" equalAverage="0" bottom="0" percent="0" rank="0" text="" dxfId="7">
      <formula>0</formula>
    </cfRule>
  </conditionalFormatting>
  <conditionalFormatting sqref="I181">
    <cfRule type="cellIs" priority="529" operator="lessThan" aboveAverage="0" equalAverage="0" bottom="0" percent="0" rank="0" text="" dxfId="8">
      <formula>0</formula>
    </cfRule>
  </conditionalFormatting>
  <conditionalFormatting sqref="E182">
    <cfRule type="cellIs" priority="530" operator="greaterThan" aboveAverage="0" equalAverage="0" bottom="0" percent="0" rank="0" text="" dxfId="7">
      <formula>0</formula>
    </cfRule>
  </conditionalFormatting>
  <conditionalFormatting sqref="F182">
    <cfRule type="cellIs" priority="531" operator="greaterThan" aboveAverage="0" equalAverage="0" bottom="0" percent="0" rank="0" text="" dxfId="7">
      <formula>0</formula>
    </cfRule>
  </conditionalFormatting>
  <conditionalFormatting sqref="I182">
    <cfRule type="cellIs" priority="532" operator="lessThan" aboveAverage="0" equalAverage="0" bottom="0" percent="0" rank="0" text="" dxfId="8">
      <formula>0</formula>
    </cfRule>
  </conditionalFormatting>
  <conditionalFormatting sqref="E183">
    <cfRule type="cellIs" priority="533" operator="greaterThan" aboveAverage="0" equalAverage="0" bottom="0" percent="0" rank="0" text="" dxfId="7">
      <formula>0</formula>
    </cfRule>
  </conditionalFormatting>
  <conditionalFormatting sqref="F183">
    <cfRule type="cellIs" priority="534" operator="greaterThan" aboveAverage="0" equalAverage="0" bottom="0" percent="0" rank="0" text="" dxfId="7">
      <formula>0</formula>
    </cfRule>
  </conditionalFormatting>
  <conditionalFormatting sqref="I183">
    <cfRule type="cellIs" priority="535" operator="lessThan" aboveAverage="0" equalAverage="0" bottom="0" percent="0" rank="0" text="" dxfId="8">
      <formula>0</formula>
    </cfRule>
  </conditionalFormatting>
  <conditionalFormatting sqref="E184">
    <cfRule type="cellIs" priority="536" operator="greaterThan" aboveAverage="0" equalAverage="0" bottom="0" percent="0" rank="0" text="" dxfId="7">
      <formula>0</formula>
    </cfRule>
  </conditionalFormatting>
  <conditionalFormatting sqref="F184">
    <cfRule type="cellIs" priority="537" operator="greaterThan" aboveAverage="0" equalAverage="0" bottom="0" percent="0" rank="0" text="" dxfId="7">
      <formula>0</formula>
    </cfRule>
  </conditionalFormatting>
  <conditionalFormatting sqref="I184">
    <cfRule type="cellIs" priority="538" operator="lessThan" aboveAverage="0" equalAverage="0" bottom="0" percent="0" rank="0" text="" dxfId="8">
      <formula>0</formula>
    </cfRule>
  </conditionalFormatting>
  <conditionalFormatting sqref="E185">
    <cfRule type="cellIs" priority="539" operator="greaterThan" aboveAverage="0" equalAverage="0" bottom="0" percent="0" rank="0" text="" dxfId="7">
      <formula>0</formula>
    </cfRule>
  </conditionalFormatting>
  <conditionalFormatting sqref="F185">
    <cfRule type="cellIs" priority="540" operator="greaterThan" aboveAverage="0" equalAverage="0" bottom="0" percent="0" rank="0" text="" dxfId="7">
      <formula>0</formula>
    </cfRule>
  </conditionalFormatting>
  <conditionalFormatting sqref="I185">
    <cfRule type="cellIs" priority="541" operator="lessThan" aboveAverage="0" equalAverage="0" bottom="0" percent="0" rank="0" text="" dxfId="8">
      <formula>0</formula>
    </cfRule>
  </conditionalFormatting>
  <conditionalFormatting sqref="E186">
    <cfRule type="cellIs" priority="542" operator="greaterThan" aboveAverage="0" equalAverage="0" bottom="0" percent="0" rank="0" text="" dxfId="7">
      <formula>0</formula>
    </cfRule>
  </conditionalFormatting>
  <conditionalFormatting sqref="F186">
    <cfRule type="cellIs" priority="543" operator="greaterThan" aboveAverage="0" equalAverage="0" bottom="0" percent="0" rank="0" text="" dxfId="7">
      <formula>0</formula>
    </cfRule>
  </conditionalFormatting>
  <conditionalFormatting sqref="I186">
    <cfRule type="cellIs" priority="544" operator="lessThan" aboveAverage="0" equalAverage="0" bottom="0" percent="0" rank="0" text="" dxfId="8">
      <formula>0</formula>
    </cfRule>
  </conditionalFormatting>
  <conditionalFormatting sqref="E187">
    <cfRule type="cellIs" priority="545" operator="greaterThan" aboveAverage="0" equalAverage="0" bottom="0" percent="0" rank="0" text="" dxfId="7">
      <formula>0</formula>
    </cfRule>
  </conditionalFormatting>
  <conditionalFormatting sqref="F187">
    <cfRule type="cellIs" priority="546" operator="greaterThan" aboveAverage="0" equalAverage="0" bottom="0" percent="0" rank="0" text="" dxfId="7">
      <formula>0</formula>
    </cfRule>
  </conditionalFormatting>
  <conditionalFormatting sqref="I187">
    <cfRule type="cellIs" priority="547" operator="lessThan" aboveAverage="0" equalAverage="0" bottom="0" percent="0" rank="0" text="" dxfId="8">
      <formula>0</formula>
    </cfRule>
  </conditionalFormatting>
  <conditionalFormatting sqref="E188">
    <cfRule type="cellIs" priority="548" operator="greaterThan" aboveAverage="0" equalAverage="0" bottom="0" percent="0" rank="0" text="" dxfId="7">
      <formula>0</formula>
    </cfRule>
  </conditionalFormatting>
  <conditionalFormatting sqref="F188">
    <cfRule type="cellIs" priority="549" operator="greaterThan" aboveAverage="0" equalAverage="0" bottom="0" percent="0" rank="0" text="" dxfId="7">
      <formula>0</formula>
    </cfRule>
  </conditionalFormatting>
  <conditionalFormatting sqref="I188">
    <cfRule type="cellIs" priority="550" operator="lessThan" aboveAverage="0" equalAverage="0" bottom="0" percent="0" rank="0" text="" dxfId="8">
      <formula>0</formula>
    </cfRule>
  </conditionalFormatting>
  <conditionalFormatting sqref="E189">
    <cfRule type="cellIs" priority="551" operator="greaterThan" aboveAverage="0" equalAverage="0" bottom="0" percent="0" rank="0" text="" dxfId="7">
      <formula>0</formula>
    </cfRule>
  </conditionalFormatting>
  <conditionalFormatting sqref="F189">
    <cfRule type="cellIs" priority="552" operator="greaterThan" aboveAverage="0" equalAverage="0" bottom="0" percent="0" rank="0" text="" dxfId="7">
      <formula>0</formula>
    </cfRule>
  </conditionalFormatting>
  <conditionalFormatting sqref="I189">
    <cfRule type="cellIs" priority="553" operator="lessThan" aboveAverage="0" equalAverage="0" bottom="0" percent="0" rank="0" text="" dxfId="8">
      <formula>0</formula>
    </cfRule>
  </conditionalFormatting>
  <conditionalFormatting sqref="E190">
    <cfRule type="cellIs" priority="554" operator="greaterThan" aboveAverage="0" equalAverage="0" bottom="0" percent="0" rank="0" text="" dxfId="7">
      <formula>0</formula>
    </cfRule>
  </conditionalFormatting>
  <conditionalFormatting sqref="F190">
    <cfRule type="cellIs" priority="555" operator="greaterThan" aboveAverage="0" equalAverage="0" bottom="0" percent="0" rank="0" text="" dxfId="7">
      <formula>0</formula>
    </cfRule>
  </conditionalFormatting>
  <conditionalFormatting sqref="I190">
    <cfRule type="cellIs" priority="556" operator="lessThan" aboveAverage="0" equalAverage="0" bottom="0" percent="0" rank="0" text="" dxfId="8">
      <formula>0</formula>
    </cfRule>
  </conditionalFormatting>
  <conditionalFormatting sqref="E191">
    <cfRule type="cellIs" priority="557" operator="greaterThan" aboveAverage="0" equalAverage="0" bottom="0" percent="0" rank="0" text="" dxfId="7">
      <formula>0</formula>
    </cfRule>
  </conditionalFormatting>
  <conditionalFormatting sqref="F191">
    <cfRule type="cellIs" priority="558" operator="greaterThan" aboveAverage="0" equalAverage="0" bottom="0" percent="0" rank="0" text="" dxfId="7">
      <formula>0</formula>
    </cfRule>
  </conditionalFormatting>
  <conditionalFormatting sqref="I191">
    <cfRule type="cellIs" priority="559" operator="lessThan" aboveAverage="0" equalAverage="0" bottom="0" percent="0" rank="0" text="" dxfId="8">
      <formula>0</formula>
    </cfRule>
  </conditionalFormatting>
  <conditionalFormatting sqref="E192">
    <cfRule type="cellIs" priority="560" operator="greaterThan" aboveAverage="0" equalAverage="0" bottom="0" percent="0" rank="0" text="" dxfId="7">
      <formula>0</formula>
    </cfRule>
  </conditionalFormatting>
  <conditionalFormatting sqref="F192">
    <cfRule type="cellIs" priority="561" operator="greaterThan" aboveAverage="0" equalAverage="0" bottom="0" percent="0" rank="0" text="" dxfId="7">
      <formula>0</formula>
    </cfRule>
  </conditionalFormatting>
  <conditionalFormatting sqref="I192">
    <cfRule type="cellIs" priority="562" operator="lessThan" aboveAverage="0" equalAverage="0" bottom="0" percent="0" rank="0" text="" dxfId="8">
      <formula>0</formula>
    </cfRule>
  </conditionalFormatting>
  <conditionalFormatting sqref="E193">
    <cfRule type="cellIs" priority="563" operator="greaterThan" aboveAverage="0" equalAverage="0" bottom="0" percent="0" rank="0" text="" dxfId="7">
      <formula>0</formula>
    </cfRule>
  </conditionalFormatting>
  <conditionalFormatting sqref="F193">
    <cfRule type="cellIs" priority="564" operator="greaterThan" aboveAverage="0" equalAverage="0" bottom="0" percent="0" rank="0" text="" dxfId="7">
      <formula>0</formula>
    </cfRule>
  </conditionalFormatting>
  <conditionalFormatting sqref="I193">
    <cfRule type="cellIs" priority="565" operator="lessThan" aboveAverage="0" equalAverage="0" bottom="0" percent="0" rank="0" text="" dxfId="8">
      <formula>0</formula>
    </cfRule>
  </conditionalFormatting>
  <conditionalFormatting sqref="E194">
    <cfRule type="cellIs" priority="566" operator="greaterThan" aboveAverage="0" equalAverage="0" bottom="0" percent="0" rank="0" text="" dxfId="7">
      <formula>0</formula>
    </cfRule>
  </conditionalFormatting>
  <conditionalFormatting sqref="F194">
    <cfRule type="cellIs" priority="567" operator="greaterThan" aboveAverage="0" equalAverage="0" bottom="0" percent="0" rank="0" text="" dxfId="7">
      <formula>0</formula>
    </cfRule>
  </conditionalFormatting>
  <conditionalFormatting sqref="I194">
    <cfRule type="cellIs" priority="568" operator="lessThan" aboveAverage="0" equalAverage="0" bottom="0" percent="0" rank="0" text="" dxfId="8">
      <formula>0</formula>
    </cfRule>
  </conditionalFormatting>
  <conditionalFormatting sqref="E195">
    <cfRule type="cellIs" priority="569" operator="greaterThan" aboveAverage="0" equalAverage="0" bottom="0" percent="0" rank="0" text="" dxfId="7">
      <formula>0</formula>
    </cfRule>
  </conditionalFormatting>
  <conditionalFormatting sqref="F195">
    <cfRule type="cellIs" priority="570" operator="greaterThan" aboveAverage="0" equalAverage="0" bottom="0" percent="0" rank="0" text="" dxfId="7">
      <formula>0</formula>
    </cfRule>
  </conditionalFormatting>
  <conditionalFormatting sqref="I195">
    <cfRule type="cellIs" priority="571" operator="lessThan" aboveAverage="0" equalAverage="0" bottom="0" percent="0" rank="0" text="" dxfId="8">
      <formula>0</formula>
    </cfRule>
  </conditionalFormatting>
  <conditionalFormatting sqref="E196">
    <cfRule type="cellIs" priority="572" operator="greaterThan" aboveAverage="0" equalAverage="0" bottom="0" percent="0" rank="0" text="" dxfId="7">
      <formula>0</formula>
    </cfRule>
  </conditionalFormatting>
  <conditionalFormatting sqref="F196">
    <cfRule type="cellIs" priority="573" operator="greaterThan" aboveAverage="0" equalAverage="0" bottom="0" percent="0" rank="0" text="" dxfId="7">
      <formula>0</formula>
    </cfRule>
  </conditionalFormatting>
  <conditionalFormatting sqref="I196">
    <cfRule type="cellIs" priority="574" operator="lessThan" aboveAverage="0" equalAverage="0" bottom="0" percent="0" rank="0" text="" dxfId="8">
      <formula>0</formula>
    </cfRule>
  </conditionalFormatting>
  <conditionalFormatting sqref="E197">
    <cfRule type="cellIs" priority="575" operator="greaterThan" aboveAverage="0" equalAverage="0" bottom="0" percent="0" rank="0" text="" dxfId="7">
      <formula>0</formula>
    </cfRule>
  </conditionalFormatting>
  <conditionalFormatting sqref="F197">
    <cfRule type="cellIs" priority="576" operator="greaterThan" aboveAverage="0" equalAverage="0" bottom="0" percent="0" rank="0" text="" dxfId="7">
      <formula>0</formula>
    </cfRule>
  </conditionalFormatting>
  <conditionalFormatting sqref="I197">
    <cfRule type="cellIs" priority="577" operator="lessThan" aboveAverage="0" equalAverage="0" bottom="0" percent="0" rank="0" text="" dxfId="8">
      <formula>0</formula>
    </cfRule>
  </conditionalFormatting>
  <conditionalFormatting sqref="E198">
    <cfRule type="cellIs" priority="578" operator="greaterThan" aboveAverage="0" equalAverage="0" bottom="0" percent="0" rank="0" text="" dxfId="7">
      <formula>0</formula>
    </cfRule>
  </conditionalFormatting>
  <conditionalFormatting sqref="F198">
    <cfRule type="cellIs" priority="579" operator="greaterThan" aboveAverage="0" equalAverage="0" bottom="0" percent="0" rank="0" text="" dxfId="7">
      <formula>0</formula>
    </cfRule>
  </conditionalFormatting>
  <conditionalFormatting sqref="I198">
    <cfRule type="cellIs" priority="580" operator="lessThan" aboveAverage="0" equalAverage="0" bottom="0" percent="0" rank="0" text="" dxfId="8">
      <formula>0</formula>
    </cfRule>
  </conditionalFormatting>
  <conditionalFormatting sqref="E199">
    <cfRule type="cellIs" priority="581" operator="greaterThan" aboveAverage="0" equalAverage="0" bottom="0" percent="0" rank="0" text="" dxfId="7">
      <formula>0</formula>
    </cfRule>
  </conditionalFormatting>
  <conditionalFormatting sqref="F199">
    <cfRule type="cellIs" priority="582" operator="greaterThan" aboveAverage="0" equalAverage="0" bottom="0" percent="0" rank="0" text="" dxfId="7">
      <formula>0</formula>
    </cfRule>
  </conditionalFormatting>
  <conditionalFormatting sqref="I199">
    <cfRule type="cellIs" priority="583" operator="lessThan" aboveAverage="0" equalAverage="0" bottom="0" percent="0" rank="0" text="" dxfId="8">
      <formula>0</formula>
    </cfRule>
  </conditionalFormatting>
  <conditionalFormatting sqref="E200">
    <cfRule type="cellIs" priority="584" operator="greaterThan" aboveAverage="0" equalAverage="0" bottom="0" percent="0" rank="0" text="" dxfId="7">
      <formula>0</formula>
    </cfRule>
  </conditionalFormatting>
  <conditionalFormatting sqref="F200">
    <cfRule type="cellIs" priority="585" operator="greaterThan" aboveAverage="0" equalAverage="0" bottom="0" percent="0" rank="0" text="" dxfId="7">
      <formula>0</formula>
    </cfRule>
  </conditionalFormatting>
  <conditionalFormatting sqref="I200">
    <cfRule type="cellIs" priority="586" operator="lessThan" aboveAverage="0" equalAverage="0" bottom="0" percent="0" rank="0" text="" dxfId="8">
      <formula>0</formula>
    </cfRule>
  </conditionalFormatting>
  <conditionalFormatting sqref="E201">
    <cfRule type="cellIs" priority="587" operator="greaterThan" aboveAverage="0" equalAverage="0" bottom="0" percent="0" rank="0" text="" dxfId="7">
      <formula>0</formula>
    </cfRule>
  </conditionalFormatting>
  <conditionalFormatting sqref="F201">
    <cfRule type="cellIs" priority="588" operator="greaterThan" aboveAverage="0" equalAverage="0" bottom="0" percent="0" rank="0" text="" dxfId="7">
      <formula>0</formula>
    </cfRule>
  </conditionalFormatting>
  <conditionalFormatting sqref="I201">
    <cfRule type="cellIs" priority="589" operator="lessThan" aboveAverage="0" equalAverage="0" bottom="0" percent="0" rank="0" text="" dxfId="8">
      <formula>0</formula>
    </cfRule>
  </conditionalFormatting>
  <conditionalFormatting sqref="E202">
    <cfRule type="cellIs" priority="590" operator="greaterThan" aboveAverage="0" equalAverage="0" bottom="0" percent="0" rank="0" text="" dxfId="7">
      <formula>0</formula>
    </cfRule>
  </conditionalFormatting>
  <conditionalFormatting sqref="F202">
    <cfRule type="cellIs" priority="591" operator="greaterThan" aboveAverage="0" equalAverage="0" bottom="0" percent="0" rank="0" text="" dxfId="7">
      <formula>0</formula>
    </cfRule>
  </conditionalFormatting>
  <conditionalFormatting sqref="I202">
    <cfRule type="cellIs" priority="592" operator="lessThan" aboveAverage="0" equalAverage="0" bottom="0" percent="0" rank="0" text="" dxfId="8">
      <formula>0</formula>
    </cfRule>
  </conditionalFormatting>
  <conditionalFormatting sqref="E203">
    <cfRule type="cellIs" priority="593" operator="greaterThan" aboveAverage="0" equalAverage="0" bottom="0" percent="0" rank="0" text="" dxfId="7">
      <formula>0</formula>
    </cfRule>
  </conditionalFormatting>
  <conditionalFormatting sqref="F203">
    <cfRule type="cellIs" priority="594" operator="greaterThan" aboveAverage="0" equalAverage="0" bottom="0" percent="0" rank="0" text="" dxfId="7">
      <formula>0</formula>
    </cfRule>
  </conditionalFormatting>
  <conditionalFormatting sqref="I203">
    <cfRule type="cellIs" priority="595" operator="lessThan" aboveAverage="0" equalAverage="0" bottom="0" percent="0" rank="0" text="" dxfId="8">
      <formula>0</formula>
    </cfRule>
  </conditionalFormatting>
  <conditionalFormatting sqref="E204">
    <cfRule type="cellIs" priority="596" operator="greaterThan" aboveAverage="0" equalAverage="0" bottom="0" percent="0" rank="0" text="" dxfId="7">
      <formula>0</formula>
    </cfRule>
  </conditionalFormatting>
  <conditionalFormatting sqref="F204">
    <cfRule type="cellIs" priority="597" operator="greaterThan" aboveAverage="0" equalAverage="0" bottom="0" percent="0" rank="0" text="" dxfId="7">
      <formula>0</formula>
    </cfRule>
  </conditionalFormatting>
  <conditionalFormatting sqref="I204">
    <cfRule type="cellIs" priority="598" operator="lessThan" aboveAverage="0" equalAverage="0" bottom="0" percent="0" rank="0" text="" dxfId="8">
      <formula>0</formula>
    </cfRule>
  </conditionalFormatting>
  <conditionalFormatting sqref="E205">
    <cfRule type="cellIs" priority="599" operator="greaterThan" aboveAverage="0" equalAverage="0" bottom="0" percent="0" rank="0" text="" dxfId="7">
      <formula>0</formula>
    </cfRule>
  </conditionalFormatting>
  <conditionalFormatting sqref="F205">
    <cfRule type="cellIs" priority="600" operator="greaterThan" aboveAverage="0" equalAverage="0" bottom="0" percent="0" rank="0" text="" dxfId="7">
      <formula>0</formula>
    </cfRule>
  </conditionalFormatting>
  <conditionalFormatting sqref="I205">
    <cfRule type="cellIs" priority="601" operator="lessThan" aboveAverage="0" equalAverage="0" bottom="0" percent="0" rank="0" text="" dxfId="8">
      <formula>0</formula>
    </cfRule>
  </conditionalFormatting>
  <conditionalFormatting sqref="E206">
    <cfRule type="cellIs" priority="602" operator="greaterThan" aboveAverage="0" equalAverage="0" bottom="0" percent="0" rank="0" text="" dxfId="7">
      <formula>0</formula>
    </cfRule>
  </conditionalFormatting>
  <conditionalFormatting sqref="F206">
    <cfRule type="cellIs" priority="603" operator="greaterThan" aboveAverage="0" equalAverage="0" bottom="0" percent="0" rank="0" text="" dxfId="7">
      <formula>0</formula>
    </cfRule>
  </conditionalFormatting>
  <conditionalFormatting sqref="I206">
    <cfRule type="cellIs" priority="604" operator="lessThan" aboveAverage="0" equalAverage="0" bottom="0" percent="0" rank="0" text="" dxfId="8">
      <formula>0</formula>
    </cfRule>
  </conditionalFormatting>
  <conditionalFormatting sqref="E207">
    <cfRule type="cellIs" priority="605" operator="greaterThan" aboveAverage="0" equalAverage="0" bottom="0" percent="0" rank="0" text="" dxfId="7">
      <formula>0</formula>
    </cfRule>
  </conditionalFormatting>
  <conditionalFormatting sqref="F207">
    <cfRule type="cellIs" priority="606" operator="greaterThan" aboveAverage="0" equalAverage="0" bottom="0" percent="0" rank="0" text="" dxfId="7">
      <formula>0</formula>
    </cfRule>
  </conditionalFormatting>
  <conditionalFormatting sqref="I207">
    <cfRule type="cellIs" priority="607" operator="lessThan" aboveAverage="0" equalAverage="0" bottom="0" percent="0" rank="0" text="" dxfId="8">
      <formula>0</formula>
    </cfRule>
  </conditionalFormatting>
  <conditionalFormatting sqref="E208">
    <cfRule type="cellIs" priority="608" operator="greaterThan" aboveAverage="0" equalAverage="0" bottom="0" percent="0" rank="0" text="" dxfId="7">
      <formula>0</formula>
    </cfRule>
  </conditionalFormatting>
  <conditionalFormatting sqref="F208">
    <cfRule type="cellIs" priority="609" operator="greaterThan" aboveAverage="0" equalAverage="0" bottom="0" percent="0" rank="0" text="" dxfId="7">
      <formula>0</formula>
    </cfRule>
  </conditionalFormatting>
  <conditionalFormatting sqref="I208">
    <cfRule type="cellIs" priority="610" operator="lessThan" aboveAverage="0" equalAverage="0" bottom="0" percent="0" rank="0" text="" dxfId="8">
      <formula>0</formula>
    </cfRule>
  </conditionalFormatting>
  <conditionalFormatting sqref="E209">
    <cfRule type="cellIs" priority="611" operator="greaterThan" aboveAverage="0" equalAverage="0" bottom="0" percent="0" rank="0" text="" dxfId="7">
      <formula>0</formula>
    </cfRule>
  </conditionalFormatting>
  <conditionalFormatting sqref="F209">
    <cfRule type="cellIs" priority="612" operator="greaterThan" aboveAverage="0" equalAverage="0" bottom="0" percent="0" rank="0" text="" dxfId="7">
      <formula>0</formula>
    </cfRule>
  </conditionalFormatting>
  <conditionalFormatting sqref="I209">
    <cfRule type="cellIs" priority="613" operator="lessThan" aboveAverage="0" equalAverage="0" bottom="0" percent="0" rank="0" text="" dxfId="8">
      <formula>0</formula>
    </cfRule>
  </conditionalFormatting>
  <conditionalFormatting sqref="E210">
    <cfRule type="cellIs" priority="614" operator="greaterThan" aboveAverage="0" equalAverage="0" bottom="0" percent="0" rank="0" text="" dxfId="7">
      <formula>0</formula>
    </cfRule>
  </conditionalFormatting>
  <conditionalFormatting sqref="F210">
    <cfRule type="cellIs" priority="615" operator="greaterThan" aboveAverage="0" equalAverage="0" bottom="0" percent="0" rank="0" text="" dxfId="7">
      <formula>0</formula>
    </cfRule>
  </conditionalFormatting>
  <conditionalFormatting sqref="I210">
    <cfRule type="cellIs" priority="616" operator="lessThan" aboveAverage="0" equalAverage="0" bottom="0" percent="0" rank="0" text="" dxfId="8">
      <formula>0</formula>
    </cfRule>
  </conditionalFormatting>
  <conditionalFormatting sqref="E211">
    <cfRule type="cellIs" priority="617" operator="greaterThan" aboveAverage="0" equalAverage="0" bottom="0" percent="0" rank="0" text="" dxfId="7">
      <formula>0</formula>
    </cfRule>
  </conditionalFormatting>
  <conditionalFormatting sqref="F211">
    <cfRule type="cellIs" priority="618" operator="greaterThan" aboveAverage="0" equalAverage="0" bottom="0" percent="0" rank="0" text="" dxfId="7">
      <formula>0</formula>
    </cfRule>
  </conditionalFormatting>
  <conditionalFormatting sqref="I211">
    <cfRule type="cellIs" priority="619" operator="lessThan" aboveAverage="0" equalAverage="0" bottom="0" percent="0" rank="0" text="" dxfId="8">
      <formula>0</formula>
    </cfRule>
  </conditionalFormatting>
  <conditionalFormatting sqref="E212">
    <cfRule type="cellIs" priority="620" operator="greaterThan" aboveAverage="0" equalAverage="0" bottom="0" percent="0" rank="0" text="" dxfId="7">
      <formula>0</formula>
    </cfRule>
  </conditionalFormatting>
  <conditionalFormatting sqref="F212">
    <cfRule type="cellIs" priority="621" operator="greaterThan" aboveAverage="0" equalAverage="0" bottom="0" percent="0" rank="0" text="" dxfId="7">
      <formula>0</formula>
    </cfRule>
  </conditionalFormatting>
  <conditionalFormatting sqref="I212">
    <cfRule type="cellIs" priority="622" operator="lessThan" aboveAverage="0" equalAverage="0" bottom="0" percent="0" rank="0" text="" dxfId="8">
      <formula>0</formula>
    </cfRule>
  </conditionalFormatting>
  <conditionalFormatting sqref="E213">
    <cfRule type="cellIs" priority="623" operator="greaterThan" aboveAverage="0" equalAverage="0" bottom="0" percent="0" rank="0" text="" dxfId="7">
      <formula>0</formula>
    </cfRule>
  </conditionalFormatting>
  <conditionalFormatting sqref="F213">
    <cfRule type="cellIs" priority="624" operator="greaterThan" aboveAverage="0" equalAverage="0" bottom="0" percent="0" rank="0" text="" dxfId="7">
      <formula>0</formula>
    </cfRule>
  </conditionalFormatting>
  <conditionalFormatting sqref="I213">
    <cfRule type="cellIs" priority="625" operator="lessThan" aboveAverage="0" equalAverage="0" bottom="0" percent="0" rank="0" text="" dxfId="8">
      <formula>0</formula>
    </cfRule>
  </conditionalFormatting>
  <conditionalFormatting sqref="E214">
    <cfRule type="cellIs" priority="626" operator="greaterThan" aboveAverage="0" equalAverage="0" bottom="0" percent="0" rank="0" text="" dxfId="7">
      <formula>0</formula>
    </cfRule>
  </conditionalFormatting>
  <conditionalFormatting sqref="F214">
    <cfRule type="cellIs" priority="627" operator="greaterThan" aboveAverage="0" equalAverage="0" bottom="0" percent="0" rank="0" text="" dxfId="7">
      <formula>0</formula>
    </cfRule>
  </conditionalFormatting>
  <conditionalFormatting sqref="I214">
    <cfRule type="cellIs" priority="628" operator="lessThan" aboveAverage="0" equalAverage="0" bottom="0" percent="0" rank="0" text="" dxfId="8">
      <formula>0</formula>
    </cfRule>
  </conditionalFormatting>
  <conditionalFormatting sqref="E215">
    <cfRule type="cellIs" priority="629" operator="greaterThan" aboveAverage="0" equalAverage="0" bottom="0" percent="0" rank="0" text="" dxfId="7">
      <formula>0</formula>
    </cfRule>
  </conditionalFormatting>
  <conditionalFormatting sqref="F215">
    <cfRule type="cellIs" priority="630" operator="greaterThan" aboveAverage="0" equalAverage="0" bottom="0" percent="0" rank="0" text="" dxfId="7">
      <formula>0</formula>
    </cfRule>
  </conditionalFormatting>
  <conditionalFormatting sqref="I215">
    <cfRule type="cellIs" priority="631" operator="lessThan" aboveAverage="0" equalAverage="0" bottom="0" percent="0" rank="0" text="" dxfId="8">
      <formula>0</formula>
    </cfRule>
  </conditionalFormatting>
  <conditionalFormatting sqref="E216">
    <cfRule type="cellIs" priority="632" operator="greaterThan" aboveAverage="0" equalAverage="0" bottom="0" percent="0" rank="0" text="" dxfId="7">
      <formula>0</formula>
    </cfRule>
  </conditionalFormatting>
  <conditionalFormatting sqref="F216">
    <cfRule type="cellIs" priority="633" operator="greaterThan" aboveAverage="0" equalAverage="0" bottom="0" percent="0" rank="0" text="" dxfId="7">
      <formula>0</formula>
    </cfRule>
  </conditionalFormatting>
  <conditionalFormatting sqref="I216">
    <cfRule type="cellIs" priority="634" operator="lessThan" aboveAverage="0" equalAverage="0" bottom="0" percent="0" rank="0" text="" dxfId="8">
      <formula>0</formula>
    </cfRule>
  </conditionalFormatting>
  <conditionalFormatting sqref="E217">
    <cfRule type="cellIs" priority="635" operator="greaterThan" aboveAverage="0" equalAverage="0" bottom="0" percent="0" rank="0" text="" dxfId="7">
      <formula>0</formula>
    </cfRule>
  </conditionalFormatting>
  <conditionalFormatting sqref="F217">
    <cfRule type="cellIs" priority="636" operator="greaterThan" aboveAverage="0" equalAverage="0" bottom="0" percent="0" rank="0" text="" dxfId="7">
      <formula>0</formula>
    </cfRule>
  </conditionalFormatting>
  <conditionalFormatting sqref="I217">
    <cfRule type="cellIs" priority="637" operator="lessThan" aboveAverage="0" equalAverage="0" bottom="0" percent="0" rank="0" text="" dxfId="8">
      <formula>0</formula>
    </cfRule>
  </conditionalFormatting>
  <conditionalFormatting sqref="E218">
    <cfRule type="cellIs" priority="638" operator="greaterThan" aboveAverage="0" equalAverage="0" bottom="0" percent="0" rank="0" text="" dxfId="7">
      <formula>0</formula>
    </cfRule>
  </conditionalFormatting>
  <conditionalFormatting sqref="F218">
    <cfRule type="cellIs" priority="639" operator="greaterThan" aboveAverage="0" equalAverage="0" bottom="0" percent="0" rank="0" text="" dxfId="7">
      <formula>0</formula>
    </cfRule>
  </conditionalFormatting>
  <conditionalFormatting sqref="I218">
    <cfRule type="cellIs" priority="640" operator="lessThan" aboveAverage="0" equalAverage="0" bottom="0" percent="0" rank="0" text="" dxfId="8">
      <formula>0</formula>
    </cfRule>
  </conditionalFormatting>
  <conditionalFormatting sqref="E219">
    <cfRule type="cellIs" priority="641" operator="greaterThan" aboveAverage="0" equalAverage="0" bottom="0" percent="0" rank="0" text="" dxfId="7">
      <formula>0</formula>
    </cfRule>
  </conditionalFormatting>
  <conditionalFormatting sqref="F219">
    <cfRule type="cellIs" priority="642" operator="greaterThan" aboveAverage="0" equalAverage="0" bottom="0" percent="0" rank="0" text="" dxfId="7">
      <formula>0</formula>
    </cfRule>
  </conditionalFormatting>
  <conditionalFormatting sqref="I219">
    <cfRule type="cellIs" priority="643" operator="lessThan" aboveAverage="0" equalAverage="0" bottom="0" percent="0" rank="0" text="" dxfId="8">
      <formula>0</formula>
    </cfRule>
  </conditionalFormatting>
  <conditionalFormatting sqref="E220">
    <cfRule type="cellIs" priority="644" operator="greaterThan" aboveAverage="0" equalAverage="0" bottom="0" percent="0" rank="0" text="" dxfId="7">
      <formula>0</formula>
    </cfRule>
  </conditionalFormatting>
  <conditionalFormatting sqref="F220">
    <cfRule type="cellIs" priority="645" operator="greaterThan" aboveAverage="0" equalAverage="0" bottom="0" percent="0" rank="0" text="" dxfId="7">
      <formula>0</formula>
    </cfRule>
  </conditionalFormatting>
  <conditionalFormatting sqref="I220">
    <cfRule type="cellIs" priority="646" operator="lessThan" aboveAverage="0" equalAverage="0" bottom="0" percent="0" rank="0" text="" dxfId="8">
      <formula>0</formula>
    </cfRule>
  </conditionalFormatting>
  <conditionalFormatting sqref="E221">
    <cfRule type="cellIs" priority="647" operator="greaterThan" aboveAverage="0" equalAverage="0" bottom="0" percent="0" rank="0" text="" dxfId="7">
      <formula>0</formula>
    </cfRule>
  </conditionalFormatting>
  <conditionalFormatting sqref="F221">
    <cfRule type="cellIs" priority="648" operator="greaterThan" aboveAverage="0" equalAverage="0" bottom="0" percent="0" rank="0" text="" dxfId="7">
      <formula>0</formula>
    </cfRule>
  </conditionalFormatting>
  <conditionalFormatting sqref="I221">
    <cfRule type="cellIs" priority="649" operator="lessThan" aboveAverage="0" equalAverage="0" bottom="0" percent="0" rank="0" text="" dxfId="8">
      <formula>0</formula>
    </cfRule>
  </conditionalFormatting>
  <conditionalFormatting sqref="E222">
    <cfRule type="cellIs" priority="650" operator="greaterThan" aboveAverage="0" equalAverage="0" bottom="0" percent="0" rank="0" text="" dxfId="7">
      <formula>0</formula>
    </cfRule>
  </conditionalFormatting>
  <conditionalFormatting sqref="F222">
    <cfRule type="cellIs" priority="651" operator="greaterThan" aboveAverage="0" equalAverage="0" bottom="0" percent="0" rank="0" text="" dxfId="7">
      <formula>0</formula>
    </cfRule>
  </conditionalFormatting>
  <conditionalFormatting sqref="I222">
    <cfRule type="cellIs" priority="652" operator="lessThan" aboveAverage="0" equalAverage="0" bottom="0" percent="0" rank="0" text="" dxfId="8">
      <formula>0</formula>
    </cfRule>
  </conditionalFormatting>
  <conditionalFormatting sqref="E223">
    <cfRule type="cellIs" priority="653" operator="greaterThan" aboveAverage="0" equalAverage="0" bottom="0" percent="0" rank="0" text="" dxfId="7">
      <formula>0</formula>
    </cfRule>
  </conditionalFormatting>
  <conditionalFormatting sqref="F223">
    <cfRule type="cellIs" priority="654" operator="greaterThan" aboveAverage="0" equalAverage="0" bottom="0" percent="0" rank="0" text="" dxfId="7">
      <formula>0</formula>
    </cfRule>
  </conditionalFormatting>
  <conditionalFormatting sqref="I223">
    <cfRule type="cellIs" priority="655" operator="lessThan" aboveAverage="0" equalAverage="0" bottom="0" percent="0" rank="0" text="" dxfId="8">
      <formula>0</formula>
    </cfRule>
  </conditionalFormatting>
  <conditionalFormatting sqref="E224">
    <cfRule type="cellIs" priority="656" operator="greaterThan" aboveAverage="0" equalAverage="0" bottom="0" percent="0" rank="0" text="" dxfId="7">
      <formula>0</formula>
    </cfRule>
  </conditionalFormatting>
  <conditionalFormatting sqref="F224">
    <cfRule type="cellIs" priority="657" operator="greaterThan" aboveAverage="0" equalAverage="0" bottom="0" percent="0" rank="0" text="" dxfId="7">
      <formula>0</formula>
    </cfRule>
  </conditionalFormatting>
  <conditionalFormatting sqref="I224">
    <cfRule type="cellIs" priority="658" operator="lessThan" aboveAverage="0" equalAverage="0" bottom="0" percent="0" rank="0" text="" dxfId="8">
      <formula>0</formula>
    </cfRule>
  </conditionalFormatting>
  <conditionalFormatting sqref="E225">
    <cfRule type="cellIs" priority="659" operator="greaterThan" aboveAverage="0" equalAverage="0" bottom="0" percent="0" rank="0" text="" dxfId="7">
      <formula>0</formula>
    </cfRule>
  </conditionalFormatting>
  <conditionalFormatting sqref="F225">
    <cfRule type="cellIs" priority="660" operator="greaterThan" aboveAverage="0" equalAverage="0" bottom="0" percent="0" rank="0" text="" dxfId="7">
      <formula>0</formula>
    </cfRule>
  </conditionalFormatting>
  <conditionalFormatting sqref="I225">
    <cfRule type="cellIs" priority="661" operator="lessThan" aboveAverage="0" equalAverage="0" bottom="0" percent="0" rank="0" text="" dxfId="8">
      <formula>0</formula>
    </cfRule>
  </conditionalFormatting>
  <conditionalFormatting sqref="E226">
    <cfRule type="cellIs" priority="662" operator="greaterThan" aboveAverage="0" equalAverage="0" bottom="0" percent="0" rank="0" text="" dxfId="7">
      <formula>0</formula>
    </cfRule>
  </conditionalFormatting>
  <conditionalFormatting sqref="F226">
    <cfRule type="cellIs" priority="663" operator="greaterThan" aboveAverage="0" equalAverage="0" bottom="0" percent="0" rank="0" text="" dxfId="7">
      <formula>0</formula>
    </cfRule>
  </conditionalFormatting>
  <conditionalFormatting sqref="I226">
    <cfRule type="cellIs" priority="664" operator="lessThan" aboveAverage="0" equalAverage="0" bottom="0" percent="0" rank="0" text="" dxfId="8">
      <formula>0</formula>
    </cfRule>
  </conditionalFormatting>
  <conditionalFormatting sqref="E227">
    <cfRule type="cellIs" priority="665" operator="greaterThan" aboveAverage="0" equalAverage="0" bottom="0" percent="0" rank="0" text="" dxfId="7">
      <formula>0</formula>
    </cfRule>
  </conditionalFormatting>
  <conditionalFormatting sqref="F227">
    <cfRule type="cellIs" priority="666" operator="greaterThan" aboveAverage="0" equalAverage="0" bottom="0" percent="0" rank="0" text="" dxfId="7">
      <formula>0</formula>
    </cfRule>
  </conditionalFormatting>
  <conditionalFormatting sqref="I227">
    <cfRule type="cellIs" priority="667" operator="lessThan" aboveAverage="0" equalAverage="0" bottom="0" percent="0" rank="0" text="" dxfId="8">
      <formula>0</formula>
    </cfRule>
  </conditionalFormatting>
  <conditionalFormatting sqref="E228">
    <cfRule type="cellIs" priority="668" operator="greaterThan" aboveAverage="0" equalAverage="0" bottom="0" percent="0" rank="0" text="" dxfId="7">
      <formula>0</formula>
    </cfRule>
  </conditionalFormatting>
  <conditionalFormatting sqref="F228">
    <cfRule type="cellIs" priority="669" operator="greaterThan" aboveAverage="0" equalAverage="0" bottom="0" percent="0" rank="0" text="" dxfId="7">
      <formula>0</formula>
    </cfRule>
  </conditionalFormatting>
  <conditionalFormatting sqref="I228">
    <cfRule type="cellIs" priority="670" operator="lessThan" aboveAverage="0" equalAverage="0" bottom="0" percent="0" rank="0" text="" dxfId="8">
      <formula>0</formula>
    </cfRule>
  </conditionalFormatting>
  <conditionalFormatting sqref="E229">
    <cfRule type="cellIs" priority="671" operator="greaterThan" aboveAverage="0" equalAverage="0" bottom="0" percent="0" rank="0" text="" dxfId="7">
      <formula>0</formula>
    </cfRule>
  </conditionalFormatting>
  <conditionalFormatting sqref="F229">
    <cfRule type="cellIs" priority="672" operator="greaterThan" aboveAverage="0" equalAverage="0" bottom="0" percent="0" rank="0" text="" dxfId="7">
      <formula>0</formula>
    </cfRule>
  </conditionalFormatting>
  <conditionalFormatting sqref="I229">
    <cfRule type="cellIs" priority="673" operator="lessThan" aboveAverage="0" equalAverage="0" bottom="0" percent="0" rank="0" text="" dxfId="8">
      <formula>0</formula>
    </cfRule>
  </conditionalFormatting>
  <conditionalFormatting sqref="E230">
    <cfRule type="cellIs" priority="674" operator="greaterThan" aboveAverage="0" equalAverage="0" bottom="0" percent="0" rank="0" text="" dxfId="7">
      <formula>0</formula>
    </cfRule>
  </conditionalFormatting>
  <conditionalFormatting sqref="F230">
    <cfRule type="cellIs" priority="675" operator="greaterThan" aboveAverage="0" equalAverage="0" bottom="0" percent="0" rank="0" text="" dxfId="7">
      <formula>0</formula>
    </cfRule>
  </conditionalFormatting>
  <conditionalFormatting sqref="I230">
    <cfRule type="cellIs" priority="676" operator="lessThan" aboveAverage="0" equalAverage="0" bottom="0" percent="0" rank="0" text="" dxfId="8">
      <formula>0</formula>
    </cfRule>
  </conditionalFormatting>
  <conditionalFormatting sqref="E231">
    <cfRule type="cellIs" priority="677" operator="greaterThan" aboveAverage="0" equalAverage="0" bottom="0" percent="0" rank="0" text="" dxfId="7">
      <formula>0</formula>
    </cfRule>
  </conditionalFormatting>
  <conditionalFormatting sqref="F231">
    <cfRule type="cellIs" priority="678" operator="greaterThan" aboveAverage="0" equalAverage="0" bottom="0" percent="0" rank="0" text="" dxfId="7">
      <formula>0</formula>
    </cfRule>
  </conditionalFormatting>
  <conditionalFormatting sqref="I231">
    <cfRule type="cellIs" priority="679" operator="lessThan" aboveAverage="0" equalAverage="0" bottom="0" percent="0" rank="0" text="" dxfId="8">
      <formula>0</formula>
    </cfRule>
  </conditionalFormatting>
  <conditionalFormatting sqref="E232">
    <cfRule type="cellIs" priority="680" operator="greaterThan" aboveAverage="0" equalAverage="0" bottom="0" percent="0" rank="0" text="" dxfId="7">
      <formula>0</formula>
    </cfRule>
  </conditionalFormatting>
  <conditionalFormatting sqref="F232">
    <cfRule type="cellIs" priority="681" operator="greaterThan" aboveAverage="0" equalAverage="0" bottom="0" percent="0" rank="0" text="" dxfId="7">
      <formula>0</formula>
    </cfRule>
  </conditionalFormatting>
  <conditionalFormatting sqref="I232">
    <cfRule type="cellIs" priority="682" operator="lessThan" aboveAverage="0" equalAverage="0" bottom="0" percent="0" rank="0" text="" dxfId="8">
      <formula>0</formula>
    </cfRule>
  </conditionalFormatting>
  <conditionalFormatting sqref="E233">
    <cfRule type="cellIs" priority="683" operator="greaterThan" aboveAverage="0" equalAverage="0" bottom="0" percent="0" rank="0" text="" dxfId="7">
      <formula>0</formula>
    </cfRule>
  </conditionalFormatting>
  <conditionalFormatting sqref="F233">
    <cfRule type="cellIs" priority="684" operator="greaterThan" aboveAverage="0" equalAverage="0" bottom="0" percent="0" rank="0" text="" dxfId="7">
      <formula>0</formula>
    </cfRule>
  </conditionalFormatting>
  <conditionalFormatting sqref="I233">
    <cfRule type="cellIs" priority="685" operator="lessThan" aboveAverage="0" equalAverage="0" bottom="0" percent="0" rank="0" text="" dxfId="8">
      <formula>0</formula>
    </cfRule>
  </conditionalFormatting>
  <conditionalFormatting sqref="E234">
    <cfRule type="cellIs" priority="686" operator="greaterThan" aboveAverage="0" equalAverage="0" bottom="0" percent="0" rank="0" text="" dxfId="7">
      <formula>0</formula>
    </cfRule>
  </conditionalFormatting>
  <conditionalFormatting sqref="F234">
    <cfRule type="cellIs" priority="687" operator="greaterThan" aboveAverage="0" equalAverage="0" bottom="0" percent="0" rank="0" text="" dxfId="7">
      <formula>0</formula>
    </cfRule>
  </conditionalFormatting>
  <conditionalFormatting sqref="I234">
    <cfRule type="cellIs" priority="688" operator="lessThan" aboveAverage="0" equalAverage="0" bottom="0" percent="0" rank="0" text="" dxfId="8">
      <formula>0</formula>
    </cfRule>
  </conditionalFormatting>
  <conditionalFormatting sqref="E235">
    <cfRule type="cellIs" priority="689" operator="greaterThan" aboveAverage="0" equalAverage="0" bottom="0" percent="0" rank="0" text="" dxfId="7">
      <formula>0</formula>
    </cfRule>
  </conditionalFormatting>
  <conditionalFormatting sqref="F235">
    <cfRule type="cellIs" priority="690" operator="greaterThan" aboveAverage="0" equalAverage="0" bottom="0" percent="0" rank="0" text="" dxfId="7">
      <formula>0</formula>
    </cfRule>
  </conditionalFormatting>
  <conditionalFormatting sqref="I235">
    <cfRule type="cellIs" priority="691" operator="lessThan" aboveAverage="0" equalAverage="0" bottom="0" percent="0" rank="0" text="" dxfId="8">
      <formula>0</formula>
    </cfRule>
  </conditionalFormatting>
  <conditionalFormatting sqref="E236">
    <cfRule type="cellIs" priority="692" operator="greaterThan" aboveAverage="0" equalAverage="0" bottom="0" percent="0" rank="0" text="" dxfId="7">
      <formula>0</formula>
    </cfRule>
  </conditionalFormatting>
  <conditionalFormatting sqref="F236">
    <cfRule type="cellIs" priority="693" operator="greaterThan" aboveAverage="0" equalAverage="0" bottom="0" percent="0" rank="0" text="" dxfId="7">
      <formula>0</formula>
    </cfRule>
  </conditionalFormatting>
  <conditionalFormatting sqref="I236">
    <cfRule type="cellIs" priority="694" operator="lessThan" aboveAverage="0" equalAverage="0" bottom="0" percent="0" rank="0" text="" dxfId="8">
      <formula>0</formula>
    </cfRule>
  </conditionalFormatting>
  <conditionalFormatting sqref="E237">
    <cfRule type="cellIs" priority="695" operator="greaterThan" aboveAverage="0" equalAverage="0" bottom="0" percent="0" rank="0" text="" dxfId="7">
      <formula>0</formula>
    </cfRule>
  </conditionalFormatting>
  <conditionalFormatting sqref="F237">
    <cfRule type="cellIs" priority="696" operator="greaterThan" aboveAverage="0" equalAverage="0" bottom="0" percent="0" rank="0" text="" dxfId="7">
      <formula>0</formula>
    </cfRule>
  </conditionalFormatting>
  <conditionalFormatting sqref="I237">
    <cfRule type="cellIs" priority="697" operator="lessThan" aboveAverage="0" equalAverage="0" bottom="0" percent="0" rank="0" text="" dxfId="8">
      <formula>0</formula>
    </cfRule>
  </conditionalFormatting>
  <conditionalFormatting sqref="E238">
    <cfRule type="cellIs" priority="698" operator="greaterThan" aboveAverage="0" equalAverage="0" bottom="0" percent="0" rank="0" text="" dxfId="7">
      <formula>0</formula>
    </cfRule>
  </conditionalFormatting>
  <conditionalFormatting sqref="F238">
    <cfRule type="cellIs" priority="699" operator="greaterThan" aboveAverage="0" equalAverage="0" bottom="0" percent="0" rank="0" text="" dxfId="7">
      <formula>0</formula>
    </cfRule>
  </conditionalFormatting>
  <conditionalFormatting sqref="I238">
    <cfRule type="cellIs" priority="700" operator="lessThan" aboveAverage="0" equalAverage="0" bottom="0" percent="0" rank="0" text="" dxfId="8">
      <formula>0</formula>
    </cfRule>
  </conditionalFormatting>
  <conditionalFormatting sqref="E239">
    <cfRule type="cellIs" priority="701" operator="greaterThan" aboveAverage="0" equalAverage="0" bottom="0" percent="0" rank="0" text="" dxfId="7">
      <formula>0</formula>
    </cfRule>
  </conditionalFormatting>
  <conditionalFormatting sqref="F239">
    <cfRule type="cellIs" priority="702" operator="greaterThan" aboveAverage="0" equalAverage="0" bottom="0" percent="0" rank="0" text="" dxfId="7">
      <formula>0</formula>
    </cfRule>
  </conditionalFormatting>
  <conditionalFormatting sqref="I239">
    <cfRule type="cellIs" priority="703" operator="lessThan" aboveAverage="0" equalAverage="0" bottom="0" percent="0" rank="0" text="" dxfId="8">
      <formula>0</formula>
    </cfRule>
  </conditionalFormatting>
  <conditionalFormatting sqref="E240">
    <cfRule type="cellIs" priority="704" operator="greaterThan" aboveAverage="0" equalAverage="0" bottom="0" percent="0" rank="0" text="" dxfId="7">
      <formula>0</formula>
    </cfRule>
  </conditionalFormatting>
  <conditionalFormatting sqref="F240">
    <cfRule type="cellIs" priority="705" operator="greaterThan" aboveAverage="0" equalAverage="0" bottom="0" percent="0" rank="0" text="" dxfId="7">
      <formula>0</formula>
    </cfRule>
  </conditionalFormatting>
  <conditionalFormatting sqref="I240">
    <cfRule type="cellIs" priority="706" operator="lessThan" aboveAverage="0" equalAverage="0" bottom="0" percent="0" rank="0" text="" dxfId="8">
      <formula>0</formula>
    </cfRule>
  </conditionalFormatting>
  <conditionalFormatting sqref="E241">
    <cfRule type="cellIs" priority="707" operator="greaterThan" aboveAverage="0" equalAverage="0" bottom="0" percent="0" rank="0" text="" dxfId="7">
      <formula>0</formula>
    </cfRule>
  </conditionalFormatting>
  <conditionalFormatting sqref="F241">
    <cfRule type="cellIs" priority="708" operator="greaterThan" aboveAverage="0" equalAverage="0" bottom="0" percent="0" rank="0" text="" dxfId="7">
      <formula>0</formula>
    </cfRule>
  </conditionalFormatting>
  <conditionalFormatting sqref="I241">
    <cfRule type="cellIs" priority="709" operator="lessThan" aboveAverage="0" equalAverage="0" bottom="0" percent="0" rank="0" text="" dxfId="8">
      <formula>0</formula>
    </cfRule>
  </conditionalFormatting>
  <conditionalFormatting sqref="E242">
    <cfRule type="cellIs" priority="710" operator="greaterThan" aboveAverage="0" equalAverage="0" bottom="0" percent="0" rank="0" text="" dxfId="7">
      <formula>0</formula>
    </cfRule>
  </conditionalFormatting>
  <conditionalFormatting sqref="F242">
    <cfRule type="cellIs" priority="711" operator="greaterThan" aboveAverage="0" equalAverage="0" bottom="0" percent="0" rank="0" text="" dxfId="7">
      <formula>0</formula>
    </cfRule>
  </conditionalFormatting>
  <conditionalFormatting sqref="I242">
    <cfRule type="cellIs" priority="712" operator="lessThan" aboveAverage="0" equalAverage="0" bottom="0" percent="0" rank="0" text="" dxfId="8">
      <formula>0</formula>
    </cfRule>
  </conditionalFormatting>
  <conditionalFormatting sqref="E243">
    <cfRule type="cellIs" priority="713" operator="greaterThan" aboveAverage="0" equalAverage="0" bottom="0" percent="0" rank="0" text="" dxfId="7">
      <formula>0</formula>
    </cfRule>
  </conditionalFormatting>
  <conditionalFormatting sqref="F243">
    <cfRule type="cellIs" priority="714" operator="greaterThan" aboveAverage="0" equalAverage="0" bottom="0" percent="0" rank="0" text="" dxfId="7">
      <formula>0</formula>
    </cfRule>
  </conditionalFormatting>
  <conditionalFormatting sqref="I243">
    <cfRule type="cellIs" priority="715" operator="lessThan" aboveAverage="0" equalAverage="0" bottom="0" percent="0" rank="0" text="" dxfId="8">
      <formula>0</formula>
    </cfRule>
  </conditionalFormatting>
  <conditionalFormatting sqref="E244">
    <cfRule type="cellIs" priority="716" operator="greaterThan" aboveAverage="0" equalAverage="0" bottom="0" percent="0" rank="0" text="" dxfId="7">
      <formula>0</formula>
    </cfRule>
  </conditionalFormatting>
  <conditionalFormatting sqref="F244">
    <cfRule type="cellIs" priority="717" operator="greaterThan" aboveAverage="0" equalAverage="0" bottom="0" percent="0" rank="0" text="" dxfId="7">
      <formula>0</formula>
    </cfRule>
  </conditionalFormatting>
  <conditionalFormatting sqref="I244">
    <cfRule type="cellIs" priority="718" operator="lessThan" aboveAverage="0" equalAverage="0" bottom="0" percent="0" rank="0" text="" dxfId="8">
      <formula>0</formula>
    </cfRule>
  </conditionalFormatting>
  <conditionalFormatting sqref="E245">
    <cfRule type="cellIs" priority="719" operator="greaterThan" aboveAverage="0" equalAverage="0" bottom="0" percent="0" rank="0" text="" dxfId="7">
      <formula>0</formula>
    </cfRule>
  </conditionalFormatting>
  <conditionalFormatting sqref="F245">
    <cfRule type="cellIs" priority="720" operator="greaterThan" aboveAverage="0" equalAverage="0" bottom="0" percent="0" rank="0" text="" dxfId="7">
      <formula>0</formula>
    </cfRule>
  </conditionalFormatting>
  <conditionalFormatting sqref="I245">
    <cfRule type="cellIs" priority="721" operator="lessThan" aboveAverage="0" equalAverage="0" bottom="0" percent="0" rank="0" text="" dxfId="8">
      <formula>0</formula>
    </cfRule>
  </conditionalFormatting>
  <conditionalFormatting sqref="E246">
    <cfRule type="cellIs" priority="722" operator="greaterThan" aboveAverage="0" equalAverage="0" bottom="0" percent="0" rank="0" text="" dxfId="7">
      <formula>0</formula>
    </cfRule>
  </conditionalFormatting>
  <conditionalFormatting sqref="F246">
    <cfRule type="cellIs" priority="723" operator="greaterThan" aboveAverage="0" equalAverage="0" bottom="0" percent="0" rank="0" text="" dxfId="7">
      <formula>0</formula>
    </cfRule>
  </conditionalFormatting>
  <conditionalFormatting sqref="I246">
    <cfRule type="cellIs" priority="724" operator="lessThan" aboveAverage="0" equalAverage="0" bottom="0" percent="0" rank="0" text="" dxfId="8">
      <formula>0</formula>
    </cfRule>
  </conditionalFormatting>
  <conditionalFormatting sqref="E247">
    <cfRule type="cellIs" priority="725" operator="greaterThan" aboveAverage="0" equalAverage="0" bottom="0" percent="0" rank="0" text="" dxfId="7">
      <formula>0</formula>
    </cfRule>
  </conditionalFormatting>
  <conditionalFormatting sqref="F247">
    <cfRule type="cellIs" priority="726" operator="greaterThan" aboveAverage="0" equalAverage="0" bottom="0" percent="0" rank="0" text="" dxfId="7">
      <formula>0</formula>
    </cfRule>
  </conditionalFormatting>
  <conditionalFormatting sqref="I247">
    <cfRule type="cellIs" priority="727" operator="lessThan" aboveAverage="0" equalAverage="0" bottom="0" percent="0" rank="0" text="" dxfId="8">
      <formula>0</formula>
    </cfRule>
  </conditionalFormatting>
  <conditionalFormatting sqref="E248">
    <cfRule type="cellIs" priority="728" operator="greaterThan" aboveAverage="0" equalAverage="0" bottom="0" percent="0" rank="0" text="" dxfId="7">
      <formula>0</formula>
    </cfRule>
  </conditionalFormatting>
  <conditionalFormatting sqref="F248">
    <cfRule type="cellIs" priority="729" operator="greaterThan" aboveAverage="0" equalAverage="0" bottom="0" percent="0" rank="0" text="" dxfId="7">
      <formula>0</formula>
    </cfRule>
  </conditionalFormatting>
  <conditionalFormatting sqref="I248">
    <cfRule type="cellIs" priority="730" operator="lessThan" aboveAverage="0" equalAverage="0" bottom="0" percent="0" rank="0" text="" dxfId="8">
      <formula>0</formula>
    </cfRule>
  </conditionalFormatting>
  <conditionalFormatting sqref="E249">
    <cfRule type="cellIs" priority="731" operator="greaterThan" aboveAverage="0" equalAverage="0" bottom="0" percent="0" rank="0" text="" dxfId="7">
      <formula>0</formula>
    </cfRule>
  </conditionalFormatting>
  <conditionalFormatting sqref="F249">
    <cfRule type="cellIs" priority="732" operator="greaterThan" aboveAverage="0" equalAverage="0" bottom="0" percent="0" rank="0" text="" dxfId="7">
      <formula>0</formula>
    </cfRule>
  </conditionalFormatting>
  <conditionalFormatting sqref="I249">
    <cfRule type="cellIs" priority="733" operator="lessThan" aboveAverage="0" equalAverage="0" bottom="0" percent="0" rank="0" text="" dxfId="8">
      <formula>0</formula>
    </cfRule>
  </conditionalFormatting>
  <conditionalFormatting sqref="E250">
    <cfRule type="cellIs" priority="734" operator="greaterThan" aboveAverage="0" equalAverage="0" bottom="0" percent="0" rank="0" text="" dxfId="7">
      <formula>0</formula>
    </cfRule>
  </conditionalFormatting>
  <conditionalFormatting sqref="F250">
    <cfRule type="cellIs" priority="735" operator="greaterThan" aboveAverage="0" equalAverage="0" bottom="0" percent="0" rank="0" text="" dxfId="7">
      <formula>0</formula>
    </cfRule>
  </conditionalFormatting>
  <conditionalFormatting sqref="I250">
    <cfRule type="cellIs" priority="736" operator="lessThan" aboveAverage="0" equalAverage="0" bottom="0" percent="0" rank="0" text="" dxfId="8">
      <formula>0</formula>
    </cfRule>
  </conditionalFormatting>
  <conditionalFormatting sqref="E251">
    <cfRule type="cellIs" priority="737" operator="greaterThan" aboveAverage="0" equalAverage="0" bottom="0" percent="0" rank="0" text="" dxfId="7">
      <formula>0</formula>
    </cfRule>
  </conditionalFormatting>
  <conditionalFormatting sqref="F251">
    <cfRule type="cellIs" priority="738" operator="greaterThan" aboveAverage="0" equalAverage="0" bottom="0" percent="0" rank="0" text="" dxfId="7">
      <formula>0</formula>
    </cfRule>
  </conditionalFormatting>
  <conditionalFormatting sqref="I251">
    <cfRule type="cellIs" priority="739" operator="lessThan" aboveAverage="0" equalAverage="0" bottom="0" percent="0" rank="0" text="" dxfId="8">
      <formula>0</formula>
    </cfRule>
  </conditionalFormatting>
  <conditionalFormatting sqref="E252">
    <cfRule type="cellIs" priority="740" operator="greaterThan" aboveAverage="0" equalAverage="0" bottom="0" percent="0" rank="0" text="" dxfId="7">
      <formula>0</formula>
    </cfRule>
  </conditionalFormatting>
  <conditionalFormatting sqref="F252">
    <cfRule type="cellIs" priority="741" operator="greaterThan" aboveAverage="0" equalAverage="0" bottom="0" percent="0" rank="0" text="" dxfId="7">
      <formula>0</formula>
    </cfRule>
  </conditionalFormatting>
  <conditionalFormatting sqref="I252">
    <cfRule type="cellIs" priority="742" operator="lessThan" aboveAverage="0" equalAverage="0" bottom="0" percent="0" rank="0" text="" dxfId="8">
      <formula>0</formula>
    </cfRule>
  </conditionalFormatting>
  <conditionalFormatting sqref="E253">
    <cfRule type="cellIs" priority="743" operator="greaterThan" aboveAverage="0" equalAverage="0" bottom="0" percent="0" rank="0" text="" dxfId="7">
      <formula>0</formula>
    </cfRule>
  </conditionalFormatting>
  <conditionalFormatting sqref="F253">
    <cfRule type="cellIs" priority="744" operator="greaterThan" aboveAverage="0" equalAverage="0" bottom="0" percent="0" rank="0" text="" dxfId="7">
      <formula>0</formula>
    </cfRule>
  </conditionalFormatting>
  <conditionalFormatting sqref="I253">
    <cfRule type="cellIs" priority="745" operator="lessThan" aboveAverage="0" equalAverage="0" bottom="0" percent="0" rank="0" text="" dxfId="8">
      <formula>0</formula>
    </cfRule>
  </conditionalFormatting>
  <conditionalFormatting sqref="E254">
    <cfRule type="cellIs" priority="746" operator="greaterThan" aboveAverage="0" equalAverage="0" bottom="0" percent="0" rank="0" text="" dxfId="7">
      <formula>0</formula>
    </cfRule>
  </conditionalFormatting>
  <conditionalFormatting sqref="F254">
    <cfRule type="cellIs" priority="747" operator="greaterThan" aboveAverage="0" equalAverage="0" bottom="0" percent="0" rank="0" text="" dxfId="7">
      <formula>0</formula>
    </cfRule>
  </conditionalFormatting>
  <conditionalFormatting sqref="I254">
    <cfRule type="cellIs" priority="748" operator="lessThan" aboveAverage="0" equalAverage="0" bottom="0" percent="0" rank="0" text="" dxfId="8">
      <formula>0</formula>
    </cfRule>
  </conditionalFormatting>
  <conditionalFormatting sqref="E255">
    <cfRule type="cellIs" priority="749" operator="greaterThan" aboveAverage="0" equalAverage="0" bottom="0" percent="0" rank="0" text="" dxfId="7">
      <formula>0</formula>
    </cfRule>
  </conditionalFormatting>
  <conditionalFormatting sqref="F255">
    <cfRule type="cellIs" priority="750" operator="greaterThan" aboveAverage="0" equalAverage="0" bottom="0" percent="0" rank="0" text="" dxfId="7">
      <formula>0</formula>
    </cfRule>
  </conditionalFormatting>
  <conditionalFormatting sqref="I255">
    <cfRule type="cellIs" priority="751" operator="lessThan" aboveAverage="0" equalAverage="0" bottom="0" percent="0" rank="0" text="" dxfId="8">
      <formula>0</formula>
    </cfRule>
  </conditionalFormatting>
  <conditionalFormatting sqref="E256">
    <cfRule type="cellIs" priority="752" operator="greaterThan" aboveAverage="0" equalAverage="0" bottom="0" percent="0" rank="0" text="" dxfId="7">
      <formula>0</formula>
    </cfRule>
  </conditionalFormatting>
  <conditionalFormatting sqref="F256">
    <cfRule type="cellIs" priority="753" operator="greaterThan" aboveAverage="0" equalAverage="0" bottom="0" percent="0" rank="0" text="" dxfId="7">
      <formula>0</formula>
    </cfRule>
  </conditionalFormatting>
  <conditionalFormatting sqref="I256">
    <cfRule type="cellIs" priority="754" operator="lessThan" aboveAverage="0" equalAverage="0" bottom="0" percent="0" rank="0" text="" dxfId="8">
      <formula>0</formula>
    </cfRule>
  </conditionalFormatting>
  <conditionalFormatting sqref="E257">
    <cfRule type="cellIs" priority="755" operator="greaterThan" aboveAverage="0" equalAverage="0" bottom="0" percent="0" rank="0" text="" dxfId="7">
      <formula>0</formula>
    </cfRule>
  </conditionalFormatting>
  <conditionalFormatting sqref="F257">
    <cfRule type="cellIs" priority="756" operator="greaterThan" aboveAverage="0" equalAverage="0" bottom="0" percent="0" rank="0" text="" dxfId="7">
      <formula>0</formula>
    </cfRule>
  </conditionalFormatting>
  <conditionalFormatting sqref="I257">
    <cfRule type="cellIs" priority="757" operator="lessThan" aboveAverage="0" equalAverage="0" bottom="0" percent="0" rank="0" text="" dxfId="8">
      <formula>0</formula>
    </cfRule>
  </conditionalFormatting>
  <conditionalFormatting sqref="E258">
    <cfRule type="cellIs" priority="758" operator="greaterThan" aboveAverage="0" equalAverage="0" bottom="0" percent="0" rank="0" text="" dxfId="7">
      <formula>0</formula>
    </cfRule>
  </conditionalFormatting>
  <conditionalFormatting sqref="F258">
    <cfRule type="cellIs" priority="759" operator="greaterThan" aboveAverage="0" equalAverage="0" bottom="0" percent="0" rank="0" text="" dxfId="7">
      <formula>0</formula>
    </cfRule>
  </conditionalFormatting>
  <conditionalFormatting sqref="I258">
    <cfRule type="cellIs" priority="760" operator="lessThan" aboveAverage="0" equalAverage="0" bottom="0" percent="0" rank="0" text="" dxfId="8">
      <formula>0</formula>
    </cfRule>
  </conditionalFormatting>
  <conditionalFormatting sqref="E259">
    <cfRule type="cellIs" priority="761" operator="greaterThan" aboveAverage="0" equalAverage="0" bottom="0" percent="0" rank="0" text="" dxfId="7">
      <formula>0</formula>
    </cfRule>
  </conditionalFormatting>
  <conditionalFormatting sqref="F259">
    <cfRule type="cellIs" priority="762" operator="greaterThan" aboveAverage="0" equalAverage="0" bottom="0" percent="0" rank="0" text="" dxfId="7">
      <formula>0</formula>
    </cfRule>
  </conditionalFormatting>
  <conditionalFormatting sqref="I259">
    <cfRule type="cellIs" priority="763" operator="lessThan" aboveAverage="0" equalAverage="0" bottom="0" percent="0" rank="0" text="" dxfId="8">
      <formula>0</formula>
    </cfRule>
  </conditionalFormatting>
  <conditionalFormatting sqref="E260">
    <cfRule type="cellIs" priority="764" operator="greaterThan" aboveAverage="0" equalAverage="0" bottom="0" percent="0" rank="0" text="" dxfId="7">
      <formula>0</formula>
    </cfRule>
  </conditionalFormatting>
  <conditionalFormatting sqref="F260">
    <cfRule type="cellIs" priority="765" operator="greaterThan" aboveAverage="0" equalAverage="0" bottom="0" percent="0" rank="0" text="" dxfId="7">
      <formula>0</formula>
    </cfRule>
  </conditionalFormatting>
  <conditionalFormatting sqref="I260">
    <cfRule type="cellIs" priority="766" operator="lessThan" aboveAverage="0" equalAverage="0" bottom="0" percent="0" rank="0" text="" dxfId="8">
      <formula>0</formula>
    </cfRule>
  </conditionalFormatting>
  <conditionalFormatting sqref="E261">
    <cfRule type="cellIs" priority="767" operator="greaterThan" aboveAverage="0" equalAverage="0" bottom="0" percent="0" rank="0" text="" dxfId="7">
      <formula>0</formula>
    </cfRule>
  </conditionalFormatting>
  <conditionalFormatting sqref="F261">
    <cfRule type="cellIs" priority="768" operator="greaterThan" aboveAverage="0" equalAverage="0" bottom="0" percent="0" rank="0" text="" dxfId="7">
      <formula>0</formula>
    </cfRule>
  </conditionalFormatting>
  <conditionalFormatting sqref="I261">
    <cfRule type="cellIs" priority="769" operator="lessThan" aboveAverage="0" equalAverage="0" bottom="0" percent="0" rank="0" text="" dxfId="8">
      <formula>0</formula>
    </cfRule>
  </conditionalFormatting>
  <conditionalFormatting sqref="E262">
    <cfRule type="cellIs" priority="770" operator="greaterThan" aboveAverage="0" equalAverage="0" bottom="0" percent="0" rank="0" text="" dxfId="7">
      <formula>0</formula>
    </cfRule>
  </conditionalFormatting>
  <conditionalFormatting sqref="F262">
    <cfRule type="cellIs" priority="771" operator="greaterThan" aboveAverage="0" equalAverage="0" bottom="0" percent="0" rank="0" text="" dxfId="7">
      <formula>0</formula>
    </cfRule>
  </conditionalFormatting>
  <conditionalFormatting sqref="I262">
    <cfRule type="cellIs" priority="772" operator="lessThan" aboveAverage="0" equalAverage="0" bottom="0" percent="0" rank="0" text="" dxfId="8">
      <formula>0</formula>
    </cfRule>
  </conditionalFormatting>
  <conditionalFormatting sqref="E263">
    <cfRule type="cellIs" priority="773" operator="greaterThan" aboveAverage="0" equalAverage="0" bottom="0" percent="0" rank="0" text="" dxfId="7">
      <formula>0</formula>
    </cfRule>
  </conditionalFormatting>
  <conditionalFormatting sqref="F263">
    <cfRule type="cellIs" priority="774" operator="greaterThan" aboveAverage="0" equalAverage="0" bottom="0" percent="0" rank="0" text="" dxfId="7">
      <formula>0</formula>
    </cfRule>
  </conditionalFormatting>
  <conditionalFormatting sqref="I263">
    <cfRule type="cellIs" priority="775" operator="lessThan" aboveAverage="0" equalAverage="0" bottom="0" percent="0" rank="0" text="" dxfId="8">
      <formula>0</formula>
    </cfRule>
  </conditionalFormatting>
  <conditionalFormatting sqref="E264">
    <cfRule type="cellIs" priority="776" operator="greaterThan" aboveAverage="0" equalAverage="0" bottom="0" percent="0" rank="0" text="" dxfId="7">
      <formula>0</formula>
    </cfRule>
  </conditionalFormatting>
  <conditionalFormatting sqref="F264">
    <cfRule type="cellIs" priority="777" operator="greaterThan" aboveAverage="0" equalAverage="0" bottom="0" percent="0" rank="0" text="" dxfId="7">
      <formula>0</formula>
    </cfRule>
  </conditionalFormatting>
  <conditionalFormatting sqref="I264">
    <cfRule type="cellIs" priority="778" operator="lessThan" aboveAverage="0" equalAverage="0" bottom="0" percent="0" rank="0" text="" dxfId="8">
      <formula>0</formula>
    </cfRule>
  </conditionalFormatting>
  <conditionalFormatting sqref="E265">
    <cfRule type="cellIs" priority="779" operator="greaterThan" aboveAverage="0" equalAverage="0" bottom="0" percent="0" rank="0" text="" dxfId="7">
      <formula>0</formula>
    </cfRule>
  </conditionalFormatting>
  <conditionalFormatting sqref="F265">
    <cfRule type="cellIs" priority="780" operator="greaterThan" aboveAverage="0" equalAverage="0" bottom="0" percent="0" rank="0" text="" dxfId="7">
      <formula>0</formula>
    </cfRule>
  </conditionalFormatting>
  <conditionalFormatting sqref="I265">
    <cfRule type="cellIs" priority="781" operator="lessThan" aboveAverage="0" equalAverage="0" bottom="0" percent="0" rank="0" text="" dxfId="8">
      <formula>0</formula>
    </cfRule>
  </conditionalFormatting>
  <conditionalFormatting sqref="E266">
    <cfRule type="cellIs" priority="782" operator="greaterThan" aboveAverage="0" equalAverage="0" bottom="0" percent="0" rank="0" text="" dxfId="7">
      <formula>0</formula>
    </cfRule>
  </conditionalFormatting>
  <conditionalFormatting sqref="F266">
    <cfRule type="cellIs" priority="783" operator="greaterThan" aboveAverage="0" equalAverage="0" bottom="0" percent="0" rank="0" text="" dxfId="7">
      <formula>0</formula>
    </cfRule>
  </conditionalFormatting>
  <conditionalFormatting sqref="I266">
    <cfRule type="cellIs" priority="784" operator="lessThan" aboveAverage="0" equalAverage="0" bottom="0" percent="0" rank="0" text="" dxfId="8">
      <formula>0</formula>
    </cfRule>
  </conditionalFormatting>
  <conditionalFormatting sqref="E267">
    <cfRule type="cellIs" priority="785" operator="greaterThan" aboveAverage="0" equalAverage="0" bottom="0" percent="0" rank="0" text="" dxfId="7">
      <formula>0</formula>
    </cfRule>
  </conditionalFormatting>
  <conditionalFormatting sqref="F267">
    <cfRule type="cellIs" priority="786" operator="greaterThan" aboveAverage="0" equalAverage="0" bottom="0" percent="0" rank="0" text="" dxfId="7">
      <formula>0</formula>
    </cfRule>
  </conditionalFormatting>
  <conditionalFormatting sqref="I267">
    <cfRule type="cellIs" priority="787" operator="lessThan" aboveAverage="0" equalAverage="0" bottom="0" percent="0" rank="0" text="" dxfId="8">
      <formula>0</formula>
    </cfRule>
  </conditionalFormatting>
  <conditionalFormatting sqref="E268">
    <cfRule type="cellIs" priority="788" operator="greaterThan" aboveAverage="0" equalAverage="0" bottom="0" percent="0" rank="0" text="" dxfId="7">
      <formula>0</formula>
    </cfRule>
  </conditionalFormatting>
  <conditionalFormatting sqref="F268">
    <cfRule type="cellIs" priority="789" operator="greaterThan" aboveAverage="0" equalAverage="0" bottom="0" percent="0" rank="0" text="" dxfId="7">
      <formula>0</formula>
    </cfRule>
  </conditionalFormatting>
  <conditionalFormatting sqref="I268">
    <cfRule type="cellIs" priority="790" operator="lessThan" aboveAverage="0" equalAverage="0" bottom="0" percent="0" rank="0" text="" dxfId="8">
      <formula>0</formula>
    </cfRule>
  </conditionalFormatting>
  <conditionalFormatting sqref="E269">
    <cfRule type="cellIs" priority="791" operator="greaterThan" aboveAverage="0" equalAverage="0" bottom="0" percent="0" rank="0" text="" dxfId="7">
      <formula>0</formula>
    </cfRule>
  </conditionalFormatting>
  <conditionalFormatting sqref="F269">
    <cfRule type="cellIs" priority="792" operator="greaterThan" aboveAverage="0" equalAverage="0" bottom="0" percent="0" rank="0" text="" dxfId="7">
      <formula>0</formula>
    </cfRule>
  </conditionalFormatting>
  <conditionalFormatting sqref="I269">
    <cfRule type="cellIs" priority="793" operator="lessThan" aboveAverage="0" equalAverage="0" bottom="0" percent="0" rank="0" text="" dxfId="8">
      <formula>0</formula>
    </cfRule>
  </conditionalFormatting>
  <conditionalFormatting sqref="E270">
    <cfRule type="cellIs" priority="794" operator="greaterThan" aboveAverage="0" equalAverage="0" bottom="0" percent="0" rank="0" text="" dxfId="7">
      <formula>0</formula>
    </cfRule>
  </conditionalFormatting>
  <conditionalFormatting sqref="F270">
    <cfRule type="cellIs" priority="795" operator="greaterThan" aboveAverage="0" equalAverage="0" bottom="0" percent="0" rank="0" text="" dxfId="7">
      <formula>0</formula>
    </cfRule>
  </conditionalFormatting>
  <conditionalFormatting sqref="I270">
    <cfRule type="cellIs" priority="796" operator="lessThan" aboveAverage="0" equalAverage="0" bottom="0" percent="0" rank="0" text="" dxfId="8">
      <formula>0</formula>
    </cfRule>
  </conditionalFormatting>
  <conditionalFormatting sqref="E271">
    <cfRule type="cellIs" priority="797" operator="greaterThan" aboveAverage="0" equalAverage="0" bottom="0" percent="0" rank="0" text="" dxfId="7">
      <formula>0</formula>
    </cfRule>
  </conditionalFormatting>
  <conditionalFormatting sqref="F271">
    <cfRule type="cellIs" priority="798" operator="greaterThan" aboveAverage="0" equalAverage="0" bottom="0" percent="0" rank="0" text="" dxfId="7">
      <formula>0</formula>
    </cfRule>
  </conditionalFormatting>
  <conditionalFormatting sqref="I271">
    <cfRule type="cellIs" priority="799" operator="lessThan" aboveAverage="0" equalAverage="0" bottom="0" percent="0" rank="0" text="" dxfId="8">
      <formula>0</formula>
    </cfRule>
  </conditionalFormatting>
  <conditionalFormatting sqref="E272">
    <cfRule type="cellIs" priority="800" operator="greaterThan" aboveAverage="0" equalAverage="0" bottom="0" percent="0" rank="0" text="" dxfId="7">
      <formula>0</formula>
    </cfRule>
  </conditionalFormatting>
  <conditionalFormatting sqref="F272">
    <cfRule type="cellIs" priority="801" operator="greaterThan" aboveAverage="0" equalAverage="0" bottom="0" percent="0" rank="0" text="" dxfId="7">
      <formula>0</formula>
    </cfRule>
  </conditionalFormatting>
  <conditionalFormatting sqref="I272">
    <cfRule type="cellIs" priority="802" operator="lessThan" aboveAverage="0" equalAverage="0" bottom="0" percent="0" rank="0" text="" dxfId="8">
      <formula>0</formula>
    </cfRule>
  </conditionalFormatting>
  <conditionalFormatting sqref="E273">
    <cfRule type="cellIs" priority="803" operator="greaterThan" aboveAverage="0" equalAverage="0" bottom="0" percent="0" rank="0" text="" dxfId="7">
      <formula>0</formula>
    </cfRule>
  </conditionalFormatting>
  <conditionalFormatting sqref="F273">
    <cfRule type="cellIs" priority="804" operator="greaterThan" aboveAverage="0" equalAverage="0" bottom="0" percent="0" rank="0" text="" dxfId="7">
      <formula>0</formula>
    </cfRule>
  </conditionalFormatting>
  <conditionalFormatting sqref="I273">
    <cfRule type="cellIs" priority="805" operator="lessThan" aboveAverage="0" equalAverage="0" bottom="0" percent="0" rank="0" text="" dxfId="8">
      <formula>0</formula>
    </cfRule>
  </conditionalFormatting>
  <conditionalFormatting sqref="E274">
    <cfRule type="cellIs" priority="806" operator="greaterThan" aboveAverage="0" equalAverage="0" bottom="0" percent="0" rank="0" text="" dxfId="7">
      <formula>0</formula>
    </cfRule>
  </conditionalFormatting>
  <conditionalFormatting sqref="F274">
    <cfRule type="cellIs" priority="807" operator="greaterThan" aboveAverage="0" equalAverage="0" bottom="0" percent="0" rank="0" text="" dxfId="7">
      <formula>0</formula>
    </cfRule>
  </conditionalFormatting>
  <conditionalFormatting sqref="I274">
    <cfRule type="cellIs" priority="808" operator="lessThan" aboveAverage="0" equalAverage="0" bottom="0" percent="0" rank="0" text="" dxfId="8">
      <formula>0</formula>
    </cfRule>
  </conditionalFormatting>
  <conditionalFormatting sqref="E275">
    <cfRule type="cellIs" priority="809" operator="greaterThan" aboveAverage="0" equalAverage="0" bottom="0" percent="0" rank="0" text="" dxfId="7">
      <formula>0</formula>
    </cfRule>
  </conditionalFormatting>
  <conditionalFormatting sqref="F275">
    <cfRule type="cellIs" priority="810" operator="greaterThan" aboveAverage="0" equalAverage="0" bottom="0" percent="0" rank="0" text="" dxfId="7">
      <formula>0</formula>
    </cfRule>
  </conditionalFormatting>
  <conditionalFormatting sqref="I275">
    <cfRule type="cellIs" priority="811" operator="lessThan" aboveAverage="0" equalAverage="0" bottom="0" percent="0" rank="0" text="" dxfId="8">
      <formula>0</formula>
    </cfRule>
  </conditionalFormatting>
  <conditionalFormatting sqref="E276">
    <cfRule type="cellIs" priority="812" operator="greaterThan" aboveAverage="0" equalAverage="0" bottom="0" percent="0" rank="0" text="" dxfId="7">
      <formula>0</formula>
    </cfRule>
  </conditionalFormatting>
  <conditionalFormatting sqref="F276">
    <cfRule type="cellIs" priority="813" operator="greaterThan" aboveAverage="0" equalAverage="0" bottom="0" percent="0" rank="0" text="" dxfId="7">
      <formula>0</formula>
    </cfRule>
  </conditionalFormatting>
  <conditionalFormatting sqref="I276">
    <cfRule type="cellIs" priority="814" operator="lessThan" aboveAverage="0" equalAverage="0" bottom="0" percent="0" rank="0" text="" dxfId="8">
      <formula>0</formula>
    </cfRule>
  </conditionalFormatting>
  <conditionalFormatting sqref="E277">
    <cfRule type="cellIs" priority="815" operator="greaterThan" aboveAverage="0" equalAverage="0" bottom="0" percent="0" rank="0" text="" dxfId="7">
      <formula>0</formula>
    </cfRule>
  </conditionalFormatting>
  <conditionalFormatting sqref="F277">
    <cfRule type="cellIs" priority="816" operator="greaterThan" aboveAverage="0" equalAverage="0" bottom="0" percent="0" rank="0" text="" dxfId="7">
      <formula>0</formula>
    </cfRule>
  </conditionalFormatting>
  <conditionalFormatting sqref="I277">
    <cfRule type="cellIs" priority="817" operator="lessThan" aboveAverage="0" equalAverage="0" bottom="0" percent="0" rank="0" text="" dxfId="8">
      <formula>0</formula>
    </cfRule>
  </conditionalFormatting>
  <conditionalFormatting sqref="E278">
    <cfRule type="cellIs" priority="818" operator="greaterThan" aboveAverage="0" equalAverage="0" bottom="0" percent="0" rank="0" text="" dxfId="7">
      <formula>0</formula>
    </cfRule>
  </conditionalFormatting>
  <conditionalFormatting sqref="F278">
    <cfRule type="cellIs" priority="819" operator="greaterThan" aboveAverage="0" equalAverage="0" bottom="0" percent="0" rank="0" text="" dxfId="7">
      <formula>0</formula>
    </cfRule>
  </conditionalFormatting>
  <conditionalFormatting sqref="I278">
    <cfRule type="cellIs" priority="820" operator="lessThan" aboveAverage="0" equalAverage="0" bottom="0" percent="0" rank="0" text="" dxfId="8">
      <formula>0</formula>
    </cfRule>
  </conditionalFormatting>
  <conditionalFormatting sqref="E279">
    <cfRule type="cellIs" priority="821" operator="greaterThan" aboveAverage="0" equalAverage="0" bottom="0" percent="0" rank="0" text="" dxfId="7">
      <formula>0</formula>
    </cfRule>
  </conditionalFormatting>
  <conditionalFormatting sqref="F279">
    <cfRule type="cellIs" priority="822" operator="greaterThan" aboveAverage="0" equalAverage="0" bottom="0" percent="0" rank="0" text="" dxfId="7">
      <formula>0</formula>
    </cfRule>
  </conditionalFormatting>
  <conditionalFormatting sqref="I279">
    <cfRule type="cellIs" priority="823" operator="lessThan" aboveAverage="0" equalAverage="0" bottom="0" percent="0" rank="0" text="" dxfId="8">
      <formula>0</formula>
    </cfRule>
  </conditionalFormatting>
  <conditionalFormatting sqref="E280">
    <cfRule type="cellIs" priority="824" operator="greaterThan" aboveAverage="0" equalAverage="0" bottom="0" percent="0" rank="0" text="" dxfId="7">
      <formula>0</formula>
    </cfRule>
  </conditionalFormatting>
  <conditionalFormatting sqref="F280">
    <cfRule type="cellIs" priority="825" operator="greaterThan" aboveAverage="0" equalAverage="0" bottom="0" percent="0" rank="0" text="" dxfId="7">
      <formula>0</formula>
    </cfRule>
  </conditionalFormatting>
  <conditionalFormatting sqref="I280">
    <cfRule type="cellIs" priority="826" operator="lessThan" aboveAverage="0" equalAverage="0" bottom="0" percent="0" rank="0" text="" dxfId="8">
      <formula>0</formula>
    </cfRule>
  </conditionalFormatting>
  <conditionalFormatting sqref="E281">
    <cfRule type="cellIs" priority="827" operator="greaterThan" aboveAverage="0" equalAverage="0" bottom="0" percent="0" rank="0" text="" dxfId="7">
      <formula>0</formula>
    </cfRule>
  </conditionalFormatting>
  <conditionalFormatting sqref="F281">
    <cfRule type="cellIs" priority="828" operator="greaterThan" aboveAverage="0" equalAverage="0" bottom="0" percent="0" rank="0" text="" dxfId="7">
      <formula>0</formula>
    </cfRule>
  </conditionalFormatting>
  <conditionalFormatting sqref="I281">
    <cfRule type="cellIs" priority="829" operator="lessThan" aboveAverage="0" equalAverage="0" bottom="0" percent="0" rank="0" text="" dxfId="8">
      <formula>0</formula>
    </cfRule>
  </conditionalFormatting>
  <conditionalFormatting sqref="E282">
    <cfRule type="cellIs" priority="830" operator="greaterThan" aboveAverage="0" equalAverage="0" bottom="0" percent="0" rank="0" text="" dxfId="7">
      <formula>0</formula>
    </cfRule>
  </conditionalFormatting>
  <conditionalFormatting sqref="F282">
    <cfRule type="cellIs" priority="831" operator="greaterThan" aboveAverage="0" equalAverage="0" bottom="0" percent="0" rank="0" text="" dxfId="7">
      <formula>0</formula>
    </cfRule>
  </conditionalFormatting>
  <conditionalFormatting sqref="I282">
    <cfRule type="cellIs" priority="832" operator="lessThan" aboveAverage="0" equalAverage="0" bottom="0" percent="0" rank="0" text="" dxfId="8">
      <formula>0</formula>
    </cfRule>
  </conditionalFormatting>
  <conditionalFormatting sqref="E283">
    <cfRule type="cellIs" priority="833" operator="greaterThan" aboveAverage="0" equalAverage="0" bottom="0" percent="0" rank="0" text="" dxfId="7">
      <formula>0</formula>
    </cfRule>
  </conditionalFormatting>
  <conditionalFormatting sqref="F283">
    <cfRule type="cellIs" priority="834" operator="greaterThan" aboveAverage="0" equalAverage="0" bottom="0" percent="0" rank="0" text="" dxfId="7">
      <formula>0</formula>
    </cfRule>
  </conditionalFormatting>
  <conditionalFormatting sqref="I283">
    <cfRule type="cellIs" priority="835" operator="lessThan" aboveAverage="0" equalAverage="0" bottom="0" percent="0" rank="0" text="" dxfId="8">
      <formula>0</formula>
    </cfRule>
  </conditionalFormatting>
  <conditionalFormatting sqref="E284">
    <cfRule type="cellIs" priority="836" operator="greaterThan" aboveAverage="0" equalAverage="0" bottom="0" percent="0" rank="0" text="" dxfId="7">
      <formula>0</formula>
    </cfRule>
  </conditionalFormatting>
  <conditionalFormatting sqref="F284">
    <cfRule type="cellIs" priority="837" operator="greaterThan" aboveAverage="0" equalAverage="0" bottom="0" percent="0" rank="0" text="" dxfId="7">
      <formula>0</formula>
    </cfRule>
  </conditionalFormatting>
  <conditionalFormatting sqref="I284">
    <cfRule type="cellIs" priority="838" operator="lessThan" aboveAverage="0" equalAverage="0" bottom="0" percent="0" rank="0" text="" dxfId="8">
      <formula>0</formula>
    </cfRule>
  </conditionalFormatting>
  <conditionalFormatting sqref="E285">
    <cfRule type="cellIs" priority="839" operator="greaterThan" aboveAverage="0" equalAverage="0" bottom="0" percent="0" rank="0" text="" dxfId="7">
      <formula>0</formula>
    </cfRule>
  </conditionalFormatting>
  <conditionalFormatting sqref="F285">
    <cfRule type="cellIs" priority="840" operator="greaterThan" aboveAverage="0" equalAverage="0" bottom="0" percent="0" rank="0" text="" dxfId="7">
      <formula>0</formula>
    </cfRule>
  </conditionalFormatting>
  <conditionalFormatting sqref="I285">
    <cfRule type="cellIs" priority="841" operator="lessThan" aboveAverage="0" equalAverage="0" bottom="0" percent="0" rank="0" text="" dxfId="8">
      <formula>0</formula>
    </cfRule>
  </conditionalFormatting>
  <conditionalFormatting sqref="E286">
    <cfRule type="cellIs" priority="842" operator="greaterThan" aboveAverage="0" equalAverage="0" bottom="0" percent="0" rank="0" text="" dxfId="7">
      <formula>0</formula>
    </cfRule>
  </conditionalFormatting>
  <conditionalFormatting sqref="F286">
    <cfRule type="cellIs" priority="843" operator="greaterThan" aboveAverage="0" equalAverage="0" bottom="0" percent="0" rank="0" text="" dxfId="7">
      <formula>0</formula>
    </cfRule>
  </conditionalFormatting>
  <conditionalFormatting sqref="I286">
    <cfRule type="cellIs" priority="844" operator="lessThan" aboveAverage="0" equalAverage="0" bottom="0" percent="0" rank="0" text="" dxfId="8">
      <formula>0</formula>
    </cfRule>
  </conditionalFormatting>
  <conditionalFormatting sqref="E287">
    <cfRule type="cellIs" priority="845" operator="greaterThan" aboveAverage="0" equalAverage="0" bottom="0" percent="0" rank="0" text="" dxfId="7">
      <formula>0</formula>
    </cfRule>
  </conditionalFormatting>
  <conditionalFormatting sqref="F287">
    <cfRule type="cellIs" priority="846" operator="greaterThan" aboveAverage="0" equalAverage="0" bottom="0" percent="0" rank="0" text="" dxfId="7">
      <formula>0</formula>
    </cfRule>
  </conditionalFormatting>
  <conditionalFormatting sqref="I287">
    <cfRule type="cellIs" priority="847" operator="lessThan" aboveAverage="0" equalAverage="0" bottom="0" percent="0" rank="0" text="" dxfId="8">
      <formula>0</formula>
    </cfRule>
  </conditionalFormatting>
  <conditionalFormatting sqref="E288">
    <cfRule type="cellIs" priority="848" operator="greaterThan" aboveAverage="0" equalAverage="0" bottom="0" percent="0" rank="0" text="" dxfId="7">
      <formula>0</formula>
    </cfRule>
  </conditionalFormatting>
  <conditionalFormatting sqref="F288">
    <cfRule type="cellIs" priority="849" operator="greaterThan" aboveAverage="0" equalAverage="0" bottom="0" percent="0" rank="0" text="" dxfId="7">
      <formula>0</formula>
    </cfRule>
  </conditionalFormatting>
  <conditionalFormatting sqref="I288">
    <cfRule type="cellIs" priority="850" operator="lessThan" aboveAverage="0" equalAverage="0" bottom="0" percent="0" rank="0" text="" dxfId="8">
      <formula>0</formula>
    </cfRule>
  </conditionalFormatting>
  <conditionalFormatting sqref="E289">
    <cfRule type="cellIs" priority="851" operator="greaterThan" aboveAverage="0" equalAverage="0" bottom="0" percent="0" rank="0" text="" dxfId="7">
      <formula>0</formula>
    </cfRule>
  </conditionalFormatting>
  <conditionalFormatting sqref="F289">
    <cfRule type="cellIs" priority="852" operator="greaterThan" aboveAverage="0" equalAverage="0" bottom="0" percent="0" rank="0" text="" dxfId="7">
      <formula>0</formula>
    </cfRule>
  </conditionalFormatting>
  <conditionalFormatting sqref="I289">
    <cfRule type="cellIs" priority="853" operator="lessThan" aboveAverage="0" equalAverage="0" bottom="0" percent="0" rank="0" text="" dxfId="8">
      <formula>0</formula>
    </cfRule>
  </conditionalFormatting>
  <conditionalFormatting sqref="E290">
    <cfRule type="cellIs" priority="854" operator="greaterThan" aboveAverage="0" equalAverage="0" bottom="0" percent="0" rank="0" text="" dxfId="7">
      <formula>0</formula>
    </cfRule>
  </conditionalFormatting>
  <conditionalFormatting sqref="F290">
    <cfRule type="cellIs" priority="855" operator="greaterThan" aboveAverage="0" equalAverage="0" bottom="0" percent="0" rank="0" text="" dxfId="7">
      <formula>0</formula>
    </cfRule>
  </conditionalFormatting>
  <conditionalFormatting sqref="I290">
    <cfRule type="cellIs" priority="856" operator="lessThan" aboveAverage="0" equalAverage="0" bottom="0" percent="0" rank="0" text="" dxfId="8">
      <formula>0</formula>
    </cfRule>
  </conditionalFormatting>
  <conditionalFormatting sqref="E291">
    <cfRule type="cellIs" priority="857" operator="greaterThan" aboveAverage="0" equalAverage="0" bottom="0" percent="0" rank="0" text="" dxfId="7">
      <formula>0</formula>
    </cfRule>
  </conditionalFormatting>
  <conditionalFormatting sqref="F291">
    <cfRule type="cellIs" priority="858" operator="greaterThan" aboveAverage="0" equalAverage="0" bottom="0" percent="0" rank="0" text="" dxfId="7">
      <formula>0</formula>
    </cfRule>
  </conditionalFormatting>
  <conditionalFormatting sqref="I291">
    <cfRule type="cellIs" priority="859" operator="lessThan" aboveAverage="0" equalAverage="0" bottom="0" percent="0" rank="0" text="" dxfId="8">
      <formula>0</formula>
    </cfRule>
  </conditionalFormatting>
  <conditionalFormatting sqref="E292">
    <cfRule type="cellIs" priority="860" operator="greaterThan" aboveAverage="0" equalAverage="0" bottom="0" percent="0" rank="0" text="" dxfId="7">
      <formula>0</formula>
    </cfRule>
  </conditionalFormatting>
  <conditionalFormatting sqref="F292">
    <cfRule type="cellIs" priority="861" operator="greaterThan" aboveAverage="0" equalAverage="0" bottom="0" percent="0" rank="0" text="" dxfId="7">
      <formula>0</formula>
    </cfRule>
  </conditionalFormatting>
  <conditionalFormatting sqref="I292">
    <cfRule type="cellIs" priority="862" operator="lessThan" aboveAverage="0" equalAverage="0" bottom="0" percent="0" rank="0" text="" dxfId="8">
      <formula>0</formula>
    </cfRule>
  </conditionalFormatting>
  <conditionalFormatting sqref="E293">
    <cfRule type="cellIs" priority="863" operator="greaterThan" aboveAverage="0" equalAverage="0" bottom="0" percent="0" rank="0" text="" dxfId="7">
      <formula>0</formula>
    </cfRule>
  </conditionalFormatting>
  <conditionalFormatting sqref="F293">
    <cfRule type="cellIs" priority="864" operator="greaterThan" aboveAverage="0" equalAverage="0" bottom="0" percent="0" rank="0" text="" dxfId="7">
      <formula>0</formula>
    </cfRule>
  </conditionalFormatting>
  <conditionalFormatting sqref="I293">
    <cfRule type="cellIs" priority="865" operator="lessThan" aboveAverage="0" equalAverage="0" bottom="0" percent="0" rank="0" text="" dxfId="8">
      <formula>0</formula>
    </cfRule>
  </conditionalFormatting>
  <conditionalFormatting sqref="E294">
    <cfRule type="cellIs" priority="866" operator="greaterThan" aboveAverage="0" equalAverage="0" bottom="0" percent="0" rank="0" text="" dxfId="7">
      <formula>0</formula>
    </cfRule>
  </conditionalFormatting>
  <conditionalFormatting sqref="F294">
    <cfRule type="cellIs" priority="867" operator="greaterThan" aboveAverage="0" equalAverage="0" bottom="0" percent="0" rank="0" text="" dxfId="7">
      <formula>0</formula>
    </cfRule>
  </conditionalFormatting>
  <conditionalFormatting sqref="I294">
    <cfRule type="cellIs" priority="868" operator="lessThan" aboveAverage="0" equalAverage="0" bottom="0" percent="0" rank="0" text="" dxfId="8">
      <formula>0</formula>
    </cfRule>
  </conditionalFormatting>
  <conditionalFormatting sqref="E295">
    <cfRule type="cellIs" priority="869" operator="greaterThan" aboveAverage="0" equalAverage="0" bottom="0" percent="0" rank="0" text="" dxfId="7">
      <formula>0</formula>
    </cfRule>
  </conditionalFormatting>
  <conditionalFormatting sqref="F295">
    <cfRule type="cellIs" priority="870" operator="greaterThan" aboveAverage="0" equalAverage="0" bottom="0" percent="0" rank="0" text="" dxfId="7">
      <formula>0</formula>
    </cfRule>
  </conditionalFormatting>
  <conditionalFormatting sqref="I295">
    <cfRule type="cellIs" priority="871" operator="lessThan" aboveAverage="0" equalAverage="0" bottom="0" percent="0" rank="0" text="" dxfId="8">
      <formula>0</formula>
    </cfRule>
  </conditionalFormatting>
  <conditionalFormatting sqref="E296">
    <cfRule type="cellIs" priority="872" operator="greaterThan" aboveAverage="0" equalAverage="0" bottom="0" percent="0" rank="0" text="" dxfId="7">
      <formula>0</formula>
    </cfRule>
  </conditionalFormatting>
  <conditionalFormatting sqref="F296">
    <cfRule type="cellIs" priority="873" operator="greaterThan" aboveAverage="0" equalAverage="0" bottom="0" percent="0" rank="0" text="" dxfId="7">
      <formula>0</formula>
    </cfRule>
  </conditionalFormatting>
  <conditionalFormatting sqref="I296">
    <cfRule type="cellIs" priority="874" operator="lessThan" aboveAverage="0" equalAverage="0" bottom="0" percent="0" rank="0" text="" dxfId="8">
      <formula>0</formula>
    </cfRule>
  </conditionalFormatting>
  <conditionalFormatting sqref="E297">
    <cfRule type="cellIs" priority="875" operator="greaterThan" aboveAverage="0" equalAverage="0" bottom="0" percent="0" rank="0" text="" dxfId="7">
      <formula>0</formula>
    </cfRule>
  </conditionalFormatting>
  <conditionalFormatting sqref="F297">
    <cfRule type="cellIs" priority="876" operator="greaterThan" aboveAverage="0" equalAverage="0" bottom="0" percent="0" rank="0" text="" dxfId="7">
      <formula>0</formula>
    </cfRule>
  </conditionalFormatting>
  <conditionalFormatting sqref="I297">
    <cfRule type="cellIs" priority="877" operator="lessThan" aboveAverage="0" equalAverage="0" bottom="0" percent="0" rank="0" text="" dxfId="8">
      <formula>0</formula>
    </cfRule>
  </conditionalFormatting>
  <conditionalFormatting sqref="E298">
    <cfRule type="cellIs" priority="878" operator="greaterThan" aboveAverage="0" equalAverage="0" bottom="0" percent="0" rank="0" text="" dxfId="7">
      <formula>0</formula>
    </cfRule>
  </conditionalFormatting>
  <conditionalFormatting sqref="F298">
    <cfRule type="cellIs" priority="879" operator="greaterThan" aboveAverage="0" equalAverage="0" bottom="0" percent="0" rank="0" text="" dxfId="7">
      <formula>0</formula>
    </cfRule>
  </conditionalFormatting>
  <conditionalFormatting sqref="I298">
    <cfRule type="cellIs" priority="880" operator="lessThan" aboveAverage="0" equalAverage="0" bottom="0" percent="0" rank="0" text="" dxfId="8">
      <formula>0</formula>
    </cfRule>
  </conditionalFormatting>
  <conditionalFormatting sqref="E299">
    <cfRule type="cellIs" priority="881" operator="greaterThan" aboveAverage="0" equalAverage="0" bottom="0" percent="0" rank="0" text="" dxfId="7">
      <formula>0</formula>
    </cfRule>
  </conditionalFormatting>
  <conditionalFormatting sqref="F299">
    <cfRule type="cellIs" priority="882" operator="greaterThan" aboveAverage="0" equalAverage="0" bottom="0" percent="0" rank="0" text="" dxfId="7">
      <formula>0</formula>
    </cfRule>
  </conditionalFormatting>
  <conditionalFormatting sqref="I299">
    <cfRule type="cellIs" priority="883" operator="lessThan" aboveAverage="0" equalAverage="0" bottom="0" percent="0" rank="0" text="" dxfId="8">
      <formula>0</formula>
    </cfRule>
  </conditionalFormatting>
  <conditionalFormatting sqref="E300">
    <cfRule type="cellIs" priority="884" operator="greaterThan" aboveAverage="0" equalAverage="0" bottom="0" percent="0" rank="0" text="" dxfId="7">
      <formula>0</formula>
    </cfRule>
  </conditionalFormatting>
  <conditionalFormatting sqref="F300">
    <cfRule type="cellIs" priority="885" operator="greaterThan" aboveAverage="0" equalAverage="0" bottom="0" percent="0" rank="0" text="" dxfId="7">
      <formula>0</formula>
    </cfRule>
  </conditionalFormatting>
  <conditionalFormatting sqref="I300">
    <cfRule type="cellIs" priority="886" operator="lessThan" aboveAverage="0" equalAverage="0" bottom="0" percent="0" rank="0" text="" dxfId="8">
      <formula>0</formula>
    </cfRule>
  </conditionalFormatting>
  <conditionalFormatting sqref="E301">
    <cfRule type="cellIs" priority="887" operator="greaterThan" aboveAverage="0" equalAverage="0" bottom="0" percent="0" rank="0" text="" dxfId="7">
      <formula>0</formula>
    </cfRule>
  </conditionalFormatting>
  <conditionalFormatting sqref="F301">
    <cfRule type="cellIs" priority="888" operator="greaterThan" aboveAverage="0" equalAverage="0" bottom="0" percent="0" rank="0" text="" dxfId="7">
      <formula>0</formula>
    </cfRule>
  </conditionalFormatting>
  <conditionalFormatting sqref="I301">
    <cfRule type="cellIs" priority="889" operator="lessThan" aboveAverage="0" equalAverage="0" bottom="0" percent="0" rank="0" text="" dxfId="8">
      <formula>0</formula>
    </cfRule>
  </conditionalFormatting>
  <conditionalFormatting sqref="E302">
    <cfRule type="cellIs" priority="890" operator="greaterThan" aboveAverage="0" equalAverage="0" bottom="0" percent="0" rank="0" text="" dxfId="7">
      <formula>0</formula>
    </cfRule>
  </conditionalFormatting>
  <conditionalFormatting sqref="F302">
    <cfRule type="cellIs" priority="891" operator="greaterThan" aboveAverage="0" equalAverage="0" bottom="0" percent="0" rank="0" text="" dxfId="7">
      <formula>0</formula>
    </cfRule>
  </conditionalFormatting>
  <conditionalFormatting sqref="I302">
    <cfRule type="cellIs" priority="892" operator="lessThan" aboveAverage="0" equalAverage="0" bottom="0" percent="0" rank="0" text="" dxfId="8">
      <formula>0</formula>
    </cfRule>
  </conditionalFormatting>
  <conditionalFormatting sqref="E303">
    <cfRule type="cellIs" priority="893" operator="greaterThan" aboveAverage="0" equalAverage="0" bottom="0" percent="0" rank="0" text="" dxfId="7">
      <formula>0</formula>
    </cfRule>
  </conditionalFormatting>
  <conditionalFormatting sqref="F303">
    <cfRule type="cellIs" priority="894" operator="greaterThan" aboveAverage="0" equalAverage="0" bottom="0" percent="0" rank="0" text="" dxfId="7">
      <formula>0</formula>
    </cfRule>
  </conditionalFormatting>
  <conditionalFormatting sqref="I303">
    <cfRule type="cellIs" priority="895" operator="lessThan" aboveAverage="0" equalAverage="0" bottom="0" percent="0" rank="0" text="" dxfId="8">
      <formula>0</formula>
    </cfRule>
  </conditionalFormatting>
  <conditionalFormatting sqref="E304">
    <cfRule type="cellIs" priority="896" operator="greaterThan" aboveAverage="0" equalAverage="0" bottom="0" percent="0" rank="0" text="" dxfId="7">
      <formula>0</formula>
    </cfRule>
  </conditionalFormatting>
  <conditionalFormatting sqref="F304">
    <cfRule type="cellIs" priority="897" operator="greaterThan" aboveAverage="0" equalAverage="0" bottom="0" percent="0" rank="0" text="" dxfId="7">
      <formula>0</formula>
    </cfRule>
  </conditionalFormatting>
  <conditionalFormatting sqref="I304">
    <cfRule type="cellIs" priority="898" operator="lessThan" aboveAverage="0" equalAverage="0" bottom="0" percent="0" rank="0" text="" dxfId="8">
      <formula>0</formula>
    </cfRule>
  </conditionalFormatting>
  <conditionalFormatting sqref="E305">
    <cfRule type="cellIs" priority="899" operator="greaterThan" aboveAverage="0" equalAverage="0" bottom="0" percent="0" rank="0" text="" dxfId="7">
      <formula>0</formula>
    </cfRule>
  </conditionalFormatting>
  <conditionalFormatting sqref="F305">
    <cfRule type="cellIs" priority="900" operator="greaterThan" aboveAverage="0" equalAverage="0" bottom="0" percent="0" rank="0" text="" dxfId="7">
      <formula>0</formula>
    </cfRule>
  </conditionalFormatting>
  <conditionalFormatting sqref="I305">
    <cfRule type="cellIs" priority="901" operator="lessThan" aboveAverage="0" equalAverage="0" bottom="0" percent="0" rank="0" text="" dxfId="8">
      <formula>0</formula>
    </cfRule>
  </conditionalFormatting>
  <conditionalFormatting sqref="E306">
    <cfRule type="cellIs" priority="902" operator="greaterThan" aboveAverage="0" equalAverage="0" bottom="0" percent="0" rank="0" text="" dxfId="7">
      <formula>0</formula>
    </cfRule>
  </conditionalFormatting>
  <conditionalFormatting sqref="F306">
    <cfRule type="cellIs" priority="903" operator="greaterThan" aboveAverage="0" equalAverage="0" bottom="0" percent="0" rank="0" text="" dxfId="7">
      <formula>0</formula>
    </cfRule>
  </conditionalFormatting>
  <conditionalFormatting sqref="I306">
    <cfRule type="cellIs" priority="904" operator="lessThan" aboveAverage="0" equalAverage="0" bottom="0" percent="0" rank="0" text="" dxfId="8">
      <formula>0</formula>
    </cfRule>
  </conditionalFormatting>
  <conditionalFormatting sqref="E307">
    <cfRule type="cellIs" priority="905" operator="greaterThan" aboveAverage="0" equalAverage="0" bottom="0" percent="0" rank="0" text="" dxfId="7">
      <formula>0</formula>
    </cfRule>
  </conditionalFormatting>
  <conditionalFormatting sqref="F307">
    <cfRule type="cellIs" priority="906" operator="greaterThan" aboveAverage="0" equalAverage="0" bottom="0" percent="0" rank="0" text="" dxfId="7">
      <formula>0</formula>
    </cfRule>
  </conditionalFormatting>
  <conditionalFormatting sqref="I307">
    <cfRule type="cellIs" priority="907" operator="lessThan" aboveAverage="0" equalAverage="0" bottom="0" percent="0" rank="0" text="" dxfId="8">
      <formula>0</formula>
    </cfRule>
  </conditionalFormatting>
  <conditionalFormatting sqref="E308">
    <cfRule type="cellIs" priority="908" operator="greaterThan" aboveAverage="0" equalAverage="0" bottom="0" percent="0" rank="0" text="" dxfId="7">
      <formula>0</formula>
    </cfRule>
  </conditionalFormatting>
  <conditionalFormatting sqref="F308">
    <cfRule type="cellIs" priority="909" operator="greaterThan" aboveAverage="0" equalAverage="0" bottom="0" percent="0" rank="0" text="" dxfId="7">
      <formula>0</formula>
    </cfRule>
  </conditionalFormatting>
  <conditionalFormatting sqref="I308">
    <cfRule type="cellIs" priority="910" operator="lessThan" aboveAverage="0" equalAverage="0" bottom="0" percent="0" rank="0" text="" dxfId="8">
      <formula>0</formula>
    </cfRule>
  </conditionalFormatting>
  <conditionalFormatting sqref="E309">
    <cfRule type="cellIs" priority="911" operator="greaterThan" aboveAverage="0" equalAverage="0" bottom="0" percent="0" rank="0" text="" dxfId="7">
      <formula>0</formula>
    </cfRule>
  </conditionalFormatting>
  <conditionalFormatting sqref="F309">
    <cfRule type="cellIs" priority="912" operator="greaterThan" aboveAverage="0" equalAverage="0" bottom="0" percent="0" rank="0" text="" dxfId="7">
      <formula>0</formula>
    </cfRule>
  </conditionalFormatting>
  <conditionalFormatting sqref="I309">
    <cfRule type="cellIs" priority="913" operator="lessThan" aboveAverage="0" equalAverage="0" bottom="0" percent="0" rank="0" text="" dxfId="8">
      <formula>0</formula>
    </cfRule>
  </conditionalFormatting>
  <conditionalFormatting sqref="E310">
    <cfRule type="cellIs" priority="914" operator="greaterThan" aboveAverage="0" equalAverage="0" bottom="0" percent="0" rank="0" text="" dxfId="7">
      <formula>0</formula>
    </cfRule>
  </conditionalFormatting>
  <conditionalFormatting sqref="F310">
    <cfRule type="cellIs" priority="915" operator="greaterThan" aboveAverage="0" equalAverage="0" bottom="0" percent="0" rank="0" text="" dxfId="7">
      <formula>0</formula>
    </cfRule>
  </conditionalFormatting>
  <conditionalFormatting sqref="I310">
    <cfRule type="cellIs" priority="916" operator="lessThan" aboveAverage="0" equalAverage="0" bottom="0" percent="0" rank="0" text="" dxfId="8">
      <formula>0</formula>
    </cfRule>
  </conditionalFormatting>
  <conditionalFormatting sqref="E311">
    <cfRule type="cellIs" priority="917" operator="greaterThan" aboveAverage="0" equalAverage="0" bottom="0" percent="0" rank="0" text="" dxfId="7">
      <formula>0</formula>
    </cfRule>
  </conditionalFormatting>
  <conditionalFormatting sqref="F311">
    <cfRule type="cellIs" priority="918" operator="greaterThan" aboveAverage="0" equalAverage="0" bottom="0" percent="0" rank="0" text="" dxfId="7">
      <formula>0</formula>
    </cfRule>
  </conditionalFormatting>
  <conditionalFormatting sqref="I311">
    <cfRule type="cellIs" priority="919" operator="lessThan" aboveAverage="0" equalAverage="0" bottom="0" percent="0" rank="0" text="" dxfId="8">
      <formula>0</formula>
    </cfRule>
  </conditionalFormatting>
  <conditionalFormatting sqref="E312">
    <cfRule type="cellIs" priority="920" operator="greaterThan" aboveAverage="0" equalAverage="0" bottom="0" percent="0" rank="0" text="" dxfId="7">
      <formula>0</formula>
    </cfRule>
  </conditionalFormatting>
  <conditionalFormatting sqref="F312">
    <cfRule type="cellIs" priority="921" operator="greaterThan" aboveAverage="0" equalAverage="0" bottom="0" percent="0" rank="0" text="" dxfId="7">
      <formula>0</formula>
    </cfRule>
  </conditionalFormatting>
  <conditionalFormatting sqref="I312">
    <cfRule type="cellIs" priority="922" operator="lessThan" aboveAverage="0" equalAverage="0" bottom="0" percent="0" rank="0" text="" dxfId="8">
      <formula>0</formula>
    </cfRule>
  </conditionalFormatting>
  <conditionalFormatting sqref="E313">
    <cfRule type="cellIs" priority="923" operator="greaterThan" aboveAverage="0" equalAverage="0" bottom="0" percent="0" rank="0" text="" dxfId="7">
      <formula>0</formula>
    </cfRule>
  </conditionalFormatting>
  <conditionalFormatting sqref="F313">
    <cfRule type="cellIs" priority="924" operator="greaterThan" aboveAverage="0" equalAverage="0" bottom="0" percent="0" rank="0" text="" dxfId="7">
      <formula>0</formula>
    </cfRule>
  </conditionalFormatting>
  <conditionalFormatting sqref="I313">
    <cfRule type="cellIs" priority="925" operator="lessThan" aboveAverage="0" equalAverage="0" bottom="0" percent="0" rank="0" text="" dxfId="8">
      <formula>0</formula>
    </cfRule>
  </conditionalFormatting>
  <conditionalFormatting sqref="E314">
    <cfRule type="cellIs" priority="926" operator="greaterThan" aboveAverage="0" equalAverage="0" bottom="0" percent="0" rank="0" text="" dxfId="7">
      <formula>0</formula>
    </cfRule>
  </conditionalFormatting>
  <conditionalFormatting sqref="F314">
    <cfRule type="cellIs" priority="927" operator="greaterThan" aboveAverage="0" equalAverage="0" bottom="0" percent="0" rank="0" text="" dxfId="7">
      <formula>0</formula>
    </cfRule>
  </conditionalFormatting>
  <conditionalFormatting sqref="I314">
    <cfRule type="cellIs" priority="928" operator="lessThan" aboveAverage="0" equalAverage="0" bottom="0" percent="0" rank="0" text="" dxfId="8">
      <formula>0</formula>
    </cfRule>
  </conditionalFormatting>
  <conditionalFormatting sqref="E315">
    <cfRule type="cellIs" priority="929" operator="greaterThan" aboveAverage="0" equalAverage="0" bottom="0" percent="0" rank="0" text="" dxfId="7">
      <formula>0</formula>
    </cfRule>
  </conditionalFormatting>
  <conditionalFormatting sqref="F315">
    <cfRule type="cellIs" priority="930" operator="greaterThan" aboveAverage="0" equalAverage="0" bottom="0" percent="0" rank="0" text="" dxfId="7">
      <formula>0</formula>
    </cfRule>
  </conditionalFormatting>
  <conditionalFormatting sqref="I315">
    <cfRule type="cellIs" priority="931" operator="lessThan" aboveAverage="0" equalAverage="0" bottom="0" percent="0" rank="0" text="" dxfId="8">
      <formula>0</formula>
    </cfRule>
  </conditionalFormatting>
  <conditionalFormatting sqref="E316">
    <cfRule type="cellIs" priority="932" operator="greaterThan" aboveAverage="0" equalAverage="0" bottom="0" percent="0" rank="0" text="" dxfId="7">
      <formula>0</formula>
    </cfRule>
  </conditionalFormatting>
  <conditionalFormatting sqref="F316">
    <cfRule type="cellIs" priority="933" operator="greaterThan" aboveAverage="0" equalAverage="0" bottom="0" percent="0" rank="0" text="" dxfId="7">
      <formula>0</formula>
    </cfRule>
  </conditionalFormatting>
  <conditionalFormatting sqref="I316">
    <cfRule type="cellIs" priority="934" operator="lessThan" aboveAverage="0" equalAverage="0" bottom="0" percent="0" rank="0" text="" dxfId="8">
      <formula>0</formula>
    </cfRule>
  </conditionalFormatting>
  <conditionalFormatting sqref="E317">
    <cfRule type="cellIs" priority="935" operator="greaterThan" aboveAverage="0" equalAverage="0" bottom="0" percent="0" rank="0" text="" dxfId="7">
      <formula>0</formula>
    </cfRule>
  </conditionalFormatting>
  <conditionalFormatting sqref="F317">
    <cfRule type="cellIs" priority="936" operator="greaterThan" aboveAverage="0" equalAverage="0" bottom="0" percent="0" rank="0" text="" dxfId="7">
      <formula>0</formula>
    </cfRule>
  </conditionalFormatting>
  <conditionalFormatting sqref="I317">
    <cfRule type="cellIs" priority="937" operator="lessThan" aboveAverage="0" equalAverage="0" bottom="0" percent="0" rank="0" text="" dxfId="8">
      <formula>0</formula>
    </cfRule>
  </conditionalFormatting>
  <conditionalFormatting sqref="E318">
    <cfRule type="cellIs" priority="938" operator="greaterThan" aboveAverage="0" equalAverage="0" bottom="0" percent="0" rank="0" text="" dxfId="7">
      <formula>0</formula>
    </cfRule>
  </conditionalFormatting>
  <conditionalFormatting sqref="F318">
    <cfRule type="cellIs" priority="939" operator="greaterThan" aboveAverage="0" equalAverage="0" bottom="0" percent="0" rank="0" text="" dxfId="7">
      <formula>0</formula>
    </cfRule>
  </conditionalFormatting>
  <conditionalFormatting sqref="I318">
    <cfRule type="cellIs" priority="940" operator="lessThan" aboveAverage="0" equalAverage="0" bottom="0" percent="0" rank="0" text="" dxfId="8">
      <formula>0</formula>
    </cfRule>
  </conditionalFormatting>
  <conditionalFormatting sqref="E319">
    <cfRule type="cellIs" priority="941" operator="greaterThan" aboveAverage="0" equalAverage="0" bottom="0" percent="0" rank="0" text="" dxfId="7">
      <formula>0</formula>
    </cfRule>
  </conditionalFormatting>
  <conditionalFormatting sqref="F319">
    <cfRule type="cellIs" priority="942" operator="greaterThan" aboveAverage="0" equalAverage="0" bottom="0" percent="0" rank="0" text="" dxfId="7">
      <formula>0</formula>
    </cfRule>
  </conditionalFormatting>
  <conditionalFormatting sqref="I319">
    <cfRule type="cellIs" priority="943" operator="lessThan" aboveAverage="0" equalAverage="0" bottom="0" percent="0" rank="0" text="" dxfId="8">
      <formula>0</formula>
    </cfRule>
  </conditionalFormatting>
  <conditionalFormatting sqref="E320">
    <cfRule type="cellIs" priority="944" operator="greaterThan" aboveAverage="0" equalAverage="0" bottom="0" percent="0" rank="0" text="" dxfId="7">
      <formula>0</formula>
    </cfRule>
  </conditionalFormatting>
  <conditionalFormatting sqref="F320">
    <cfRule type="cellIs" priority="945" operator="greaterThan" aboveAverage="0" equalAverage="0" bottom="0" percent="0" rank="0" text="" dxfId="7">
      <formula>0</formula>
    </cfRule>
  </conditionalFormatting>
  <conditionalFormatting sqref="I320">
    <cfRule type="cellIs" priority="946" operator="lessThan" aboveAverage="0" equalAverage="0" bottom="0" percent="0" rank="0" text="" dxfId="8">
      <formula>0</formula>
    </cfRule>
  </conditionalFormatting>
  <conditionalFormatting sqref="E321">
    <cfRule type="cellIs" priority="947" operator="greaterThan" aboveAverage="0" equalAverage="0" bottom="0" percent="0" rank="0" text="" dxfId="7">
      <formula>0</formula>
    </cfRule>
  </conditionalFormatting>
  <conditionalFormatting sqref="F321">
    <cfRule type="cellIs" priority="948" operator="greaterThan" aboveAverage="0" equalAverage="0" bottom="0" percent="0" rank="0" text="" dxfId="7">
      <formula>0</formula>
    </cfRule>
  </conditionalFormatting>
  <conditionalFormatting sqref="I321">
    <cfRule type="cellIs" priority="949" operator="lessThan" aboveAverage="0" equalAverage="0" bottom="0" percent="0" rank="0" text="" dxfId="8">
      <formula>0</formula>
    </cfRule>
  </conditionalFormatting>
  <conditionalFormatting sqref="E322">
    <cfRule type="cellIs" priority="950" operator="greaterThan" aboveAverage="0" equalAverage="0" bottom="0" percent="0" rank="0" text="" dxfId="7">
      <formula>0</formula>
    </cfRule>
  </conditionalFormatting>
  <conditionalFormatting sqref="F322">
    <cfRule type="cellIs" priority="951" operator="greaterThan" aboveAverage="0" equalAverage="0" bottom="0" percent="0" rank="0" text="" dxfId="7">
      <formula>0</formula>
    </cfRule>
  </conditionalFormatting>
  <conditionalFormatting sqref="I322">
    <cfRule type="cellIs" priority="952" operator="lessThan" aboveAverage="0" equalAverage="0" bottom="0" percent="0" rank="0" text="" dxfId="8">
      <formula>0</formula>
    </cfRule>
  </conditionalFormatting>
  <conditionalFormatting sqref="E323">
    <cfRule type="cellIs" priority="953" operator="greaterThan" aboveAverage="0" equalAverage="0" bottom="0" percent="0" rank="0" text="" dxfId="7">
      <formula>0</formula>
    </cfRule>
  </conditionalFormatting>
  <conditionalFormatting sqref="F323">
    <cfRule type="cellIs" priority="954" operator="greaterThan" aboveAverage="0" equalAverage="0" bottom="0" percent="0" rank="0" text="" dxfId="7">
      <formula>0</formula>
    </cfRule>
  </conditionalFormatting>
  <conditionalFormatting sqref="I323">
    <cfRule type="cellIs" priority="955" operator="lessThan" aboveAverage="0" equalAverage="0" bottom="0" percent="0" rank="0" text="" dxfId="8">
      <formula>0</formula>
    </cfRule>
  </conditionalFormatting>
  <conditionalFormatting sqref="E324">
    <cfRule type="cellIs" priority="956" operator="greaterThan" aboveAverage="0" equalAverage="0" bottom="0" percent="0" rank="0" text="" dxfId="7">
      <formula>0</formula>
    </cfRule>
  </conditionalFormatting>
  <conditionalFormatting sqref="F324">
    <cfRule type="cellIs" priority="957" operator="greaterThan" aboveAverage="0" equalAverage="0" bottom="0" percent="0" rank="0" text="" dxfId="7">
      <formula>0</formula>
    </cfRule>
  </conditionalFormatting>
  <conditionalFormatting sqref="I324">
    <cfRule type="cellIs" priority="958" operator="lessThan" aboveAverage="0" equalAverage="0" bottom="0" percent="0" rank="0" text="" dxfId="8">
      <formula>0</formula>
    </cfRule>
  </conditionalFormatting>
  <conditionalFormatting sqref="E325">
    <cfRule type="cellIs" priority="959" operator="greaterThan" aboveAverage="0" equalAverage="0" bottom="0" percent="0" rank="0" text="" dxfId="7">
      <formula>0</formula>
    </cfRule>
  </conditionalFormatting>
  <conditionalFormatting sqref="F325">
    <cfRule type="cellIs" priority="960" operator="greaterThan" aboveAverage="0" equalAverage="0" bottom="0" percent="0" rank="0" text="" dxfId="7">
      <formula>0</formula>
    </cfRule>
  </conditionalFormatting>
  <conditionalFormatting sqref="I325">
    <cfRule type="cellIs" priority="961" operator="lessThan" aboveAverage="0" equalAverage="0" bottom="0" percent="0" rank="0" text="" dxfId="8">
      <formula>0</formula>
    </cfRule>
  </conditionalFormatting>
  <conditionalFormatting sqref="E326">
    <cfRule type="cellIs" priority="962" operator="greaterThan" aboveAverage="0" equalAverage="0" bottom="0" percent="0" rank="0" text="" dxfId="7">
      <formula>0</formula>
    </cfRule>
  </conditionalFormatting>
  <conditionalFormatting sqref="F326">
    <cfRule type="cellIs" priority="963" operator="greaterThan" aboveAverage="0" equalAverage="0" bottom="0" percent="0" rank="0" text="" dxfId="7">
      <formula>0</formula>
    </cfRule>
  </conditionalFormatting>
  <conditionalFormatting sqref="I326">
    <cfRule type="cellIs" priority="964" operator="lessThan" aboveAverage="0" equalAverage="0" bottom="0" percent="0" rank="0" text="" dxfId="8">
      <formula>0</formula>
    </cfRule>
  </conditionalFormatting>
  <conditionalFormatting sqref="E327">
    <cfRule type="cellIs" priority="965" operator="greaterThan" aboveAverage="0" equalAverage="0" bottom="0" percent="0" rank="0" text="" dxfId="7">
      <formula>0</formula>
    </cfRule>
  </conditionalFormatting>
  <conditionalFormatting sqref="F327">
    <cfRule type="cellIs" priority="966" operator="greaterThan" aboveAverage="0" equalAverage="0" bottom="0" percent="0" rank="0" text="" dxfId="7">
      <formula>0</formula>
    </cfRule>
  </conditionalFormatting>
  <conditionalFormatting sqref="I327">
    <cfRule type="cellIs" priority="967" operator="lessThan" aboveAverage="0" equalAverage="0" bottom="0" percent="0" rank="0" text="" dxfId="8">
      <formula>0</formula>
    </cfRule>
  </conditionalFormatting>
  <conditionalFormatting sqref="E328">
    <cfRule type="cellIs" priority="968" operator="greaterThan" aboveAverage="0" equalAverage="0" bottom="0" percent="0" rank="0" text="" dxfId="7">
      <formula>0</formula>
    </cfRule>
  </conditionalFormatting>
  <conditionalFormatting sqref="F328">
    <cfRule type="cellIs" priority="969" operator="greaterThan" aboveAverage="0" equalAverage="0" bottom="0" percent="0" rank="0" text="" dxfId="7">
      <formula>0</formula>
    </cfRule>
  </conditionalFormatting>
  <conditionalFormatting sqref="I328">
    <cfRule type="cellIs" priority="970" operator="lessThan" aboveAverage="0" equalAverage="0" bottom="0" percent="0" rank="0" text="" dxfId="8">
      <formula>0</formula>
    </cfRule>
  </conditionalFormatting>
  <conditionalFormatting sqref="E329">
    <cfRule type="cellIs" priority="971" operator="greaterThan" aboveAverage="0" equalAverage="0" bottom="0" percent="0" rank="0" text="" dxfId="7">
      <formula>0</formula>
    </cfRule>
  </conditionalFormatting>
  <conditionalFormatting sqref="F329">
    <cfRule type="cellIs" priority="972" operator="greaterThan" aboveAverage="0" equalAverage="0" bottom="0" percent="0" rank="0" text="" dxfId="7">
      <formula>0</formula>
    </cfRule>
  </conditionalFormatting>
  <conditionalFormatting sqref="I329">
    <cfRule type="cellIs" priority="973" operator="lessThan" aboveAverage="0" equalAverage="0" bottom="0" percent="0" rank="0" text="" dxfId="8">
      <formula>0</formula>
    </cfRule>
  </conditionalFormatting>
  <conditionalFormatting sqref="E330">
    <cfRule type="cellIs" priority="974" operator="greaterThan" aboveAverage="0" equalAverage="0" bottom="0" percent="0" rank="0" text="" dxfId="7">
      <formula>0</formula>
    </cfRule>
  </conditionalFormatting>
  <conditionalFormatting sqref="F330">
    <cfRule type="cellIs" priority="975" operator="greaterThan" aboveAverage="0" equalAverage="0" bottom="0" percent="0" rank="0" text="" dxfId="7">
      <formula>0</formula>
    </cfRule>
  </conditionalFormatting>
  <conditionalFormatting sqref="I330">
    <cfRule type="cellIs" priority="976" operator="lessThan" aboveAverage="0" equalAverage="0" bottom="0" percent="0" rank="0" text="" dxfId="8">
      <formula>0</formula>
    </cfRule>
  </conditionalFormatting>
  <conditionalFormatting sqref="E331">
    <cfRule type="cellIs" priority="977" operator="greaterThan" aboveAverage="0" equalAverage="0" bottom="0" percent="0" rank="0" text="" dxfId="7">
      <formula>0</formula>
    </cfRule>
  </conditionalFormatting>
  <conditionalFormatting sqref="F331">
    <cfRule type="cellIs" priority="978" operator="greaterThan" aboveAverage="0" equalAverage="0" bottom="0" percent="0" rank="0" text="" dxfId="7">
      <formula>0</formula>
    </cfRule>
  </conditionalFormatting>
  <conditionalFormatting sqref="I331">
    <cfRule type="cellIs" priority="979" operator="lessThan" aboveAverage="0" equalAverage="0" bottom="0" percent="0" rank="0" text="" dxfId="8">
      <formula>0</formula>
    </cfRule>
  </conditionalFormatting>
  <conditionalFormatting sqref="E332">
    <cfRule type="cellIs" priority="980" operator="greaterThan" aboveAverage="0" equalAverage="0" bottom="0" percent="0" rank="0" text="" dxfId="7">
      <formula>0</formula>
    </cfRule>
  </conditionalFormatting>
  <conditionalFormatting sqref="F332">
    <cfRule type="cellIs" priority="981" operator="greaterThan" aboveAverage="0" equalAverage="0" bottom="0" percent="0" rank="0" text="" dxfId="7">
      <formula>0</formula>
    </cfRule>
  </conditionalFormatting>
  <conditionalFormatting sqref="I332">
    <cfRule type="cellIs" priority="982" operator="lessThan" aboveAverage="0" equalAverage="0" bottom="0" percent="0" rank="0" text="" dxfId="8">
      <formula>0</formula>
    </cfRule>
  </conditionalFormatting>
  <conditionalFormatting sqref="E333">
    <cfRule type="cellIs" priority="983" operator="greaterThan" aboveAverage="0" equalAverage="0" bottom="0" percent="0" rank="0" text="" dxfId="7">
      <formula>0</formula>
    </cfRule>
  </conditionalFormatting>
  <conditionalFormatting sqref="F333">
    <cfRule type="cellIs" priority="984" operator="greaterThan" aboveAverage="0" equalAverage="0" bottom="0" percent="0" rank="0" text="" dxfId="7">
      <formula>0</formula>
    </cfRule>
  </conditionalFormatting>
  <conditionalFormatting sqref="I333">
    <cfRule type="cellIs" priority="985" operator="lessThan" aboveAverage="0" equalAverage="0" bottom="0" percent="0" rank="0" text="" dxfId="8">
      <formula>0</formula>
    </cfRule>
  </conditionalFormatting>
  <conditionalFormatting sqref="E334">
    <cfRule type="cellIs" priority="986" operator="greaterThan" aboveAverage="0" equalAverage="0" bottom="0" percent="0" rank="0" text="" dxfId="7">
      <formula>0</formula>
    </cfRule>
  </conditionalFormatting>
  <conditionalFormatting sqref="F334">
    <cfRule type="cellIs" priority="987" operator="greaterThan" aboveAverage="0" equalAverage="0" bottom="0" percent="0" rank="0" text="" dxfId="7">
      <formula>0</formula>
    </cfRule>
  </conditionalFormatting>
  <conditionalFormatting sqref="I334">
    <cfRule type="cellIs" priority="988" operator="lessThan" aboveAverage="0" equalAverage="0" bottom="0" percent="0" rank="0" text="" dxfId="8">
      <formula>0</formula>
    </cfRule>
  </conditionalFormatting>
  <conditionalFormatting sqref="E335">
    <cfRule type="cellIs" priority="989" operator="greaterThan" aboveAverage="0" equalAverage="0" bottom="0" percent="0" rank="0" text="" dxfId="7">
      <formula>0</formula>
    </cfRule>
  </conditionalFormatting>
  <conditionalFormatting sqref="F335">
    <cfRule type="cellIs" priority="990" operator="greaterThan" aboveAverage="0" equalAverage="0" bottom="0" percent="0" rank="0" text="" dxfId="7">
      <formula>0</formula>
    </cfRule>
  </conditionalFormatting>
  <conditionalFormatting sqref="I335">
    <cfRule type="cellIs" priority="991" operator="lessThan" aboveAverage="0" equalAverage="0" bottom="0" percent="0" rank="0" text="" dxfId="8">
      <formula>0</formula>
    </cfRule>
  </conditionalFormatting>
  <conditionalFormatting sqref="E336">
    <cfRule type="cellIs" priority="992" operator="greaterThan" aboveAverage="0" equalAverage="0" bottom="0" percent="0" rank="0" text="" dxfId="7">
      <formula>0</formula>
    </cfRule>
  </conditionalFormatting>
  <conditionalFormatting sqref="F336">
    <cfRule type="cellIs" priority="993" operator="greaterThan" aboveAverage="0" equalAverage="0" bottom="0" percent="0" rank="0" text="" dxfId="7">
      <formula>0</formula>
    </cfRule>
  </conditionalFormatting>
  <conditionalFormatting sqref="I336">
    <cfRule type="cellIs" priority="994" operator="lessThan" aboveAverage="0" equalAverage="0" bottom="0" percent="0" rank="0" text="" dxfId="8">
      <formula>0</formula>
    </cfRule>
  </conditionalFormatting>
  <conditionalFormatting sqref="E337">
    <cfRule type="cellIs" priority="995" operator="greaterThan" aboveAverage="0" equalAverage="0" bottom="0" percent="0" rank="0" text="" dxfId="7">
      <formula>0</formula>
    </cfRule>
  </conditionalFormatting>
  <conditionalFormatting sqref="F337">
    <cfRule type="cellIs" priority="996" operator="greaterThan" aboveAverage="0" equalAverage="0" bottom="0" percent="0" rank="0" text="" dxfId="7">
      <formula>0</formula>
    </cfRule>
  </conditionalFormatting>
  <conditionalFormatting sqref="I337">
    <cfRule type="cellIs" priority="997" operator="lessThan" aboveAverage="0" equalAverage="0" bottom="0" percent="0" rank="0" text="" dxfId="8">
      <formula>0</formula>
    </cfRule>
  </conditionalFormatting>
  <conditionalFormatting sqref="E338">
    <cfRule type="cellIs" priority="998" operator="greaterThan" aboveAverage="0" equalAverage="0" bottom="0" percent="0" rank="0" text="" dxfId="7">
      <formula>0</formula>
    </cfRule>
  </conditionalFormatting>
  <conditionalFormatting sqref="F338">
    <cfRule type="cellIs" priority="999" operator="greaterThan" aboveAverage="0" equalAverage="0" bottom="0" percent="0" rank="0" text="" dxfId="7">
      <formula>0</formula>
    </cfRule>
  </conditionalFormatting>
  <conditionalFormatting sqref="I338">
    <cfRule type="cellIs" priority="1000" operator="lessThan" aboveAverage="0" equalAverage="0" bottom="0" percent="0" rank="0" text="" dxfId="8">
      <formula>0</formula>
    </cfRule>
  </conditionalFormatting>
  <conditionalFormatting sqref="E339">
    <cfRule type="cellIs" priority="1001" operator="greaterThan" aboveAverage="0" equalAverage="0" bottom="0" percent="0" rank="0" text="" dxfId="7">
      <formula>0</formula>
    </cfRule>
  </conditionalFormatting>
  <conditionalFormatting sqref="F339">
    <cfRule type="cellIs" priority="1002" operator="greaterThan" aboveAverage="0" equalAverage="0" bottom="0" percent="0" rank="0" text="" dxfId="7">
      <formula>0</formula>
    </cfRule>
  </conditionalFormatting>
  <conditionalFormatting sqref="I339">
    <cfRule type="cellIs" priority="1003" operator="lessThan" aboveAverage="0" equalAverage="0" bottom="0" percent="0" rank="0" text="" dxfId="8">
      <formula>0</formula>
    </cfRule>
  </conditionalFormatting>
  <conditionalFormatting sqref="E340">
    <cfRule type="cellIs" priority="1004" operator="greaterThan" aboveAverage="0" equalAverage="0" bottom="0" percent="0" rank="0" text="" dxfId="7">
      <formula>0</formula>
    </cfRule>
  </conditionalFormatting>
  <conditionalFormatting sqref="F340">
    <cfRule type="cellIs" priority="1005" operator="greaterThan" aboveAverage="0" equalAverage="0" bottom="0" percent="0" rank="0" text="" dxfId="7">
      <formula>0</formula>
    </cfRule>
  </conditionalFormatting>
  <conditionalFormatting sqref="I340">
    <cfRule type="cellIs" priority="1006" operator="lessThan" aboveAverage="0" equalAverage="0" bottom="0" percent="0" rank="0" text="" dxfId="8">
      <formula>0</formula>
    </cfRule>
  </conditionalFormatting>
  <conditionalFormatting sqref="E341">
    <cfRule type="cellIs" priority="1007" operator="greaterThan" aboveAverage="0" equalAverage="0" bottom="0" percent="0" rank="0" text="" dxfId="7">
      <formula>0</formula>
    </cfRule>
  </conditionalFormatting>
  <conditionalFormatting sqref="F341">
    <cfRule type="cellIs" priority="1008" operator="greaterThan" aboveAverage="0" equalAverage="0" bottom="0" percent="0" rank="0" text="" dxfId="7">
      <formula>0</formula>
    </cfRule>
  </conditionalFormatting>
  <conditionalFormatting sqref="I341">
    <cfRule type="cellIs" priority="1009" operator="lessThan" aboveAverage="0" equalAverage="0" bottom="0" percent="0" rank="0" text="" dxfId="8">
      <formula>0</formula>
    </cfRule>
  </conditionalFormatting>
  <conditionalFormatting sqref="E342">
    <cfRule type="cellIs" priority="1010" operator="greaterThan" aboveAverage="0" equalAverage="0" bottom="0" percent="0" rank="0" text="" dxfId="7">
      <formula>0</formula>
    </cfRule>
  </conditionalFormatting>
  <conditionalFormatting sqref="F342">
    <cfRule type="cellIs" priority="1011" operator="greaterThan" aboveAverage="0" equalAverage="0" bottom="0" percent="0" rank="0" text="" dxfId="7">
      <formula>0</formula>
    </cfRule>
  </conditionalFormatting>
  <conditionalFormatting sqref="I342">
    <cfRule type="cellIs" priority="1012" operator="lessThan" aboveAverage="0" equalAverage="0" bottom="0" percent="0" rank="0" text="" dxfId="8">
      <formula>0</formula>
    </cfRule>
  </conditionalFormatting>
  <conditionalFormatting sqref="E343">
    <cfRule type="cellIs" priority="1013" operator="greaterThan" aboveAverage="0" equalAverage="0" bottom="0" percent="0" rank="0" text="" dxfId="7">
      <formula>0</formula>
    </cfRule>
  </conditionalFormatting>
  <conditionalFormatting sqref="F343">
    <cfRule type="cellIs" priority="1014" operator="greaterThan" aboveAverage="0" equalAverage="0" bottom="0" percent="0" rank="0" text="" dxfId="7">
      <formula>0</formula>
    </cfRule>
  </conditionalFormatting>
  <conditionalFormatting sqref="I343">
    <cfRule type="cellIs" priority="1015" operator="lessThan" aboveAverage="0" equalAverage="0" bottom="0" percent="0" rank="0" text="" dxfId="8">
      <formula>0</formula>
    </cfRule>
  </conditionalFormatting>
  <conditionalFormatting sqref="E344">
    <cfRule type="cellIs" priority="1016" operator="greaterThan" aboveAverage="0" equalAverage="0" bottom="0" percent="0" rank="0" text="" dxfId="7">
      <formula>0</formula>
    </cfRule>
  </conditionalFormatting>
  <conditionalFormatting sqref="F344">
    <cfRule type="cellIs" priority="1017" operator="greaterThan" aboveAverage="0" equalAverage="0" bottom="0" percent="0" rank="0" text="" dxfId="7">
      <formula>0</formula>
    </cfRule>
  </conditionalFormatting>
  <conditionalFormatting sqref="I344">
    <cfRule type="cellIs" priority="1018" operator="lessThan" aboveAverage="0" equalAverage="0" bottom="0" percent="0" rank="0" text="" dxfId="8">
      <formula>0</formula>
    </cfRule>
  </conditionalFormatting>
  <conditionalFormatting sqref="E345">
    <cfRule type="cellIs" priority="1019" operator="greaterThan" aboveAverage="0" equalAverage="0" bottom="0" percent="0" rank="0" text="" dxfId="7">
      <formula>0</formula>
    </cfRule>
  </conditionalFormatting>
  <conditionalFormatting sqref="F345">
    <cfRule type="cellIs" priority="1020" operator="greaterThan" aboveAverage="0" equalAverage="0" bottom="0" percent="0" rank="0" text="" dxfId="7">
      <formula>0</formula>
    </cfRule>
  </conditionalFormatting>
  <conditionalFormatting sqref="I345">
    <cfRule type="cellIs" priority="1021" operator="lessThan" aboveAverage="0" equalAverage="0" bottom="0" percent="0" rank="0" text="" dxfId="8">
      <formula>0</formula>
    </cfRule>
  </conditionalFormatting>
  <conditionalFormatting sqref="E346">
    <cfRule type="cellIs" priority="1022" operator="greaterThan" aboveAverage="0" equalAverage="0" bottom="0" percent="0" rank="0" text="" dxfId="7">
      <formula>0</formula>
    </cfRule>
  </conditionalFormatting>
  <conditionalFormatting sqref="F346">
    <cfRule type="cellIs" priority="1023" operator="greaterThan" aboveAverage="0" equalAverage="0" bottom="0" percent="0" rank="0" text="" dxfId="7">
      <formula>0</formula>
    </cfRule>
  </conditionalFormatting>
  <conditionalFormatting sqref="I346">
    <cfRule type="cellIs" priority="1024" operator="lessThan" aboveAverage="0" equalAverage="0" bottom="0" percent="0" rank="0" text="" dxfId="8">
      <formula>0</formula>
    </cfRule>
  </conditionalFormatting>
  <conditionalFormatting sqref="E347">
    <cfRule type="cellIs" priority="1025" operator="greaterThan" aboveAverage="0" equalAverage="0" bottom="0" percent="0" rank="0" text="" dxfId="7">
      <formula>0</formula>
    </cfRule>
  </conditionalFormatting>
  <conditionalFormatting sqref="F347">
    <cfRule type="cellIs" priority="1026" operator="greaterThan" aboveAverage="0" equalAverage="0" bottom="0" percent="0" rank="0" text="" dxfId="7">
      <formula>0</formula>
    </cfRule>
  </conditionalFormatting>
  <conditionalFormatting sqref="I347">
    <cfRule type="cellIs" priority="1027" operator="lessThan" aboveAverage="0" equalAverage="0" bottom="0" percent="0" rank="0" text="" dxfId="8">
      <formula>0</formula>
    </cfRule>
  </conditionalFormatting>
  <conditionalFormatting sqref="E348">
    <cfRule type="cellIs" priority="1028" operator="greaterThan" aboveAverage="0" equalAverage="0" bottom="0" percent="0" rank="0" text="" dxfId="7">
      <formula>0</formula>
    </cfRule>
  </conditionalFormatting>
  <conditionalFormatting sqref="F348">
    <cfRule type="cellIs" priority="1029" operator="greaterThan" aboveAverage="0" equalAverage="0" bottom="0" percent="0" rank="0" text="" dxfId="7">
      <formula>0</formula>
    </cfRule>
  </conditionalFormatting>
  <conditionalFormatting sqref="I348">
    <cfRule type="cellIs" priority="1030" operator="lessThan" aboveAverage="0" equalAverage="0" bottom="0" percent="0" rank="0" text="" dxfId="8">
      <formula>0</formula>
    </cfRule>
  </conditionalFormatting>
  <conditionalFormatting sqref="E349">
    <cfRule type="cellIs" priority="1031" operator="greaterThan" aboveAverage="0" equalAverage="0" bottom="0" percent="0" rank="0" text="" dxfId="7">
      <formula>0</formula>
    </cfRule>
  </conditionalFormatting>
  <conditionalFormatting sqref="F349">
    <cfRule type="cellIs" priority="1032" operator="greaterThan" aboveAverage="0" equalAverage="0" bottom="0" percent="0" rank="0" text="" dxfId="7">
      <formula>0</formula>
    </cfRule>
  </conditionalFormatting>
  <conditionalFormatting sqref="I349">
    <cfRule type="cellIs" priority="1033" operator="lessThan" aboveAverage="0" equalAverage="0" bottom="0" percent="0" rank="0" text="" dxfId="8">
      <formula>0</formula>
    </cfRule>
  </conditionalFormatting>
  <conditionalFormatting sqref="E350">
    <cfRule type="cellIs" priority="1034" operator="greaterThan" aboveAverage="0" equalAverage="0" bottom="0" percent="0" rank="0" text="" dxfId="7">
      <formula>0</formula>
    </cfRule>
  </conditionalFormatting>
  <conditionalFormatting sqref="F350">
    <cfRule type="cellIs" priority="1035" operator="greaterThan" aboveAverage="0" equalAverage="0" bottom="0" percent="0" rank="0" text="" dxfId="7">
      <formula>0</formula>
    </cfRule>
  </conditionalFormatting>
  <conditionalFormatting sqref="I350">
    <cfRule type="cellIs" priority="1036" operator="lessThan" aboveAverage="0" equalAverage="0" bottom="0" percent="0" rank="0" text="" dxfId="8">
      <formula>0</formula>
    </cfRule>
  </conditionalFormatting>
  <conditionalFormatting sqref="E351">
    <cfRule type="cellIs" priority="1037" operator="greaterThan" aboveAverage="0" equalAverage="0" bottom="0" percent="0" rank="0" text="" dxfId="7">
      <formula>0</formula>
    </cfRule>
  </conditionalFormatting>
  <conditionalFormatting sqref="F351">
    <cfRule type="cellIs" priority="1038" operator="greaterThan" aboveAverage="0" equalAverage="0" bottom="0" percent="0" rank="0" text="" dxfId="7">
      <formula>0</formula>
    </cfRule>
  </conditionalFormatting>
  <conditionalFormatting sqref="I351">
    <cfRule type="cellIs" priority="1039" operator="lessThan" aboveAverage="0" equalAverage="0" bottom="0" percent="0" rank="0" text="" dxfId="8">
      <formula>0</formula>
    </cfRule>
  </conditionalFormatting>
  <conditionalFormatting sqref="E352">
    <cfRule type="cellIs" priority="1040" operator="greaterThan" aboveAverage="0" equalAverage="0" bottom="0" percent="0" rank="0" text="" dxfId="7">
      <formula>0</formula>
    </cfRule>
  </conditionalFormatting>
  <conditionalFormatting sqref="F352">
    <cfRule type="cellIs" priority="1041" operator="greaterThan" aboveAverage="0" equalAverage="0" bottom="0" percent="0" rank="0" text="" dxfId="7">
      <formula>0</formula>
    </cfRule>
  </conditionalFormatting>
  <conditionalFormatting sqref="I352">
    <cfRule type="cellIs" priority="1042" operator="lessThan" aboveAverage="0" equalAverage="0" bottom="0" percent="0" rank="0" text="" dxfId="8">
      <formula>0</formula>
    </cfRule>
  </conditionalFormatting>
  <conditionalFormatting sqref="E353">
    <cfRule type="cellIs" priority="1043" operator="greaterThan" aboveAverage="0" equalAverage="0" bottom="0" percent="0" rank="0" text="" dxfId="7">
      <formula>0</formula>
    </cfRule>
  </conditionalFormatting>
  <conditionalFormatting sqref="F353">
    <cfRule type="cellIs" priority="1044" operator="greaterThan" aboveAverage="0" equalAverage="0" bottom="0" percent="0" rank="0" text="" dxfId="7">
      <formula>0</formula>
    </cfRule>
  </conditionalFormatting>
  <conditionalFormatting sqref="I353">
    <cfRule type="cellIs" priority="1045" operator="lessThan" aboveAverage="0" equalAverage="0" bottom="0" percent="0" rank="0" text="" dxfId="8">
      <formula>0</formula>
    </cfRule>
  </conditionalFormatting>
  <conditionalFormatting sqref="E354">
    <cfRule type="cellIs" priority="1046" operator="greaterThan" aboveAverage="0" equalAverage="0" bottom="0" percent="0" rank="0" text="" dxfId="7">
      <formula>0</formula>
    </cfRule>
  </conditionalFormatting>
  <conditionalFormatting sqref="F354">
    <cfRule type="cellIs" priority="1047" operator="greaterThan" aboveAverage="0" equalAverage="0" bottom="0" percent="0" rank="0" text="" dxfId="7">
      <formula>0</formula>
    </cfRule>
  </conditionalFormatting>
  <conditionalFormatting sqref="I354">
    <cfRule type="cellIs" priority="1048" operator="lessThan" aboveAverage="0" equalAverage="0" bottom="0" percent="0" rank="0" text="" dxfId="8">
      <formula>0</formula>
    </cfRule>
  </conditionalFormatting>
  <conditionalFormatting sqref="E355">
    <cfRule type="cellIs" priority="1049" operator="greaterThan" aboveAverage="0" equalAverage="0" bottom="0" percent="0" rank="0" text="" dxfId="7">
      <formula>0</formula>
    </cfRule>
  </conditionalFormatting>
  <conditionalFormatting sqref="F355">
    <cfRule type="cellIs" priority="1050" operator="greaterThan" aboveAverage="0" equalAverage="0" bottom="0" percent="0" rank="0" text="" dxfId="7">
      <formula>0</formula>
    </cfRule>
  </conditionalFormatting>
  <conditionalFormatting sqref="I355">
    <cfRule type="cellIs" priority="1051" operator="lessThan" aboveAverage="0" equalAverage="0" bottom="0" percent="0" rank="0" text="" dxfId="8">
      <formula>0</formula>
    </cfRule>
  </conditionalFormatting>
  <conditionalFormatting sqref="E356">
    <cfRule type="cellIs" priority="1052" operator="greaterThan" aboveAverage="0" equalAverage="0" bottom="0" percent="0" rank="0" text="" dxfId="7">
      <formula>0</formula>
    </cfRule>
  </conditionalFormatting>
  <conditionalFormatting sqref="F356">
    <cfRule type="cellIs" priority="1053" operator="greaterThan" aboveAverage="0" equalAverage="0" bottom="0" percent="0" rank="0" text="" dxfId="7">
      <formula>0</formula>
    </cfRule>
  </conditionalFormatting>
  <conditionalFormatting sqref="I356">
    <cfRule type="cellIs" priority="1054" operator="lessThan" aboveAverage="0" equalAverage="0" bottom="0" percent="0" rank="0" text="" dxfId="8">
      <formula>0</formula>
    </cfRule>
  </conditionalFormatting>
  <conditionalFormatting sqref="E357">
    <cfRule type="cellIs" priority="1055" operator="greaterThan" aboveAverage="0" equalAverage="0" bottom="0" percent="0" rank="0" text="" dxfId="7">
      <formula>0</formula>
    </cfRule>
  </conditionalFormatting>
  <conditionalFormatting sqref="F357">
    <cfRule type="cellIs" priority="1056" operator="greaterThan" aboveAverage="0" equalAverage="0" bottom="0" percent="0" rank="0" text="" dxfId="7">
      <formula>0</formula>
    </cfRule>
  </conditionalFormatting>
  <conditionalFormatting sqref="I357">
    <cfRule type="cellIs" priority="1057" operator="lessThan" aboveAverage="0" equalAverage="0" bottom="0" percent="0" rank="0" text="" dxfId="8">
      <formula>0</formula>
    </cfRule>
  </conditionalFormatting>
  <conditionalFormatting sqref="E358">
    <cfRule type="cellIs" priority="1058" operator="greaterThan" aboveAverage="0" equalAverage="0" bottom="0" percent="0" rank="0" text="" dxfId="7">
      <formula>0</formula>
    </cfRule>
  </conditionalFormatting>
  <conditionalFormatting sqref="F358">
    <cfRule type="cellIs" priority="1059" operator="greaterThan" aboveAverage="0" equalAverage="0" bottom="0" percent="0" rank="0" text="" dxfId="7">
      <formula>0</formula>
    </cfRule>
  </conditionalFormatting>
  <conditionalFormatting sqref="I358">
    <cfRule type="cellIs" priority="1060" operator="lessThan" aboveAverage="0" equalAverage="0" bottom="0" percent="0" rank="0" text="" dxfId="8">
      <formula>0</formula>
    </cfRule>
  </conditionalFormatting>
  <conditionalFormatting sqref="E359">
    <cfRule type="cellIs" priority="1061" operator="greaterThan" aboveAverage="0" equalAverage="0" bottom="0" percent="0" rank="0" text="" dxfId="7">
      <formula>0</formula>
    </cfRule>
  </conditionalFormatting>
  <conditionalFormatting sqref="F359">
    <cfRule type="cellIs" priority="1062" operator="greaterThan" aboveAverage="0" equalAverage="0" bottom="0" percent="0" rank="0" text="" dxfId="7">
      <formula>0</formula>
    </cfRule>
  </conditionalFormatting>
  <conditionalFormatting sqref="I359">
    <cfRule type="cellIs" priority="1063" operator="lessThan" aboveAverage="0" equalAverage="0" bottom="0" percent="0" rank="0" text="" dxfId="8">
      <formula>0</formula>
    </cfRule>
  </conditionalFormatting>
  <conditionalFormatting sqref="E360">
    <cfRule type="cellIs" priority="1064" operator="greaterThan" aboveAverage="0" equalAverage="0" bottom="0" percent="0" rank="0" text="" dxfId="7">
      <formula>0</formula>
    </cfRule>
  </conditionalFormatting>
  <conditionalFormatting sqref="F360">
    <cfRule type="cellIs" priority="1065" operator="greaterThan" aboveAverage="0" equalAverage="0" bottom="0" percent="0" rank="0" text="" dxfId="7">
      <formula>0</formula>
    </cfRule>
  </conditionalFormatting>
  <conditionalFormatting sqref="I360">
    <cfRule type="cellIs" priority="1066" operator="lessThan" aboveAverage="0" equalAverage="0" bottom="0" percent="0" rank="0" text="" dxfId="8">
      <formula>0</formula>
    </cfRule>
  </conditionalFormatting>
  <conditionalFormatting sqref="E361">
    <cfRule type="cellIs" priority="1067" operator="greaterThan" aboveAverage="0" equalAverage="0" bottom="0" percent="0" rank="0" text="" dxfId="7">
      <formula>0</formula>
    </cfRule>
  </conditionalFormatting>
  <conditionalFormatting sqref="F361">
    <cfRule type="cellIs" priority="1068" operator="greaterThan" aboveAverage="0" equalAverage="0" bottom="0" percent="0" rank="0" text="" dxfId="7">
      <formula>0</formula>
    </cfRule>
  </conditionalFormatting>
  <conditionalFormatting sqref="I361">
    <cfRule type="cellIs" priority="1069" operator="lessThan" aboveAverage="0" equalAverage="0" bottom="0" percent="0" rank="0" text="" dxfId="8">
      <formula>0</formula>
    </cfRule>
  </conditionalFormatting>
  <conditionalFormatting sqref="E362">
    <cfRule type="cellIs" priority="1070" operator="greaterThan" aboveAverage="0" equalAverage="0" bottom="0" percent="0" rank="0" text="" dxfId="7">
      <formula>0</formula>
    </cfRule>
  </conditionalFormatting>
  <conditionalFormatting sqref="F362">
    <cfRule type="cellIs" priority="1071" operator="greaterThan" aboveAverage="0" equalAverage="0" bottom="0" percent="0" rank="0" text="" dxfId="7">
      <formula>0</formula>
    </cfRule>
  </conditionalFormatting>
  <conditionalFormatting sqref="I362">
    <cfRule type="cellIs" priority="1072" operator="lessThan" aboveAverage="0" equalAverage="0" bottom="0" percent="0" rank="0" text="" dxfId="8">
      <formula>0</formula>
    </cfRule>
  </conditionalFormatting>
  <conditionalFormatting sqref="E363">
    <cfRule type="cellIs" priority="1073" operator="greaterThan" aboveAverage="0" equalAverage="0" bottom="0" percent="0" rank="0" text="" dxfId="7">
      <formula>0</formula>
    </cfRule>
  </conditionalFormatting>
  <conditionalFormatting sqref="F363">
    <cfRule type="cellIs" priority="1074" operator="greaterThan" aboveAverage="0" equalAverage="0" bottom="0" percent="0" rank="0" text="" dxfId="7">
      <formula>0</formula>
    </cfRule>
  </conditionalFormatting>
  <conditionalFormatting sqref="I363">
    <cfRule type="cellIs" priority="1075" operator="lessThan" aboveAverage="0" equalAverage="0" bottom="0" percent="0" rank="0" text="" dxfId="8">
      <formula>0</formula>
    </cfRule>
  </conditionalFormatting>
  <conditionalFormatting sqref="E364">
    <cfRule type="cellIs" priority="1076" operator="greaterThan" aboveAverage="0" equalAverage="0" bottom="0" percent="0" rank="0" text="" dxfId="7">
      <formula>0</formula>
    </cfRule>
  </conditionalFormatting>
  <conditionalFormatting sqref="F364">
    <cfRule type="cellIs" priority="1077" operator="greaterThan" aboveAverage="0" equalAverage="0" bottom="0" percent="0" rank="0" text="" dxfId="7">
      <formula>0</formula>
    </cfRule>
  </conditionalFormatting>
  <conditionalFormatting sqref="I364">
    <cfRule type="cellIs" priority="1078" operator="lessThan" aboveAverage="0" equalAverage="0" bottom="0" percent="0" rank="0" text="" dxfId="8">
      <formula>0</formula>
    </cfRule>
  </conditionalFormatting>
  <conditionalFormatting sqref="E365">
    <cfRule type="cellIs" priority="1079" operator="greaterThan" aboveAverage="0" equalAverage="0" bottom="0" percent="0" rank="0" text="" dxfId="7">
      <formula>0</formula>
    </cfRule>
  </conditionalFormatting>
  <conditionalFormatting sqref="F365">
    <cfRule type="cellIs" priority="1080" operator="greaterThan" aboveAverage="0" equalAverage="0" bottom="0" percent="0" rank="0" text="" dxfId="7">
      <formula>0</formula>
    </cfRule>
  </conditionalFormatting>
  <conditionalFormatting sqref="I365">
    <cfRule type="cellIs" priority="1081" operator="lessThan" aboveAverage="0" equalAverage="0" bottom="0" percent="0" rank="0" text="" dxfId="8">
      <formula>0</formula>
    </cfRule>
  </conditionalFormatting>
  <conditionalFormatting sqref="E366">
    <cfRule type="cellIs" priority="1082" operator="greaterThan" aboveAverage="0" equalAverage="0" bottom="0" percent="0" rank="0" text="" dxfId="7">
      <formula>0</formula>
    </cfRule>
  </conditionalFormatting>
  <conditionalFormatting sqref="F366">
    <cfRule type="cellIs" priority="1083" operator="greaterThan" aboveAverage="0" equalAverage="0" bottom="0" percent="0" rank="0" text="" dxfId="7">
      <formula>0</formula>
    </cfRule>
  </conditionalFormatting>
  <conditionalFormatting sqref="I366">
    <cfRule type="cellIs" priority="1084" operator="lessThan" aboveAverage="0" equalAverage="0" bottom="0" percent="0" rank="0" text="" dxfId="8">
      <formula>0</formula>
    </cfRule>
  </conditionalFormatting>
  <conditionalFormatting sqref="E367">
    <cfRule type="cellIs" priority="1085" operator="greaterThan" aboveAverage="0" equalAverage="0" bottom="0" percent="0" rank="0" text="" dxfId="7">
      <formula>0</formula>
    </cfRule>
  </conditionalFormatting>
  <conditionalFormatting sqref="F367">
    <cfRule type="cellIs" priority="1086" operator="greaterThan" aboveAverage="0" equalAverage="0" bottom="0" percent="0" rank="0" text="" dxfId="7">
      <formula>0</formula>
    </cfRule>
  </conditionalFormatting>
  <conditionalFormatting sqref="I367">
    <cfRule type="cellIs" priority="1087" operator="lessThan" aboveAverage="0" equalAverage="0" bottom="0" percent="0" rank="0" text="" dxfId="8">
      <formula>0</formula>
    </cfRule>
  </conditionalFormatting>
  <conditionalFormatting sqref="E368">
    <cfRule type="cellIs" priority="1088" operator="greaterThan" aboveAverage="0" equalAverage="0" bottom="0" percent="0" rank="0" text="" dxfId="7">
      <formula>0</formula>
    </cfRule>
  </conditionalFormatting>
  <conditionalFormatting sqref="F368">
    <cfRule type="cellIs" priority="1089" operator="greaterThan" aboveAverage="0" equalAverage="0" bottom="0" percent="0" rank="0" text="" dxfId="7">
      <formula>0</formula>
    </cfRule>
  </conditionalFormatting>
  <conditionalFormatting sqref="I368">
    <cfRule type="cellIs" priority="1090" operator="lessThan" aboveAverage="0" equalAverage="0" bottom="0" percent="0" rank="0" text="" dxfId="8">
      <formula>0</formula>
    </cfRule>
  </conditionalFormatting>
  <conditionalFormatting sqref="E369">
    <cfRule type="cellIs" priority="1091" operator="greaterThan" aboveAverage="0" equalAverage="0" bottom="0" percent="0" rank="0" text="" dxfId="7">
      <formula>0</formula>
    </cfRule>
  </conditionalFormatting>
  <conditionalFormatting sqref="F369">
    <cfRule type="cellIs" priority="1092" operator="greaterThan" aboveAverage="0" equalAverage="0" bottom="0" percent="0" rank="0" text="" dxfId="7">
      <formula>0</formula>
    </cfRule>
  </conditionalFormatting>
  <conditionalFormatting sqref="I369">
    <cfRule type="cellIs" priority="1093" operator="lessThan" aboveAverage="0" equalAverage="0" bottom="0" percent="0" rank="0" text="" dxfId="8">
      <formula>0</formula>
    </cfRule>
  </conditionalFormatting>
  <conditionalFormatting sqref="E370">
    <cfRule type="cellIs" priority="1094" operator="greaterThan" aboveAverage="0" equalAverage="0" bottom="0" percent="0" rank="0" text="" dxfId="7">
      <formula>0</formula>
    </cfRule>
  </conditionalFormatting>
  <conditionalFormatting sqref="F370">
    <cfRule type="cellIs" priority="1095" operator="greaterThan" aboveAverage="0" equalAverage="0" bottom="0" percent="0" rank="0" text="" dxfId="7">
      <formula>0</formula>
    </cfRule>
  </conditionalFormatting>
  <conditionalFormatting sqref="I370">
    <cfRule type="cellIs" priority="1096" operator="lessThan" aboveAverage="0" equalAverage="0" bottom="0" percent="0" rank="0" text="" dxfId="8">
      <formula>0</formula>
    </cfRule>
  </conditionalFormatting>
  <conditionalFormatting sqref="E371">
    <cfRule type="cellIs" priority="1097" operator="greaterThan" aboveAverage="0" equalAverage="0" bottom="0" percent="0" rank="0" text="" dxfId="7">
      <formula>0</formula>
    </cfRule>
  </conditionalFormatting>
  <conditionalFormatting sqref="F371">
    <cfRule type="cellIs" priority="1098" operator="greaterThan" aboveAverage="0" equalAverage="0" bottom="0" percent="0" rank="0" text="" dxfId="7">
      <formula>0</formula>
    </cfRule>
  </conditionalFormatting>
  <conditionalFormatting sqref="I371">
    <cfRule type="cellIs" priority="1099" operator="lessThan" aboveAverage="0" equalAverage="0" bottom="0" percent="0" rank="0" text="" dxfId="8">
      <formula>0</formula>
    </cfRule>
  </conditionalFormatting>
  <conditionalFormatting sqref="E372">
    <cfRule type="cellIs" priority="1100" operator="greaterThan" aboveAverage="0" equalAverage="0" bottom="0" percent="0" rank="0" text="" dxfId="7">
      <formula>0</formula>
    </cfRule>
  </conditionalFormatting>
  <conditionalFormatting sqref="F372">
    <cfRule type="cellIs" priority="1101" operator="greaterThan" aboveAverage="0" equalAverage="0" bottom="0" percent="0" rank="0" text="" dxfId="7">
      <formula>0</formula>
    </cfRule>
  </conditionalFormatting>
  <conditionalFormatting sqref="I372">
    <cfRule type="cellIs" priority="1102" operator="lessThan" aboveAverage="0" equalAverage="0" bottom="0" percent="0" rank="0" text="" dxfId="8">
      <formula>0</formula>
    </cfRule>
  </conditionalFormatting>
  <conditionalFormatting sqref="E373">
    <cfRule type="cellIs" priority="1103" operator="greaterThan" aboveAverage="0" equalAverage="0" bottom="0" percent="0" rank="0" text="" dxfId="7">
      <formula>0</formula>
    </cfRule>
  </conditionalFormatting>
  <conditionalFormatting sqref="F373">
    <cfRule type="cellIs" priority="1104" operator="greaterThan" aboveAverage="0" equalAverage="0" bottom="0" percent="0" rank="0" text="" dxfId="7">
      <formula>0</formula>
    </cfRule>
  </conditionalFormatting>
  <conditionalFormatting sqref="I373">
    <cfRule type="cellIs" priority="1105" operator="lessThan" aboveAverage="0" equalAverage="0" bottom="0" percent="0" rank="0" text="" dxfId="8">
      <formula>0</formula>
    </cfRule>
  </conditionalFormatting>
  <conditionalFormatting sqref="E374">
    <cfRule type="cellIs" priority="1106" operator="greaterThan" aboveAverage="0" equalAverage="0" bottom="0" percent="0" rank="0" text="" dxfId="7">
      <formula>0</formula>
    </cfRule>
  </conditionalFormatting>
  <conditionalFormatting sqref="F374">
    <cfRule type="cellIs" priority="1107" operator="greaterThan" aboveAverage="0" equalAverage="0" bottom="0" percent="0" rank="0" text="" dxfId="7">
      <formula>0</formula>
    </cfRule>
  </conditionalFormatting>
  <conditionalFormatting sqref="I374">
    <cfRule type="cellIs" priority="1108" operator="lessThan" aboveAverage="0" equalAverage="0" bottom="0" percent="0" rank="0" text="" dxfId="8">
      <formula>0</formula>
    </cfRule>
  </conditionalFormatting>
  <conditionalFormatting sqref="E375">
    <cfRule type="cellIs" priority="1109" operator="greaterThan" aboveAverage="0" equalAverage="0" bottom="0" percent="0" rank="0" text="" dxfId="7">
      <formula>0</formula>
    </cfRule>
  </conditionalFormatting>
  <conditionalFormatting sqref="F375">
    <cfRule type="cellIs" priority="1110" operator="greaterThan" aboveAverage="0" equalAverage="0" bottom="0" percent="0" rank="0" text="" dxfId="7">
      <formula>0</formula>
    </cfRule>
  </conditionalFormatting>
  <conditionalFormatting sqref="I375">
    <cfRule type="cellIs" priority="1111" operator="lessThan" aboveAverage="0" equalAverage="0" bottom="0" percent="0" rank="0" text="" dxfId="8">
      <formula>0</formula>
    </cfRule>
  </conditionalFormatting>
  <conditionalFormatting sqref="E376">
    <cfRule type="cellIs" priority="1112" operator="greaterThan" aboveAverage="0" equalAverage="0" bottom="0" percent="0" rank="0" text="" dxfId="7">
      <formula>0</formula>
    </cfRule>
  </conditionalFormatting>
  <conditionalFormatting sqref="F376">
    <cfRule type="cellIs" priority="1113" operator="greaterThan" aboveAverage="0" equalAverage="0" bottom="0" percent="0" rank="0" text="" dxfId="7">
      <formula>0</formula>
    </cfRule>
  </conditionalFormatting>
  <conditionalFormatting sqref="I376">
    <cfRule type="cellIs" priority="1114" operator="lessThan" aboveAverage="0" equalAverage="0" bottom="0" percent="0" rank="0" text="" dxfId="8">
      <formula>0</formula>
    </cfRule>
  </conditionalFormatting>
  <conditionalFormatting sqref="E377">
    <cfRule type="cellIs" priority="1115" operator="greaterThan" aboveAverage="0" equalAverage="0" bottom="0" percent="0" rank="0" text="" dxfId="7">
      <formula>0</formula>
    </cfRule>
  </conditionalFormatting>
  <conditionalFormatting sqref="F377">
    <cfRule type="cellIs" priority="1116" operator="greaterThan" aboveAverage="0" equalAverage="0" bottom="0" percent="0" rank="0" text="" dxfId="7">
      <formula>0</formula>
    </cfRule>
  </conditionalFormatting>
  <conditionalFormatting sqref="I377">
    <cfRule type="cellIs" priority="1117" operator="lessThan" aboveAverage="0" equalAverage="0" bottom="0" percent="0" rank="0" text="" dxfId="8">
      <formula>0</formula>
    </cfRule>
  </conditionalFormatting>
  <conditionalFormatting sqref="E378">
    <cfRule type="cellIs" priority="1118" operator="greaterThan" aboveAverage="0" equalAverage="0" bottom="0" percent="0" rank="0" text="" dxfId="7">
      <formula>0</formula>
    </cfRule>
  </conditionalFormatting>
  <conditionalFormatting sqref="F378">
    <cfRule type="cellIs" priority="1119" operator="greaterThan" aboveAverage="0" equalAverage="0" bottom="0" percent="0" rank="0" text="" dxfId="7">
      <formula>0</formula>
    </cfRule>
  </conditionalFormatting>
  <conditionalFormatting sqref="I378">
    <cfRule type="cellIs" priority="1120" operator="lessThan" aboveAverage="0" equalAverage="0" bottom="0" percent="0" rank="0" text="" dxfId="8">
      <formula>0</formula>
    </cfRule>
  </conditionalFormatting>
  <conditionalFormatting sqref="E379">
    <cfRule type="cellIs" priority="1121" operator="greaterThan" aboveAverage="0" equalAverage="0" bottom="0" percent="0" rank="0" text="" dxfId="7">
      <formula>0</formula>
    </cfRule>
  </conditionalFormatting>
  <conditionalFormatting sqref="F379">
    <cfRule type="cellIs" priority="1122" operator="greaterThan" aboveAverage="0" equalAverage="0" bottom="0" percent="0" rank="0" text="" dxfId="7">
      <formula>0</formula>
    </cfRule>
  </conditionalFormatting>
  <conditionalFormatting sqref="I379">
    <cfRule type="cellIs" priority="1123" operator="lessThan" aboveAverage="0" equalAverage="0" bottom="0" percent="0" rank="0" text="" dxfId="8">
      <formula>0</formula>
    </cfRule>
  </conditionalFormatting>
  <conditionalFormatting sqref="E380">
    <cfRule type="cellIs" priority="1124" operator="greaterThan" aboveAverage="0" equalAverage="0" bottom="0" percent="0" rank="0" text="" dxfId="7">
      <formula>0</formula>
    </cfRule>
  </conditionalFormatting>
  <conditionalFormatting sqref="F380">
    <cfRule type="cellIs" priority="1125" operator="greaterThan" aboveAverage="0" equalAverage="0" bottom="0" percent="0" rank="0" text="" dxfId="7">
      <formula>0</formula>
    </cfRule>
  </conditionalFormatting>
  <conditionalFormatting sqref="I380">
    <cfRule type="cellIs" priority="1126" operator="lessThan" aboveAverage="0" equalAverage="0" bottom="0" percent="0" rank="0" text="" dxfId="8">
      <formula>0</formula>
    </cfRule>
  </conditionalFormatting>
  <conditionalFormatting sqref="E381">
    <cfRule type="cellIs" priority="1127" operator="greaterThan" aboveAverage="0" equalAverage="0" bottom="0" percent="0" rank="0" text="" dxfId="7">
      <formula>0</formula>
    </cfRule>
  </conditionalFormatting>
  <conditionalFormatting sqref="F381">
    <cfRule type="cellIs" priority="1128" operator="greaterThan" aboveAverage="0" equalAverage="0" bottom="0" percent="0" rank="0" text="" dxfId="7">
      <formula>0</formula>
    </cfRule>
  </conditionalFormatting>
  <conditionalFormatting sqref="I381">
    <cfRule type="cellIs" priority="1129" operator="lessThan" aboveAverage="0" equalAverage="0" bottom="0" percent="0" rank="0" text="" dxfId="8">
      <formula>0</formula>
    </cfRule>
  </conditionalFormatting>
  <conditionalFormatting sqref="E382">
    <cfRule type="cellIs" priority="1130" operator="greaterThan" aboveAverage="0" equalAverage="0" bottom="0" percent="0" rank="0" text="" dxfId="7">
      <formula>0</formula>
    </cfRule>
  </conditionalFormatting>
  <conditionalFormatting sqref="F382">
    <cfRule type="cellIs" priority="1131" operator="greaterThan" aboveAverage="0" equalAverage="0" bottom="0" percent="0" rank="0" text="" dxfId="7">
      <formula>0</formula>
    </cfRule>
  </conditionalFormatting>
  <conditionalFormatting sqref="I382">
    <cfRule type="cellIs" priority="1132" operator="lessThan" aboveAverage="0" equalAverage="0" bottom="0" percent="0" rank="0" text="" dxfId="8">
      <formula>0</formula>
    </cfRule>
  </conditionalFormatting>
  <conditionalFormatting sqref="E383">
    <cfRule type="cellIs" priority="1133" operator="greaterThan" aboveAverage="0" equalAverage="0" bottom="0" percent="0" rank="0" text="" dxfId="7">
      <formula>0</formula>
    </cfRule>
  </conditionalFormatting>
  <conditionalFormatting sqref="F383">
    <cfRule type="cellIs" priority="1134" operator="greaterThan" aboveAverage="0" equalAverage="0" bottom="0" percent="0" rank="0" text="" dxfId="7">
      <formula>0</formula>
    </cfRule>
  </conditionalFormatting>
  <conditionalFormatting sqref="I383">
    <cfRule type="cellIs" priority="1135" operator="lessThan" aboveAverage="0" equalAverage="0" bottom="0" percent="0" rank="0" text="" dxfId="8">
      <formula>0</formula>
    </cfRule>
  </conditionalFormatting>
  <conditionalFormatting sqref="E384">
    <cfRule type="cellIs" priority="1136" operator="greaterThan" aboveAverage="0" equalAverage="0" bottom="0" percent="0" rank="0" text="" dxfId="7">
      <formula>0</formula>
    </cfRule>
  </conditionalFormatting>
  <conditionalFormatting sqref="F384">
    <cfRule type="cellIs" priority="1137" operator="greaterThan" aboveAverage="0" equalAverage="0" bottom="0" percent="0" rank="0" text="" dxfId="7">
      <formula>0</formula>
    </cfRule>
  </conditionalFormatting>
  <conditionalFormatting sqref="I384">
    <cfRule type="cellIs" priority="1138" operator="lessThan" aboveAverage="0" equalAverage="0" bottom="0" percent="0" rank="0" text="" dxfId="8">
      <formula>0</formula>
    </cfRule>
  </conditionalFormatting>
  <conditionalFormatting sqref="E385">
    <cfRule type="cellIs" priority="1139" operator="greaterThan" aboveAverage="0" equalAverage="0" bottom="0" percent="0" rank="0" text="" dxfId="7">
      <formula>0</formula>
    </cfRule>
  </conditionalFormatting>
  <conditionalFormatting sqref="F385">
    <cfRule type="cellIs" priority="1140" operator="greaterThan" aboveAverage="0" equalAverage="0" bottom="0" percent="0" rank="0" text="" dxfId="7">
      <formula>0</formula>
    </cfRule>
  </conditionalFormatting>
  <conditionalFormatting sqref="I385">
    <cfRule type="cellIs" priority="1141" operator="lessThan" aboveAverage="0" equalAverage="0" bottom="0" percent="0" rank="0" text="" dxfId="8">
      <formula>0</formula>
    </cfRule>
  </conditionalFormatting>
  <conditionalFormatting sqref="E386">
    <cfRule type="cellIs" priority="1142" operator="greaterThan" aboveAverage="0" equalAverage="0" bottom="0" percent="0" rank="0" text="" dxfId="7">
      <formula>0</formula>
    </cfRule>
  </conditionalFormatting>
  <conditionalFormatting sqref="F386">
    <cfRule type="cellIs" priority="1143" operator="greaterThan" aboveAverage="0" equalAverage="0" bottom="0" percent="0" rank="0" text="" dxfId="7">
      <formula>0</formula>
    </cfRule>
  </conditionalFormatting>
  <conditionalFormatting sqref="I386">
    <cfRule type="cellIs" priority="1144" operator="lessThan" aboveAverage="0" equalAverage="0" bottom="0" percent="0" rank="0" text="" dxfId="8">
      <formula>0</formula>
    </cfRule>
  </conditionalFormatting>
  <conditionalFormatting sqref="E387">
    <cfRule type="cellIs" priority="1145" operator="greaterThan" aboveAverage="0" equalAverage="0" bottom="0" percent="0" rank="0" text="" dxfId="7">
      <formula>0</formula>
    </cfRule>
  </conditionalFormatting>
  <conditionalFormatting sqref="F387">
    <cfRule type="cellIs" priority="1146" operator="greaterThan" aboveAverage="0" equalAverage="0" bottom="0" percent="0" rank="0" text="" dxfId="7">
      <formula>0</formula>
    </cfRule>
  </conditionalFormatting>
  <conditionalFormatting sqref="I387">
    <cfRule type="cellIs" priority="1147" operator="lessThan" aboveAverage="0" equalAverage="0" bottom="0" percent="0" rank="0" text="" dxfId="8">
      <formula>0</formula>
    </cfRule>
  </conditionalFormatting>
  <conditionalFormatting sqref="E388">
    <cfRule type="cellIs" priority="1148" operator="greaterThan" aboveAverage="0" equalAverage="0" bottom="0" percent="0" rank="0" text="" dxfId="7">
      <formula>0</formula>
    </cfRule>
  </conditionalFormatting>
  <conditionalFormatting sqref="F388">
    <cfRule type="cellIs" priority="1149" operator="greaterThan" aboveAverage="0" equalAverage="0" bottom="0" percent="0" rank="0" text="" dxfId="7">
      <formula>0</formula>
    </cfRule>
  </conditionalFormatting>
  <conditionalFormatting sqref="I388">
    <cfRule type="cellIs" priority="1150" operator="lessThan" aboveAverage="0" equalAverage="0" bottom="0" percent="0" rank="0" text="" dxfId="8">
      <formula>0</formula>
    </cfRule>
  </conditionalFormatting>
  <conditionalFormatting sqref="E389">
    <cfRule type="cellIs" priority="1151" operator="greaterThan" aboveAverage="0" equalAverage="0" bottom="0" percent="0" rank="0" text="" dxfId="7">
      <formula>0</formula>
    </cfRule>
  </conditionalFormatting>
  <conditionalFormatting sqref="F389">
    <cfRule type="cellIs" priority="1152" operator="greaterThan" aboveAverage="0" equalAverage="0" bottom="0" percent="0" rank="0" text="" dxfId="7">
      <formula>0</formula>
    </cfRule>
  </conditionalFormatting>
  <conditionalFormatting sqref="I389">
    <cfRule type="cellIs" priority="1153" operator="lessThan" aboveAverage="0" equalAverage="0" bottom="0" percent="0" rank="0" text="" dxfId="8">
      <formula>0</formula>
    </cfRule>
  </conditionalFormatting>
  <conditionalFormatting sqref="E390">
    <cfRule type="cellIs" priority="1154" operator="greaterThan" aboveAverage="0" equalAverage="0" bottom="0" percent="0" rank="0" text="" dxfId="7">
      <formula>0</formula>
    </cfRule>
  </conditionalFormatting>
  <conditionalFormatting sqref="F390">
    <cfRule type="cellIs" priority="1155" operator="greaterThan" aboveAverage="0" equalAverage="0" bottom="0" percent="0" rank="0" text="" dxfId="7">
      <formula>0</formula>
    </cfRule>
  </conditionalFormatting>
  <conditionalFormatting sqref="I390">
    <cfRule type="cellIs" priority="1156" operator="lessThan" aboveAverage="0" equalAverage="0" bottom="0" percent="0" rank="0" text="" dxfId="8">
      <formula>0</formula>
    </cfRule>
  </conditionalFormatting>
  <conditionalFormatting sqref="E391">
    <cfRule type="cellIs" priority="1157" operator="greaterThan" aboveAverage="0" equalAverage="0" bottom="0" percent="0" rank="0" text="" dxfId="7">
      <formula>0</formula>
    </cfRule>
  </conditionalFormatting>
  <conditionalFormatting sqref="F391">
    <cfRule type="cellIs" priority="1158" operator="greaterThan" aboveAverage="0" equalAverage="0" bottom="0" percent="0" rank="0" text="" dxfId="7">
      <formula>0</formula>
    </cfRule>
  </conditionalFormatting>
  <conditionalFormatting sqref="I391">
    <cfRule type="cellIs" priority="1159" operator="lessThan" aboveAverage="0" equalAverage="0" bottom="0" percent="0" rank="0" text="" dxfId="8">
      <formula>0</formula>
    </cfRule>
  </conditionalFormatting>
  <conditionalFormatting sqref="E392">
    <cfRule type="cellIs" priority="1160" operator="greaterThan" aboveAverage="0" equalAverage="0" bottom="0" percent="0" rank="0" text="" dxfId="7">
      <formula>0</formula>
    </cfRule>
  </conditionalFormatting>
  <conditionalFormatting sqref="F392">
    <cfRule type="cellIs" priority="1161" operator="greaterThan" aboveAverage="0" equalAverage="0" bottom="0" percent="0" rank="0" text="" dxfId="7">
      <formula>0</formula>
    </cfRule>
  </conditionalFormatting>
  <conditionalFormatting sqref="I392">
    <cfRule type="cellIs" priority="1162" operator="lessThan" aboveAverage="0" equalAverage="0" bottom="0" percent="0" rank="0" text="" dxfId="8">
      <formula>0</formula>
    </cfRule>
  </conditionalFormatting>
  <conditionalFormatting sqref="E393">
    <cfRule type="cellIs" priority="1163" operator="greaterThan" aboveAverage="0" equalAverage="0" bottom="0" percent="0" rank="0" text="" dxfId="7">
      <formula>0</formula>
    </cfRule>
  </conditionalFormatting>
  <conditionalFormatting sqref="F393">
    <cfRule type="cellIs" priority="1164" operator="greaterThan" aboveAverage="0" equalAverage="0" bottom="0" percent="0" rank="0" text="" dxfId="7">
      <formula>0</formula>
    </cfRule>
  </conditionalFormatting>
  <conditionalFormatting sqref="I393">
    <cfRule type="cellIs" priority="1165" operator="lessThan" aboveAverage="0" equalAverage="0" bottom="0" percent="0" rank="0" text="" dxfId="8">
      <formula>0</formula>
    </cfRule>
  </conditionalFormatting>
  <conditionalFormatting sqref="E394">
    <cfRule type="cellIs" priority="1166" operator="greaterThan" aboveAverage="0" equalAverage="0" bottom="0" percent="0" rank="0" text="" dxfId="7">
      <formula>0</formula>
    </cfRule>
  </conditionalFormatting>
  <conditionalFormatting sqref="F394">
    <cfRule type="cellIs" priority="1167" operator="greaterThan" aboveAverage="0" equalAverage="0" bottom="0" percent="0" rank="0" text="" dxfId="7">
      <formula>0</formula>
    </cfRule>
  </conditionalFormatting>
  <conditionalFormatting sqref="I394">
    <cfRule type="cellIs" priority="1168" operator="lessThan" aboveAverage="0" equalAverage="0" bottom="0" percent="0" rank="0" text="" dxfId="8">
      <formula>0</formula>
    </cfRule>
  </conditionalFormatting>
  <conditionalFormatting sqref="E395">
    <cfRule type="cellIs" priority="1169" operator="greaterThan" aboveAverage="0" equalAverage="0" bottom="0" percent="0" rank="0" text="" dxfId="7">
      <formula>0</formula>
    </cfRule>
  </conditionalFormatting>
  <conditionalFormatting sqref="F395">
    <cfRule type="cellIs" priority="1170" operator="greaterThan" aboveAverage="0" equalAverage="0" bottom="0" percent="0" rank="0" text="" dxfId="7">
      <formula>0</formula>
    </cfRule>
  </conditionalFormatting>
  <conditionalFormatting sqref="I395">
    <cfRule type="cellIs" priority="1171" operator="lessThan" aboveAverage="0" equalAverage="0" bottom="0" percent="0" rank="0" text="" dxfId="8">
      <formula>0</formula>
    </cfRule>
  </conditionalFormatting>
  <conditionalFormatting sqref="E396">
    <cfRule type="cellIs" priority="1172" operator="greaterThan" aboveAverage="0" equalAverage="0" bottom="0" percent="0" rank="0" text="" dxfId="7">
      <formula>0</formula>
    </cfRule>
  </conditionalFormatting>
  <conditionalFormatting sqref="F396">
    <cfRule type="cellIs" priority="1173" operator="greaterThan" aboveAverage="0" equalAverage="0" bottom="0" percent="0" rank="0" text="" dxfId="7">
      <formula>0</formula>
    </cfRule>
  </conditionalFormatting>
  <conditionalFormatting sqref="I396">
    <cfRule type="cellIs" priority="1174" operator="lessThan" aboveAverage="0" equalAverage="0" bottom="0" percent="0" rank="0" text="" dxfId="8">
      <formula>0</formula>
    </cfRule>
  </conditionalFormatting>
  <conditionalFormatting sqref="E397">
    <cfRule type="cellIs" priority="1175" operator="greaterThan" aboveAverage="0" equalAverage="0" bottom="0" percent="0" rank="0" text="" dxfId="7">
      <formula>0</formula>
    </cfRule>
  </conditionalFormatting>
  <conditionalFormatting sqref="F397">
    <cfRule type="cellIs" priority="1176" operator="greaterThan" aboveAverage="0" equalAverage="0" bottom="0" percent="0" rank="0" text="" dxfId="7">
      <formula>0</formula>
    </cfRule>
  </conditionalFormatting>
  <conditionalFormatting sqref="I397">
    <cfRule type="cellIs" priority="1177" operator="lessThan" aboveAverage="0" equalAverage="0" bottom="0" percent="0" rank="0" text="" dxfId="8">
      <formula>0</formula>
    </cfRule>
  </conditionalFormatting>
  <conditionalFormatting sqref="E398">
    <cfRule type="cellIs" priority="1178" operator="greaterThan" aboveAverage="0" equalAverage="0" bottom="0" percent="0" rank="0" text="" dxfId="7">
      <formula>0</formula>
    </cfRule>
  </conditionalFormatting>
  <conditionalFormatting sqref="F398">
    <cfRule type="cellIs" priority="1179" operator="greaterThan" aboveAverage="0" equalAverage="0" bottom="0" percent="0" rank="0" text="" dxfId="7">
      <formula>0</formula>
    </cfRule>
  </conditionalFormatting>
  <conditionalFormatting sqref="I398">
    <cfRule type="cellIs" priority="1180" operator="lessThan" aboveAverage="0" equalAverage="0" bottom="0" percent="0" rank="0" text="" dxfId="8">
      <formula>0</formula>
    </cfRule>
  </conditionalFormatting>
  <conditionalFormatting sqref="E399">
    <cfRule type="cellIs" priority="1181" operator="greaterThan" aboveAverage="0" equalAverage="0" bottom="0" percent="0" rank="0" text="" dxfId="7">
      <formula>0</formula>
    </cfRule>
  </conditionalFormatting>
  <conditionalFormatting sqref="F399">
    <cfRule type="cellIs" priority="1182" operator="greaterThan" aboveAverage="0" equalAverage="0" bottom="0" percent="0" rank="0" text="" dxfId="7">
      <formula>0</formula>
    </cfRule>
  </conditionalFormatting>
  <conditionalFormatting sqref="I399">
    <cfRule type="cellIs" priority="1183" operator="lessThan" aboveAverage="0" equalAverage="0" bottom="0" percent="0" rank="0" text="" dxfId="8">
      <formula>0</formula>
    </cfRule>
  </conditionalFormatting>
  <conditionalFormatting sqref="E400">
    <cfRule type="cellIs" priority="1184" operator="greaterThan" aboveAverage="0" equalAverage="0" bottom="0" percent="0" rank="0" text="" dxfId="7">
      <formula>0</formula>
    </cfRule>
  </conditionalFormatting>
  <conditionalFormatting sqref="F400">
    <cfRule type="cellIs" priority="1185" operator="greaterThan" aboveAverage="0" equalAverage="0" bottom="0" percent="0" rank="0" text="" dxfId="7">
      <formula>0</formula>
    </cfRule>
  </conditionalFormatting>
  <conditionalFormatting sqref="I400">
    <cfRule type="cellIs" priority="1186" operator="lessThan" aboveAverage="0" equalAverage="0" bottom="0" percent="0" rank="0" text="" dxfId="8">
      <formula>0</formula>
    </cfRule>
  </conditionalFormatting>
  <conditionalFormatting sqref="E401">
    <cfRule type="cellIs" priority="1187" operator="greaterThan" aboveAverage="0" equalAverage="0" bottom="0" percent="0" rank="0" text="" dxfId="7">
      <formula>0</formula>
    </cfRule>
  </conditionalFormatting>
  <conditionalFormatting sqref="F401">
    <cfRule type="cellIs" priority="1188" operator="greaterThan" aboveAverage="0" equalAverage="0" bottom="0" percent="0" rank="0" text="" dxfId="7">
      <formula>0</formula>
    </cfRule>
  </conditionalFormatting>
  <conditionalFormatting sqref="I401">
    <cfRule type="cellIs" priority="1189" operator="lessThan" aboveAverage="0" equalAverage="0" bottom="0" percent="0" rank="0" text="" dxfId="8">
      <formula>0</formula>
    </cfRule>
  </conditionalFormatting>
  <conditionalFormatting sqref="E402">
    <cfRule type="cellIs" priority="1190" operator="greaterThan" aboveAverage="0" equalAverage="0" bottom="0" percent="0" rank="0" text="" dxfId="7">
      <formula>0</formula>
    </cfRule>
  </conditionalFormatting>
  <conditionalFormatting sqref="F402">
    <cfRule type="cellIs" priority="1191" operator="greaterThan" aboveAverage="0" equalAverage="0" bottom="0" percent="0" rank="0" text="" dxfId="7">
      <formula>0</formula>
    </cfRule>
  </conditionalFormatting>
  <conditionalFormatting sqref="I402">
    <cfRule type="cellIs" priority="1192" operator="lessThan" aboveAverage="0" equalAverage="0" bottom="0" percent="0" rank="0" text="" dxfId="8">
      <formula>0</formula>
    </cfRule>
  </conditionalFormatting>
  <conditionalFormatting sqref="E403">
    <cfRule type="cellIs" priority="1193" operator="greaterThan" aboveAverage="0" equalAverage="0" bottom="0" percent="0" rank="0" text="" dxfId="7">
      <formula>0</formula>
    </cfRule>
  </conditionalFormatting>
  <conditionalFormatting sqref="F403">
    <cfRule type="cellIs" priority="1194" operator="greaterThan" aboveAverage="0" equalAverage="0" bottom="0" percent="0" rank="0" text="" dxfId="7">
      <formula>0</formula>
    </cfRule>
  </conditionalFormatting>
  <conditionalFormatting sqref="I403">
    <cfRule type="cellIs" priority="1195" operator="lessThan" aboveAverage="0" equalAverage="0" bottom="0" percent="0" rank="0" text="" dxfId="8">
      <formula>0</formula>
    </cfRule>
  </conditionalFormatting>
  <conditionalFormatting sqref="E404">
    <cfRule type="cellIs" priority="1196" operator="greaterThan" aboveAverage="0" equalAverage="0" bottom="0" percent="0" rank="0" text="" dxfId="7">
      <formula>0</formula>
    </cfRule>
  </conditionalFormatting>
  <conditionalFormatting sqref="F404">
    <cfRule type="cellIs" priority="1197" operator="greaterThan" aboveAverage="0" equalAverage="0" bottom="0" percent="0" rank="0" text="" dxfId="7">
      <formula>0</formula>
    </cfRule>
  </conditionalFormatting>
  <conditionalFormatting sqref="I404">
    <cfRule type="cellIs" priority="1198" operator="lessThan" aboveAverage="0" equalAverage="0" bottom="0" percent="0" rank="0" text="" dxfId="8">
      <formula>0</formula>
    </cfRule>
  </conditionalFormatting>
  <conditionalFormatting sqref="E405">
    <cfRule type="cellIs" priority="1199" operator="greaterThan" aboveAverage="0" equalAverage="0" bottom="0" percent="0" rank="0" text="" dxfId="7">
      <formula>0</formula>
    </cfRule>
  </conditionalFormatting>
  <conditionalFormatting sqref="F405">
    <cfRule type="cellIs" priority="1200" operator="greaterThan" aboveAverage="0" equalAverage="0" bottom="0" percent="0" rank="0" text="" dxfId="7">
      <formula>0</formula>
    </cfRule>
  </conditionalFormatting>
  <conditionalFormatting sqref="I405">
    <cfRule type="cellIs" priority="1201" operator="lessThan" aboveAverage="0" equalAverage="0" bottom="0" percent="0" rank="0" text="" dxfId="8">
      <formula>0</formula>
    </cfRule>
  </conditionalFormatting>
  <conditionalFormatting sqref="E406">
    <cfRule type="cellIs" priority="1202" operator="greaterThan" aboveAverage="0" equalAverage="0" bottom="0" percent="0" rank="0" text="" dxfId="7">
      <formula>0</formula>
    </cfRule>
  </conditionalFormatting>
  <conditionalFormatting sqref="F406">
    <cfRule type="cellIs" priority="1203" operator="greaterThan" aboveAverage="0" equalAverage="0" bottom="0" percent="0" rank="0" text="" dxfId="7">
      <formula>0</formula>
    </cfRule>
  </conditionalFormatting>
  <conditionalFormatting sqref="I406">
    <cfRule type="cellIs" priority="1204" operator="lessThan" aboveAverage="0" equalAverage="0" bottom="0" percent="0" rank="0" text="" dxfId="8">
      <formula>0</formula>
    </cfRule>
  </conditionalFormatting>
  <conditionalFormatting sqref="E407">
    <cfRule type="cellIs" priority="1205" operator="greaterThan" aboveAverage="0" equalAverage="0" bottom="0" percent="0" rank="0" text="" dxfId="7">
      <formula>0</formula>
    </cfRule>
  </conditionalFormatting>
  <conditionalFormatting sqref="F407">
    <cfRule type="cellIs" priority="1206" operator="greaterThan" aboveAverage="0" equalAverage="0" bottom="0" percent="0" rank="0" text="" dxfId="7">
      <formula>0</formula>
    </cfRule>
  </conditionalFormatting>
  <conditionalFormatting sqref="I407">
    <cfRule type="cellIs" priority="1207" operator="lessThan" aboveAverage="0" equalAverage="0" bottom="0" percent="0" rank="0" text="" dxfId="8">
      <formula>0</formula>
    </cfRule>
  </conditionalFormatting>
  <conditionalFormatting sqref="E408">
    <cfRule type="cellIs" priority="1208" operator="greaterThan" aboveAverage="0" equalAverage="0" bottom="0" percent="0" rank="0" text="" dxfId="7">
      <formula>0</formula>
    </cfRule>
  </conditionalFormatting>
  <conditionalFormatting sqref="F408">
    <cfRule type="cellIs" priority="1209" operator="greaterThan" aboveAverage="0" equalAverage="0" bottom="0" percent="0" rank="0" text="" dxfId="7">
      <formula>0</formula>
    </cfRule>
  </conditionalFormatting>
  <conditionalFormatting sqref="I408">
    <cfRule type="cellIs" priority="1210" operator="lessThan" aboveAverage="0" equalAverage="0" bottom="0" percent="0" rank="0" text="" dxfId="8">
      <formula>0</formula>
    </cfRule>
  </conditionalFormatting>
  <conditionalFormatting sqref="E409">
    <cfRule type="cellIs" priority="1211" operator="greaterThan" aboveAverage="0" equalAverage="0" bottom="0" percent="0" rank="0" text="" dxfId="7">
      <formula>0</formula>
    </cfRule>
  </conditionalFormatting>
  <conditionalFormatting sqref="F409">
    <cfRule type="cellIs" priority="1212" operator="greaterThan" aboveAverage="0" equalAverage="0" bottom="0" percent="0" rank="0" text="" dxfId="7">
      <formula>0</formula>
    </cfRule>
  </conditionalFormatting>
  <conditionalFormatting sqref="I409">
    <cfRule type="cellIs" priority="1213" operator="lessThan" aboveAverage="0" equalAverage="0" bottom="0" percent="0" rank="0" text="" dxfId="8">
      <formula>0</formula>
    </cfRule>
  </conditionalFormatting>
  <conditionalFormatting sqref="E410">
    <cfRule type="cellIs" priority="1214" operator="greaterThan" aboveAverage="0" equalAverage="0" bottom="0" percent="0" rank="0" text="" dxfId="7">
      <formula>0</formula>
    </cfRule>
  </conditionalFormatting>
  <conditionalFormatting sqref="F410">
    <cfRule type="cellIs" priority="1215" operator="greaterThan" aboveAverage="0" equalAverage="0" bottom="0" percent="0" rank="0" text="" dxfId="7">
      <formula>0</formula>
    </cfRule>
  </conditionalFormatting>
  <conditionalFormatting sqref="I410">
    <cfRule type="cellIs" priority="1216" operator="lessThan" aboveAverage="0" equalAverage="0" bottom="0" percent="0" rank="0" text="" dxfId="8">
      <formula>0</formula>
    </cfRule>
  </conditionalFormatting>
  <conditionalFormatting sqref="E411">
    <cfRule type="cellIs" priority="1217" operator="greaterThan" aboveAverage="0" equalAverage="0" bottom="0" percent="0" rank="0" text="" dxfId="7">
      <formula>0</formula>
    </cfRule>
  </conditionalFormatting>
  <conditionalFormatting sqref="F411">
    <cfRule type="cellIs" priority="1218" operator="greaterThan" aboveAverage="0" equalAverage="0" bottom="0" percent="0" rank="0" text="" dxfId="7">
      <formula>0</formula>
    </cfRule>
  </conditionalFormatting>
  <conditionalFormatting sqref="I411">
    <cfRule type="cellIs" priority="1219" operator="lessThan" aboveAverage="0" equalAverage="0" bottom="0" percent="0" rank="0" text="" dxfId="8">
      <formula>0</formula>
    </cfRule>
  </conditionalFormatting>
  <conditionalFormatting sqref="E412">
    <cfRule type="cellIs" priority="1220" operator="greaterThan" aboveAverage="0" equalAverage="0" bottom="0" percent="0" rank="0" text="" dxfId="7">
      <formula>0</formula>
    </cfRule>
  </conditionalFormatting>
  <conditionalFormatting sqref="F412">
    <cfRule type="cellIs" priority="1221" operator="greaterThan" aboveAverage="0" equalAverage="0" bottom="0" percent="0" rank="0" text="" dxfId="7">
      <formula>0</formula>
    </cfRule>
  </conditionalFormatting>
  <conditionalFormatting sqref="I412">
    <cfRule type="cellIs" priority="1222" operator="lessThan" aboveAverage="0" equalAverage="0" bottom="0" percent="0" rank="0" text="" dxfId="8">
      <formula>0</formula>
    </cfRule>
  </conditionalFormatting>
  <conditionalFormatting sqref="E413">
    <cfRule type="cellIs" priority="1223" operator="greaterThan" aboveAverage="0" equalAverage="0" bottom="0" percent="0" rank="0" text="" dxfId="7">
      <formula>0</formula>
    </cfRule>
  </conditionalFormatting>
  <conditionalFormatting sqref="F413">
    <cfRule type="cellIs" priority="1224" operator="greaterThan" aboveAverage="0" equalAverage="0" bottom="0" percent="0" rank="0" text="" dxfId="7">
      <formula>0</formula>
    </cfRule>
  </conditionalFormatting>
  <conditionalFormatting sqref="I413">
    <cfRule type="cellIs" priority="1225" operator="lessThan" aboveAverage="0" equalAverage="0" bottom="0" percent="0" rank="0" text="" dxfId="8">
      <formula>0</formula>
    </cfRule>
  </conditionalFormatting>
  <conditionalFormatting sqref="E414">
    <cfRule type="cellIs" priority="1226" operator="greaterThan" aboveAverage="0" equalAverage="0" bottom="0" percent="0" rank="0" text="" dxfId="7">
      <formula>0</formula>
    </cfRule>
  </conditionalFormatting>
  <conditionalFormatting sqref="F414">
    <cfRule type="cellIs" priority="1227" operator="greaterThan" aboveAverage="0" equalAverage="0" bottom="0" percent="0" rank="0" text="" dxfId="7">
      <formula>0</formula>
    </cfRule>
  </conditionalFormatting>
  <conditionalFormatting sqref="I414">
    <cfRule type="cellIs" priority="1228" operator="lessThan" aboveAverage="0" equalAverage="0" bottom="0" percent="0" rank="0" text="" dxfId="8">
      <formula>0</formula>
    </cfRule>
  </conditionalFormatting>
  <conditionalFormatting sqref="E415">
    <cfRule type="cellIs" priority="1229" operator="greaterThan" aboveAverage="0" equalAverage="0" bottom="0" percent="0" rank="0" text="" dxfId="7">
      <formula>0</formula>
    </cfRule>
  </conditionalFormatting>
  <conditionalFormatting sqref="F415">
    <cfRule type="cellIs" priority="1230" operator="greaterThan" aboveAverage="0" equalAverage="0" bottom="0" percent="0" rank="0" text="" dxfId="7">
      <formula>0</formula>
    </cfRule>
  </conditionalFormatting>
  <conditionalFormatting sqref="I415">
    <cfRule type="cellIs" priority="1231" operator="lessThan" aboveAverage="0" equalAverage="0" bottom="0" percent="0" rank="0" text="" dxfId="8">
      <formula>0</formula>
    </cfRule>
  </conditionalFormatting>
  <conditionalFormatting sqref="E416">
    <cfRule type="cellIs" priority="1232" operator="greaterThan" aboveAverage="0" equalAverage="0" bottom="0" percent="0" rank="0" text="" dxfId="7">
      <formula>0</formula>
    </cfRule>
  </conditionalFormatting>
  <conditionalFormatting sqref="F416">
    <cfRule type="cellIs" priority="1233" operator="greaterThan" aboveAverage="0" equalAverage="0" bottom="0" percent="0" rank="0" text="" dxfId="7">
      <formula>0</formula>
    </cfRule>
  </conditionalFormatting>
  <conditionalFormatting sqref="I416">
    <cfRule type="cellIs" priority="1234" operator="lessThan" aboveAverage="0" equalAverage="0" bottom="0" percent="0" rank="0" text="" dxfId="8">
      <formula>0</formula>
    </cfRule>
  </conditionalFormatting>
  <conditionalFormatting sqref="E417">
    <cfRule type="cellIs" priority="1235" operator="greaterThan" aboveAverage="0" equalAverage="0" bottom="0" percent="0" rank="0" text="" dxfId="7">
      <formula>0</formula>
    </cfRule>
  </conditionalFormatting>
  <conditionalFormatting sqref="F417">
    <cfRule type="cellIs" priority="1236" operator="greaterThan" aboveAverage="0" equalAverage="0" bottom="0" percent="0" rank="0" text="" dxfId="7">
      <formula>0</formula>
    </cfRule>
  </conditionalFormatting>
  <conditionalFormatting sqref="I417">
    <cfRule type="cellIs" priority="1237" operator="lessThan" aboveAverage="0" equalAverage="0" bottom="0" percent="0" rank="0" text="" dxfId="8">
      <formula>0</formula>
    </cfRule>
  </conditionalFormatting>
  <conditionalFormatting sqref="E418">
    <cfRule type="cellIs" priority="1238" operator="greaterThan" aboveAverage="0" equalAverage="0" bottom="0" percent="0" rank="0" text="" dxfId="7">
      <formula>0</formula>
    </cfRule>
  </conditionalFormatting>
  <conditionalFormatting sqref="F418">
    <cfRule type="cellIs" priority="1239" operator="greaterThan" aboveAverage="0" equalAverage="0" bottom="0" percent="0" rank="0" text="" dxfId="7">
      <formula>0</formula>
    </cfRule>
  </conditionalFormatting>
  <conditionalFormatting sqref="I418">
    <cfRule type="cellIs" priority="1240" operator="lessThan" aboveAverage="0" equalAverage="0" bottom="0" percent="0" rank="0" text="" dxfId="8">
      <formula>0</formula>
    </cfRule>
  </conditionalFormatting>
  <conditionalFormatting sqref="E419">
    <cfRule type="cellIs" priority="1241" operator="greaterThan" aboveAverage="0" equalAverage="0" bottom="0" percent="0" rank="0" text="" dxfId="7">
      <formula>0</formula>
    </cfRule>
  </conditionalFormatting>
  <conditionalFormatting sqref="F419">
    <cfRule type="cellIs" priority="1242" operator="greaterThan" aboveAverage="0" equalAverage="0" bottom="0" percent="0" rank="0" text="" dxfId="7">
      <formula>0</formula>
    </cfRule>
  </conditionalFormatting>
  <conditionalFormatting sqref="I419">
    <cfRule type="cellIs" priority="1243" operator="lessThan" aboveAverage="0" equalAverage="0" bottom="0" percent="0" rank="0" text="" dxfId="8">
      <formula>0</formula>
    </cfRule>
  </conditionalFormatting>
  <conditionalFormatting sqref="E420">
    <cfRule type="cellIs" priority="1244" operator="greaterThan" aboveAverage="0" equalAverage="0" bottom="0" percent="0" rank="0" text="" dxfId="7">
      <formula>0</formula>
    </cfRule>
  </conditionalFormatting>
  <conditionalFormatting sqref="F420">
    <cfRule type="cellIs" priority="1245" operator="greaterThan" aboveAverage="0" equalAverage="0" bottom="0" percent="0" rank="0" text="" dxfId="7">
      <formula>0</formula>
    </cfRule>
  </conditionalFormatting>
  <conditionalFormatting sqref="I420">
    <cfRule type="cellIs" priority="1246" operator="lessThan" aboveAverage="0" equalAverage="0" bottom="0" percent="0" rank="0" text="" dxfId="8">
      <formula>0</formula>
    </cfRule>
  </conditionalFormatting>
  <conditionalFormatting sqref="E421">
    <cfRule type="cellIs" priority="1247" operator="greaterThan" aboveAverage="0" equalAverage="0" bottom="0" percent="0" rank="0" text="" dxfId="7">
      <formula>0</formula>
    </cfRule>
  </conditionalFormatting>
  <conditionalFormatting sqref="F421">
    <cfRule type="cellIs" priority="1248" operator="greaterThan" aboveAverage="0" equalAverage="0" bottom="0" percent="0" rank="0" text="" dxfId="7">
      <formula>0</formula>
    </cfRule>
  </conditionalFormatting>
  <conditionalFormatting sqref="I421">
    <cfRule type="cellIs" priority="1249" operator="lessThan" aboveAverage="0" equalAverage="0" bottom="0" percent="0" rank="0" text="" dxfId="8">
      <formula>0</formula>
    </cfRule>
  </conditionalFormatting>
  <conditionalFormatting sqref="E422">
    <cfRule type="cellIs" priority="1250" operator="greaterThan" aboveAverage="0" equalAverage="0" bottom="0" percent="0" rank="0" text="" dxfId="7">
      <formula>0</formula>
    </cfRule>
  </conditionalFormatting>
  <conditionalFormatting sqref="F422">
    <cfRule type="cellIs" priority="1251" operator="greaterThan" aboveAverage="0" equalAverage="0" bottom="0" percent="0" rank="0" text="" dxfId="7">
      <formula>0</formula>
    </cfRule>
  </conditionalFormatting>
  <conditionalFormatting sqref="I422">
    <cfRule type="cellIs" priority="1252" operator="lessThan" aboveAverage="0" equalAverage="0" bottom="0" percent="0" rank="0" text="" dxfId="8">
      <formula>0</formula>
    </cfRule>
  </conditionalFormatting>
  <conditionalFormatting sqref="E423">
    <cfRule type="cellIs" priority="1253" operator="greaterThan" aboveAverage="0" equalAverage="0" bottom="0" percent="0" rank="0" text="" dxfId="7">
      <formula>0</formula>
    </cfRule>
  </conditionalFormatting>
  <conditionalFormatting sqref="F423">
    <cfRule type="cellIs" priority="1254" operator="greaterThan" aboveAverage="0" equalAverage="0" bottom="0" percent="0" rank="0" text="" dxfId="7">
      <formula>0</formula>
    </cfRule>
  </conditionalFormatting>
  <conditionalFormatting sqref="I423">
    <cfRule type="cellIs" priority="1255" operator="lessThan" aboveAverage="0" equalAverage="0" bottom="0" percent="0" rank="0" text="" dxfId="8">
      <formula>0</formula>
    </cfRule>
  </conditionalFormatting>
  <conditionalFormatting sqref="E424">
    <cfRule type="cellIs" priority="1256" operator="greaterThan" aboveAverage="0" equalAverage="0" bottom="0" percent="0" rank="0" text="" dxfId="7">
      <formula>0</formula>
    </cfRule>
  </conditionalFormatting>
  <conditionalFormatting sqref="F424">
    <cfRule type="cellIs" priority="1257" operator="greaterThan" aboveAverage="0" equalAverage="0" bottom="0" percent="0" rank="0" text="" dxfId="7">
      <formula>0</formula>
    </cfRule>
  </conditionalFormatting>
  <conditionalFormatting sqref="I424">
    <cfRule type="cellIs" priority="1258" operator="lessThan" aboveAverage="0" equalAverage="0" bottom="0" percent="0" rank="0" text="" dxfId="8">
      <formula>0</formula>
    </cfRule>
  </conditionalFormatting>
  <conditionalFormatting sqref="E425">
    <cfRule type="cellIs" priority="1259" operator="greaterThan" aboveAverage="0" equalAverage="0" bottom="0" percent="0" rank="0" text="" dxfId="7">
      <formula>0</formula>
    </cfRule>
  </conditionalFormatting>
  <conditionalFormatting sqref="F425">
    <cfRule type="cellIs" priority="1260" operator="greaterThan" aboveAverage="0" equalAverage="0" bottom="0" percent="0" rank="0" text="" dxfId="7">
      <formula>0</formula>
    </cfRule>
  </conditionalFormatting>
  <conditionalFormatting sqref="I425">
    <cfRule type="cellIs" priority="1261" operator="lessThan" aboveAverage="0" equalAverage="0" bottom="0" percent="0" rank="0" text="" dxfId="8">
      <formula>0</formula>
    </cfRule>
  </conditionalFormatting>
  <conditionalFormatting sqref="E426">
    <cfRule type="cellIs" priority="1262" operator="greaterThan" aboveAverage="0" equalAverage="0" bottom="0" percent="0" rank="0" text="" dxfId="7">
      <formula>0</formula>
    </cfRule>
  </conditionalFormatting>
  <conditionalFormatting sqref="F426">
    <cfRule type="cellIs" priority="1263" operator="greaterThan" aboveAverage="0" equalAverage="0" bottom="0" percent="0" rank="0" text="" dxfId="7">
      <formula>0</formula>
    </cfRule>
  </conditionalFormatting>
  <conditionalFormatting sqref="I426">
    <cfRule type="cellIs" priority="1264" operator="lessThan" aboveAverage="0" equalAverage="0" bottom="0" percent="0" rank="0" text="" dxfId="8">
      <formula>0</formula>
    </cfRule>
  </conditionalFormatting>
  <conditionalFormatting sqref="E427">
    <cfRule type="cellIs" priority="1265" operator="greaterThan" aboveAverage="0" equalAverage="0" bottom="0" percent="0" rank="0" text="" dxfId="7">
      <formula>0</formula>
    </cfRule>
  </conditionalFormatting>
  <conditionalFormatting sqref="F427">
    <cfRule type="cellIs" priority="1266" operator="greaterThan" aboveAverage="0" equalAverage="0" bottom="0" percent="0" rank="0" text="" dxfId="7">
      <formula>0</formula>
    </cfRule>
  </conditionalFormatting>
  <conditionalFormatting sqref="I427">
    <cfRule type="cellIs" priority="1267" operator="lessThan" aboveAverage="0" equalAverage="0" bottom="0" percent="0" rank="0" text="" dxfId="8">
      <formula>0</formula>
    </cfRule>
  </conditionalFormatting>
  <conditionalFormatting sqref="E428">
    <cfRule type="cellIs" priority="1268" operator="greaterThan" aboveAverage="0" equalAverage="0" bottom="0" percent="0" rank="0" text="" dxfId="7">
      <formula>0</formula>
    </cfRule>
  </conditionalFormatting>
  <conditionalFormatting sqref="F428">
    <cfRule type="cellIs" priority="1269" operator="greaterThan" aboveAverage="0" equalAverage="0" bottom="0" percent="0" rank="0" text="" dxfId="7">
      <formula>0</formula>
    </cfRule>
  </conditionalFormatting>
  <conditionalFormatting sqref="I428">
    <cfRule type="cellIs" priority="1270" operator="lessThan" aboveAverage="0" equalAverage="0" bottom="0" percent="0" rank="0" text="" dxfId="8">
      <formula>0</formula>
    </cfRule>
  </conditionalFormatting>
  <conditionalFormatting sqref="E429">
    <cfRule type="cellIs" priority="1271" operator="greaterThan" aboveAverage="0" equalAverage="0" bottom="0" percent="0" rank="0" text="" dxfId="7">
      <formula>0</formula>
    </cfRule>
  </conditionalFormatting>
  <conditionalFormatting sqref="F429">
    <cfRule type="cellIs" priority="1272" operator="greaterThan" aboveAverage="0" equalAverage="0" bottom="0" percent="0" rank="0" text="" dxfId="7">
      <formula>0</formula>
    </cfRule>
  </conditionalFormatting>
  <conditionalFormatting sqref="I429">
    <cfRule type="cellIs" priority="1273" operator="lessThan" aboveAverage="0" equalAverage="0" bottom="0" percent="0" rank="0" text="" dxfId="8">
      <formula>0</formula>
    </cfRule>
  </conditionalFormatting>
  <conditionalFormatting sqref="E430">
    <cfRule type="cellIs" priority="1274" operator="greaterThan" aboveAverage="0" equalAverage="0" bottom="0" percent="0" rank="0" text="" dxfId="7">
      <formula>0</formula>
    </cfRule>
  </conditionalFormatting>
  <conditionalFormatting sqref="F430">
    <cfRule type="cellIs" priority="1275" operator="greaterThan" aboveAverage="0" equalAverage="0" bottom="0" percent="0" rank="0" text="" dxfId="7">
      <formula>0</formula>
    </cfRule>
  </conditionalFormatting>
  <conditionalFormatting sqref="I430">
    <cfRule type="cellIs" priority="1276" operator="lessThan" aboveAverage="0" equalAverage="0" bottom="0" percent="0" rank="0" text="" dxfId="8">
      <formula>0</formula>
    </cfRule>
  </conditionalFormatting>
  <conditionalFormatting sqref="E431">
    <cfRule type="cellIs" priority="1277" operator="greaterThan" aboveAverage="0" equalAverage="0" bottom="0" percent="0" rank="0" text="" dxfId="7">
      <formula>0</formula>
    </cfRule>
  </conditionalFormatting>
  <conditionalFormatting sqref="F431">
    <cfRule type="cellIs" priority="1278" operator="greaterThan" aboveAverage="0" equalAverage="0" bottom="0" percent="0" rank="0" text="" dxfId="7">
      <formula>0</formula>
    </cfRule>
  </conditionalFormatting>
  <conditionalFormatting sqref="I431">
    <cfRule type="cellIs" priority="1279" operator="lessThan" aboveAverage="0" equalAverage="0" bottom="0" percent="0" rank="0" text="" dxfId="8">
      <formula>0</formula>
    </cfRule>
  </conditionalFormatting>
  <conditionalFormatting sqref="E432">
    <cfRule type="cellIs" priority="1280" operator="greaterThan" aboveAverage="0" equalAverage="0" bottom="0" percent="0" rank="0" text="" dxfId="7">
      <formula>0</formula>
    </cfRule>
  </conditionalFormatting>
  <conditionalFormatting sqref="F432">
    <cfRule type="cellIs" priority="1281" operator="greaterThan" aboveAverage="0" equalAverage="0" bottom="0" percent="0" rank="0" text="" dxfId="7">
      <formula>0</formula>
    </cfRule>
  </conditionalFormatting>
  <conditionalFormatting sqref="I432">
    <cfRule type="cellIs" priority="1282" operator="lessThan" aboveAverage="0" equalAverage="0" bottom="0" percent="0" rank="0" text="" dxfId="8">
      <formula>0</formula>
    </cfRule>
  </conditionalFormatting>
  <conditionalFormatting sqref="E433">
    <cfRule type="cellIs" priority="1283" operator="greaterThan" aboveAverage="0" equalAverage="0" bottom="0" percent="0" rank="0" text="" dxfId="7">
      <formula>0</formula>
    </cfRule>
  </conditionalFormatting>
  <conditionalFormatting sqref="F433">
    <cfRule type="cellIs" priority="1284" operator="greaterThan" aboveAverage="0" equalAverage="0" bottom="0" percent="0" rank="0" text="" dxfId="7">
      <formula>0</formula>
    </cfRule>
  </conditionalFormatting>
  <conditionalFormatting sqref="I433">
    <cfRule type="cellIs" priority="1285" operator="lessThan" aboveAverage="0" equalAverage="0" bottom="0" percent="0" rank="0" text="" dxfId="8">
      <formula>0</formula>
    </cfRule>
  </conditionalFormatting>
  <conditionalFormatting sqref="E434">
    <cfRule type="cellIs" priority="1286" operator="greaterThan" aboveAverage="0" equalAverage="0" bottom="0" percent="0" rank="0" text="" dxfId="7">
      <formula>0</formula>
    </cfRule>
  </conditionalFormatting>
  <conditionalFormatting sqref="F434">
    <cfRule type="cellIs" priority="1287" operator="greaterThan" aboveAverage="0" equalAverage="0" bottom="0" percent="0" rank="0" text="" dxfId="7">
      <formula>0</formula>
    </cfRule>
  </conditionalFormatting>
  <conditionalFormatting sqref="I434">
    <cfRule type="cellIs" priority="1288" operator="lessThan" aboveAverage="0" equalAverage="0" bottom="0" percent="0" rank="0" text="" dxfId="8">
      <formula>0</formula>
    </cfRule>
  </conditionalFormatting>
  <conditionalFormatting sqref="E435">
    <cfRule type="cellIs" priority="1289" operator="greaterThan" aboveAverage="0" equalAverage="0" bottom="0" percent="0" rank="0" text="" dxfId="7">
      <formula>0</formula>
    </cfRule>
  </conditionalFormatting>
  <conditionalFormatting sqref="F435">
    <cfRule type="cellIs" priority="1290" operator="greaterThan" aboveAverage="0" equalAverage="0" bottom="0" percent="0" rank="0" text="" dxfId="7">
      <formula>0</formula>
    </cfRule>
  </conditionalFormatting>
  <conditionalFormatting sqref="I435">
    <cfRule type="cellIs" priority="1291" operator="lessThan" aboveAverage="0" equalAverage="0" bottom="0" percent="0" rank="0" text="" dxfId="8">
      <formula>0</formula>
    </cfRule>
  </conditionalFormatting>
  <conditionalFormatting sqref="E436">
    <cfRule type="cellIs" priority="1292" operator="greaterThan" aboveAverage="0" equalAverage="0" bottom="0" percent="0" rank="0" text="" dxfId="7">
      <formula>0</formula>
    </cfRule>
  </conditionalFormatting>
  <conditionalFormatting sqref="F436">
    <cfRule type="cellIs" priority="1293" operator="greaterThan" aboveAverage="0" equalAverage="0" bottom="0" percent="0" rank="0" text="" dxfId="7">
      <formula>0</formula>
    </cfRule>
  </conditionalFormatting>
  <conditionalFormatting sqref="I436">
    <cfRule type="cellIs" priority="1294" operator="lessThan" aboveAverage="0" equalAverage="0" bottom="0" percent="0" rank="0" text="" dxfId="8">
      <formula>0</formula>
    </cfRule>
  </conditionalFormatting>
  <conditionalFormatting sqref="E437">
    <cfRule type="cellIs" priority="1295" operator="greaterThan" aboveAverage="0" equalAverage="0" bottom="0" percent="0" rank="0" text="" dxfId="7">
      <formula>0</formula>
    </cfRule>
  </conditionalFormatting>
  <conditionalFormatting sqref="F437">
    <cfRule type="cellIs" priority="1296" operator="greaterThan" aboveAverage="0" equalAverage="0" bottom="0" percent="0" rank="0" text="" dxfId="7">
      <formula>0</formula>
    </cfRule>
  </conditionalFormatting>
  <conditionalFormatting sqref="I437">
    <cfRule type="cellIs" priority="1297" operator="lessThan" aboveAverage="0" equalAverage="0" bottom="0" percent="0" rank="0" text="" dxfId="8">
      <formula>0</formula>
    </cfRule>
  </conditionalFormatting>
  <conditionalFormatting sqref="E438">
    <cfRule type="cellIs" priority="1298" operator="greaterThan" aboveAverage="0" equalAverage="0" bottom="0" percent="0" rank="0" text="" dxfId="7">
      <formula>0</formula>
    </cfRule>
  </conditionalFormatting>
  <conditionalFormatting sqref="F438">
    <cfRule type="cellIs" priority="1299" operator="greaterThan" aboveAverage="0" equalAverage="0" bottom="0" percent="0" rank="0" text="" dxfId="7">
      <formula>0</formula>
    </cfRule>
  </conditionalFormatting>
  <conditionalFormatting sqref="I438">
    <cfRule type="cellIs" priority="1300" operator="lessThan" aboveAverage="0" equalAverage="0" bottom="0" percent="0" rank="0" text="" dxfId="8">
      <formula>0</formula>
    </cfRule>
  </conditionalFormatting>
  <conditionalFormatting sqref="E439">
    <cfRule type="cellIs" priority="1301" operator="greaterThan" aboveAverage="0" equalAverage="0" bottom="0" percent="0" rank="0" text="" dxfId="7">
      <formula>0</formula>
    </cfRule>
  </conditionalFormatting>
  <conditionalFormatting sqref="F439">
    <cfRule type="cellIs" priority="1302" operator="greaterThan" aboveAverage="0" equalAverage="0" bottom="0" percent="0" rank="0" text="" dxfId="7">
      <formula>0</formula>
    </cfRule>
  </conditionalFormatting>
  <conditionalFormatting sqref="I439">
    <cfRule type="cellIs" priority="1303" operator="lessThan" aboveAverage="0" equalAverage="0" bottom="0" percent="0" rank="0" text="" dxfId="8">
      <formula>0</formula>
    </cfRule>
  </conditionalFormatting>
  <conditionalFormatting sqref="E440">
    <cfRule type="cellIs" priority="1304" operator="greaterThan" aboveAverage="0" equalAverage="0" bottom="0" percent="0" rank="0" text="" dxfId="7">
      <formula>0</formula>
    </cfRule>
  </conditionalFormatting>
  <conditionalFormatting sqref="F440">
    <cfRule type="cellIs" priority="1305" operator="greaterThan" aboveAverage="0" equalAverage="0" bottom="0" percent="0" rank="0" text="" dxfId="7">
      <formula>0</formula>
    </cfRule>
  </conditionalFormatting>
  <conditionalFormatting sqref="I440">
    <cfRule type="cellIs" priority="1306" operator="lessThan" aboveAverage="0" equalAverage="0" bottom="0" percent="0" rank="0" text="" dxfId="8">
      <formula>0</formula>
    </cfRule>
  </conditionalFormatting>
  <conditionalFormatting sqref="E441">
    <cfRule type="cellIs" priority="1307" operator="greaterThan" aboveAverage="0" equalAverage="0" bottom="0" percent="0" rank="0" text="" dxfId="7">
      <formula>0</formula>
    </cfRule>
  </conditionalFormatting>
  <conditionalFormatting sqref="F441">
    <cfRule type="cellIs" priority="1308" operator="greaterThan" aboveAverage="0" equalAverage="0" bottom="0" percent="0" rank="0" text="" dxfId="7">
      <formula>0</formula>
    </cfRule>
  </conditionalFormatting>
  <conditionalFormatting sqref="I441">
    <cfRule type="cellIs" priority="1309" operator="lessThan" aboveAverage="0" equalAverage="0" bottom="0" percent="0" rank="0" text="" dxfId="8">
      <formula>0</formula>
    </cfRule>
  </conditionalFormatting>
  <conditionalFormatting sqref="E442">
    <cfRule type="cellIs" priority="1310" operator="greaterThan" aboveAverage="0" equalAverage="0" bottom="0" percent="0" rank="0" text="" dxfId="7">
      <formula>0</formula>
    </cfRule>
  </conditionalFormatting>
  <conditionalFormatting sqref="F442">
    <cfRule type="cellIs" priority="1311" operator="greaterThan" aboveAverage="0" equalAverage="0" bottom="0" percent="0" rank="0" text="" dxfId="7">
      <formula>0</formula>
    </cfRule>
  </conditionalFormatting>
  <conditionalFormatting sqref="I442">
    <cfRule type="cellIs" priority="1312" operator="lessThan" aboveAverage="0" equalAverage="0" bottom="0" percent="0" rank="0" text="" dxfId="8">
      <formula>0</formula>
    </cfRule>
  </conditionalFormatting>
  <conditionalFormatting sqref="E443">
    <cfRule type="cellIs" priority="1313" operator="greaterThan" aboveAverage="0" equalAverage="0" bottom="0" percent="0" rank="0" text="" dxfId="7">
      <formula>0</formula>
    </cfRule>
  </conditionalFormatting>
  <conditionalFormatting sqref="F443">
    <cfRule type="cellIs" priority="1314" operator="greaterThan" aboveAverage="0" equalAverage="0" bottom="0" percent="0" rank="0" text="" dxfId="7">
      <formula>0</formula>
    </cfRule>
  </conditionalFormatting>
  <conditionalFormatting sqref="I443">
    <cfRule type="cellIs" priority="1315" operator="lessThan" aboveAverage="0" equalAverage="0" bottom="0" percent="0" rank="0" text="" dxfId="8">
      <formula>0</formula>
    </cfRule>
  </conditionalFormatting>
  <conditionalFormatting sqref="E444">
    <cfRule type="cellIs" priority="1316" operator="greaterThan" aboveAverage="0" equalAverage="0" bottom="0" percent="0" rank="0" text="" dxfId="7">
      <formula>0</formula>
    </cfRule>
  </conditionalFormatting>
  <conditionalFormatting sqref="F444">
    <cfRule type="cellIs" priority="1317" operator="greaterThan" aboveAverage="0" equalAverage="0" bottom="0" percent="0" rank="0" text="" dxfId="7">
      <formula>0</formula>
    </cfRule>
  </conditionalFormatting>
  <conditionalFormatting sqref="I444">
    <cfRule type="cellIs" priority="1318" operator="lessThan" aboveAverage="0" equalAverage="0" bottom="0" percent="0" rank="0" text="" dxfId="8">
      <formula>0</formula>
    </cfRule>
  </conditionalFormatting>
  <conditionalFormatting sqref="E445">
    <cfRule type="cellIs" priority="1319" operator="greaterThan" aboveAverage="0" equalAverage="0" bottom="0" percent="0" rank="0" text="" dxfId="7">
      <formula>0</formula>
    </cfRule>
  </conditionalFormatting>
  <conditionalFormatting sqref="F445">
    <cfRule type="cellIs" priority="1320" operator="greaterThan" aboveAverage="0" equalAverage="0" bottom="0" percent="0" rank="0" text="" dxfId="7">
      <formula>0</formula>
    </cfRule>
  </conditionalFormatting>
  <conditionalFormatting sqref="I445">
    <cfRule type="cellIs" priority="1321" operator="lessThan" aboveAverage="0" equalAverage="0" bottom="0" percent="0" rank="0" text="" dxfId="8">
      <formula>0</formula>
    </cfRule>
  </conditionalFormatting>
  <conditionalFormatting sqref="E446">
    <cfRule type="cellIs" priority="1322" operator="greaterThan" aboveAverage="0" equalAverage="0" bottom="0" percent="0" rank="0" text="" dxfId="7">
      <formula>0</formula>
    </cfRule>
  </conditionalFormatting>
  <conditionalFormatting sqref="F446">
    <cfRule type="cellIs" priority="1323" operator="greaterThan" aboveAverage="0" equalAverage="0" bottom="0" percent="0" rank="0" text="" dxfId="7">
      <formula>0</formula>
    </cfRule>
  </conditionalFormatting>
  <conditionalFormatting sqref="I446">
    <cfRule type="cellIs" priority="1324" operator="lessThan" aboveAverage="0" equalAverage="0" bottom="0" percent="0" rank="0" text="" dxfId="8">
      <formula>0</formula>
    </cfRule>
  </conditionalFormatting>
  <conditionalFormatting sqref="E447">
    <cfRule type="cellIs" priority="1325" operator="greaterThan" aboveAverage="0" equalAverage="0" bottom="0" percent="0" rank="0" text="" dxfId="7">
      <formula>0</formula>
    </cfRule>
  </conditionalFormatting>
  <conditionalFormatting sqref="F447">
    <cfRule type="cellIs" priority="1326" operator="greaterThan" aboveAverage="0" equalAverage="0" bottom="0" percent="0" rank="0" text="" dxfId="7">
      <formula>0</formula>
    </cfRule>
  </conditionalFormatting>
  <conditionalFormatting sqref="I447">
    <cfRule type="cellIs" priority="1327" operator="lessThan" aboveAverage="0" equalAverage="0" bottom="0" percent="0" rank="0" text="" dxfId="8">
      <formula>0</formula>
    </cfRule>
  </conditionalFormatting>
  <conditionalFormatting sqref="E448">
    <cfRule type="cellIs" priority="1328" operator="greaterThan" aboveAverage="0" equalAverage="0" bottom="0" percent="0" rank="0" text="" dxfId="7">
      <formula>0</formula>
    </cfRule>
  </conditionalFormatting>
  <conditionalFormatting sqref="F448">
    <cfRule type="cellIs" priority="1329" operator="greaterThan" aboveAverage="0" equalAverage="0" bottom="0" percent="0" rank="0" text="" dxfId="7">
      <formula>0</formula>
    </cfRule>
  </conditionalFormatting>
  <conditionalFormatting sqref="I448">
    <cfRule type="cellIs" priority="1330" operator="lessThan" aboveAverage="0" equalAverage="0" bottom="0" percent="0" rank="0" text="" dxfId="8">
      <formula>0</formula>
    </cfRule>
  </conditionalFormatting>
  <conditionalFormatting sqref="E449">
    <cfRule type="cellIs" priority="1331" operator="greaterThan" aboveAverage="0" equalAverage="0" bottom="0" percent="0" rank="0" text="" dxfId="7">
      <formula>0</formula>
    </cfRule>
  </conditionalFormatting>
  <conditionalFormatting sqref="F449">
    <cfRule type="cellIs" priority="1332" operator="greaterThan" aboveAverage="0" equalAverage="0" bottom="0" percent="0" rank="0" text="" dxfId="7">
      <formula>0</formula>
    </cfRule>
  </conditionalFormatting>
  <conditionalFormatting sqref="I449">
    <cfRule type="cellIs" priority="1333" operator="lessThan" aboveAverage="0" equalAverage="0" bottom="0" percent="0" rank="0" text="" dxfId="8">
      <formula>0</formula>
    </cfRule>
  </conditionalFormatting>
  <conditionalFormatting sqref="E450">
    <cfRule type="cellIs" priority="1334" operator="greaterThan" aboveAverage="0" equalAverage="0" bottom="0" percent="0" rank="0" text="" dxfId="7">
      <formula>0</formula>
    </cfRule>
  </conditionalFormatting>
  <conditionalFormatting sqref="F450">
    <cfRule type="cellIs" priority="1335" operator="greaterThan" aboveAverage="0" equalAverage="0" bottom="0" percent="0" rank="0" text="" dxfId="7">
      <formula>0</formula>
    </cfRule>
  </conditionalFormatting>
  <conditionalFormatting sqref="I450">
    <cfRule type="cellIs" priority="1336" operator="lessThan" aboveAverage="0" equalAverage="0" bottom="0" percent="0" rank="0" text="" dxfId="8">
      <formula>0</formula>
    </cfRule>
  </conditionalFormatting>
  <conditionalFormatting sqref="E451">
    <cfRule type="cellIs" priority="1337" operator="greaterThan" aboveAverage="0" equalAverage="0" bottom="0" percent="0" rank="0" text="" dxfId="7">
      <formula>0</formula>
    </cfRule>
  </conditionalFormatting>
  <conditionalFormatting sqref="F451">
    <cfRule type="cellIs" priority="1338" operator="greaterThan" aboveAverage="0" equalAverage="0" bottom="0" percent="0" rank="0" text="" dxfId="7">
      <formula>0</formula>
    </cfRule>
  </conditionalFormatting>
  <conditionalFormatting sqref="I451">
    <cfRule type="cellIs" priority="1339" operator="lessThan" aboveAverage="0" equalAverage="0" bottom="0" percent="0" rank="0" text="" dxfId="8">
      <formula>0</formula>
    </cfRule>
  </conditionalFormatting>
  <conditionalFormatting sqref="E452">
    <cfRule type="cellIs" priority="1340" operator="greaterThan" aboveAverage="0" equalAverage="0" bottom="0" percent="0" rank="0" text="" dxfId="7">
      <formula>0</formula>
    </cfRule>
  </conditionalFormatting>
  <conditionalFormatting sqref="F452">
    <cfRule type="cellIs" priority="1341" operator="greaterThan" aboveAverage="0" equalAverage="0" bottom="0" percent="0" rank="0" text="" dxfId="7">
      <formula>0</formula>
    </cfRule>
  </conditionalFormatting>
  <conditionalFormatting sqref="I452">
    <cfRule type="cellIs" priority="1342" operator="lessThan" aboveAverage="0" equalAverage="0" bottom="0" percent="0" rank="0" text="" dxfId="8">
      <formula>0</formula>
    </cfRule>
  </conditionalFormatting>
  <conditionalFormatting sqref="E453">
    <cfRule type="cellIs" priority="1343" operator="greaterThan" aboveAverage="0" equalAverage="0" bottom="0" percent="0" rank="0" text="" dxfId="7">
      <formula>0</formula>
    </cfRule>
  </conditionalFormatting>
  <conditionalFormatting sqref="F453">
    <cfRule type="cellIs" priority="1344" operator="greaterThan" aboveAverage="0" equalAverage="0" bottom="0" percent="0" rank="0" text="" dxfId="7">
      <formula>0</formula>
    </cfRule>
  </conditionalFormatting>
  <conditionalFormatting sqref="I453">
    <cfRule type="cellIs" priority="1345" operator="lessThan" aboveAverage="0" equalAverage="0" bottom="0" percent="0" rank="0" text="" dxfId="8">
      <formula>0</formula>
    </cfRule>
  </conditionalFormatting>
  <conditionalFormatting sqref="E454">
    <cfRule type="cellIs" priority="1346" operator="greaterThan" aboveAverage="0" equalAverage="0" bottom="0" percent="0" rank="0" text="" dxfId="7">
      <formula>0</formula>
    </cfRule>
  </conditionalFormatting>
  <conditionalFormatting sqref="F454">
    <cfRule type="cellIs" priority="1347" operator="greaterThan" aboveAverage="0" equalAverage="0" bottom="0" percent="0" rank="0" text="" dxfId="7">
      <formula>0</formula>
    </cfRule>
  </conditionalFormatting>
  <conditionalFormatting sqref="I454">
    <cfRule type="cellIs" priority="1348" operator="lessThan" aboveAverage="0" equalAverage="0" bottom="0" percent="0" rank="0" text="" dxfId="8">
      <formula>0</formula>
    </cfRule>
  </conditionalFormatting>
  <conditionalFormatting sqref="E455">
    <cfRule type="cellIs" priority="1349" operator="greaterThan" aboveAverage="0" equalAverage="0" bottom="0" percent="0" rank="0" text="" dxfId="7">
      <formula>0</formula>
    </cfRule>
  </conditionalFormatting>
  <conditionalFormatting sqref="F455">
    <cfRule type="cellIs" priority="1350" operator="greaterThan" aboveAverage="0" equalAverage="0" bottom="0" percent="0" rank="0" text="" dxfId="7">
      <formula>0</formula>
    </cfRule>
  </conditionalFormatting>
  <conditionalFormatting sqref="I455">
    <cfRule type="cellIs" priority="1351" operator="lessThan" aboveAverage="0" equalAverage="0" bottom="0" percent="0" rank="0" text="" dxfId="8">
      <formula>0</formula>
    </cfRule>
  </conditionalFormatting>
  <conditionalFormatting sqref="E456">
    <cfRule type="cellIs" priority="1352" operator="greaterThan" aboveAverage="0" equalAverage="0" bottom="0" percent="0" rank="0" text="" dxfId="7">
      <formula>0</formula>
    </cfRule>
  </conditionalFormatting>
  <conditionalFormatting sqref="F456">
    <cfRule type="cellIs" priority="1353" operator="greaterThan" aboveAverage="0" equalAverage="0" bottom="0" percent="0" rank="0" text="" dxfId="7">
      <formula>0</formula>
    </cfRule>
  </conditionalFormatting>
  <conditionalFormatting sqref="I456">
    <cfRule type="cellIs" priority="1354" operator="lessThan" aboveAverage="0" equalAverage="0" bottom="0" percent="0" rank="0" text="" dxfId="8">
      <formula>0</formula>
    </cfRule>
  </conditionalFormatting>
  <conditionalFormatting sqref="E457">
    <cfRule type="cellIs" priority="1355" operator="greaterThan" aboveAverage="0" equalAverage="0" bottom="0" percent="0" rank="0" text="" dxfId="7">
      <formula>0</formula>
    </cfRule>
  </conditionalFormatting>
  <conditionalFormatting sqref="F457">
    <cfRule type="cellIs" priority="1356" operator="greaterThan" aboveAverage="0" equalAverage="0" bottom="0" percent="0" rank="0" text="" dxfId="7">
      <formula>0</formula>
    </cfRule>
  </conditionalFormatting>
  <conditionalFormatting sqref="I457">
    <cfRule type="cellIs" priority="1357" operator="lessThan" aboveAverage="0" equalAverage="0" bottom="0" percent="0" rank="0" text="" dxfId="8">
      <formula>0</formula>
    </cfRule>
  </conditionalFormatting>
  <conditionalFormatting sqref="E458">
    <cfRule type="cellIs" priority="1358" operator="greaterThan" aboveAverage="0" equalAverage="0" bottom="0" percent="0" rank="0" text="" dxfId="7">
      <formula>0</formula>
    </cfRule>
  </conditionalFormatting>
  <conditionalFormatting sqref="F458">
    <cfRule type="cellIs" priority="1359" operator="greaterThan" aboveAverage="0" equalAverage="0" bottom="0" percent="0" rank="0" text="" dxfId="7">
      <formula>0</formula>
    </cfRule>
  </conditionalFormatting>
  <conditionalFormatting sqref="I458">
    <cfRule type="cellIs" priority="1360" operator="lessThan" aboveAverage="0" equalAverage="0" bottom="0" percent="0" rank="0" text="" dxfId="8">
      <formula>0</formula>
    </cfRule>
  </conditionalFormatting>
  <conditionalFormatting sqref="E459">
    <cfRule type="cellIs" priority="1361" operator="greaterThan" aboveAverage="0" equalAverage="0" bottom="0" percent="0" rank="0" text="" dxfId="7">
      <formula>0</formula>
    </cfRule>
  </conditionalFormatting>
  <conditionalFormatting sqref="F459">
    <cfRule type="cellIs" priority="1362" operator="greaterThan" aboveAverage="0" equalAverage="0" bottom="0" percent="0" rank="0" text="" dxfId="7">
      <formula>0</formula>
    </cfRule>
  </conditionalFormatting>
  <conditionalFormatting sqref="I459">
    <cfRule type="cellIs" priority="1363" operator="lessThan" aboveAverage="0" equalAverage="0" bottom="0" percent="0" rank="0" text="" dxfId="8">
      <formula>0</formula>
    </cfRule>
  </conditionalFormatting>
  <conditionalFormatting sqref="E460">
    <cfRule type="cellIs" priority="1364" operator="greaterThan" aboveAverage="0" equalAverage="0" bottom="0" percent="0" rank="0" text="" dxfId="7">
      <formula>0</formula>
    </cfRule>
  </conditionalFormatting>
  <conditionalFormatting sqref="F460">
    <cfRule type="cellIs" priority="1365" operator="greaterThan" aboveAverage="0" equalAverage="0" bottom="0" percent="0" rank="0" text="" dxfId="7">
      <formula>0</formula>
    </cfRule>
  </conditionalFormatting>
  <conditionalFormatting sqref="I460">
    <cfRule type="cellIs" priority="1366" operator="lessThan" aboveAverage="0" equalAverage="0" bottom="0" percent="0" rank="0" text="" dxfId="8">
      <formula>0</formula>
    </cfRule>
  </conditionalFormatting>
  <conditionalFormatting sqref="E461">
    <cfRule type="cellIs" priority="1367" operator="greaterThan" aboveAverage="0" equalAverage="0" bottom="0" percent="0" rank="0" text="" dxfId="7">
      <formula>0</formula>
    </cfRule>
  </conditionalFormatting>
  <conditionalFormatting sqref="F461">
    <cfRule type="cellIs" priority="1368" operator="greaterThan" aboveAverage="0" equalAverage="0" bottom="0" percent="0" rank="0" text="" dxfId="7">
      <formula>0</formula>
    </cfRule>
  </conditionalFormatting>
  <conditionalFormatting sqref="I461">
    <cfRule type="cellIs" priority="1369" operator="lessThan" aboveAverage="0" equalAverage="0" bottom="0" percent="0" rank="0" text="" dxfId="8">
      <formula>0</formula>
    </cfRule>
  </conditionalFormatting>
  <conditionalFormatting sqref="E462">
    <cfRule type="cellIs" priority="1370" operator="greaterThan" aboveAverage="0" equalAverage="0" bottom="0" percent="0" rank="0" text="" dxfId="7">
      <formula>0</formula>
    </cfRule>
  </conditionalFormatting>
  <conditionalFormatting sqref="F462">
    <cfRule type="cellIs" priority="1371" operator="greaterThan" aboveAverage="0" equalAverage="0" bottom="0" percent="0" rank="0" text="" dxfId="7">
      <formula>0</formula>
    </cfRule>
  </conditionalFormatting>
  <conditionalFormatting sqref="I462">
    <cfRule type="cellIs" priority="1372" operator="lessThan" aboveAverage="0" equalAverage="0" bottom="0" percent="0" rank="0" text="" dxfId="8">
      <formula>0</formula>
    </cfRule>
  </conditionalFormatting>
  <conditionalFormatting sqref="E463">
    <cfRule type="cellIs" priority="1373" operator="greaterThan" aboveAverage="0" equalAverage="0" bottom="0" percent="0" rank="0" text="" dxfId="7">
      <formula>0</formula>
    </cfRule>
  </conditionalFormatting>
  <conditionalFormatting sqref="F463">
    <cfRule type="cellIs" priority="1374" operator="greaterThan" aboveAverage="0" equalAverage="0" bottom="0" percent="0" rank="0" text="" dxfId="7">
      <formula>0</formula>
    </cfRule>
  </conditionalFormatting>
  <conditionalFormatting sqref="I463">
    <cfRule type="cellIs" priority="1375" operator="lessThan" aboveAverage="0" equalAverage="0" bottom="0" percent="0" rank="0" text="" dxfId="8">
      <formula>0</formula>
    </cfRule>
  </conditionalFormatting>
  <conditionalFormatting sqref="E464">
    <cfRule type="cellIs" priority="1376" operator="greaterThan" aboveAverage="0" equalAverage="0" bottom="0" percent="0" rank="0" text="" dxfId="7">
      <formula>0</formula>
    </cfRule>
  </conditionalFormatting>
  <conditionalFormatting sqref="F464">
    <cfRule type="cellIs" priority="1377" operator="greaterThan" aboveAverage="0" equalAverage="0" bottom="0" percent="0" rank="0" text="" dxfId="7">
      <formula>0</formula>
    </cfRule>
  </conditionalFormatting>
  <conditionalFormatting sqref="I464">
    <cfRule type="cellIs" priority="1378" operator="lessThan" aboveAverage="0" equalAverage="0" bottom="0" percent="0" rank="0" text="" dxfId="8">
      <formula>0</formula>
    </cfRule>
  </conditionalFormatting>
  <conditionalFormatting sqref="E465">
    <cfRule type="cellIs" priority="1379" operator="greaterThan" aboveAverage="0" equalAverage="0" bottom="0" percent="0" rank="0" text="" dxfId="7">
      <formula>0</formula>
    </cfRule>
  </conditionalFormatting>
  <conditionalFormatting sqref="F465">
    <cfRule type="cellIs" priority="1380" operator="greaterThan" aboveAverage="0" equalAverage="0" bottom="0" percent="0" rank="0" text="" dxfId="7">
      <formula>0</formula>
    </cfRule>
  </conditionalFormatting>
  <conditionalFormatting sqref="I465">
    <cfRule type="cellIs" priority="1381" operator="lessThan" aboveAverage="0" equalAverage="0" bottom="0" percent="0" rank="0" text="" dxfId="8">
      <formula>0</formula>
    </cfRule>
  </conditionalFormatting>
  <conditionalFormatting sqref="E466">
    <cfRule type="cellIs" priority="1382" operator="greaterThan" aboveAverage="0" equalAverage="0" bottom="0" percent="0" rank="0" text="" dxfId="7">
      <formula>0</formula>
    </cfRule>
  </conditionalFormatting>
  <conditionalFormatting sqref="F466">
    <cfRule type="cellIs" priority="1383" operator="greaterThan" aboveAverage="0" equalAverage="0" bottom="0" percent="0" rank="0" text="" dxfId="7">
      <formula>0</formula>
    </cfRule>
  </conditionalFormatting>
  <conditionalFormatting sqref="I466">
    <cfRule type="cellIs" priority="1384" operator="lessThan" aboveAverage="0" equalAverage="0" bottom="0" percent="0" rank="0" text="" dxfId="8">
      <formula>0</formula>
    </cfRule>
  </conditionalFormatting>
  <conditionalFormatting sqref="E467">
    <cfRule type="cellIs" priority="1385" operator="greaterThan" aboveAverage="0" equalAverage="0" bottom="0" percent="0" rank="0" text="" dxfId="7">
      <formula>0</formula>
    </cfRule>
  </conditionalFormatting>
  <conditionalFormatting sqref="F467">
    <cfRule type="cellIs" priority="1386" operator="greaterThan" aboveAverage="0" equalAverage="0" bottom="0" percent="0" rank="0" text="" dxfId="7">
      <formula>0</formula>
    </cfRule>
  </conditionalFormatting>
  <conditionalFormatting sqref="I467">
    <cfRule type="cellIs" priority="1387" operator="lessThan" aboveAverage="0" equalAverage="0" bottom="0" percent="0" rank="0" text="" dxfId="8">
      <formula>0</formula>
    </cfRule>
  </conditionalFormatting>
  <conditionalFormatting sqref="E468">
    <cfRule type="cellIs" priority="1388" operator="greaterThan" aboveAverage="0" equalAverage="0" bottom="0" percent="0" rank="0" text="" dxfId="7">
      <formula>0</formula>
    </cfRule>
  </conditionalFormatting>
  <conditionalFormatting sqref="F468">
    <cfRule type="cellIs" priority="1389" operator="greaterThan" aboveAverage="0" equalAverage="0" bottom="0" percent="0" rank="0" text="" dxfId="7">
      <formula>0</formula>
    </cfRule>
  </conditionalFormatting>
  <conditionalFormatting sqref="I468">
    <cfRule type="cellIs" priority="1390" operator="lessThan" aboveAverage="0" equalAverage="0" bottom="0" percent="0" rank="0" text="" dxfId="8">
      <formula>0</formula>
    </cfRule>
  </conditionalFormatting>
  <conditionalFormatting sqref="E469">
    <cfRule type="cellIs" priority="1391" operator="greaterThan" aboveAverage="0" equalAverage="0" bottom="0" percent="0" rank="0" text="" dxfId="7">
      <formula>0</formula>
    </cfRule>
  </conditionalFormatting>
  <conditionalFormatting sqref="F469">
    <cfRule type="cellIs" priority="1392" operator="greaterThan" aboveAverage="0" equalAverage="0" bottom="0" percent="0" rank="0" text="" dxfId="7">
      <formula>0</formula>
    </cfRule>
  </conditionalFormatting>
  <conditionalFormatting sqref="I469">
    <cfRule type="cellIs" priority="1393" operator="lessThan" aboveAverage="0" equalAverage="0" bottom="0" percent="0" rank="0" text="" dxfId="8">
      <formula>0</formula>
    </cfRule>
  </conditionalFormatting>
  <conditionalFormatting sqref="E470">
    <cfRule type="cellIs" priority="1394" operator="greaterThan" aboveAverage="0" equalAverage="0" bottom="0" percent="0" rank="0" text="" dxfId="7">
      <formula>0</formula>
    </cfRule>
  </conditionalFormatting>
  <conditionalFormatting sqref="F470">
    <cfRule type="cellIs" priority="1395" operator="greaterThan" aboveAverage="0" equalAverage="0" bottom="0" percent="0" rank="0" text="" dxfId="7">
      <formula>0</formula>
    </cfRule>
  </conditionalFormatting>
  <conditionalFormatting sqref="I470">
    <cfRule type="cellIs" priority="1396" operator="lessThan" aboveAverage="0" equalAverage="0" bottom="0" percent="0" rank="0" text="" dxfId="8">
      <formula>0</formula>
    </cfRule>
  </conditionalFormatting>
  <conditionalFormatting sqref="E471">
    <cfRule type="cellIs" priority="1397" operator="greaterThan" aboveAverage="0" equalAverage="0" bottom="0" percent="0" rank="0" text="" dxfId="7">
      <formula>0</formula>
    </cfRule>
  </conditionalFormatting>
  <conditionalFormatting sqref="F471">
    <cfRule type="cellIs" priority="1398" operator="greaterThan" aboveAverage="0" equalAverage="0" bottom="0" percent="0" rank="0" text="" dxfId="7">
      <formula>0</formula>
    </cfRule>
  </conditionalFormatting>
  <conditionalFormatting sqref="I471">
    <cfRule type="cellIs" priority="1399" operator="lessThan" aboveAverage="0" equalAverage="0" bottom="0" percent="0" rank="0" text="" dxfId="8">
      <formula>0</formula>
    </cfRule>
  </conditionalFormatting>
  <conditionalFormatting sqref="E472">
    <cfRule type="cellIs" priority="1400" operator="greaterThan" aboveAverage="0" equalAverage="0" bottom="0" percent="0" rank="0" text="" dxfId="7">
      <formula>0</formula>
    </cfRule>
  </conditionalFormatting>
  <conditionalFormatting sqref="F472">
    <cfRule type="cellIs" priority="1401" operator="greaterThan" aboveAverage="0" equalAverage="0" bottom="0" percent="0" rank="0" text="" dxfId="7">
      <formula>0</formula>
    </cfRule>
  </conditionalFormatting>
  <conditionalFormatting sqref="I472">
    <cfRule type="cellIs" priority="1402" operator="lessThan" aboveAverage="0" equalAverage="0" bottom="0" percent="0" rank="0" text="" dxfId="8">
      <formula>0</formula>
    </cfRule>
  </conditionalFormatting>
  <conditionalFormatting sqref="E473">
    <cfRule type="cellIs" priority="1403" operator="greaterThan" aboveAverage="0" equalAverage="0" bottom="0" percent="0" rank="0" text="" dxfId="7">
      <formula>0</formula>
    </cfRule>
  </conditionalFormatting>
  <conditionalFormatting sqref="F473">
    <cfRule type="cellIs" priority="1404" operator="greaterThan" aboveAverage="0" equalAverage="0" bottom="0" percent="0" rank="0" text="" dxfId="7">
      <formula>0</formula>
    </cfRule>
  </conditionalFormatting>
  <conditionalFormatting sqref="I473">
    <cfRule type="cellIs" priority="1405" operator="lessThan" aboveAverage="0" equalAverage="0" bottom="0" percent="0" rank="0" text="" dxfId="8">
      <formula>0</formula>
    </cfRule>
  </conditionalFormatting>
  <conditionalFormatting sqref="E474">
    <cfRule type="cellIs" priority="1406" operator="greaterThan" aboveAverage="0" equalAverage="0" bottom="0" percent="0" rank="0" text="" dxfId="7">
      <formula>0</formula>
    </cfRule>
  </conditionalFormatting>
  <conditionalFormatting sqref="F474">
    <cfRule type="cellIs" priority="1407" operator="greaterThan" aboveAverage="0" equalAverage="0" bottom="0" percent="0" rank="0" text="" dxfId="7">
      <formula>0</formula>
    </cfRule>
  </conditionalFormatting>
  <conditionalFormatting sqref="I474">
    <cfRule type="cellIs" priority="1408" operator="lessThan" aboveAverage="0" equalAverage="0" bottom="0" percent="0" rank="0" text="" dxfId="8">
      <formula>0</formula>
    </cfRule>
  </conditionalFormatting>
  <conditionalFormatting sqref="E475">
    <cfRule type="cellIs" priority="1409" operator="greaterThan" aboveAverage="0" equalAverage="0" bottom="0" percent="0" rank="0" text="" dxfId="7">
      <formula>0</formula>
    </cfRule>
  </conditionalFormatting>
  <conditionalFormatting sqref="F475">
    <cfRule type="cellIs" priority="1410" operator="greaterThan" aboveAverage="0" equalAverage="0" bottom="0" percent="0" rank="0" text="" dxfId="7">
      <formula>0</formula>
    </cfRule>
  </conditionalFormatting>
  <conditionalFormatting sqref="I475">
    <cfRule type="cellIs" priority="1411" operator="lessThan" aboveAverage="0" equalAverage="0" bottom="0" percent="0" rank="0" text="" dxfId="8">
      <formula>0</formula>
    </cfRule>
  </conditionalFormatting>
  <conditionalFormatting sqref="E476">
    <cfRule type="cellIs" priority="1412" operator="greaterThan" aboveAverage="0" equalAverage="0" bottom="0" percent="0" rank="0" text="" dxfId="7">
      <formula>0</formula>
    </cfRule>
  </conditionalFormatting>
  <conditionalFormatting sqref="F476">
    <cfRule type="cellIs" priority="1413" operator="greaterThan" aboveAverage="0" equalAverage="0" bottom="0" percent="0" rank="0" text="" dxfId="7">
      <formula>0</formula>
    </cfRule>
  </conditionalFormatting>
  <conditionalFormatting sqref="I476">
    <cfRule type="cellIs" priority="1414" operator="lessThan" aboveAverage="0" equalAverage="0" bottom="0" percent="0" rank="0" text="" dxfId="8">
      <formula>0</formula>
    </cfRule>
  </conditionalFormatting>
  <conditionalFormatting sqref="E477">
    <cfRule type="cellIs" priority="1415" operator="greaterThan" aboveAverage="0" equalAverage="0" bottom="0" percent="0" rank="0" text="" dxfId="7">
      <formula>0</formula>
    </cfRule>
  </conditionalFormatting>
  <conditionalFormatting sqref="F477">
    <cfRule type="cellIs" priority="1416" operator="greaterThan" aboveAverage="0" equalAverage="0" bottom="0" percent="0" rank="0" text="" dxfId="7">
      <formula>0</formula>
    </cfRule>
  </conditionalFormatting>
  <conditionalFormatting sqref="I477">
    <cfRule type="cellIs" priority="1417" operator="lessThan" aboveAverage="0" equalAverage="0" bottom="0" percent="0" rank="0" text="" dxfId="8">
      <formula>0</formula>
    </cfRule>
  </conditionalFormatting>
  <conditionalFormatting sqref="E478">
    <cfRule type="cellIs" priority="1418" operator="greaterThan" aboveAverage="0" equalAverage="0" bottom="0" percent="0" rank="0" text="" dxfId="7">
      <formula>0</formula>
    </cfRule>
  </conditionalFormatting>
  <conditionalFormatting sqref="F478">
    <cfRule type="cellIs" priority="1419" operator="greaterThan" aboveAverage="0" equalAverage="0" bottom="0" percent="0" rank="0" text="" dxfId="7">
      <formula>0</formula>
    </cfRule>
  </conditionalFormatting>
  <conditionalFormatting sqref="I478">
    <cfRule type="cellIs" priority="1420" operator="lessThan" aboveAverage="0" equalAverage="0" bottom="0" percent="0" rank="0" text="" dxfId="8">
      <formula>0</formula>
    </cfRule>
  </conditionalFormatting>
  <conditionalFormatting sqref="E479">
    <cfRule type="cellIs" priority="1421" operator="greaterThan" aboveAverage="0" equalAverage="0" bottom="0" percent="0" rank="0" text="" dxfId="7">
      <formula>0</formula>
    </cfRule>
  </conditionalFormatting>
  <conditionalFormatting sqref="F479">
    <cfRule type="cellIs" priority="1422" operator="greaterThan" aboveAverage="0" equalAverage="0" bottom="0" percent="0" rank="0" text="" dxfId="7">
      <formula>0</formula>
    </cfRule>
  </conditionalFormatting>
  <conditionalFormatting sqref="I479">
    <cfRule type="cellIs" priority="1423" operator="lessThan" aboveAverage="0" equalAverage="0" bottom="0" percent="0" rank="0" text="" dxfId="8">
      <formula>0</formula>
    </cfRule>
  </conditionalFormatting>
  <conditionalFormatting sqref="E480">
    <cfRule type="cellIs" priority="1424" operator="greaterThan" aboveAverage="0" equalAverage="0" bottom="0" percent="0" rank="0" text="" dxfId="7">
      <formula>0</formula>
    </cfRule>
  </conditionalFormatting>
  <conditionalFormatting sqref="F480">
    <cfRule type="cellIs" priority="1425" operator="greaterThan" aboveAverage="0" equalAverage="0" bottom="0" percent="0" rank="0" text="" dxfId="7">
      <formula>0</formula>
    </cfRule>
  </conditionalFormatting>
  <conditionalFormatting sqref="I480">
    <cfRule type="cellIs" priority="1426" operator="lessThan" aboveAverage="0" equalAverage="0" bottom="0" percent="0" rank="0" text="" dxfId="8">
      <formula>0</formula>
    </cfRule>
  </conditionalFormatting>
  <conditionalFormatting sqref="E481">
    <cfRule type="cellIs" priority="1427" operator="greaterThan" aboveAverage="0" equalAverage="0" bottom="0" percent="0" rank="0" text="" dxfId="7">
      <formula>0</formula>
    </cfRule>
  </conditionalFormatting>
  <conditionalFormatting sqref="F481">
    <cfRule type="cellIs" priority="1428" operator="greaterThan" aboveAverage="0" equalAverage="0" bottom="0" percent="0" rank="0" text="" dxfId="7">
      <formula>0</formula>
    </cfRule>
  </conditionalFormatting>
  <conditionalFormatting sqref="I481">
    <cfRule type="cellIs" priority="1429" operator="lessThan" aboveAverage="0" equalAverage="0" bottom="0" percent="0" rank="0" text="" dxfId="8">
      <formula>0</formula>
    </cfRule>
  </conditionalFormatting>
  <conditionalFormatting sqref="E482">
    <cfRule type="cellIs" priority="1430" operator="greaterThan" aboveAverage="0" equalAverage="0" bottom="0" percent="0" rank="0" text="" dxfId="7">
      <formula>0</formula>
    </cfRule>
  </conditionalFormatting>
  <conditionalFormatting sqref="F482">
    <cfRule type="cellIs" priority="1431" operator="greaterThan" aboveAverage="0" equalAverage="0" bottom="0" percent="0" rank="0" text="" dxfId="7">
      <formula>0</formula>
    </cfRule>
  </conditionalFormatting>
  <conditionalFormatting sqref="I482">
    <cfRule type="cellIs" priority="1432" operator="lessThan" aboveAverage="0" equalAverage="0" bottom="0" percent="0" rank="0" text="" dxfId="8">
      <formula>0</formula>
    </cfRule>
  </conditionalFormatting>
  <conditionalFormatting sqref="E483">
    <cfRule type="cellIs" priority="1433" operator="greaterThan" aboveAverage="0" equalAverage="0" bottom="0" percent="0" rank="0" text="" dxfId="7">
      <formula>0</formula>
    </cfRule>
  </conditionalFormatting>
  <conditionalFormatting sqref="F483">
    <cfRule type="cellIs" priority="1434" operator="greaterThan" aboveAverage="0" equalAverage="0" bottom="0" percent="0" rank="0" text="" dxfId="7">
      <formula>0</formula>
    </cfRule>
  </conditionalFormatting>
  <conditionalFormatting sqref="I483">
    <cfRule type="cellIs" priority="1435" operator="lessThan" aboveAverage="0" equalAverage="0" bottom="0" percent="0" rank="0" text="" dxfId="8">
      <formula>0</formula>
    </cfRule>
  </conditionalFormatting>
  <conditionalFormatting sqref="E484">
    <cfRule type="cellIs" priority="1436" operator="greaterThan" aboveAverage="0" equalAverage="0" bottom="0" percent="0" rank="0" text="" dxfId="7">
      <formula>0</formula>
    </cfRule>
  </conditionalFormatting>
  <conditionalFormatting sqref="F484">
    <cfRule type="cellIs" priority="1437" operator="greaterThan" aboveAverage="0" equalAverage="0" bottom="0" percent="0" rank="0" text="" dxfId="7">
      <formula>0</formula>
    </cfRule>
  </conditionalFormatting>
  <conditionalFormatting sqref="I484">
    <cfRule type="cellIs" priority="1438" operator="lessThan" aboveAverage="0" equalAverage="0" bottom="0" percent="0" rank="0" text="" dxfId="8">
      <formula>0</formula>
    </cfRule>
  </conditionalFormatting>
  <conditionalFormatting sqref="E485">
    <cfRule type="cellIs" priority="1439" operator="greaterThan" aboveAverage="0" equalAverage="0" bottom="0" percent="0" rank="0" text="" dxfId="7">
      <formula>0</formula>
    </cfRule>
  </conditionalFormatting>
  <conditionalFormatting sqref="F485">
    <cfRule type="cellIs" priority="1440" operator="greaterThan" aboveAverage="0" equalAverage="0" bottom="0" percent="0" rank="0" text="" dxfId="7">
      <formula>0</formula>
    </cfRule>
  </conditionalFormatting>
  <conditionalFormatting sqref="I485">
    <cfRule type="cellIs" priority="1441" operator="lessThan" aboveAverage="0" equalAverage="0" bottom="0" percent="0" rank="0" text="" dxfId="8">
      <formula>0</formula>
    </cfRule>
  </conditionalFormatting>
  <conditionalFormatting sqref="E486">
    <cfRule type="cellIs" priority="1442" operator="greaterThan" aboveAverage="0" equalAverage="0" bottom="0" percent="0" rank="0" text="" dxfId="7">
      <formula>0</formula>
    </cfRule>
  </conditionalFormatting>
  <conditionalFormatting sqref="F486">
    <cfRule type="cellIs" priority="1443" operator="greaterThan" aboveAverage="0" equalAverage="0" bottom="0" percent="0" rank="0" text="" dxfId="7">
      <formula>0</formula>
    </cfRule>
  </conditionalFormatting>
  <conditionalFormatting sqref="I486">
    <cfRule type="cellIs" priority="1444" operator="lessThan" aboveAverage="0" equalAverage="0" bottom="0" percent="0" rank="0" text="" dxfId="8">
      <formula>0</formula>
    </cfRule>
  </conditionalFormatting>
  <conditionalFormatting sqref="E487">
    <cfRule type="cellIs" priority="1445" operator="greaterThan" aboveAverage="0" equalAverage="0" bottom="0" percent="0" rank="0" text="" dxfId="7">
      <formula>0</formula>
    </cfRule>
  </conditionalFormatting>
  <conditionalFormatting sqref="F487">
    <cfRule type="cellIs" priority="1446" operator="greaterThan" aboveAverage="0" equalAverage="0" bottom="0" percent="0" rank="0" text="" dxfId="7">
      <formula>0</formula>
    </cfRule>
  </conditionalFormatting>
  <conditionalFormatting sqref="I487">
    <cfRule type="cellIs" priority="1447" operator="lessThan" aboveAverage="0" equalAverage="0" bottom="0" percent="0" rank="0" text="" dxfId="8">
      <formula>0</formula>
    </cfRule>
  </conditionalFormatting>
  <conditionalFormatting sqref="E488">
    <cfRule type="cellIs" priority="1448" operator="greaterThan" aboveAverage="0" equalAverage="0" bottom="0" percent="0" rank="0" text="" dxfId="7">
      <formula>0</formula>
    </cfRule>
  </conditionalFormatting>
  <conditionalFormatting sqref="F488">
    <cfRule type="cellIs" priority="1449" operator="greaterThan" aboveAverage="0" equalAverage="0" bottom="0" percent="0" rank="0" text="" dxfId="7">
      <formula>0</formula>
    </cfRule>
  </conditionalFormatting>
  <conditionalFormatting sqref="I488">
    <cfRule type="cellIs" priority="1450" operator="lessThan" aboveAverage="0" equalAverage="0" bottom="0" percent="0" rank="0" text="" dxfId="8">
      <formula>0</formula>
    </cfRule>
  </conditionalFormatting>
  <conditionalFormatting sqref="E489">
    <cfRule type="cellIs" priority="1451" operator="greaterThan" aboveAverage="0" equalAverage="0" bottom="0" percent="0" rank="0" text="" dxfId="7">
      <formula>0</formula>
    </cfRule>
  </conditionalFormatting>
  <conditionalFormatting sqref="F489">
    <cfRule type="cellIs" priority="1452" operator="greaterThan" aboveAverage="0" equalAverage="0" bottom="0" percent="0" rank="0" text="" dxfId="7">
      <formula>0</formula>
    </cfRule>
  </conditionalFormatting>
  <conditionalFormatting sqref="I489">
    <cfRule type="cellIs" priority="1453" operator="lessThan" aboveAverage="0" equalAverage="0" bottom="0" percent="0" rank="0" text="" dxfId="8">
      <formula>0</formula>
    </cfRule>
  </conditionalFormatting>
  <conditionalFormatting sqref="E490">
    <cfRule type="cellIs" priority="1454" operator="greaterThan" aboveAverage="0" equalAverage="0" bottom="0" percent="0" rank="0" text="" dxfId="7">
      <formula>0</formula>
    </cfRule>
  </conditionalFormatting>
  <conditionalFormatting sqref="F490">
    <cfRule type="cellIs" priority="1455" operator="greaterThan" aboveAverage="0" equalAverage="0" bottom="0" percent="0" rank="0" text="" dxfId="7">
      <formula>0</formula>
    </cfRule>
  </conditionalFormatting>
  <conditionalFormatting sqref="I490">
    <cfRule type="cellIs" priority="1456" operator="lessThan" aboveAverage="0" equalAverage="0" bottom="0" percent="0" rank="0" text="" dxfId="8">
      <formula>0</formula>
    </cfRule>
  </conditionalFormatting>
  <conditionalFormatting sqref="E491">
    <cfRule type="cellIs" priority="1457" operator="greaterThan" aboveAverage="0" equalAverage="0" bottom="0" percent="0" rank="0" text="" dxfId="7">
      <formula>0</formula>
    </cfRule>
  </conditionalFormatting>
  <conditionalFormatting sqref="F491">
    <cfRule type="cellIs" priority="1458" operator="greaterThan" aboveAverage="0" equalAverage="0" bottom="0" percent="0" rank="0" text="" dxfId="7">
      <formula>0</formula>
    </cfRule>
  </conditionalFormatting>
  <conditionalFormatting sqref="I491">
    <cfRule type="cellIs" priority="1459" operator="lessThan" aboveAverage="0" equalAverage="0" bottom="0" percent="0" rank="0" text="" dxfId="8">
      <formula>0</formula>
    </cfRule>
  </conditionalFormatting>
  <conditionalFormatting sqref="E492">
    <cfRule type="cellIs" priority="1460" operator="greaterThan" aboveAverage="0" equalAverage="0" bottom="0" percent="0" rank="0" text="" dxfId="7">
      <formula>0</formula>
    </cfRule>
  </conditionalFormatting>
  <conditionalFormatting sqref="F492">
    <cfRule type="cellIs" priority="1461" operator="greaterThan" aboveAverage="0" equalAverage="0" bottom="0" percent="0" rank="0" text="" dxfId="7">
      <formula>0</formula>
    </cfRule>
  </conditionalFormatting>
  <conditionalFormatting sqref="I492">
    <cfRule type="cellIs" priority="1462" operator="lessThan" aboveAverage="0" equalAverage="0" bottom="0" percent="0" rank="0" text="" dxfId="8">
      <formula>0</formula>
    </cfRule>
  </conditionalFormatting>
  <conditionalFormatting sqref="E493">
    <cfRule type="cellIs" priority="1463" operator="greaterThan" aboveAverage="0" equalAverage="0" bottom="0" percent="0" rank="0" text="" dxfId="7">
      <formula>0</formula>
    </cfRule>
  </conditionalFormatting>
  <conditionalFormatting sqref="F493">
    <cfRule type="cellIs" priority="1464" operator="greaterThan" aboveAverage="0" equalAverage="0" bottom="0" percent="0" rank="0" text="" dxfId="7">
      <formula>0</formula>
    </cfRule>
  </conditionalFormatting>
  <conditionalFormatting sqref="I493">
    <cfRule type="cellIs" priority="1465" operator="lessThan" aboveAverage="0" equalAverage="0" bottom="0" percent="0" rank="0" text="" dxfId="8">
      <formula>0</formula>
    </cfRule>
  </conditionalFormatting>
  <conditionalFormatting sqref="E494">
    <cfRule type="cellIs" priority="1466" operator="greaterThan" aboveAverage="0" equalAverage="0" bottom="0" percent="0" rank="0" text="" dxfId="7">
      <formula>0</formula>
    </cfRule>
  </conditionalFormatting>
  <conditionalFormatting sqref="F494">
    <cfRule type="cellIs" priority="1467" operator="greaterThan" aboveAverage="0" equalAverage="0" bottom="0" percent="0" rank="0" text="" dxfId="7">
      <formula>0</formula>
    </cfRule>
  </conditionalFormatting>
  <conditionalFormatting sqref="I494">
    <cfRule type="cellIs" priority="1468" operator="lessThan" aboveAverage="0" equalAverage="0" bottom="0" percent="0" rank="0" text="" dxfId="8">
      <formula>0</formula>
    </cfRule>
  </conditionalFormatting>
  <conditionalFormatting sqref="E495">
    <cfRule type="cellIs" priority="1469" operator="greaterThan" aboveAverage="0" equalAverage="0" bottom="0" percent="0" rank="0" text="" dxfId="7">
      <formula>0</formula>
    </cfRule>
  </conditionalFormatting>
  <conditionalFormatting sqref="F495">
    <cfRule type="cellIs" priority="1470" operator="greaterThan" aboveAverage="0" equalAverage="0" bottom="0" percent="0" rank="0" text="" dxfId="7">
      <formula>0</formula>
    </cfRule>
  </conditionalFormatting>
  <conditionalFormatting sqref="I495">
    <cfRule type="cellIs" priority="1471" operator="lessThan" aboveAverage="0" equalAverage="0" bottom="0" percent="0" rank="0" text="" dxfId="8">
      <formula>0</formula>
    </cfRule>
  </conditionalFormatting>
  <conditionalFormatting sqref="E496">
    <cfRule type="cellIs" priority="1472" operator="greaterThan" aboveAverage="0" equalAverage="0" bottom="0" percent="0" rank="0" text="" dxfId="7">
      <formula>0</formula>
    </cfRule>
  </conditionalFormatting>
  <conditionalFormatting sqref="F496">
    <cfRule type="cellIs" priority="1473" operator="greaterThan" aboveAverage="0" equalAverage="0" bottom="0" percent="0" rank="0" text="" dxfId="7">
      <formula>0</formula>
    </cfRule>
  </conditionalFormatting>
  <conditionalFormatting sqref="I496">
    <cfRule type="cellIs" priority="1474" operator="lessThan" aboveAverage="0" equalAverage="0" bottom="0" percent="0" rank="0" text="" dxfId="8">
      <formula>0</formula>
    </cfRule>
  </conditionalFormatting>
  <conditionalFormatting sqref="E497">
    <cfRule type="cellIs" priority="1475" operator="greaterThan" aboveAverage="0" equalAverage="0" bottom="0" percent="0" rank="0" text="" dxfId="7">
      <formula>0</formula>
    </cfRule>
  </conditionalFormatting>
  <conditionalFormatting sqref="F497">
    <cfRule type="cellIs" priority="1476" operator="greaterThan" aboveAverage="0" equalAverage="0" bottom="0" percent="0" rank="0" text="" dxfId="7">
      <formula>0</formula>
    </cfRule>
  </conditionalFormatting>
  <conditionalFormatting sqref="I497">
    <cfRule type="cellIs" priority="1477" operator="lessThan" aboveAverage="0" equalAverage="0" bottom="0" percent="0" rank="0" text="" dxfId="8">
      <formula>0</formula>
    </cfRule>
  </conditionalFormatting>
  <conditionalFormatting sqref="E498">
    <cfRule type="cellIs" priority="1478" operator="greaterThan" aboveAverage="0" equalAverage="0" bottom="0" percent="0" rank="0" text="" dxfId="7">
      <formula>0</formula>
    </cfRule>
  </conditionalFormatting>
  <conditionalFormatting sqref="F498">
    <cfRule type="cellIs" priority="1479" operator="greaterThan" aboveAverage="0" equalAverage="0" bottom="0" percent="0" rank="0" text="" dxfId="7">
      <formula>0</formula>
    </cfRule>
  </conditionalFormatting>
  <conditionalFormatting sqref="I498">
    <cfRule type="cellIs" priority="1480" operator="lessThan" aboveAverage="0" equalAverage="0" bottom="0" percent="0" rank="0" text="" dxfId="8">
      <formula>0</formula>
    </cfRule>
  </conditionalFormatting>
  <conditionalFormatting sqref="E499">
    <cfRule type="cellIs" priority="1481" operator="greaterThan" aboveAverage="0" equalAverage="0" bottom="0" percent="0" rank="0" text="" dxfId="7">
      <formula>0</formula>
    </cfRule>
  </conditionalFormatting>
  <conditionalFormatting sqref="F499">
    <cfRule type="cellIs" priority="1482" operator="greaterThan" aboveAverage="0" equalAverage="0" bottom="0" percent="0" rank="0" text="" dxfId="7">
      <formula>0</formula>
    </cfRule>
  </conditionalFormatting>
  <conditionalFormatting sqref="I499">
    <cfRule type="cellIs" priority="1483" operator="lessThan" aboveAverage="0" equalAverage="0" bottom="0" percent="0" rank="0" text="" dxfId="8">
      <formula>0</formula>
    </cfRule>
  </conditionalFormatting>
  <conditionalFormatting sqref="E500">
    <cfRule type="cellIs" priority="1484" operator="greaterThan" aboveAverage="0" equalAverage="0" bottom="0" percent="0" rank="0" text="" dxfId="7">
      <formula>0</formula>
    </cfRule>
  </conditionalFormatting>
  <conditionalFormatting sqref="F500">
    <cfRule type="cellIs" priority="1485" operator="greaterThan" aboveAverage="0" equalAverage="0" bottom="0" percent="0" rank="0" text="" dxfId="7">
      <formula>0</formula>
    </cfRule>
  </conditionalFormatting>
  <conditionalFormatting sqref="I500">
    <cfRule type="cellIs" priority="1486" operator="lessThan" aboveAverage="0" equalAverage="0" bottom="0" percent="0" rank="0" text="" dxfId="8">
      <formula>0</formula>
    </cfRule>
  </conditionalFormatting>
  <conditionalFormatting sqref="E501">
    <cfRule type="cellIs" priority="1487" operator="greaterThan" aboveAverage="0" equalAverage="0" bottom="0" percent="0" rank="0" text="" dxfId="7">
      <formula>0</formula>
    </cfRule>
  </conditionalFormatting>
  <conditionalFormatting sqref="F501">
    <cfRule type="cellIs" priority="1488" operator="greaterThan" aboveAverage="0" equalAverage="0" bottom="0" percent="0" rank="0" text="" dxfId="7">
      <formula>0</formula>
    </cfRule>
  </conditionalFormatting>
  <conditionalFormatting sqref="I501">
    <cfRule type="cellIs" priority="1489" operator="lessThan" aboveAverage="0" equalAverage="0" bottom="0" percent="0" rank="0" text="" dxfId="8">
      <formula>0</formula>
    </cfRule>
  </conditionalFormatting>
  <conditionalFormatting sqref="E502">
    <cfRule type="cellIs" priority="1490" operator="greaterThan" aboveAverage="0" equalAverage="0" bottom="0" percent="0" rank="0" text="" dxfId="7">
      <formula>0</formula>
    </cfRule>
  </conditionalFormatting>
  <conditionalFormatting sqref="F502">
    <cfRule type="cellIs" priority="1491" operator="greaterThan" aboveAverage="0" equalAverage="0" bottom="0" percent="0" rank="0" text="" dxfId="7">
      <formula>0</formula>
    </cfRule>
  </conditionalFormatting>
  <conditionalFormatting sqref="I502">
    <cfRule type="cellIs" priority="1492" operator="lessThan" aboveAverage="0" equalAverage="0" bottom="0" percent="0" rank="0" text="" dxfId="8">
      <formula>0</formula>
    </cfRule>
  </conditionalFormatting>
  <conditionalFormatting sqref="E503">
    <cfRule type="cellIs" priority="1493" operator="greaterThan" aboveAverage="0" equalAverage="0" bottom="0" percent="0" rank="0" text="" dxfId="7">
      <formula>0</formula>
    </cfRule>
  </conditionalFormatting>
  <conditionalFormatting sqref="F503">
    <cfRule type="cellIs" priority="1494" operator="greaterThan" aboveAverage="0" equalAverage="0" bottom="0" percent="0" rank="0" text="" dxfId="7">
      <formula>0</formula>
    </cfRule>
  </conditionalFormatting>
  <conditionalFormatting sqref="I503">
    <cfRule type="cellIs" priority="1495" operator="lessThan" aboveAverage="0" equalAverage="0" bottom="0" percent="0" rank="0" text="" dxfId="8">
      <formula>0</formula>
    </cfRule>
  </conditionalFormatting>
  <conditionalFormatting sqref="E504">
    <cfRule type="cellIs" priority="1496" operator="greaterThan" aboveAverage="0" equalAverage="0" bottom="0" percent="0" rank="0" text="" dxfId="7">
      <formula>0</formula>
    </cfRule>
  </conditionalFormatting>
  <conditionalFormatting sqref="F504">
    <cfRule type="cellIs" priority="1497" operator="greaterThan" aboveAverage="0" equalAverage="0" bottom="0" percent="0" rank="0" text="" dxfId="7">
      <formula>0</formula>
    </cfRule>
  </conditionalFormatting>
  <conditionalFormatting sqref="I504">
    <cfRule type="cellIs" priority="1498" operator="lessThan" aboveAverage="0" equalAverage="0" bottom="0" percent="0" rank="0" text="" dxfId="8">
      <formula>0</formula>
    </cfRule>
  </conditionalFormatting>
  <conditionalFormatting sqref="E505">
    <cfRule type="cellIs" priority="1499" operator="greaterThan" aboveAverage="0" equalAverage="0" bottom="0" percent="0" rank="0" text="" dxfId="7">
      <formula>0</formula>
    </cfRule>
  </conditionalFormatting>
  <conditionalFormatting sqref="F505">
    <cfRule type="cellIs" priority="1500" operator="greaterThan" aboveAverage="0" equalAverage="0" bottom="0" percent="0" rank="0" text="" dxfId="7">
      <formula>0</formula>
    </cfRule>
  </conditionalFormatting>
  <conditionalFormatting sqref="I505">
    <cfRule type="cellIs" priority="1501" operator="lessThan" aboveAverage="0" equalAverage="0" bottom="0" percent="0" rank="0" text="" dxfId="8">
      <formula>0</formula>
    </cfRule>
  </conditionalFormatting>
  <conditionalFormatting sqref="E506">
    <cfRule type="cellIs" priority="1502" operator="greaterThan" aboveAverage="0" equalAverage="0" bottom="0" percent="0" rank="0" text="" dxfId="7">
      <formula>0</formula>
    </cfRule>
  </conditionalFormatting>
  <conditionalFormatting sqref="F506">
    <cfRule type="cellIs" priority="1503" operator="greaterThan" aboveAverage="0" equalAverage="0" bottom="0" percent="0" rank="0" text="" dxfId="7">
      <formula>0</formula>
    </cfRule>
  </conditionalFormatting>
  <conditionalFormatting sqref="I506">
    <cfRule type="cellIs" priority="1504" operator="lessThan" aboveAverage="0" equalAverage="0" bottom="0" percent="0" rank="0" text="" dxfId="8">
      <formula>0</formula>
    </cfRule>
  </conditionalFormatting>
  <conditionalFormatting sqref="E507">
    <cfRule type="cellIs" priority="1505" operator="greaterThan" aboveAverage="0" equalAverage="0" bottom="0" percent="0" rank="0" text="" dxfId="7">
      <formula>0</formula>
    </cfRule>
  </conditionalFormatting>
  <conditionalFormatting sqref="F507">
    <cfRule type="cellIs" priority="1506" operator="greaterThan" aboveAverage="0" equalAverage="0" bottom="0" percent="0" rank="0" text="" dxfId="7">
      <formula>0</formula>
    </cfRule>
  </conditionalFormatting>
  <conditionalFormatting sqref="I507">
    <cfRule type="cellIs" priority="1507" operator="lessThan" aboveAverage="0" equalAverage="0" bottom="0" percent="0" rank="0" text="" dxfId="8">
      <formula>0</formula>
    </cfRule>
  </conditionalFormatting>
  <conditionalFormatting sqref="E508">
    <cfRule type="cellIs" priority="1508" operator="greaterThan" aboveAverage="0" equalAverage="0" bottom="0" percent="0" rank="0" text="" dxfId="7">
      <formula>0</formula>
    </cfRule>
  </conditionalFormatting>
  <conditionalFormatting sqref="F508">
    <cfRule type="cellIs" priority="1509" operator="greaterThan" aboveAverage="0" equalAverage="0" bottom="0" percent="0" rank="0" text="" dxfId="7">
      <formula>0</formula>
    </cfRule>
  </conditionalFormatting>
  <conditionalFormatting sqref="I508">
    <cfRule type="cellIs" priority="1510" operator="lessThan" aboveAverage="0" equalAverage="0" bottom="0" percent="0" rank="0" text="" dxfId="8">
      <formula>0</formula>
    </cfRule>
  </conditionalFormatting>
  <conditionalFormatting sqref="E509">
    <cfRule type="cellIs" priority="1511" operator="greaterThan" aboveAverage="0" equalAverage="0" bottom="0" percent="0" rank="0" text="" dxfId="7">
      <formula>0</formula>
    </cfRule>
  </conditionalFormatting>
  <conditionalFormatting sqref="F509">
    <cfRule type="cellIs" priority="1512" operator="greaterThan" aboveAverage="0" equalAverage="0" bottom="0" percent="0" rank="0" text="" dxfId="7">
      <formula>0</formula>
    </cfRule>
  </conditionalFormatting>
  <conditionalFormatting sqref="I509">
    <cfRule type="cellIs" priority="1513" operator="lessThan" aboveAverage="0" equalAverage="0" bottom="0" percent="0" rank="0" text="" dxfId="8">
      <formula>0</formula>
    </cfRule>
  </conditionalFormatting>
  <conditionalFormatting sqref="E510">
    <cfRule type="cellIs" priority="1514" operator="greaterThan" aboveAverage="0" equalAverage="0" bottom="0" percent="0" rank="0" text="" dxfId="7">
      <formula>0</formula>
    </cfRule>
  </conditionalFormatting>
  <conditionalFormatting sqref="F510">
    <cfRule type="cellIs" priority="1515" operator="greaterThan" aboveAverage="0" equalAverage="0" bottom="0" percent="0" rank="0" text="" dxfId="7">
      <formula>0</formula>
    </cfRule>
  </conditionalFormatting>
  <conditionalFormatting sqref="I510">
    <cfRule type="cellIs" priority="1516" operator="lessThan" aboveAverage="0" equalAverage="0" bottom="0" percent="0" rank="0" text="" dxfId="8">
      <formula>0</formula>
    </cfRule>
  </conditionalFormatting>
  <conditionalFormatting sqref="E511">
    <cfRule type="cellIs" priority="1517" operator="greaterThan" aboveAverage="0" equalAverage="0" bottom="0" percent="0" rank="0" text="" dxfId="7">
      <formula>0</formula>
    </cfRule>
  </conditionalFormatting>
  <conditionalFormatting sqref="F511">
    <cfRule type="cellIs" priority="1518" operator="greaterThan" aboveAverage="0" equalAverage="0" bottom="0" percent="0" rank="0" text="" dxfId="7">
      <formula>0</formula>
    </cfRule>
  </conditionalFormatting>
  <conditionalFormatting sqref="I511">
    <cfRule type="cellIs" priority="1519" operator="lessThan" aboveAverage="0" equalAverage="0" bottom="0" percent="0" rank="0" text="" dxfId="8">
      <formula>0</formula>
    </cfRule>
  </conditionalFormatting>
  <conditionalFormatting sqref="E512">
    <cfRule type="cellIs" priority="1520" operator="greaterThan" aboveAverage="0" equalAverage="0" bottom="0" percent="0" rank="0" text="" dxfId="7">
      <formula>0</formula>
    </cfRule>
  </conditionalFormatting>
  <conditionalFormatting sqref="F512">
    <cfRule type="cellIs" priority="1521" operator="greaterThan" aboveAverage="0" equalAverage="0" bottom="0" percent="0" rank="0" text="" dxfId="7">
      <formula>0</formula>
    </cfRule>
  </conditionalFormatting>
  <conditionalFormatting sqref="I512">
    <cfRule type="cellIs" priority="1522" operator="lessThan" aboveAverage="0" equalAverage="0" bottom="0" percent="0" rank="0" text="" dxfId="8">
      <formula>0</formula>
    </cfRule>
  </conditionalFormatting>
  <conditionalFormatting sqref="E513">
    <cfRule type="cellIs" priority="1523" operator="greaterThan" aboveAverage="0" equalAverage="0" bottom="0" percent="0" rank="0" text="" dxfId="7">
      <formula>0</formula>
    </cfRule>
  </conditionalFormatting>
  <conditionalFormatting sqref="F513">
    <cfRule type="cellIs" priority="1524" operator="greaterThan" aboveAverage="0" equalAverage="0" bottom="0" percent="0" rank="0" text="" dxfId="7">
      <formula>0</formula>
    </cfRule>
  </conditionalFormatting>
  <conditionalFormatting sqref="I513">
    <cfRule type="cellIs" priority="1525" operator="lessThan" aboveAverage="0" equalAverage="0" bottom="0" percent="0" rank="0" text="" dxfId="8">
      <formula>0</formula>
    </cfRule>
  </conditionalFormatting>
  <conditionalFormatting sqref="E514">
    <cfRule type="cellIs" priority="1526" operator="greaterThan" aboveAverage="0" equalAverage="0" bottom="0" percent="0" rank="0" text="" dxfId="7">
      <formula>0</formula>
    </cfRule>
  </conditionalFormatting>
  <conditionalFormatting sqref="F514">
    <cfRule type="cellIs" priority="1527" operator="greaterThan" aboveAverage="0" equalAverage="0" bottom="0" percent="0" rank="0" text="" dxfId="7">
      <formula>0</formula>
    </cfRule>
  </conditionalFormatting>
  <conditionalFormatting sqref="I514">
    <cfRule type="cellIs" priority="1528" operator="lessThan" aboveAverage="0" equalAverage="0" bottom="0" percent="0" rank="0" text="" dxfId="8">
      <formula>0</formula>
    </cfRule>
  </conditionalFormatting>
  <conditionalFormatting sqref="E515">
    <cfRule type="cellIs" priority="1529" operator="greaterThan" aboveAverage="0" equalAverage="0" bottom="0" percent="0" rank="0" text="" dxfId="7">
      <formula>0</formula>
    </cfRule>
  </conditionalFormatting>
  <conditionalFormatting sqref="F515">
    <cfRule type="cellIs" priority="1530" operator="greaterThan" aboveAverage="0" equalAverage="0" bottom="0" percent="0" rank="0" text="" dxfId="7">
      <formula>0</formula>
    </cfRule>
  </conditionalFormatting>
  <conditionalFormatting sqref="I515">
    <cfRule type="cellIs" priority="1531" operator="lessThan" aboveAverage="0" equalAverage="0" bottom="0" percent="0" rank="0" text="" dxfId="8">
      <formula>0</formula>
    </cfRule>
  </conditionalFormatting>
  <conditionalFormatting sqref="E516">
    <cfRule type="cellIs" priority="1532" operator="greaterThan" aboveAverage="0" equalAverage="0" bottom="0" percent="0" rank="0" text="" dxfId="7">
      <formula>0</formula>
    </cfRule>
  </conditionalFormatting>
  <conditionalFormatting sqref="F516">
    <cfRule type="cellIs" priority="1533" operator="greaterThan" aboveAverage="0" equalAverage="0" bottom="0" percent="0" rank="0" text="" dxfId="7">
      <formula>0</formula>
    </cfRule>
  </conditionalFormatting>
  <conditionalFormatting sqref="I516">
    <cfRule type="cellIs" priority="1534" operator="lessThan" aboveAverage="0" equalAverage="0" bottom="0" percent="0" rank="0" text="" dxfId="8">
      <formula>0</formula>
    </cfRule>
  </conditionalFormatting>
  <conditionalFormatting sqref="E517">
    <cfRule type="cellIs" priority="1535" operator="greaterThan" aboveAverage="0" equalAverage="0" bottom="0" percent="0" rank="0" text="" dxfId="7">
      <formula>0</formula>
    </cfRule>
  </conditionalFormatting>
  <conditionalFormatting sqref="F517">
    <cfRule type="cellIs" priority="1536" operator="greaterThan" aboveAverage="0" equalAverage="0" bottom="0" percent="0" rank="0" text="" dxfId="7">
      <formula>0</formula>
    </cfRule>
  </conditionalFormatting>
  <conditionalFormatting sqref="I517">
    <cfRule type="cellIs" priority="1537" operator="lessThan" aboveAverage="0" equalAverage="0" bottom="0" percent="0" rank="0" text="" dxfId="8">
      <formula>0</formula>
    </cfRule>
  </conditionalFormatting>
  <conditionalFormatting sqref="E518">
    <cfRule type="cellIs" priority="1538" operator="greaterThan" aboveAverage="0" equalAverage="0" bottom="0" percent="0" rank="0" text="" dxfId="7">
      <formula>0</formula>
    </cfRule>
  </conditionalFormatting>
  <conditionalFormatting sqref="F518">
    <cfRule type="cellIs" priority="1539" operator="greaterThan" aboveAverage="0" equalAverage="0" bottom="0" percent="0" rank="0" text="" dxfId="7">
      <formula>0</formula>
    </cfRule>
  </conditionalFormatting>
  <conditionalFormatting sqref="I518">
    <cfRule type="cellIs" priority="1540" operator="lessThan" aboveAverage="0" equalAverage="0" bottom="0" percent="0" rank="0" text="" dxfId="8">
      <formula>0</formula>
    </cfRule>
  </conditionalFormatting>
  <conditionalFormatting sqref="E519">
    <cfRule type="cellIs" priority="1541" operator="greaterThan" aboveAverage="0" equalAverage="0" bottom="0" percent="0" rank="0" text="" dxfId="7">
      <formula>0</formula>
    </cfRule>
  </conditionalFormatting>
  <conditionalFormatting sqref="F519">
    <cfRule type="cellIs" priority="1542" operator="greaterThan" aboveAverage="0" equalAverage="0" bottom="0" percent="0" rank="0" text="" dxfId="7">
      <formula>0</formula>
    </cfRule>
  </conditionalFormatting>
  <conditionalFormatting sqref="I519">
    <cfRule type="cellIs" priority="1543" operator="lessThan" aboveAverage="0" equalAverage="0" bottom="0" percent="0" rank="0" text="" dxfId="8">
      <formula>0</formula>
    </cfRule>
  </conditionalFormatting>
  <conditionalFormatting sqref="E520">
    <cfRule type="cellIs" priority="1544" operator="greaterThan" aboveAverage="0" equalAverage="0" bottom="0" percent="0" rank="0" text="" dxfId="7">
      <formula>0</formula>
    </cfRule>
  </conditionalFormatting>
  <conditionalFormatting sqref="F520">
    <cfRule type="cellIs" priority="1545" operator="greaterThan" aboveAverage="0" equalAverage="0" bottom="0" percent="0" rank="0" text="" dxfId="7">
      <formula>0</formula>
    </cfRule>
  </conditionalFormatting>
  <conditionalFormatting sqref="I520">
    <cfRule type="cellIs" priority="1546" operator="lessThan" aboveAverage="0" equalAverage="0" bottom="0" percent="0" rank="0" text="" dxfId="8">
      <formula>0</formula>
    </cfRule>
  </conditionalFormatting>
  <conditionalFormatting sqref="E521">
    <cfRule type="cellIs" priority="1547" operator="greaterThan" aboveAverage="0" equalAverage="0" bottom="0" percent="0" rank="0" text="" dxfId="7">
      <formula>0</formula>
    </cfRule>
  </conditionalFormatting>
  <conditionalFormatting sqref="F521">
    <cfRule type="cellIs" priority="1548" operator="greaterThan" aboveAverage="0" equalAverage="0" bottom="0" percent="0" rank="0" text="" dxfId="7">
      <formula>0</formula>
    </cfRule>
  </conditionalFormatting>
  <conditionalFormatting sqref="I521">
    <cfRule type="cellIs" priority="1549" operator="lessThan" aboveAverage="0" equalAverage="0" bottom="0" percent="0" rank="0" text="" dxfId="8">
      <formula>0</formula>
    </cfRule>
  </conditionalFormatting>
  <conditionalFormatting sqref="E522">
    <cfRule type="cellIs" priority="1550" operator="greaterThan" aboveAverage="0" equalAverage="0" bottom="0" percent="0" rank="0" text="" dxfId="7">
      <formula>0</formula>
    </cfRule>
  </conditionalFormatting>
  <conditionalFormatting sqref="F522">
    <cfRule type="cellIs" priority="1551" operator="greaterThan" aboveAverage="0" equalAverage="0" bottom="0" percent="0" rank="0" text="" dxfId="7">
      <formula>0</formula>
    </cfRule>
  </conditionalFormatting>
  <conditionalFormatting sqref="I522">
    <cfRule type="cellIs" priority="1552" operator="lessThan" aboveAverage="0" equalAverage="0" bottom="0" percent="0" rank="0" text="" dxfId="8">
      <formula>0</formula>
    </cfRule>
  </conditionalFormatting>
  <conditionalFormatting sqref="E523">
    <cfRule type="cellIs" priority="1553" operator="greaterThan" aboveAverage="0" equalAverage="0" bottom="0" percent="0" rank="0" text="" dxfId="7">
      <formula>0</formula>
    </cfRule>
  </conditionalFormatting>
  <conditionalFormatting sqref="F523">
    <cfRule type="cellIs" priority="1554" operator="greaterThan" aboveAverage="0" equalAverage="0" bottom="0" percent="0" rank="0" text="" dxfId="7">
      <formula>0</formula>
    </cfRule>
  </conditionalFormatting>
  <conditionalFormatting sqref="I523">
    <cfRule type="cellIs" priority="1555" operator="lessThan" aboveAverage="0" equalAverage="0" bottom="0" percent="0" rank="0" text="" dxfId="8">
      <formula>0</formula>
    </cfRule>
  </conditionalFormatting>
  <conditionalFormatting sqref="E524">
    <cfRule type="cellIs" priority="1556" operator="greaterThan" aboveAverage="0" equalAverage="0" bottom="0" percent="0" rank="0" text="" dxfId="7">
      <formula>0</formula>
    </cfRule>
  </conditionalFormatting>
  <conditionalFormatting sqref="F524">
    <cfRule type="cellIs" priority="1557" operator="greaterThan" aboveAverage="0" equalAverage="0" bottom="0" percent="0" rank="0" text="" dxfId="7">
      <formula>0</formula>
    </cfRule>
  </conditionalFormatting>
  <conditionalFormatting sqref="I524">
    <cfRule type="cellIs" priority="1558" operator="lessThan" aboveAverage="0" equalAverage="0" bottom="0" percent="0" rank="0" text="" dxfId="8">
      <formula>0</formula>
    </cfRule>
  </conditionalFormatting>
  <conditionalFormatting sqref="E525">
    <cfRule type="cellIs" priority="1559" operator="greaterThan" aboveAverage="0" equalAverage="0" bottom="0" percent="0" rank="0" text="" dxfId="7">
      <formula>0</formula>
    </cfRule>
  </conditionalFormatting>
  <conditionalFormatting sqref="F525">
    <cfRule type="cellIs" priority="1560" operator="greaterThan" aboveAverage="0" equalAverage="0" bottom="0" percent="0" rank="0" text="" dxfId="7">
      <formula>0</formula>
    </cfRule>
  </conditionalFormatting>
  <conditionalFormatting sqref="I525">
    <cfRule type="cellIs" priority="1561" operator="lessThan" aboveAverage="0" equalAverage="0" bottom="0" percent="0" rank="0" text="" dxfId="8">
      <formula>0</formula>
    </cfRule>
  </conditionalFormatting>
  <conditionalFormatting sqref="E526">
    <cfRule type="cellIs" priority="1562" operator="greaterThan" aboveAverage="0" equalAverage="0" bottom="0" percent="0" rank="0" text="" dxfId="7">
      <formula>0</formula>
    </cfRule>
  </conditionalFormatting>
  <conditionalFormatting sqref="F526">
    <cfRule type="cellIs" priority="1563" operator="greaterThan" aboveAverage="0" equalAverage="0" bottom="0" percent="0" rank="0" text="" dxfId="7">
      <formula>0</formula>
    </cfRule>
  </conditionalFormatting>
  <conditionalFormatting sqref="I526">
    <cfRule type="cellIs" priority="1564" operator="lessThan" aboveAverage="0" equalAverage="0" bottom="0" percent="0" rank="0" text="" dxfId="8">
      <formula>0</formula>
    </cfRule>
  </conditionalFormatting>
  <conditionalFormatting sqref="E527">
    <cfRule type="cellIs" priority="1565" operator="greaterThan" aboveAverage="0" equalAverage="0" bottom="0" percent="0" rank="0" text="" dxfId="7">
      <formula>0</formula>
    </cfRule>
  </conditionalFormatting>
  <conditionalFormatting sqref="F527">
    <cfRule type="cellIs" priority="1566" operator="greaterThan" aboveAverage="0" equalAverage="0" bottom="0" percent="0" rank="0" text="" dxfId="7">
      <formula>0</formula>
    </cfRule>
  </conditionalFormatting>
  <conditionalFormatting sqref="I527">
    <cfRule type="cellIs" priority="1567" operator="lessThan" aboveAverage="0" equalAverage="0" bottom="0" percent="0" rank="0" text="" dxfId="8">
      <formula>0</formula>
    </cfRule>
  </conditionalFormatting>
  <conditionalFormatting sqref="E528">
    <cfRule type="cellIs" priority="1568" operator="greaterThan" aboveAverage="0" equalAverage="0" bottom="0" percent="0" rank="0" text="" dxfId="7">
      <formula>0</formula>
    </cfRule>
  </conditionalFormatting>
  <conditionalFormatting sqref="F528">
    <cfRule type="cellIs" priority="1569" operator="greaterThan" aboveAverage="0" equalAverage="0" bottom="0" percent="0" rank="0" text="" dxfId="7">
      <formula>0</formula>
    </cfRule>
  </conditionalFormatting>
  <conditionalFormatting sqref="I528">
    <cfRule type="cellIs" priority="1570" operator="lessThan" aboveAverage="0" equalAverage="0" bottom="0" percent="0" rank="0" text="" dxfId="8">
      <formula>0</formula>
    </cfRule>
  </conditionalFormatting>
  <conditionalFormatting sqref="E529">
    <cfRule type="cellIs" priority="1571" operator="greaterThan" aboveAverage="0" equalAverage="0" bottom="0" percent="0" rank="0" text="" dxfId="7">
      <formula>0</formula>
    </cfRule>
  </conditionalFormatting>
  <conditionalFormatting sqref="F529">
    <cfRule type="cellIs" priority="1572" operator="greaterThan" aboveAverage="0" equalAverage="0" bottom="0" percent="0" rank="0" text="" dxfId="7">
      <formula>0</formula>
    </cfRule>
  </conditionalFormatting>
  <conditionalFormatting sqref="I529">
    <cfRule type="cellIs" priority="1573" operator="lessThan" aboveAverage="0" equalAverage="0" bottom="0" percent="0" rank="0" text="" dxfId="8">
      <formula>0</formula>
    </cfRule>
  </conditionalFormatting>
  <conditionalFormatting sqref="E530">
    <cfRule type="cellIs" priority="1574" operator="greaterThan" aboveAverage="0" equalAverage="0" bottom="0" percent="0" rank="0" text="" dxfId="7">
      <formula>0</formula>
    </cfRule>
  </conditionalFormatting>
  <conditionalFormatting sqref="F530">
    <cfRule type="cellIs" priority="1575" operator="greaterThan" aboveAverage="0" equalAverage="0" bottom="0" percent="0" rank="0" text="" dxfId="7">
      <formula>0</formula>
    </cfRule>
  </conditionalFormatting>
  <conditionalFormatting sqref="I530">
    <cfRule type="cellIs" priority="1576" operator="lessThan" aboveAverage="0" equalAverage="0" bottom="0" percent="0" rank="0" text="" dxfId="8">
      <formula>0</formula>
    </cfRule>
  </conditionalFormatting>
  <conditionalFormatting sqref="E531">
    <cfRule type="cellIs" priority="1577" operator="greaterThan" aboveAverage="0" equalAverage="0" bottom="0" percent="0" rank="0" text="" dxfId="7">
      <formula>0</formula>
    </cfRule>
  </conditionalFormatting>
  <conditionalFormatting sqref="F531">
    <cfRule type="cellIs" priority="1578" operator="greaterThan" aboveAverage="0" equalAverage="0" bottom="0" percent="0" rank="0" text="" dxfId="7">
      <formula>0</formula>
    </cfRule>
  </conditionalFormatting>
  <conditionalFormatting sqref="I531">
    <cfRule type="cellIs" priority="1579" operator="lessThan" aboveAverage="0" equalAverage="0" bottom="0" percent="0" rank="0" text="" dxfId="8">
      <formula>0</formula>
    </cfRule>
  </conditionalFormatting>
  <conditionalFormatting sqref="E532">
    <cfRule type="cellIs" priority="1580" operator="greaterThan" aboveAverage="0" equalAverage="0" bottom="0" percent="0" rank="0" text="" dxfId="7">
      <formula>0</formula>
    </cfRule>
  </conditionalFormatting>
  <conditionalFormatting sqref="F532">
    <cfRule type="cellIs" priority="1581" operator="greaterThan" aboveAverage="0" equalAverage="0" bottom="0" percent="0" rank="0" text="" dxfId="7">
      <formula>0</formula>
    </cfRule>
  </conditionalFormatting>
  <conditionalFormatting sqref="I532">
    <cfRule type="cellIs" priority="1582" operator="lessThan" aboveAverage="0" equalAverage="0" bottom="0" percent="0" rank="0" text="" dxfId="8">
      <formula>0</formula>
    </cfRule>
  </conditionalFormatting>
  <conditionalFormatting sqref="E533">
    <cfRule type="cellIs" priority="1583" operator="greaterThan" aboveAverage="0" equalAverage="0" bottom="0" percent="0" rank="0" text="" dxfId="7">
      <formula>0</formula>
    </cfRule>
  </conditionalFormatting>
  <conditionalFormatting sqref="F533">
    <cfRule type="cellIs" priority="1584" operator="greaterThan" aboveAverage="0" equalAverage="0" bottom="0" percent="0" rank="0" text="" dxfId="7">
      <formula>0</formula>
    </cfRule>
  </conditionalFormatting>
  <conditionalFormatting sqref="I533">
    <cfRule type="cellIs" priority="1585" operator="lessThan" aboveAverage="0" equalAverage="0" bottom="0" percent="0" rank="0" text="" dxfId="8">
      <formula>0</formula>
    </cfRule>
  </conditionalFormatting>
  <conditionalFormatting sqref="E534">
    <cfRule type="cellIs" priority="1586" operator="greaterThan" aboveAverage="0" equalAverage="0" bottom="0" percent="0" rank="0" text="" dxfId="7">
      <formula>0</formula>
    </cfRule>
  </conditionalFormatting>
  <conditionalFormatting sqref="F534">
    <cfRule type="cellIs" priority="1587" operator="greaterThan" aboveAverage="0" equalAverage="0" bottom="0" percent="0" rank="0" text="" dxfId="7">
      <formula>0</formula>
    </cfRule>
  </conditionalFormatting>
  <conditionalFormatting sqref="I534">
    <cfRule type="cellIs" priority="1588" operator="lessThan" aboveAverage="0" equalAverage="0" bottom="0" percent="0" rank="0" text="" dxfId="8">
      <formula>0</formula>
    </cfRule>
  </conditionalFormatting>
  <conditionalFormatting sqref="E535">
    <cfRule type="cellIs" priority="1589" operator="greaterThan" aboveAverage="0" equalAverage="0" bottom="0" percent="0" rank="0" text="" dxfId="7">
      <formula>0</formula>
    </cfRule>
  </conditionalFormatting>
  <conditionalFormatting sqref="F535">
    <cfRule type="cellIs" priority="1590" operator="greaterThan" aboveAverage="0" equalAverage="0" bottom="0" percent="0" rank="0" text="" dxfId="7">
      <formula>0</formula>
    </cfRule>
  </conditionalFormatting>
  <conditionalFormatting sqref="I535">
    <cfRule type="cellIs" priority="1591" operator="lessThan" aboveAverage="0" equalAverage="0" bottom="0" percent="0" rank="0" text="" dxfId="8">
      <formula>0</formula>
    </cfRule>
  </conditionalFormatting>
  <conditionalFormatting sqref="E536">
    <cfRule type="cellIs" priority="1592" operator="greaterThan" aboveAverage="0" equalAverage="0" bottom="0" percent="0" rank="0" text="" dxfId="7">
      <formula>0</formula>
    </cfRule>
  </conditionalFormatting>
  <conditionalFormatting sqref="F536">
    <cfRule type="cellIs" priority="1593" operator="greaterThan" aboveAverage="0" equalAverage="0" bottom="0" percent="0" rank="0" text="" dxfId="7">
      <formula>0</formula>
    </cfRule>
  </conditionalFormatting>
  <conditionalFormatting sqref="I536">
    <cfRule type="cellIs" priority="1594" operator="lessThan" aboveAverage="0" equalAverage="0" bottom="0" percent="0" rank="0" text="" dxfId="8">
      <formula>0</formula>
    </cfRule>
  </conditionalFormatting>
  <conditionalFormatting sqref="E537">
    <cfRule type="cellIs" priority="1595" operator="greaterThan" aboveAverage="0" equalAverage="0" bottom="0" percent="0" rank="0" text="" dxfId="7">
      <formula>0</formula>
    </cfRule>
  </conditionalFormatting>
  <conditionalFormatting sqref="F537">
    <cfRule type="cellIs" priority="1596" operator="greaterThan" aboveAverage="0" equalAverage="0" bottom="0" percent="0" rank="0" text="" dxfId="7">
      <formula>0</formula>
    </cfRule>
  </conditionalFormatting>
  <conditionalFormatting sqref="I537">
    <cfRule type="cellIs" priority="1597" operator="lessThan" aboveAverage="0" equalAverage="0" bottom="0" percent="0" rank="0" text="" dxfId="8">
      <formula>0</formula>
    </cfRule>
  </conditionalFormatting>
  <conditionalFormatting sqref="E538">
    <cfRule type="cellIs" priority="1598" operator="greaterThan" aboveAverage="0" equalAverage="0" bottom="0" percent="0" rank="0" text="" dxfId="7">
      <formula>0</formula>
    </cfRule>
  </conditionalFormatting>
  <conditionalFormatting sqref="F538">
    <cfRule type="cellIs" priority="1599" operator="greaterThan" aboveAverage="0" equalAverage="0" bottom="0" percent="0" rank="0" text="" dxfId="7">
      <formula>0</formula>
    </cfRule>
  </conditionalFormatting>
  <conditionalFormatting sqref="I538">
    <cfRule type="cellIs" priority="1600" operator="lessThan" aboveAverage="0" equalAverage="0" bottom="0" percent="0" rank="0" text="" dxfId="8">
      <formula>0</formula>
    </cfRule>
  </conditionalFormatting>
  <conditionalFormatting sqref="E539">
    <cfRule type="cellIs" priority="1601" operator="greaterThan" aboveAverage="0" equalAverage="0" bottom="0" percent="0" rank="0" text="" dxfId="7">
      <formula>0</formula>
    </cfRule>
  </conditionalFormatting>
  <conditionalFormatting sqref="F539">
    <cfRule type="cellIs" priority="1602" operator="greaterThan" aboveAverage="0" equalAverage="0" bottom="0" percent="0" rank="0" text="" dxfId="7">
      <formula>0</formula>
    </cfRule>
  </conditionalFormatting>
  <conditionalFormatting sqref="I539">
    <cfRule type="cellIs" priority="1603" operator="lessThan" aboveAverage="0" equalAverage="0" bottom="0" percent="0" rank="0" text="" dxfId="8">
      <formula>0</formula>
    </cfRule>
  </conditionalFormatting>
  <conditionalFormatting sqref="E540">
    <cfRule type="cellIs" priority="1604" operator="greaterThan" aboveAverage="0" equalAverage="0" bottom="0" percent="0" rank="0" text="" dxfId="7">
      <formula>0</formula>
    </cfRule>
  </conditionalFormatting>
  <conditionalFormatting sqref="F540">
    <cfRule type="cellIs" priority="1605" operator="greaterThan" aboveAverage="0" equalAverage="0" bottom="0" percent="0" rank="0" text="" dxfId="7">
      <formula>0</formula>
    </cfRule>
  </conditionalFormatting>
  <conditionalFormatting sqref="I540">
    <cfRule type="cellIs" priority="1606" operator="lessThan" aboveAverage="0" equalAverage="0" bottom="0" percent="0" rank="0" text="" dxfId="8">
      <formula>0</formula>
    </cfRule>
  </conditionalFormatting>
  <conditionalFormatting sqref="E541">
    <cfRule type="cellIs" priority="1607" operator="greaterThan" aboveAverage="0" equalAverage="0" bottom="0" percent="0" rank="0" text="" dxfId="7">
      <formula>0</formula>
    </cfRule>
  </conditionalFormatting>
  <conditionalFormatting sqref="F541">
    <cfRule type="cellIs" priority="1608" operator="greaterThan" aboveAverage="0" equalAverage="0" bottom="0" percent="0" rank="0" text="" dxfId="7">
      <formula>0</formula>
    </cfRule>
  </conditionalFormatting>
  <conditionalFormatting sqref="I541">
    <cfRule type="cellIs" priority="1609" operator="lessThan" aboveAverage="0" equalAverage="0" bottom="0" percent="0" rank="0" text="" dxfId="8">
      <formula>0</formula>
    </cfRule>
  </conditionalFormatting>
  <conditionalFormatting sqref="E542">
    <cfRule type="cellIs" priority="1610" operator="greaterThan" aboveAverage="0" equalAverage="0" bottom="0" percent="0" rank="0" text="" dxfId="7">
      <formula>0</formula>
    </cfRule>
  </conditionalFormatting>
  <conditionalFormatting sqref="F542">
    <cfRule type="cellIs" priority="1611" operator="greaterThan" aboveAverage="0" equalAverage="0" bottom="0" percent="0" rank="0" text="" dxfId="7">
      <formula>0</formula>
    </cfRule>
  </conditionalFormatting>
  <conditionalFormatting sqref="I542">
    <cfRule type="cellIs" priority="1612" operator="lessThan" aboveAverage="0" equalAverage="0" bottom="0" percent="0" rank="0" text="" dxfId="8">
      <formula>0</formula>
    </cfRule>
  </conditionalFormatting>
  <conditionalFormatting sqref="E543">
    <cfRule type="cellIs" priority="1613" operator="greaterThan" aboveAverage="0" equalAverage="0" bottom="0" percent="0" rank="0" text="" dxfId="7">
      <formula>0</formula>
    </cfRule>
  </conditionalFormatting>
  <conditionalFormatting sqref="F543">
    <cfRule type="cellIs" priority="1614" operator="greaterThan" aboveAverage="0" equalAverage="0" bottom="0" percent="0" rank="0" text="" dxfId="7">
      <formula>0</formula>
    </cfRule>
  </conditionalFormatting>
  <conditionalFormatting sqref="I543">
    <cfRule type="cellIs" priority="1615" operator="lessThan" aboveAverage="0" equalAverage="0" bottom="0" percent="0" rank="0" text="" dxfId="8">
      <formula>0</formula>
    </cfRule>
  </conditionalFormatting>
  <conditionalFormatting sqref="E544">
    <cfRule type="cellIs" priority="1616" operator="greaterThan" aboveAverage="0" equalAverage="0" bottom="0" percent="0" rank="0" text="" dxfId="7">
      <formula>0</formula>
    </cfRule>
  </conditionalFormatting>
  <conditionalFormatting sqref="F544">
    <cfRule type="cellIs" priority="1617" operator="greaterThan" aboveAverage="0" equalAverage="0" bottom="0" percent="0" rank="0" text="" dxfId="7">
      <formula>0</formula>
    </cfRule>
  </conditionalFormatting>
  <conditionalFormatting sqref="I544">
    <cfRule type="cellIs" priority="1618" operator="lessThan" aboveAverage="0" equalAverage="0" bottom="0" percent="0" rank="0" text="" dxfId="8">
      <formula>0</formula>
    </cfRule>
  </conditionalFormatting>
  <conditionalFormatting sqref="E545">
    <cfRule type="cellIs" priority="1619" operator="greaterThan" aboveAverage="0" equalAverage="0" bottom="0" percent="0" rank="0" text="" dxfId="7">
      <formula>0</formula>
    </cfRule>
  </conditionalFormatting>
  <conditionalFormatting sqref="F545">
    <cfRule type="cellIs" priority="1620" operator="greaterThan" aboveAverage="0" equalAverage="0" bottom="0" percent="0" rank="0" text="" dxfId="7">
      <formula>0</formula>
    </cfRule>
  </conditionalFormatting>
  <conditionalFormatting sqref="I545">
    <cfRule type="cellIs" priority="1621" operator="lessThan" aboveAverage="0" equalAverage="0" bottom="0" percent="0" rank="0" text="" dxfId="8">
      <formula>0</formula>
    </cfRule>
  </conditionalFormatting>
  <conditionalFormatting sqref="E546">
    <cfRule type="cellIs" priority="1622" operator="greaterThan" aboveAverage="0" equalAverage="0" bottom="0" percent="0" rank="0" text="" dxfId="7">
      <formula>0</formula>
    </cfRule>
  </conditionalFormatting>
  <conditionalFormatting sqref="F546">
    <cfRule type="cellIs" priority="1623" operator="greaterThan" aboveAverage="0" equalAverage="0" bottom="0" percent="0" rank="0" text="" dxfId="7">
      <formula>0</formula>
    </cfRule>
  </conditionalFormatting>
  <conditionalFormatting sqref="I546">
    <cfRule type="cellIs" priority="1624" operator="lessThan" aboveAverage="0" equalAverage="0" bottom="0" percent="0" rank="0" text="" dxfId="8">
      <formula>0</formula>
    </cfRule>
  </conditionalFormatting>
  <conditionalFormatting sqref="E547">
    <cfRule type="cellIs" priority="1625" operator="greaterThan" aboveAverage="0" equalAverage="0" bottom="0" percent="0" rank="0" text="" dxfId="7">
      <formula>0</formula>
    </cfRule>
  </conditionalFormatting>
  <conditionalFormatting sqref="F547">
    <cfRule type="cellIs" priority="1626" operator="greaterThan" aboveAverage="0" equalAverage="0" bottom="0" percent="0" rank="0" text="" dxfId="7">
      <formula>0</formula>
    </cfRule>
  </conditionalFormatting>
  <conditionalFormatting sqref="I547">
    <cfRule type="cellIs" priority="1627" operator="lessThan" aboveAverage="0" equalAverage="0" bottom="0" percent="0" rank="0" text="" dxfId="8">
      <formula>0</formula>
    </cfRule>
  </conditionalFormatting>
  <conditionalFormatting sqref="E548">
    <cfRule type="cellIs" priority="1628" operator="greaterThan" aboveAverage="0" equalAverage="0" bottom="0" percent="0" rank="0" text="" dxfId="7">
      <formula>0</formula>
    </cfRule>
  </conditionalFormatting>
  <conditionalFormatting sqref="F548">
    <cfRule type="cellIs" priority="1629" operator="greaterThan" aboveAverage="0" equalAverage="0" bottom="0" percent="0" rank="0" text="" dxfId="7">
      <formula>0</formula>
    </cfRule>
  </conditionalFormatting>
  <conditionalFormatting sqref="I548">
    <cfRule type="cellIs" priority="1630" operator="lessThan" aboveAverage="0" equalAverage="0" bottom="0" percent="0" rank="0" text="" dxfId="8">
      <formula>0</formula>
    </cfRule>
  </conditionalFormatting>
  <conditionalFormatting sqref="E549">
    <cfRule type="cellIs" priority="1631" operator="greaterThan" aboveAverage="0" equalAverage="0" bottom="0" percent="0" rank="0" text="" dxfId="7">
      <formula>0</formula>
    </cfRule>
  </conditionalFormatting>
  <conditionalFormatting sqref="F549">
    <cfRule type="cellIs" priority="1632" operator="greaterThan" aboveAverage="0" equalAverage="0" bottom="0" percent="0" rank="0" text="" dxfId="7">
      <formula>0</formula>
    </cfRule>
  </conditionalFormatting>
  <conditionalFormatting sqref="I549">
    <cfRule type="cellIs" priority="1633" operator="lessThan" aboveAverage="0" equalAverage="0" bottom="0" percent="0" rank="0" text="" dxfId="8">
      <formula>0</formula>
    </cfRule>
  </conditionalFormatting>
  <conditionalFormatting sqref="E550">
    <cfRule type="cellIs" priority="1634" operator="greaterThan" aboveAverage="0" equalAverage="0" bottom="0" percent="0" rank="0" text="" dxfId="7">
      <formula>0</formula>
    </cfRule>
  </conditionalFormatting>
  <conditionalFormatting sqref="F550">
    <cfRule type="cellIs" priority="1635" operator="greaterThan" aboveAverage="0" equalAverage="0" bottom="0" percent="0" rank="0" text="" dxfId="7">
      <formula>0</formula>
    </cfRule>
  </conditionalFormatting>
  <conditionalFormatting sqref="I550">
    <cfRule type="cellIs" priority="1636" operator="lessThan" aboveAverage="0" equalAverage="0" bottom="0" percent="0" rank="0" text="" dxfId="8">
      <formula>0</formula>
    </cfRule>
  </conditionalFormatting>
  <conditionalFormatting sqref="E551">
    <cfRule type="cellIs" priority="1637" operator="greaterThan" aboveAverage="0" equalAverage="0" bottom="0" percent="0" rank="0" text="" dxfId="7">
      <formula>0</formula>
    </cfRule>
  </conditionalFormatting>
  <conditionalFormatting sqref="F551">
    <cfRule type="cellIs" priority="1638" operator="greaterThan" aboveAverage="0" equalAverage="0" bottom="0" percent="0" rank="0" text="" dxfId="7">
      <formula>0</formula>
    </cfRule>
  </conditionalFormatting>
  <conditionalFormatting sqref="I551">
    <cfRule type="cellIs" priority="1639" operator="lessThan" aboveAverage="0" equalAverage="0" bottom="0" percent="0" rank="0" text="" dxfId="8">
      <formula>0</formula>
    </cfRule>
  </conditionalFormatting>
  <conditionalFormatting sqref="E552">
    <cfRule type="cellIs" priority="1640" operator="greaterThan" aboveAverage="0" equalAverage="0" bottom="0" percent="0" rank="0" text="" dxfId="7">
      <formula>0</formula>
    </cfRule>
  </conditionalFormatting>
  <conditionalFormatting sqref="F552">
    <cfRule type="cellIs" priority="1641" operator="greaterThan" aboveAverage="0" equalAverage="0" bottom="0" percent="0" rank="0" text="" dxfId="7">
      <formula>0</formula>
    </cfRule>
  </conditionalFormatting>
  <conditionalFormatting sqref="I552">
    <cfRule type="cellIs" priority="1642" operator="lessThan" aboveAverage="0" equalAverage="0" bottom="0" percent="0" rank="0" text="" dxfId="8">
      <formula>0</formula>
    </cfRule>
  </conditionalFormatting>
  <conditionalFormatting sqref="E553">
    <cfRule type="cellIs" priority="1643" operator="greaterThan" aboveAverage="0" equalAverage="0" bottom="0" percent="0" rank="0" text="" dxfId="7">
      <formula>0</formula>
    </cfRule>
  </conditionalFormatting>
  <conditionalFormatting sqref="F553">
    <cfRule type="cellIs" priority="1644" operator="greaterThan" aboveAverage="0" equalAverage="0" bottom="0" percent="0" rank="0" text="" dxfId="7">
      <formula>0</formula>
    </cfRule>
  </conditionalFormatting>
  <conditionalFormatting sqref="I553">
    <cfRule type="cellIs" priority="1645" operator="lessThan" aboveAverage="0" equalAverage="0" bottom="0" percent="0" rank="0" text="" dxfId="8">
      <formula>0</formula>
    </cfRule>
  </conditionalFormatting>
  <conditionalFormatting sqref="E554">
    <cfRule type="cellIs" priority="1646" operator="greaterThan" aboveAverage="0" equalAverage="0" bottom="0" percent="0" rank="0" text="" dxfId="7">
      <formula>0</formula>
    </cfRule>
  </conditionalFormatting>
  <conditionalFormatting sqref="F554">
    <cfRule type="cellIs" priority="1647" operator="greaterThan" aboveAverage="0" equalAverage="0" bottom="0" percent="0" rank="0" text="" dxfId="7">
      <formula>0</formula>
    </cfRule>
  </conditionalFormatting>
  <conditionalFormatting sqref="I554">
    <cfRule type="cellIs" priority="1648" operator="lessThan" aboveAverage="0" equalAverage="0" bottom="0" percent="0" rank="0" text="" dxfId="8">
      <formula>0</formula>
    </cfRule>
  </conditionalFormatting>
  <conditionalFormatting sqref="E555">
    <cfRule type="cellIs" priority="1649" operator="greaterThan" aboveAverage="0" equalAverage="0" bottom="0" percent="0" rank="0" text="" dxfId="7">
      <formula>0</formula>
    </cfRule>
  </conditionalFormatting>
  <conditionalFormatting sqref="F555">
    <cfRule type="cellIs" priority="1650" operator="greaterThan" aboveAverage="0" equalAverage="0" bottom="0" percent="0" rank="0" text="" dxfId="7">
      <formula>0</formula>
    </cfRule>
  </conditionalFormatting>
  <conditionalFormatting sqref="I555">
    <cfRule type="cellIs" priority="1651" operator="lessThan" aboveAverage="0" equalAverage="0" bottom="0" percent="0" rank="0" text="" dxfId="8">
      <formula>0</formula>
    </cfRule>
  </conditionalFormatting>
  <conditionalFormatting sqref="E556">
    <cfRule type="cellIs" priority="1652" operator="greaterThan" aboveAverage="0" equalAverage="0" bottom="0" percent="0" rank="0" text="" dxfId="7">
      <formula>0</formula>
    </cfRule>
  </conditionalFormatting>
  <conditionalFormatting sqref="F556">
    <cfRule type="cellIs" priority="1653" operator="greaterThan" aboveAverage="0" equalAverage="0" bottom="0" percent="0" rank="0" text="" dxfId="7">
      <formula>0</formula>
    </cfRule>
  </conditionalFormatting>
  <conditionalFormatting sqref="I556">
    <cfRule type="cellIs" priority="1654" operator="lessThan" aboveAverage="0" equalAverage="0" bottom="0" percent="0" rank="0" text="" dxfId="8">
      <formula>0</formula>
    </cfRule>
  </conditionalFormatting>
  <conditionalFormatting sqref="E557">
    <cfRule type="cellIs" priority="1655" operator="greaterThan" aboveAverage="0" equalAverage="0" bottom="0" percent="0" rank="0" text="" dxfId="7">
      <formula>0</formula>
    </cfRule>
  </conditionalFormatting>
  <conditionalFormatting sqref="F557">
    <cfRule type="cellIs" priority="1656" operator="greaterThan" aboveAverage="0" equalAverage="0" bottom="0" percent="0" rank="0" text="" dxfId="7">
      <formula>0</formula>
    </cfRule>
  </conditionalFormatting>
  <conditionalFormatting sqref="I557">
    <cfRule type="cellIs" priority="1657" operator="lessThan" aboveAverage="0" equalAverage="0" bottom="0" percent="0" rank="0" text="" dxfId="8">
      <formula>0</formula>
    </cfRule>
  </conditionalFormatting>
  <conditionalFormatting sqref="E558">
    <cfRule type="cellIs" priority="1658" operator="greaterThan" aboveAverage="0" equalAverage="0" bottom="0" percent="0" rank="0" text="" dxfId="7">
      <formula>0</formula>
    </cfRule>
  </conditionalFormatting>
  <conditionalFormatting sqref="F558">
    <cfRule type="cellIs" priority="1659" operator="greaterThan" aboveAverage="0" equalAverage="0" bottom="0" percent="0" rank="0" text="" dxfId="7">
      <formula>0</formula>
    </cfRule>
  </conditionalFormatting>
  <conditionalFormatting sqref="I558">
    <cfRule type="cellIs" priority="1660" operator="lessThan" aboveAverage="0" equalAverage="0" bottom="0" percent="0" rank="0" text="" dxfId="8">
      <formula>0</formula>
    </cfRule>
  </conditionalFormatting>
  <conditionalFormatting sqref="E559">
    <cfRule type="cellIs" priority="1661" operator="greaterThan" aboveAverage="0" equalAverage="0" bottom="0" percent="0" rank="0" text="" dxfId="7">
      <formula>0</formula>
    </cfRule>
  </conditionalFormatting>
  <conditionalFormatting sqref="F559">
    <cfRule type="cellIs" priority="1662" operator="greaterThan" aboveAverage="0" equalAverage="0" bottom="0" percent="0" rank="0" text="" dxfId="7">
      <formula>0</formula>
    </cfRule>
  </conditionalFormatting>
  <conditionalFormatting sqref="I559">
    <cfRule type="cellIs" priority="1663" operator="lessThan" aboveAverage="0" equalAverage="0" bottom="0" percent="0" rank="0" text="" dxfId="8">
      <formula>0</formula>
    </cfRule>
  </conditionalFormatting>
  <conditionalFormatting sqref="E560">
    <cfRule type="cellIs" priority="1664" operator="greaterThan" aboveAverage="0" equalAverage="0" bottom="0" percent="0" rank="0" text="" dxfId="7">
      <formula>0</formula>
    </cfRule>
  </conditionalFormatting>
  <conditionalFormatting sqref="F560">
    <cfRule type="cellIs" priority="1665" operator="greaterThan" aboveAverage="0" equalAverage="0" bottom="0" percent="0" rank="0" text="" dxfId="7">
      <formula>0</formula>
    </cfRule>
  </conditionalFormatting>
  <conditionalFormatting sqref="I560">
    <cfRule type="cellIs" priority="1666" operator="lessThan" aboveAverage="0" equalAverage="0" bottom="0" percent="0" rank="0" text="" dxfId="8">
      <formula>0</formula>
    </cfRule>
  </conditionalFormatting>
  <conditionalFormatting sqref="E561">
    <cfRule type="cellIs" priority="1667" operator="greaterThan" aboveAverage="0" equalAverage="0" bottom="0" percent="0" rank="0" text="" dxfId="7">
      <formula>0</formula>
    </cfRule>
  </conditionalFormatting>
  <conditionalFormatting sqref="F561">
    <cfRule type="cellIs" priority="1668" operator="greaterThan" aboveAverage="0" equalAverage="0" bottom="0" percent="0" rank="0" text="" dxfId="7">
      <formula>0</formula>
    </cfRule>
  </conditionalFormatting>
  <conditionalFormatting sqref="I561">
    <cfRule type="cellIs" priority="1669" operator="lessThan" aboveAverage="0" equalAverage="0" bottom="0" percent="0" rank="0" text="" dxfId="8">
      <formula>0</formula>
    </cfRule>
  </conditionalFormatting>
  <conditionalFormatting sqref="E562">
    <cfRule type="cellIs" priority="1670" operator="greaterThan" aboveAverage="0" equalAverage="0" bottom="0" percent="0" rank="0" text="" dxfId="7">
      <formula>0</formula>
    </cfRule>
  </conditionalFormatting>
  <conditionalFormatting sqref="F562">
    <cfRule type="cellIs" priority="1671" operator="greaterThan" aboveAverage="0" equalAverage="0" bottom="0" percent="0" rank="0" text="" dxfId="7">
      <formula>0</formula>
    </cfRule>
  </conditionalFormatting>
  <conditionalFormatting sqref="I562">
    <cfRule type="cellIs" priority="1672" operator="lessThan" aboveAverage="0" equalAverage="0" bottom="0" percent="0" rank="0" text="" dxfId="8">
      <formula>0</formula>
    </cfRule>
  </conditionalFormatting>
  <conditionalFormatting sqref="E563">
    <cfRule type="cellIs" priority="1673" operator="greaterThan" aboveAverage="0" equalAverage="0" bottom="0" percent="0" rank="0" text="" dxfId="7">
      <formula>0</formula>
    </cfRule>
  </conditionalFormatting>
  <conditionalFormatting sqref="F563">
    <cfRule type="cellIs" priority="1674" operator="greaterThan" aboveAverage="0" equalAverage="0" bottom="0" percent="0" rank="0" text="" dxfId="7">
      <formula>0</formula>
    </cfRule>
  </conditionalFormatting>
  <conditionalFormatting sqref="I563">
    <cfRule type="cellIs" priority="1675" operator="lessThan" aboveAverage="0" equalAverage="0" bottom="0" percent="0" rank="0" text="" dxfId="8">
      <formula>0</formula>
    </cfRule>
  </conditionalFormatting>
  <conditionalFormatting sqref="E564">
    <cfRule type="cellIs" priority="1676" operator="greaterThan" aboveAverage="0" equalAverage="0" bottom="0" percent="0" rank="0" text="" dxfId="7">
      <formula>0</formula>
    </cfRule>
  </conditionalFormatting>
  <conditionalFormatting sqref="F564">
    <cfRule type="cellIs" priority="1677" operator="greaterThan" aboveAverage="0" equalAverage="0" bottom="0" percent="0" rank="0" text="" dxfId="7">
      <formula>0</formula>
    </cfRule>
  </conditionalFormatting>
  <conditionalFormatting sqref="I564">
    <cfRule type="cellIs" priority="1678" operator="lessThan" aboveAverage="0" equalAverage="0" bottom="0" percent="0" rank="0" text="" dxfId="8">
      <formula>0</formula>
    </cfRule>
  </conditionalFormatting>
  <conditionalFormatting sqref="E565">
    <cfRule type="cellIs" priority="1679" operator="greaterThan" aboveAverage="0" equalAverage="0" bottom="0" percent="0" rank="0" text="" dxfId="7">
      <formula>0</formula>
    </cfRule>
  </conditionalFormatting>
  <conditionalFormatting sqref="F565">
    <cfRule type="cellIs" priority="1680" operator="greaterThan" aboveAverage="0" equalAverage="0" bottom="0" percent="0" rank="0" text="" dxfId="7">
      <formula>0</formula>
    </cfRule>
  </conditionalFormatting>
  <conditionalFormatting sqref="I565">
    <cfRule type="cellIs" priority="1681" operator="lessThan" aboveAverage="0" equalAverage="0" bottom="0" percent="0" rank="0" text="" dxfId="8">
      <formula>0</formula>
    </cfRule>
  </conditionalFormatting>
  <conditionalFormatting sqref="E566">
    <cfRule type="cellIs" priority="1682" operator="greaterThan" aboveAverage="0" equalAverage="0" bottom="0" percent="0" rank="0" text="" dxfId="7">
      <formula>0</formula>
    </cfRule>
  </conditionalFormatting>
  <conditionalFormatting sqref="F566">
    <cfRule type="cellIs" priority="1683" operator="greaterThan" aboveAverage="0" equalAverage="0" bottom="0" percent="0" rank="0" text="" dxfId="7">
      <formula>0</formula>
    </cfRule>
  </conditionalFormatting>
  <conditionalFormatting sqref="I566">
    <cfRule type="cellIs" priority="1684" operator="lessThan" aboveAverage="0" equalAverage="0" bottom="0" percent="0" rank="0" text="" dxfId="8">
      <formula>0</formula>
    </cfRule>
  </conditionalFormatting>
  <conditionalFormatting sqref="E567">
    <cfRule type="cellIs" priority="1685" operator="greaterThan" aboveAverage="0" equalAverage="0" bottom="0" percent="0" rank="0" text="" dxfId="7">
      <formula>0</formula>
    </cfRule>
  </conditionalFormatting>
  <conditionalFormatting sqref="F567">
    <cfRule type="cellIs" priority="1686" operator="greaterThan" aboveAverage="0" equalAverage="0" bottom="0" percent="0" rank="0" text="" dxfId="7">
      <formula>0</formula>
    </cfRule>
  </conditionalFormatting>
  <conditionalFormatting sqref="I567">
    <cfRule type="cellIs" priority="1687" operator="lessThan" aboveAverage="0" equalAverage="0" bottom="0" percent="0" rank="0" text="" dxfId="8">
      <formula>0</formula>
    </cfRule>
  </conditionalFormatting>
  <conditionalFormatting sqref="E568">
    <cfRule type="cellIs" priority="1688" operator="greaterThan" aboveAverage="0" equalAverage="0" bottom="0" percent="0" rank="0" text="" dxfId="7">
      <formula>0</formula>
    </cfRule>
  </conditionalFormatting>
  <conditionalFormatting sqref="F568">
    <cfRule type="cellIs" priority="1689" operator="greaterThan" aboveAverage="0" equalAverage="0" bottom="0" percent="0" rank="0" text="" dxfId="7">
      <formula>0</formula>
    </cfRule>
  </conditionalFormatting>
  <conditionalFormatting sqref="I568">
    <cfRule type="cellIs" priority="1690" operator="lessThan" aboveAverage="0" equalAverage="0" bottom="0" percent="0" rank="0" text="" dxfId="8">
      <formula>0</formula>
    </cfRule>
  </conditionalFormatting>
  <conditionalFormatting sqref="E569">
    <cfRule type="cellIs" priority="1691" operator="greaterThan" aboveAverage="0" equalAverage="0" bottom="0" percent="0" rank="0" text="" dxfId="7">
      <formula>0</formula>
    </cfRule>
  </conditionalFormatting>
  <conditionalFormatting sqref="F569">
    <cfRule type="cellIs" priority="1692" operator="greaterThan" aboveAverage="0" equalAverage="0" bottom="0" percent="0" rank="0" text="" dxfId="7">
      <formula>0</formula>
    </cfRule>
  </conditionalFormatting>
  <conditionalFormatting sqref="I569">
    <cfRule type="cellIs" priority="1693" operator="lessThan" aboveAverage="0" equalAverage="0" bottom="0" percent="0" rank="0" text="" dxfId="8">
      <formula>0</formula>
    </cfRule>
  </conditionalFormatting>
  <conditionalFormatting sqref="E570">
    <cfRule type="cellIs" priority="1694" operator="greaterThan" aboveAverage="0" equalAverage="0" bottom="0" percent="0" rank="0" text="" dxfId="7">
      <formula>0</formula>
    </cfRule>
  </conditionalFormatting>
  <conditionalFormatting sqref="F570">
    <cfRule type="cellIs" priority="1695" operator="greaterThan" aboveAverage="0" equalAverage="0" bottom="0" percent="0" rank="0" text="" dxfId="7">
      <formula>0</formula>
    </cfRule>
  </conditionalFormatting>
  <conditionalFormatting sqref="I570">
    <cfRule type="cellIs" priority="1696" operator="lessThan" aboveAverage="0" equalAverage="0" bottom="0" percent="0" rank="0" text="" dxfId="8">
      <formula>0</formula>
    </cfRule>
  </conditionalFormatting>
  <conditionalFormatting sqref="E571">
    <cfRule type="cellIs" priority="1697" operator="greaterThan" aboveAverage="0" equalAverage="0" bottom="0" percent="0" rank="0" text="" dxfId="7">
      <formula>0</formula>
    </cfRule>
  </conditionalFormatting>
  <conditionalFormatting sqref="F571">
    <cfRule type="cellIs" priority="1698" operator="greaterThan" aboveAverage="0" equalAverage="0" bottom="0" percent="0" rank="0" text="" dxfId="7">
      <formula>0</formula>
    </cfRule>
  </conditionalFormatting>
  <conditionalFormatting sqref="I571">
    <cfRule type="cellIs" priority="1699" operator="lessThan" aboveAverage="0" equalAverage="0" bottom="0" percent="0" rank="0" text="" dxfId="8">
      <formula>0</formula>
    </cfRule>
  </conditionalFormatting>
  <conditionalFormatting sqref="E572">
    <cfRule type="cellIs" priority="1700" operator="greaterThan" aboveAverage="0" equalAverage="0" bottom="0" percent="0" rank="0" text="" dxfId="7">
      <formula>0</formula>
    </cfRule>
  </conditionalFormatting>
  <conditionalFormatting sqref="F572">
    <cfRule type="cellIs" priority="1701" operator="greaterThan" aboveAverage="0" equalAverage="0" bottom="0" percent="0" rank="0" text="" dxfId="7">
      <formula>0</formula>
    </cfRule>
  </conditionalFormatting>
  <conditionalFormatting sqref="I572">
    <cfRule type="cellIs" priority="1702" operator="lessThan" aboveAverage="0" equalAverage="0" bottom="0" percent="0" rank="0" text="" dxfId="8">
      <formula>0</formula>
    </cfRule>
  </conditionalFormatting>
  <conditionalFormatting sqref="E573">
    <cfRule type="cellIs" priority="1703" operator="greaterThan" aboveAverage="0" equalAverage="0" bottom="0" percent="0" rank="0" text="" dxfId="7">
      <formula>0</formula>
    </cfRule>
  </conditionalFormatting>
  <conditionalFormatting sqref="F573">
    <cfRule type="cellIs" priority="1704" operator="greaterThan" aboveAverage="0" equalAverage="0" bottom="0" percent="0" rank="0" text="" dxfId="7">
      <formula>0</formula>
    </cfRule>
  </conditionalFormatting>
  <conditionalFormatting sqref="I573">
    <cfRule type="cellIs" priority="1705" operator="lessThan" aboveAverage="0" equalAverage="0" bottom="0" percent="0" rank="0" text="" dxfId="8">
      <formula>0</formula>
    </cfRule>
  </conditionalFormatting>
  <conditionalFormatting sqref="E574">
    <cfRule type="cellIs" priority="1706" operator="greaterThan" aboveAverage="0" equalAverage="0" bottom="0" percent="0" rank="0" text="" dxfId="7">
      <formula>0</formula>
    </cfRule>
  </conditionalFormatting>
  <conditionalFormatting sqref="F574">
    <cfRule type="cellIs" priority="1707" operator="greaterThan" aboveAverage="0" equalAverage="0" bottom="0" percent="0" rank="0" text="" dxfId="7">
      <formula>0</formula>
    </cfRule>
  </conditionalFormatting>
  <conditionalFormatting sqref="I574">
    <cfRule type="cellIs" priority="1708" operator="lessThan" aboveAverage="0" equalAverage="0" bottom="0" percent="0" rank="0" text="" dxfId="8">
      <formula>0</formula>
    </cfRule>
  </conditionalFormatting>
  <conditionalFormatting sqref="E575">
    <cfRule type="cellIs" priority="1709" operator="greaterThan" aboveAverage="0" equalAverage="0" bottom="0" percent="0" rank="0" text="" dxfId="7">
      <formula>0</formula>
    </cfRule>
  </conditionalFormatting>
  <conditionalFormatting sqref="F575">
    <cfRule type="cellIs" priority="1710" operator="greaterThan" aboveAverage="0" equalAverage="0" bottom="0" percent="0" rank="0" text="" dxfId="7">
      <formula>0</formula>
    </cfRule>
  </conditionalFormatting>
  <conditionalFormatting sqref="I575">
    <cfRule type="cellIs" priority="1711" operator="lessThan" aboveAverage="0" equalAverage="0" bottom="0" percent="0" rank="0" text="" dxfId="8">
      <formula>0</formula>
    </cfRule>
  </conditionalFormatting>
  <conditionalFormatting sqref="E576">
    <cfRule type="cellIs" priority="1712" operator="greaterThan" aboveAverage="0" equalAverage="0" bottom="0" percent="0" rank="0" text="" dxfId="7">
      <formula>0</formula>
    </cfRule>
  </conditionalFormatting>
  <conditionalFormatting sqref="F576">
    <cfRule type="cellIs" priority="1713" operator="greaterThan" aboveAverage="0" equalAverage="0" bottom="0" percent="0" rank="0" text="" dxfId="7">
      <formula>0</formula>
    </cfRule>
  </conditionalFormatting>
  <conditionalFormatting sqref="I576">
    <cfRule type="cellIs" priority="1714" operator="lessThan" aboveAverage="0" equalAverage="0" bottom="0" percent="0" rank="0" text="" dxfId="8">
      <formula>0</formula>
    </cfRule>
  </conditionalFormatting>
  <conditionalFormatting sqref="E577">
    <cfRule type="cellIs" priority="1715" operator="greaterThan" aboveAverage="0" equalAverage="0" bottom="0" percent="0" rank="0" text="" dxfId="7">
      <formula>0</formula>
    </cfRule>
  </conditionalFormatting>
  <conditionalFormatting sqref="F577">
    <cfRule type="cellIs" priority="1716" operator="greaterThan" aboveAverage="0" equalAverage="0" bottom="0" percent="0" rank="0" text="" dxfId="7">
      <formula>0</formula>
    </cfRule>
  </conditionalFormatting>
  <conditionalFormatting sqref="I577">
    <cfRule type="cellIs" priority="1717" operator="lessThan" aboveAverage="0" equalAverage="0" bottom="0" percent="0" rank="0" text="" dxfId="8">
      <formula>0</formula>
    </cfRule>
  </conditionalFormatting>
  <conditionalFormatting sqref="E578">
    <cfRule type="cellIs" priority="1718" operator="greaterThan" aboveAverage="0" equalAverage="0" bottom="0" percent="0" rank="0" text="" dxfId="7">
      <formula>0</formula>
    </cfRule>
  </conditionalFormatting>
  <conditionalFormatting sqref="F578">
    <cfRule type="cellIs" priority="1719" operator="greaterThan" aboveAverage="0" equalAverage="0" bottom="0" percent="0" rank="0" text="" dxfId="7">
      <formula>0</formula>
    </cfRule>
  </conditionalFormatting>
  <conditionalFormatting sqref="I578">
    <cfRule type="cellIs" priority="1720" operator="lessThan" aboveAverage="0" equalAverage="0" bottom="0" percent="0" rank="0" text="" dxfId="8">
      <formula>0</formula>
    </cfRule>
  </conditionalFormatting>
  <conditionalFormatting sqref="E579">
    <cfRule type="cellIs" priority="1721" operator="greaterThan" aboveAverage="0" equalAverage="0" bottom="0" percent="0" rank="0" text="" dxfId="7">
      <formula>0</formula>
    </cfRule>
  </conditionalFormatting>
  <conditionalFormatting sqref="F579">
    <cfRule type="cellIs" priority="1722" operator="greaterThan" aboveAverage="0" equalAverage="0" bottom="0" percent="0" rank="0" text="" dxfId="7">
      <formula>0</formula>
    </cfRule>
  </conditionalFormatting>
  <conditionalFormatting sqref="I579">
    <cfRule type="cellIs" priority="1723" operator="lessThan" aboveAverage="0" equalAverage="0" bottom="0" percent="0" rank="0" text="" dxfId="8">
      <formula>0</formula>
    </cfRule>
  </conditionalFormatting>
  <conditionalFormatting sqref="E580">
    <cfRule type="cellIs" priority="1724" operator="greaterThan" aboveAverage="0" equalAverage="0" bottom="0" percent="0" rank="0" text="" dxfId="7">
      <formula>0</formula>
    </cfRule>
  </conditionalFormatting>
  <conditionalFormatting sqref="F580">
    <cfRule type="cellIs" priority="1725" operator="greaterThan" aboveAverage="0" equalAverage="0" bottom="0" percent="0" rank="0" text="" dxfId="7">
      <formula>0</formula>
    </cfRule>
  </conditionalFormatting>
  <conditionalFormatting sqref="I580">
    <cfRule type="cellIs" priority="1726" operator="lessThan" aboveAverage="0" equalAverage="0" bottom="0" percent="0" rank="0" text="" dxfId="8">
      <formula>0</formula>
    </cfRule>
  </conditionalFormatting>
  <conditionalFormatting sqref="E581">
    <cfRule type="cellIs" priority="1727" operator="greaterThan" aboveAverage="0" equalAverage="0" bottom="0" percent="0" rank="0" text="" dxfId="7">
      <formula>0</formula>
    </cfRule>
  </conditionalFormatting>
  <conditionalFormatting sqref="F581">
    <cfRule type="cellIs" priority="1728" operator="greaterThan" aboveAverage="0" equalAverage="0" bottom="0" percent="0" rank="0" text="" dxfId="7">
      <formula>0</formula>
    </cfRule>
  </conditionalFormatting>
  <conditionalFormatting sqref="I581">
    <cfRule type="cellIs" priority="1729" operator="lessThan" aboveAverage="0" equalAverage="0" bottom="0" percent="0" rank="0" text="" dxfId="8">
      <formula>0</formula>
    </cfRule>
  </conditionalFormatting>
  <conditionalFormatting sqref="E582">
    <cfRule type="cellIs" priority="1730" operator="greaterThan" aboveAverage="0" equalAverage="0" bottom="0" percent="0" rank="0" text="" dxfId="7">
      <formula>0</formula>
    </cfRule>
  </conditionalFormatting>
  <conditionalFormatting sqref="F582">
    <cfRule type="cellIs" priority="1731" operator="greaterThan" aboveAverage="0" equalAverage="0" bottom="0" percent="0" rank="0" text="" dxfId="7">
      <formula>0</formula>
    </cfRule>
  </conditionalFormatting>
  <conditionalFormatting sqref="I582">
    <cfRule type="cellIs" priority="1732" operator="lessThan" aboveAverage="0" equalAverage="0" bottom="0" percent="0" rank="0" text="" dxfId="8">
      <formula>0</formula>
    </cfRule>
  </conditionalFormatting>
  <conditionalFormatting sqref="E583">
    <cfRule type="cellIs" priority="1733" operator="greaterThan" aboveAverage="0" equalAverage="0" bottom="0" percent="0" rank="0" text="" dxfId="7">
      <formula>0</formula>
    </cfRule>
  </conditionalFormatting>
  <conditionalFormatting sqref="F583">
    <cfRule type="cellIs" priority="1734" operator="greaterThan" aboveAverage="0" equalAverage="0" bottom="0" percent="0" rank="0" text="" dxfId="7">
      <formula>0</formula>
    </cfRule>
  </conditionalFormatting>
  <conditionalFormatting sqref="I583">
    <cfRule type="cellIs" priority="1735" operator="lessThan" aboveAverage="0" equalAverage="0" bottom="0" percent="0" rank="0" text="" dxfId="8">
      <formula>0</formula>
    </cfRule>
  </conditionalFormatting>
  <conditionalFormatting sqref="E584">
    <cfRule type="cellIs" priority="1736" operator="greaterThan" aboveAverage="0" equalAverage="0" bottom="0" percent="0" rank="0" text="" dxfId="7">
      <formula>0</formula>
    </cfRule>
  </conditionalFormatting>
  <conditionalFormatting sqref="F584">
    <cfRule type="cellIs" priority="1737" operator="greaterThan" aboveAverage="0" equalAverage="0" bottom="0" percent="0" rank="0" text="" dxfId="7">
      <formula>0</formula>
    </cfRule>
  </conditionalFormatting>
  <conditionalFormatting sqref="I584">
    <cfRule type="cellIs" priority="1738" operator="lessThan" aboveAverage="0" equalAverage="0" bottom="0" percent="0" rank="0" text="" dxfId="8">
      <formula>0</formula>
    </cfRule>
  </conditionalFormatting>
  <conditionalFormatting sqref="E585">
    <cfRule type="cellIs" priority="1739" operator="greaterThan" aboveAverage="0" equalAverage="0" bottom="0" percent="0" rank="0" text="" dxfId="7">
      <formula>0</formula>
    </cfRule>
  </conditionalFormatting>
  <conditionalFormatting sqref="F585">
    <cfRule type="cellIs" priority="1740" operator="greaterThan" aboveAverage="0" equalAverage="0" bottom="0" percent="0" rank="0" text="" dxfId="7">
      <formula>0</formula>
    </cfRule>
  </conditionalFormatting>
  <conditionalFormatting sqref="I585">
    <cfRule type="cellIs" priority="1741" operator="lessThan" aboveAverage="0" equalAverage="0" bottom="0" percent="0" rank="0" text="" dxfId="8">
      <formula>0</formula>
    </cfRule>
  </conditionalFormatting>
  <conditionalFormatting sqref="E586">
    <cfRule type="cellIs" priority="1742" operator="greaterThan" aboveAverage="0" equalAverage="0" bottom="0" percent="0" rank="0" text="" dxfId="7">
      <formula>0</formula>
    </cfRule>
  </conditionalFormatting>
  <conditionalFormatting sqref="F586">
    <cfRule type="cellIs" priority="1743" operator="greaterThan" aboveAverage="0" equalAverage="0" bottom="0" percent="0" rank="0" text="" dxfId="7">
      <formula>0</formula>
    </cfRule>
  </conditionalFormatting>
  <conditionalFormatting sqref="I586">
    <cfRule type="cellIs" priority="1744" operator="lessThan" aboveAverage="0" equalAverage="0" bottom="0" percent="0" rank="0" text="" dxfId="8">
      <formula>0</formula>
    </cfRule>
  </conditionalFormatting>
  <conditionalFormatting sqref="E587">
    <cfRule type="cellIs" priority="1745" operator="greaterThan" aboveAverage="0" equalAverage="0" bottom="0" percent="0" rank="0" text="" dxfId="7">
      <formula>0</formula>
    </cfRule>
  </conditionalFormatting>
  <conditionalFormatting sqref="F587">
    <cfRule type="cellIs" priority="1746" operator="greaterThan" aboveAverage="0" equalAverage="0" bottom="0" percent="0" rank="0" text="" dxfId="7">
      <formula>0</formula>
    </cfRule>
  </conditionalFormatting>
  <conditionalFormatting sqref="I587">
    <cfRule type="cellIs" priority="1747" operator="lessThan" aboveAverage="0" equalAverage="0" bottom="0" percent="0" rank="0" text="" dxfId="8">
      <formula>0</formula>
    </cfRule>
  </conditionalFormatting>
  <conditionalFormatting sqref="E588">
    <cfRule type="cellIs" priority="1748" operator="greaterThan" aboveAverage="0" equalAverage="0" bottom="0" percent="0" rank="0" text="" dxfId="7">
      <formula>0</formula>
    </cfRule>
  </conditionalFormatting>
  <conditionalFormatting sqref="F588">
    <cfRule type="cellIs" priority="1749" operator="greaterThan" aboveAverage="0" equalAverage="0" bottom="0" percent="0" rank="0" text="" dxfId="7">
      <formula>0</formula>
    </cfRule>
  </conditionalFormatting>
  <conditionalFormatting sqref="I588">
    <cfRule type="cellIs" priority="1750" operator="lessThan" aboveAverage="0" equalAverage="0" bottom="0" percent="0" rank="0" text="" dxfId="8">
      <formula>0</formula>
    </cfRule>
  </conditionalFormatting>
  <conditionalFormatting sqref="E589">
    <cfRule type="cellIs" priority="1751" operator="greaterThan" aboveAverage="0" equalAverage="0" bottom="0" percent="0" rank="0" text="" dxfId="7">
      <formula>0</formula>
    </cfRule>
  </conditionalFormatting>
  <conditionalFormatting sqref="F589">
    <cfRule type="cellIs" priority="1752" operator="greaterThan" aboveAverage="0" equalAverage="0" bottom="0" percent="0" rank="0" text="" dxfId="7">
      <formula>0</formula>
    </cfRule>
  </conditionalFormatting>
  <conditionalFormatting sqref="I589">
    <cfRule type="cellIs" priority="1753" operator="lessThan" aboveAverage="0" equalAverage="0" bottom="0" percent="0" rank="0" text="" dxfId="8">
      <formula>0</formula>
    </cfRule>
  </conditionalFormatting>
  <conditionalFormatting sqref="E590">
    <cfRule type="cellIs" priority="1754" operator="greaterThan" aboveAverage="0" equalAverage="0" bottom="0" percent="0" rank="0" text="" dxfId="7">
      <formula>0</formula>
    </cfRule>
  </conditionalFormatting>
  <conditionalFormatting sqref="F590">
    <cfRule type="cellIs" priority="1755" operator="greaterThan" aboveAverage="0" equalAverage="0" bottom="0" percent="0" rank="0" text="" dxfId="7">
      <formula>0</formula>
    </cfRule>
  </conditionalFormatting>
  <conditionalFormatting sqref="I590">
    <cfRule type="cellIs" priority="1756" operator="lessThan" aboveAverage="0" equalAverage="0" bottom="0" percent="0" rank="0" text="" dxfId="8">
      <formula>0</formula>
    </cfRule>
  </conditionalFormatting>
  <conditionalFormatting sqref="E591">
    <cfRule type="cellIs" priority="1757" operator="greaterThan" aboveAverage="0" equalAverage="0" bottom="0" percent="0" rank="0" text="" dxfId="7">
      <formula>0</formula>
    </cfRule>
  </conditionalFormatting>
  <conditionalFormatting sqref="F591">
    <cfRule type="cellIs" priority="1758" operator="greaterThan" aboveAverage="0" equalAverage="0" bottom="0" percent="0" rank="0" text="" dxfId="7">
      <formula>0</formula>
    </cfRule>
  </conditionalFormatting>
  <conditionalFormatting sqref="I591">
    <cfRule type="cellIs" priority="1759" operator="lessThan" aboveAverage="0" equalAverage="0" bottom="0" percent="0" rank="0" text="" dxfId="8">
      <formula>0</formula>
    </cfRule>
  </conditionalFormatting>
  <conditionalFormatting sqref="E592">
    <cfRule type="cellIs" priority="1760" operator="greaterThan" aboveAverage="0" equalAverage="0" bottom="0" percent="0" rank="0" text="" dxfId="7">
      <formula>0</formula>
    </cfRule>
  </conditionalFormatting>
  <conditionalFormatting sqref="F592">
    <cfRule type="cellIs" priority="1761" operator="greaterThan" aboveAverage="0" equalAverage="0" bottom="0" percent="0" rank="0" text="" dxfId="7">
      <formula>0</formula>
    </cfRule>
  </conditionalFormatting>
  <conditionalFormatting sqref="I592">
    <cfRule type="cellIs" priority="1762" operator="lessThan" aboveAverage="0" equalAverage="0" bottom="0" percent="0" rank="0" text="" dxfId="8">
      <formula>0</formula>
    </cfRule>
  </conditionalFormatting>
  <conditionalFormatting sqref="E593">
    <cfRule type="cellIs" priority="1763" operator="greaterThan" aboveAverage="0" equalAverage="0" bottom="0" percent="0" rank="0" text="" dxfId="7">
      <formula>0</formula>
    </cfRule>
  </conditionalFormatting>
  <conditionalFormatting sqref="F593">
    <cfRule type="cellIs" priority="1764" operator="greaterThan" aboveAverage="0" equalAverage="0" bottom="0" percent="0" rank="0" text="" dxfId="7">
      <formula>0</formula>
    </cfRule>
  </conditionalFormatting>
  <conditionalFormatting sqref="I593">
    <cfRule type="cellIs" priority="1765" operator="lessThan" aboveAverage="0" equalAverage="0" bottom="0" percent="0" rank="0" text="" dxfId="8">
      <formula>0</formula>
    </cfRule>
  </conditionalFormatting>
  <conditionalFormatting sqref="E594">
    <cfRule type="cellIs" priority="1766" operator="greaterThan" aboveAverage="0" equalAverage="0" bottom="0" percent="0" rank="0" text="" dxfId="7">
      <formula>0</formula>
    </cfRule>
  </conditionalFormatting>
  <conditionalFormatting sqref="F594">
    <cfRule type="cellIs" priority="1767" operator="greaterThan" aboveAverage="0" equalAverage="0" bottom="0" percent="0" rank="0" text="" dxfId="7">
      <formula>0</formula>
    </cfRule>
  </conditionalFormatting>
  <conditionalFormatting sqref="I594">
    <cfRule type="cellIs" priority="1768" operator="lessThan" aboveAverage="0" equalAverage="0" bottom="0" percent="0" rank="0" text="" dxfId="8">
      <formula>0</formula>
    </cfRule>
  </conditionalFormatting>
  <conditionalFormatting sqref="E595">
    <cfRule type="cellIs" priority="1769" operator="greaterThan" aboveAverage="0" equalAverage="0" bottom="0" percent="0" rank="0" text="" dxfId="7">
      <formula>0</formula>
    </cfRule>
  </conditionalFormatting>
  <conditionalFormatting sqref="F595">
    <cfRule type="cellIs" priority="1770" operator="greaterThan" aboveAverage="0" equalAverage="0" bottom="0" percent="0" rank="0" text="" dxfId="7">
      <formula>0</formula>
    </cfRule>
  </conditionalFormatting>
  <conditionalFormatting sqref="I595">
    <cfRule type="cellIs" priority="1771" operator="lessThan" aboveAverage="0" equalAverage="0" bottom="0" percent="0" rank="0" text="" dxfId="8">
      <formula>0</formula>
    </cfRule>
  </conditionalFormatting>
  <conditionalFormatting sqref="E596">
    <cfRule type="cellIs" priority="1772" operator="greaterThan" aboveAverage="0" equalAverage="0" bottom="0" percent="0" rank="0" text="" dxfId="7">
      <formula>0</formula>
    </cfRule>
  </conditionalFormatting>
  <conditionalFormatting sqref="F596">
    <cfRule type="cellIs" priority="1773" operator="greaterThan" aboveAverage="0" equalAverage="0" bottom="0" percent="0" rank="0" text="" dxfId="7">
      <formula>0</formula>
    </cfRule>
  </conditionalFormatting>
  <conditionalFormatting sqref="I596">
    <cfRule type="cellIs" priority="1774" operator="lessThan" aboveAverage="0" equalAverage="0" bottom="0" percent="0" rank="0" text="" dxfId="8">
      <formula>0</formula>
    </cfRule>
  </conditionalFormatting>
  <conditionalFormatting sqref="E597">
    <cfRule type="cellIs" priority="1775" operator="greaterThan" aboveAverage="0" equalAverage="0" bottom="0" percent="0" rank="0" text="" dxfId="7">
      <formula>0</formula>
    </cfRule>
  </conditionalFormatting>
  <conditionalFormatting sqref="F597">
    <cfRule type="cellIs" priority="1776" operator="greaterThan" aboveAverage="0" equalAverage="0" bottom="0" percent="0" rank="0" text="" dxfId="7">
      <formula>0</formula>
    </cfRule>
  </conditionalFormatting>
  <conditionalFormatting sqref="I597">
    <cfRule type="cellIs" priority="1777" operator="lessThan" aboveAverage="0" equalAverage="0" bottom="0" percent="0" rank="0" text="" dxfId="8">
      <formula>0</formula>
    </cfRule>
  </conditionalFormatting>
  <conditionalFormatting sqref="E598">
    <cfRule type="cellIs" priority="1778" operator="greaterThan" aboveAverage="0" equalAverage="0" bottom="0" percent="0" rank="0" text="" dxfId="7">
      <formula>0</formula>
    </cfRule>
  </conditionalFormatting>
  <conditionalFormatting sqref="F598">
    <cfRule type="cellIs" priority="1779" operator="greaterThan" aboveAverage="0" equalAverage="0" bottom="0" percent="0" rank="0" text="" dxfId="7">
      <formula>0</formula>
    </cfRule>
  </conditionalFormatting>
  <conditionalFormatting sqref="I598">
    <cfRule type="cellIs" priority="1780" operator="lessThan" aboveAverage="0" equalAverage="0" bottom="0" percent="0" rank="0" text="" dxfId="8">
      <formula>0</formula>
    </cfRule>
  </conditionalFormatting>
  <conditionalFormatting sqref="E599">
    <cfRule type="cellIs" priority="1781" operator="greaterThan" aboveAverage="0" equalAverage="0" bottom="0" percent="0" rank="0" text="" dxfId="7">
      <formula>0</formula>
    </cfRule>
  </conditionalFormatting>
  <conditionalFormatting sqref="F599">
    <cfRule type="cellIs" priority="1782" operator="greaterThan" aboveAverage="0" equalAverage="0" bottom="0" percent="0" rank="0" text="" dxfId="7">
      <formula>0</formula>
    </cfRule>
  </conditionalFormatting>
  <conditionalFormatting sqref="I599">
    <cfRule type="cellIs" priority="1783" operator="lessThan" aboveAverage="0" equalAverage="0" bottom="0" percent="0" rank="0" text="" dxfId="8">
      <formula>0</formula>
    </cfRule>
  </conditionalFormatting>
  <conditionalFormatting sqref="E600">
    <cfRule type="cellIs" priority="1784" operator="greaterThan" aboveAverage="0" equalAverage="0" bottom="0" percent="0" rank="0" text="" dxfId="7">
      <formula>0</formula>
    </cfRule>
  </conditionalFormatting>
  <conditionalFormatting sqref="F600">
    <cfRule type="cellIs" priority="1785" operator="greaterThan" aboveAverage="0" equalAverage="0" bottom="0" percent="0" rank="0" text="" dxfId="7">
      <formula>0</formula>
    </cfRule>
  </conditionalFormatting>
  <conditionalFormatting sqref="I600">
    <cfRule type="cellIs" priority="1786" operator="lessThan" aboveAverage="0" equalAverage="0" bottom="0" percent="0" rank="0" text="" dxfId="8">
      <formula>0</formula>
    </cfRule>
  </conditionalFormatting>
  <conditionalFormatting sqref="E601">
    <cfRule type="cellIs" priority="1787" operator="greaterThan" aboveAverage="0" equalAverage="0" bottom="0" percent="0" rank="0" text="" dxfId="7">
      <formula>0</formula>
    </cfRule>
  </conditionalFormatting>
  <conditionalFormatting sqref="F601">
    <cfRule type="cellIs" priority="1788" operator="greaterThan" aboveAverage="0" equalAverage="0" bottom="0" percent="0" rank="0" text="" dxfId="7">
      <formula>0</formula>
    </cfRule>
  </conditionalFormatting>
  <conditionalFormatting sqref="I601">
    <cfRule type="cellIs" priority="1789" operator="lessThan" aboveAverage="0" equalAverage="0" bottom="0" percent="0" rank="0" text="" dxfId="8">
      <formula>0</formula>
    </cfRule>
  </conditionalFormatting>
  <conditionalFormatting sqref="E602">
    <cfRule type="cellIs" priority="1790" operator="greaterThan" aboveAverage="0" equalAverage="0" bottom="0" percent="0" rank="0" text="" dxfId="7">
      <formula>0</formula>
    </cfRule>
  </conditionalFormatting>
  <conditionalFormatting sqref="F602">
    <cfRule type="cellIs" priority="1791" operator="greaterThan" aboveAverage="0" equalAverage="0" bottom="0" percent="0" rank="0" text="" dxfId="7">
      <formula>0</formula>
    </cfRule>
  </conditionalFormatting>
  <conditionalFormatting sqref="I602">
    <cfRule type="cellIs" priority="1792" operator="lessThan" aboveAverage="0" equalAverage="0" bottom="0" percent="0" rank="0" text="" dxfId="8">
      <formula>0</formula>
    </cfRule>
  </conditionalFormatting>
  <conditionalFormatting sqref="E603">
    <cfRule type="cellIs" priority="1793" operator="greaterThan" aboveAverage="0" equalAverage="0" bottom="0" percent="0" rank="0" text="" dxfId="7">
      <formula>0</formula>
    </cfRule>
  </conditionalFormatting>
  <conditionalFormatting sqref="F603">
    <cfRule type="cellIs" priority="1794" operator="greaterThan" aboveAverage="0" equalAverage="0" bottom="0" percent="0" rank="0" text="" dxfId="7">
      <formula>0</formula>
    </cfRule>
  </conditionalFormatting>
  <conditionalFormatting sqref="I603">
    <cfRule type="cellIs" priority="1795" operator="lessThan" aboveAverage="0" equalAverage="0" bottom="0" percent="0" rank="0" text="" dxfId="8">
      <formula>0</formula>
    </cfRule>
  </conditionalFormatting>
  <conditionalFormatting sqref="E604">
    <cfRule type="cellIs" priority="1796" operator="greaterThan" aboveAverage="0" equalAverage="0" bottom="0" percent="0" rank="0" text="" dxfId="7">
      <formula>0</formula>
    </cfRule>
  </conditionalFormatting>
  <conditionalFormatting sqref="F604">
    <cfRule type="cellIs" priority="1797" operator="greaterThan" aboveAverage="0" equalAverage="0" bottom="0" percent="0" rank="0" text="" dxfId="7">
      <formula>0</formula>
    </cfRule>
  </conditionalFormatting>
  <conditionalFormatting sqref="I604">
    <cfRule type="cellIs" priority="1798" operator="lessThan" aboveAverage="0" equalAverage="0" bottom="0" percent="0" rank="0" text="" dxfId="8">
      <formula>0</formula>
    </cfRule>
  </conditionalFormatting>
  <conditionalFormatting sqref="E605">
    <cfRule type="cellIs" priority="1799" operator="greaterThan" aboveAverage="0" equalAverage="0" bottom="0" percent="0" rank="0" text="" dxfId="7">
      <formula>0</formula>
    </cfRule>
  </conditionalFormatting>
  <conditionalFormatting sqref="F605">
    <cfRule type="cellIs" priority="1800" operator="greaterThan" aboveAverage="0" equalAverage="0" bottom="0" percent="0" rank="0" text="" dxfId="7">
      <formula>0</formula>
    </cfRule>
  </conditionalFormatting>
  <conditionalFormatting sqref="I605">
    <cfRule type="cellIs" priority="1801" operator="lessThan" aboveAverage="0" equalAverage="0" bottom="0" percent="0" rank="0" text="" dxfId="8">
      <formula>0</formula>
    </cfRule>
  </conditionalFormatting>
  <conditionalFormatting sqref="E606">
    <cfRule type="cellIs" priority="1802" operator="greaterThan" aboveAverage="0" equalAverage="0" bottom="0" percent="0" rank="0" text="" dxfId="7">
      <formula>0</formula>
    </cfRule>
  </conditionalFormatting>
  <conditionalFormatting sqref="F606">
    <cfRule type="cellIs" priority="1803" operator="greaterThan" aboveAverage="0" equalAverage="0" bottom="0" percent="0" rank="0" text="" dxfId="7">
      <formula>0</formula>
    </cfRule>
  </conditionalFormatting>
  <conditionalFormatting sqref="I606">
    <cfRule type="cellIs" priority="1804" operator="lessThan" aboveAverage="0" equalAverage="0" bottom="0" percent="0" rank="0" text="" dxfId="8">
      <formula>0</formula>
    </cfRule>
  </conditionalFormatting>
  <conditionalFormatting sqref="E607">
    <cfRule type="cellIs" priority="1805" operator="greaterThan" aboveAverage="0" equalAverage="0" bottom="0" percent="0" rank="0" text="" dxfId="7">
      <formula>0</formula>
    </cfRule>
  </conditionalFormatting>
  <conditionalFormatting sqref="F607">
    <cfRule type="cellIs" priority="1806" operator="greaterThan" aboveAverage="0" equalAverage="0" bottom="0" percent="0" rank="0" text="" dxfId="7">
      <formula>0</formula>
    </cfRule>
  </conditionalFormatting>
  <conditionalFormatting sqref="I607">
    <cfRule type="cellIs" priority="1807" operator="lessThan" aboveAverage="0" equalAverage="0" bottom="0" percent="0" rank="0" text="" dxfId="8">
      <formula>0</formula>
    </cfRule>
  </conditionalFormatting>
  <conditionalFormatting sqref="E608">
    <cfRule type="cellIs" priority="1808" operator="greaterThan" aboveAverage="0" equalAverage="0" bottom="0" percent="0" rank="0" text="" dxfId="7">
      <formula>0</formula>
    </cfRule>
  </conditionalFormatting>
  <conditionalFormatting sqref="F608">
    <cfRule type="cellIs" priority="1809" operator="greaterThan" aboveAverage="0" equalAverage="0" bottom="0" percent="0" rank="0" text="" dxfId="7">
      <formula>0</formula>
    </cfRule>
  </conditionalFormatting>
  <conditionalFormatting sqref="I608">
    <cfRule type="cellIs" priority="1810" operator="lessThan" aboveAverage="0" equalAverage="0" bottom="0" percent="0" rank="0" text="" dxfId="8">
      <formula>0</formula>
    </cfRule>
  </conditionalFormatting>
  <conditionalFormatting sqref="E609">
    <cfRule type="cellIs" priority="1811" operator="greaterThan" aboveAverage="0" equalAverage="0" bottom="0" percent="0" rank="0" text="" dxfId="7">
      <formula>0</formula>
    </cfRule>
  </conditionalFormatting>
  <conditionalFormatting sqref="F609">
    <cfRule type="cellIs" priority="1812" operator="greaterThan" aboveAverage="0" equalAverage="0" bottom="0" percent="0" rank="0" text="" dxfId="7">
      <formula>0</formula>
    </cfRule>
  </conditionalFormatting>
  <conditionalFormatting sqref="I609">
    <cfRule type="cellIs" priority="1813" operator="lessThan" aboveAverage="0" equalAverage="0" bottom="0" percent="0" rank="0" text="" dxfId="8">
      <formula>0</formula>
    </cfRule>
  </conditionalFormatting>
  <conditionalFormatting sqref="E610">
    <cfRule type="cellIs" priority="1814" operator="greaterThan" aboveAverage="0" equalAverage="0" bottom="0" percent="0" rank="0" text="" dxfId="7">
      <formula>0</formula>
    </cfRule>
  </conditionalFormatting>
  <conditionalFormatting sqref="F610">
    <cfRule type="cellIs" priority="1815" operator="greaterThan" aboveAverage="0" equalAverage="0" bottom="0" percent="0" rank="0" text="" dxfId="7">
      <formula>0</formula>
    </cfRule>
  </conditionalFormatting>
  <conditionalFormatting sqref="I610">
    <cfRule type="cellIs" priority="1816" operator="lessThan" aboveAverage="0" equalAverage="0" bottom="0" percent="0" rank="0" text="" dxfId="8">
      <formula>0</formula>
    </cfRule>
  </conditionalFormatting>
  <conditionalFormatting sqref="E611">
    <cfRule type="cellIs" priority="1817" operator="greaterThan" aboveAverage="0" equalAverage="0" bottom="0" percent="0" rank="0" text="" dxfId="7">
      <formula>0</formula>
    </cfRule>
  </conditionalFormatting>
  <conditionalFormatting sqref="F611">
    <cfRule type="cellIs" priority="1818" operator="greaterThan" aboveAverage="0" equalAverage="0" bottom="0" percent="0" rank="0" text="" dxfId="7">
      <formula>0</formula>
    </cfRule>
  </conditionalFormatting>
  <conditionalFormatting sqref="I611">
    <cfRule type="cellIs" priority="1819" operator="lessThan" aboveAverage="0" equalAverage="0" bottom="0" percent="0" rank="0" text="" dxfId="8">
      <formula>0</formula>
    </cfRule>
  </conditionalFormatting>
  <conditionalFormatting sqref="E612">
    <cfRule type="cellIs" priority="1820" operator="greaterThan" aboveAverage="0" equalAverage="0" bottom="0" percent="0" rank="0" text="" dxfId="7">
      <formula>0</formula>
    </cfRule>
  </conditionalFormatting>
  <conditionalFormatting sqref="F612">
    <cfRule type="cellIs" priority="1821" operator="greaterThan" aboveAverage="0" equalAverage="0" bottom="0" percent="0" rank="0" text="" dxfId="7">
      <formula>0</formula>
    </cfRule>
  </conditionalFormatting>
  <conditionalFormatting sqref="I612">
    <cfRule type="cellIs" priority="1822" operator="lessThan" aboveAverage="0" equalAverage="0" bottom="0" percent="0" rank="0" text="" dxfId="8">
      <formula>0</formula>
    </cfRule>
  </conditionalFormatting>
  <conditionalFormatting sqref="E613">
    <cfRule type="cellIs" priority="1823" operator="greaterThan" aboveAverage="0" equalAverage="0" bottom="0" percent="0" rank="0" text="" dxfId="7">
      <formula>0</formula>
    </cfRule>
  </conditionalFormatting>
  <conditionalFormatting sqref="F613">
    <cfRule type="cellIs" priority="1824" operator="greaterThan" aboveAverage="0" equalAverage="0" bottom="0" percent="0" rank="0" text="" dxfId="7">
      <formula>0</formula>
    </cfRule>
  </conditionalFormatting>
  <conditionalFormatting sqref="I613">
    <cfRule type="cellIs" priority="1825" operator="lessThan" aboveAverage="0" equalAverage="0" bottom="0" percent="0" rank="0" text="" dxfId="8">
      <formula>0</formula>
    </cfRule>
  </conditionalFormatting>
  <conditionalFormatting sqref="E614">
    <cfRule type="cellIs" priority="1826" operator="greaterThan" aboveAverage="0" equalAverage="0" bottom="0" percent="0" rank="0" text="" dxfId="7">
      <formula>0</formula>
    </cfRule>
  </conditionalFormatting>
  <conditionalFormatting sqref="F614">
    <cfRule type="cellIs" priority="1827" operator="greaterThan" aboveAverage="0" equalAverage="0" bottom="0" percent="0" rank="0" text="" dxfId="7">
      <formula>0</formula>
    </cfRule>
  </conditionalFormatting>
  <conditionalFormatting sqref="I614">
    <cfRule type="cellIs" priority="1828" operator="lessThan" aboveAverage="0" equalAverage="0" bottom="0" percent="0" rank="0" text="" dxfId="8">
      <formula>0</formula>
    </cfRule>
  </conditionalFormatting>
  <conditionalFormatting sqref="E615">
    <cfRule type="cellIs" priority="1829" operator="greaterThan" aboveAverage="0" equalAverage="0" bottom="0" percent="0" rank="0" text="" dxfId="7">
      <formula>0</formula>
    </cfRule>
  </conditionalFormatting>
  <conditionalFormatting sqref="F615">
    <cfRule type="cellIs" priority="1830" operator="greaterThan" aboveAverage="0" equalAverage="0" bottom="0" percent="0" rank="0" text="" dxfId="7">
      <formula>0</formula>
    </cfRule>
  </conditionalFormatting>
  <conditionalFormatting sqref="I615">
    <cfRule type="cellIs" priority="1831" operator="lessThan" aboveAverage="0" equalAverage="0" bottom="0" percent="0" rank="0" text="" dxfId="8">
      <formula>0</formula>
    </cfRule>
  </conditionalFormatting>
  <conditionalFormatting sqref="E616">
    <cfRule type="cellIs" priority="1832" operator="greaterThan" aboveAverage="0" equalAverage="0" bottom="0" percent="0" rank="0" text="" dxfId="7">
      <formula>0</formula>
    </cfRule>
  </conditionalFormatting>
  <conditionalFormatting sqref="F616">
    <cfRule type="cellIs" priority="1833" operator="greaterThan" aboveAverage="0" equalAverage="0" bottom="0" percent="0" rank="0" text="" dxfId="7">
      <formula>0</formula>
    </cfRule>
  </conditionalFormatting>
  <conditionalFormatting sqref="I616">
    <cfRule type="cellIs" priority="1834" operator="lessThan" aboveAverage="0" equalAverage="0" bottom="0" percent="0" rank="0" text="" dxfId="8">
      <formula>0</formula>
    </cfRule>
  </conditionalFormatting>
  <conditionalFormatting sqref="E617">
    <cfRule type="cellIs" priority="1835" operator="greaterThan" aboveAverage="0" equalAverage="0" bottom="0" percent="0" rank="0" text="" dxfId="7">
      <formula>0</formula>
    </cfRule>
  </conditionalFormatting>
  <conditionalFormatting sqref="F617">
    <cfRule type="cellIs" priority="1836" operator="greaterThan" aboveAverage="0" equalAverage="0" bottom="0" percent="0" rank="0" text="" dxfId="7">
      <formula>0</formula>
    </cfRule>
  </conditionalFormatting>
  <conditionalFormatting sqref="I617">
    <cfRule type="cellIs" priority="1837" operator="lessThan" aboveAverage="0" equalAverage="0" bottom="0" percent="0" rank="0" text="" dxfId="8">
      <formula>0</formula>
    </cfRule>
  </conditionalFormatting>
  <conditionalFormatting sqref="E618">
    <cfRule type="cellIs" priority="1838" operator="greaterThan" aboveAverage="0" equalAverage="0" bottom="0" percent="0" rank="0" text="" dxfId="7">
      <formula>0</formula>
    </cfRule>
  </conditionalFormatting>
  <conditionalFormatting sqref="F618">
    <cfRule type="cellIs" priority="1839" operator="greaterThan" aboveAverage="0" equalAverage="0" bottom="0" percent="0" rank="0" text="" dxfId="7">
      <formula>0</formula>
    </cfRule>
  </conditionalFormatting>
  <conditionalFormatting sqref="I618">
    <cfRule type="cellIs" priority="1840" operator="lessThan" aboveAverage="0" equalAverage="0" bottom="0" percent="0" rank="0" text="" dxfId="8">
      <formula>0</formula>
    </cfRule>
  </conditionalFormatting>
  <conditionalFormatting sqref="E619">
    <cfRule type="cellIs" priority="1841" operator="greaterThan" aboveAverage="0" equalAverage="0" bottom="0" percent="0" rank="0" text="" dxfId="7">
      <formula>0</formula>
    </cfRule>
  </conditionalFormatting>
  <conditionalFormatting sqref="F619">
    <cfRule type="cellIs" priority="1842" operator="greaterThan" aboveAverage="0" equalAverage="0" bottom="0" percent="0" rank="0" text="" dxfId="7">
      <formula>0</formula>
    </cfRule>
  </conditionalFormatting>
  <conditionalFormatting sqref="I619">
    <cfRule type="cellIs" priority="1843" operator="lessThan" aboveAverage="0" equalAverage="0" bottom="0" percent="0" rank="0" text="" dxfId="8">
      <formula>0</formula>
    </cfRule>
  </conditionalFormatting>
  <conditionalFormatting sqref="E620">
    <cfRule type="cellIs" priority="1844" operator="greaterThan" aboveAverage="0" equalAverage="0" bottom="0" percent="0" rank="0" text="" dxfId="7">
      <formula>0</formula>
    </cfRule>
  </conditionalFormatting>
  <conditionalFormatting sqref="F620">
    <cfRule type="cellIs" priority="1845" operator="greaterThan" aboveAverage="0" equalAverage="0" bottom="0" percent="0" rank="0" text="" dxfId="7">
      <formula>0</formula>
    </cfRule>
  </conditionalFormatting>
  <conditionalFormatting sqref="I620">
    <cfRule type="cellIs" priority="1846" operator="lessThan" aboveAverage="0" equalAverage="0" bottom="0" percent="0" rank="0" text="" dxfId="8">
      <formula>0</formula>
    </cfRule>
  </conditionalFormatting>
  <conditionalFormatting sqref="E621">
    <cfRule type="cellIs" priority="1847" operator="greaterThan" aboveAverage="0" equalAverage="0" bottom="0" percent="0" rank="0" text="" dxfId="7">
      <formula>0</formula>
    </cfRule>
  </conditionalFormatting>
  <conditionalFormatting sqref="F621">
    <cfRule type="cellIs" priority="1848" operator="greaterThan" aboveAverage="0" equalAverage="0" bottom="0" percent="0" rank="0" text="" dxfId="7">
      <formula>0</formula>
    </cfRule>
  </conditionalFormatting>
  <conditionalFormatting sqref="I621">
    <cfRule type="cellIs" priority="1849" operator="lessThan" aboveAverage="0" equalAverage="0" bottom="0" percent="0" rank="0" text="" dxfId="8">
      <formula>0</formula>
    </cfRule>
  </conditionalFormatting>
  <conditionalFormatting sqref="E622">
    <cfRule type="cellIs" priority="1850" operator="greaterThan" aboveAverage="0" equalAverage="0" bottom="0" percent="0" rank="0" text="" dxfId="7">
      <formula>0</formula>
    </cfRule>
  </conditionalFormatting>
  <conditionalFormatting sqref="F622">
    <cfRule type="cellIs" priority="1851" operator="greaterThan" aboveAverage="0" equalAverage="0" bottom="0" percent="0" rank="0" text="" dxfId="7">
      <formula>0</formula>
    </cfRule>
  </conditionalFormatting>
  <conditionalFormatting sqref="I622">
    <cfRule type="cellIs" priority="1852" operator="lessThan" aboveAverage="0" equalAverage="0" bottom="0" percent="0" rank="0" text="" dxfId="8">
      <formula>0</formula>
    </cfRule>
  </conditionalFormatting>
  <conditionalFormatting sqref="E623">
    <cfRule type="cellIs" priority="1853" operator="greaterThan" aboveAverage="0" equalAverage="0" bottom="0" percent="0" rank="0" text="" dxfId="7">
      <formula>0</formula>
    </cfRule>
  </conditionalFormatting>
  <conditionalFormatting sqref="F623">
    <cfRule type="cellIs" priority="1854" operator="greaterThan" aboveAverage="0" equalAverage="0" bottom="0" percent="0" rank="0" text="" dxfId="7">
      <formula>0</formula>
    </cfRule>
  </conditionalFormatting>
  <conditionalFormatting sqref="I623">
    <cfRule type="cellIs" priority="1855" operator="lessThan" aboveAverage="0" equalAverage="0" bottom="0" percent="0" rank="0" text="" dxfId="8">
      <formula>0</formula>
    </cfRule>
  </conditionalFormatting>
  <conditionalFormatting sqref="E624">
    <cfRule type="cellIs" priority="1856" operator="greaterThan" aboveAverage="0" equalAverage="0" bottom="0" percent="0" rank="0" text="" dxfId="7">
      <formula>0</formula>
    </cfRule>
  </conditionalFormatting>
  <conditionalFormatting sqref="F624">
    <cfRule type="cellIs" priority="1857" operator="greaterThan" aboveAverage="0" equalAverage="0" bottom="0" percent="0" rank="0" text="" dxfId="7">
      <formula>0</formula>
    </cfRule>
  </conditionalFormatting>
  <conditionalFormatting sqref="I624">
    <cfRule type="cellIs" priority="1858" operator="lessThan" aboveAverage="0" equalAverage="0" bottom="0" percent="0" rank="0" text="" dxfId="8">
      <formula>0</formula>
    </cfRule>
  </conditionalFormatting>
  <conditionalFormatting sqref="E625">
    <cfRule type="cellIs" priority="1859" operator="greaterThan" aboveAverage="0" equalAverage="0" bottom="0" percent="0" rank="0" text="" dxfId="7">
      <formula>0</formula>
    </cfRule>
  </conditionalFormatting>
  <conditionalFormatting sqref="F625">
    <cfRule type="cellIs" priority="1860" operator="greaterThan" aboveAverage="0" equalAverage="0" bottom="0" percent="0" rank="0" text="" dxfId="7">
      <formula>0</formula>
    </cfRule>
  </conditionalFormatting>
  <conditionalFormatting sqref="I625">
    <cfRule type="cellIs" priority="1861" operator="lessThan" aboveAverage="0" equalAverage="0" bottom="0" percent="0" rank="0" text="" dxfId="8">
      <formula>0</formula>
    </cfRule>
  </conditionalFormatting>
  <conditionalFormatting sqref="E626">
    <cfRule type="cellIs" priority="1862" operator="greaterThan" aboveAverage="0" equalAverage="0" bottom="0" percent="0" rank="0" text="" dxfId="7">
      <formula>0</formula>
    </cfRule>
  </conditionalFormatting>
  <conditionalFormatting sqref="F626">
    <cfRule type="cellIs" priority="1863" operator="greaterThan" aboveAverage="0" equalAverage="0" bottom="0" percent="0" rank="0" text="" dxfId="7">
      <formula>0</formula>
    </cfRule>
  </conditionalFormatting>
  <conditionalFormatting sqref="I626">
    <cfRule type="cellIs" priority="1864" operator="lessThan" aboveAverage="0" equalAverage="0" bottom="0" percent="0" rank="0" text="" dxfId="8">
      <formula>0</formula>
    </cfRule>
  </conditionalFormatting>
  <conditionalFormatting sqref="E627">
    <cfRule type="cellIs" priority="1865" operator="greaterThan" aboveAverage="0" equalAverage="0" bottom="0" percent="0" rank="0" text="" dxfId="7">
      <formula>0</formula>
    </cfRule>
  </conditionalFormatting>
  <conditionalFormatting sqref="F627">
    <cfRule type="cellIs" priority="1866" operator="greaterThan" aboveAverage="0" equalAverage="0" bottom="0" percent="0" rank="0" text="" dxfId="7">
      <formula>0</formula>
    </cfRule>
  </conditionalFormatting>
  <conditionalFormatting sqref="I627">
    <cfRule type="cellIs" priority="1867" operator="lessThan" aboveAverage="0" equalAverage="0" bottom="0" percent="0" rank="0" text="" dxfId="8">
      <formula>0</formula>
    </cfRule>
  </conditionalFormatting>
  <conditionalFormatting sqref="E628">
    <cfRule type="cellIs" priority="1868" operator="greaterThan" aboveAverage="0" equalAverage="0" bottom="0" percent="0" rank="0" text="" dxfId="7">
      <formula>0</formula>
    </cfRule>
  </conditionalFormatting>
  <conditionalFormatting sqref="F628">
    <cfRule type="cellIs" priority="1869" operator="greaterThan" aboveAverage="0" equalAverage="0" bottom="0" percent="0" rank="0" text="" dxfId="7">
      <formula>0</formula>
    </cfRule>
  </conditionalFormatting>
  <conditionalFormatting sqref="I628">
    <cfRule type="cellIs" priority="1870" operator="lessThan" aboveAverage="0" equalAverage="0" bottom="0" percent="0" rank="0" text="" dxfId="8">
      <formula>0</formula>
    </cfRule>
  </conditionalFormatting>
  <conditionalFormatting sqref="E629">
    <cfRule type="cellIs" priority="1871" operator="greaterThan" aboveAverage="0" equalAverage="0" bottom="0" percent="0" rank="0" text="" dxfId="7">
      <formula>0</formula>
    </cfRule>
  </conditionalFormatting>
  <conditionalFormatting sqref="F629">
    <cfRule type="cellIs" priority="1872" operator="greaterThan" aboveAverage="0" equalAverage="0" bottom="0" percent="0" rank="0" text="" dxfId="7">
      <formula>0</formula>
    </cfRule>
  </conditionalFormatting>
  <conditionalFormatting sqref="I629">
    <cfRule type="cellIs" priority="1873" operator="lessThan" aboveAverage="0" equalAverage="0" bottom="0" percent="0" rank="0" text="" dxfId="8">
      <formula>0</formula>
    </cfRule>
  </conditionalFormatting>
  <conditionalFormatting sqref="E630">
    <cfRule type="cellIs" priority="1874" operator="greaterThan" aboveAverage="0" equalAverage="0" bottom="0" percent="0" rank="0" text="" dxfId="7">
      <formula>0</formula>
    </cfRule>
  </conditionalFormatting>
  <conditionalFormatting sqref="F630">
    <cfRule type="cellIs" priority="1875" operator="greaterThan" aboveAverage="0" equalAverage="0" bottom="0" percent="0" rank="0" text="" dxfId="7">
      <formula>0</formula>
    </cfRule>
  </conditionalFormatting>
  <conditionalFormatting sqref="I630">
    <cfRule type="cellIs" priority="1876" operator="lessThan" aboveAverage="0" equalAverage="0" bottom="0" percent="0" rank="0" text="" dxfId="8">
      <formula>0</formula>
    </cfRule>
  </conditionalFormatting>
  <conditionalFormatting sqref="E631">
    <cfRule type="cellIs" priority="1877" operator="greaterThan" aboveAverage="0" equalAverage="0" bottom="0" percent="0" rank="0" text="" dxfId="7">
      <formula>0</formula>
    </cfRule>
  </conditionalFormatting>
  <conditionalFormatting sqref="F631">
    <cfRule type="cellIs" priority="1878" operator="greaterThan" aboveAverage="0" equalAverage="0" bottom="0" percent="0" rank="0" text="" dxfId="7">
      <formula>0</formula>
    </cfRule>
  </conditionalFormatting>
  <conditionalFormatting sqref="I631">
    <cfRule type="cellIs" priority="1879" operator="lessThan" aboveAverage="0" equalAverage="0" bottom="0" percent="0" rank="0" text="" dxfId="8">
      <formula>0</formula>
    </cfRule>
  </conditionalFormatting>
  <conditionalFormatting sqref="E632">
    <cfRule type="cellIs" priority="1880" operator="greaterThan" aboveAverage="0" equalAverage="0" bottom="0" percent="0" rank="0" text="" dxfId="7">
      <formula>0</formula>
    </cfRule>
  </conditionalFormatting>
  <conditionalFormatting sqref="F632">
    <cfRule type="cellIs" priority="1881" operator="greaterThan" aboveAverage="0" equalAverage="0" bottom="0" percent="0" rank="0" text="" dxfId="7">
      <formula>0</formula>
    </cfRule>
  </conditionalFormatting>
  <conditionalFormatting sqref="I632">
    <cfRule type="cellIs" priority="1882" operator="lessThan" aboveAverage="0" equalAverage="0" bottom="0" percent="0" rank="0" text="" dxfId="8">
      <formula>0</formula>
    </cfRule>
  </conditionalFormatting>
  <conditionalFormatting sqref="E633">
    <cfRule type="cellIs" priority="1883" operator="greaterThan" aboveAverage="0" equalAverage="0" bottom="0" percent="0" rank="0" text="" dxfId="7">
      <formula>0</formula>
    </cfRule>
  </conditionalFormatting>
  <conditionalFormatting sqref="F633">
    <cfRule type="cellIs" priority="1884" operator="greaterThan" aboveAverage="0" equalAverage="0" bottom="0" percent="0" rank="0" text="" dxfId="7">
      <formula>0</formula>
    </cfRule>
  </conditionalFormatting>
  <conditionalFormatting sqref="I633">
    <cfRule type="cellIs" priority="1885" operator="lessThan" aboveAverage="0" equalAverage="0" bottom="0" percent="0" rank="0" text="" dxfId="8">
      <formula>0</formula>
    </cfRule>
  </conditionalFormatting>
  <conditionalFormatting sqref="E634">
    <cfRule type="cellIs" priority="1886" operator="greaterThan" aboveAverage="0" equalAverage="0" bottom="0" percent="0" rank="0" text="" dxfId="7">
      <formula>0</formula>
    </cfRule>
  </conditionalFormatting>
  <conditionalFormatting sqref="F634">
    <cfRule type="cellIs" priority="1887" operator="greaterThan" aboveAverage="0" equalAverage="0" bottom="0" percent="0" rank="0" text="" dxfId="7">
      <formula>0</formula>
    </cfRule>
  </conditionalFormatting>
  <conditionalFormatting sqref="I634">
    <cfRule type="cellIs" priority="1888" operator="lessThan" aboveAverage="0" equalAverage="0" bottom="0" percent="0" rank="0" text="" dxfId="8">
      <formula>0</formula>
    </cfRule>
  </conditionalFormatting>
  <conditionalFormatting sqref="E635">
    <cfRule type="cellIs" priority="1889" operator="greaterThan" aboveAverage="0" equalAverage="0" bottom="0" percent="0" rank="0" text="" dxfId="7">
      <formula>0</formula>
    </cfRule>
  </conditionalFormatting>
  <conditionalFormatting sqref="F635">
    <cfRule type="cellIs" priority="1890" operator="greaterThan" aboveAverage="0" equalAverage="0" bottom="0" percent="0" rank="0" text="" dxfId="7">
      <formula>0</formula>
    </cfRule>
  </conditionalFormatting>
  <conditionalFormatting sqref="I635">
    <cfRule type="cellIs" priority="1891" operator="lessThan" aboveAverage="0" equalAverage="0" bottom="0" percent="0" rank="0" text="" dxfId="8">
      <formula>0</formula>
    </cfRule>
  </conditionalFormatting>
  <conditionalFormatting sqref="E636">
    <cfRule type="cellIs" priority="1892" operator="greaterThan" aboveAverage="0" equalAverage="0" bottom="0" percent="0" rank="0" text="" dxfId="7">
      <formula>0</formula>
    </cfRule>
  </conditionalFormatting>
  <conditionalFormatting sqref="F636">
    <cfRule type="cellIs" priority="1893" operator="greaterThan" aboveAverage="0" equalAverage="0" bottom="0" percent="0" rank="0" text="" dxfId="7">
      <formula>0</formula>
    </cfRule>
  </conditionalFormatting>
  <conditionalFormatting sqref="I636">
    <cfRule type="cellIs" priority="1894" operator="lessThan" aboveAverage="0" equalAverage="0" bottom="0" percent="0" rank="0" text="" dxfId="8">
      <formula>0</formula>
    </cfRule>
  </conditionalFormatting>
  <conditionalFormatting sqref="E637">
    <cfRule type="cellIs" priority="1895" operator="greaterThan" aboveAverage="0" equalAverage="0" bottom="0" percent="0" rank="0" text="" dxfId="7">
      <formula>0</formula>
    </cfRule>
  </conditionalFormatting>
  <conditionalFormatting sqref="F637">
    <cfRule type="cellIs" priority="1896" operator="greaterThan" aboveAverage="0" equalAverage="0" bottom="0" percent="0" rank="0" text="" dxfId="7">
      <formula>0</formula>
    </cfRule>
  </conditionalFormatting>
  <conditionalFormatting sqref="I637">
    <cfRule type="cellIs" priority="1897" operator="lessThan" aboveAverage="0" equalAverage="0" bottom="0" percent="0" rank="0" text="" dxfId="8">
      <formula>0</formula>
    </cfRule>
  </conditionalFormatting>
  <conditionalFormatting sqref="E638">
    <cfRule type="cellIs" priority="1898" operator="greaterThan" aboveAverage="0" equalAverage="0" bottom="0" percent="0" rank="0" text="" dxfId="7">
      <formula>0</formula>
    </cfRule>
  </conditionalFormatting>
  <conditionalFormatting sqref="F638">
    <cfRule type="cellIs" priority="1899" operator="greaterThan" aboveAverage="0" equalAverage="0" bottom="0" percent="0" rank="0" text="" dxfId="7">
      <formula>0</formula>
    </cfRule>
  </conditionalFormatting>
  <conditionalFormatting sqref="I638">
    <cfRule type="cellIs" priority="1900" operator="lessThan" aboveAverage="0" equalAverage="0" bottom="0" percent="0" rank="0" text="" dxfId="8">
      <formula>0</formula>
    </cfRule>
  </conditionalFormatting>
  <conditionalFormatting sqref="E639">
    <cfRule type="cellIs" priority="1901" operator="greaterThan" aboveAverage="0" equalAverage="0" bottom="0" percent="0" rank="0" text="" dxfId="7">
      <formula>0</formula>
    </cfRule>
  </conditionalFormatting>
  <conditionalFormatting sqref="F639">
    <cfRule type="cellIs" priority="1902" operator="greaterThan" aboveAverage="0" equalAverage="0" bottom="0" percent="0" rank="0" text="" dxfId="7">
      <formula>0</formula>
    </cfRule>
  </conditionalFormatting>
  <conditionalFormatting sqref="I639">
    <cfRule type="cellIs" priority="1903" operator="lessThan" aboveAverage="0" equalAverage="0" bottom="0" percent="0" rank="0" text="" dxfId="8">
      <formula>0</formula>
    </cfRule>
  </conditionalFormatting>
  <conditionalFormatting sqref="E640">
    <cfRule type="cellIs" priority="1904" operator="greaterThan" aboveAverage="0" equalAverage="0" bottom="0" percent="0" rank="0" text="" dxfId="7">
      <formula>0</formula>
    </cfRule>
  </conditionalFormatting>
  <conditionalFormatting sqref="F640">
    <cfRule type="cellIs" priority="1905" operator="greaterThan" aboveAverage="0" equalAverage="0" bottom="0" percent="0" rank="0" text="" dxfId="7">
      <formula>0</formula>
    </cfRule>
  </conditionalFormatting>
  <conditionalFormatting sqref="I640">
    <cfRule type="cellIs" priority="1906" operator="lessThan" aboveAverage="0" equalAverage="0" bottom="0" percent="0" rank="0" text="" dxfId="8">
      <formula>0</formula>
    </cfRule>
  </conditionalFormatting>
  <conditionalFormatting sqref="E641">
    <cfRule type="cellIs" priority="1907" operator="greaterThan" aboveAverage="0" equalAverage="0" bottom="0" percent="0" rank="0" text="" dxfId="7">
      <formula>0</formula>
    </cfRule>
  </conditionalFormatting>
  <conditionalFormatting sqref="F641">
    <cfRule type="cellIs" priority="1908" operator="greaterThan" aboveAverage="0" equalAverage="0" bottom="0" percent="0" rank="0" text="" dxfId="7">
      <formula>0</formula>
    </cfRule>
  </conditionalFormatting>
  <conditionalFormatting sqref="I641">
    <cfRule type="cellIs" priority="1909" operator="lessThan" aboveAverage="0" equalAverage="0" bottom="0" percent="0" rank="0" text="" dxfId="8">
      <formula>0</formula>
    </cfRule>
  </conditionalFormatting>
  <conditionalFormatting sqref="E642">
    <cfRule type="cellIs" priority="1910" operator="greaterThan" aboveAverage="0" equalAverage="0" bottom="0" percent="0" rank="0" text="" dxfId="7">
      <formula>0</formula>
    </cfRule>
  </conditionalFormatting>
  <conditionalFormatting sqref="F642">
    <cfRule type="cellIs" priority="1911" operator="greaterThan" aboveAverage="0" equalAverage="0" bottom="0" percent="0" rank="0" text="" dxfId="7">
      <formula>0</formula>
    </cfRule>
  </conditionalFormatting>
  <conditionalFormatting sqref="I642">
    <cfRule type="cellIs" priority="1912" operator="lessThan" aboveAverage="0" equalAverage="0" bottom="0" percent="0" rank="0" text="" dxfId="8">
      <formula>0</formula>
    </cfRule>
  </conditionalFormatting>
  <conditionalFormatting sqref="E643">
    <cfRule type="cellIs" priority="1913" operator="greaterThan" aboveAverage="0" equalAverage="0" bottom="0" percent="0" rank="0" text="" dxfId="7">
      <formula>0</formula>
    </cfRule>
  </conditionalFormatting>
  <conditionalFormatting sqref="F643">
    <cfRule type="cellIs" priority="1914" operator="greaterThan" aboveAverage="0" equalAverage="0" bottom="0" percent="0" rank="0" text="" dxfId="7">
      <formula>0</formula>
    </cfRule>
  </conditionalFormatting>
  <conditionalFormatting sqref="I643">
    <cfRule type="cellIs" priority="1915" operator="lessThan" aboveAverage="0" equalAverage="0" bottom="0" percent="0" rank="0" text="" dxfId="8">
      <formula>0</formula>
    </cfRule>
  </conditionalFormatting>
  <conditionalFormatting sqref="E644">
    <cfRule type="cellIs" priority="1916" operator="greaterThan" aboveAverage="0" equalAverage="0" bottom="0" percent="0" rank="0" text="" dxfId="7">
      <formula>0</formula>
    </cfRule>
  </conditionalFormatting>
  <conditionalFormatting sqref="F644">
    <cfRule type="cellIs" priority="1917" operator="greaterThan" aboveAverage="0" equalAverage="0" bottom="0" percent="0" rank="0" text="" dxfId="7">
      <formula>0</formula>
    </cfRule>
  </conditionalFormatting>
  <conditionalFormatting sqref="I644">
    <cfRule type="cellIs" priority="1918" operator="lessThan" aboveAverage="0" equalAverage="0" bottom="0" percent="0" rank="0" text="" dxfId="8">
      <formula>0</formula>
    </cfRule>
  </conditionalFormatting>
  <conditionalFormatting sqref="E645">
    <cfRule type="cellIs" priority="1919" operator="greaterThan" aboveAverage="0" equalAverage="0" bottom="0" percent="0" rank="0" text="" dxfId="7">
      <formula>0</formula>
    </cfRule>
  </conditionalFormatting>
  <conditionalFormatting sqref="F645">
    <cfRule type="cellIs" priority="1920" operator="greaterThan" aboveAverage="0" equalAverage="0" bottom="0" percent="0" rank="0" text="" dxfId="7">
      <formula>0</formula>
    </cfRule>
  </conditionalFormatting>
  <conditionalFormatting sqref="I645">
    <cfRule type="cellIs" priority="1921" operator="lessThan" aboveAverage="0" equalAverage="0" bottom="0" percent="0" rank="0" text="" dxfId="8">
      <formula>0</formula>
    </cfRule>
  </conditionalFormatting>
  <conditionalFormatting sqref="E646">
    <cfRule type="cellIs" priority="1922" operator="greaterThan" aboveAverage="0" equalAverage="0" bottom="0" percent="0" rank="0" text="" dxfId="7">
      <formula>0</formula>
    </cfRule>
  </conditionalFormatting>
  <conditionalFormatting sqref="F646">
    <cfRule type="cellIs" priority="1923" operator="greaterThan" aboveAverage="0" equalAverage="0" bottom="0" percent="0" rank="0" text="" dxfId="7">
      <formula>0</formula>
    </cfRule>
  </conditionalFormatting>
  <conditionalFormatting sqref="I646">
    <cfRule type="cellIs" priority="1924" operator="lessThan" aboveAverage="0" equalAverage="0" bottom="0" percent="0" rank="0" text="" dxfId="8">
      <formula>0</formula>
    </cfRule>
  </conditionalFormatting>
  <conditionalFormatting sqref="E647">
    <cfRule type="cellIs" priority="1925" operator="greaterThan" aboveAverage="0" equalAverage="0" bottom="0" percent="0" rank="0" text="" dxfId="7">
      <formula>0</formula>
    </cfRule>
  </conditionalFormatting>
  <conditionalFormatting sqref="F647">
    <cfRule type="cellIs" priority="1926" operator="greaterThan" aboveAverage="0" equalAverage="0" bottom="0" percent="0" rank="0" text="" dxfId="7">
      <formula>0</formula>
    </cfRule>
  </conditionalFormatting>
  <conditionalFormatting sqref="I647">
    <cfRule type="cellIs" priority="1927" operator="lessThan" aboveAverage="0" equalAverage="0" bottom="0" percent="0" rank="0" text="" dxfId="8">
      <formula>0</formula>
    </cfRule>
  </conditionalFormatting>
  <conditionalFormatting sqref="E648">
    <cfRule type="cellIs" priority="1928" operator="greaterThan" aboveAverage="0" equalAverage="0" bottom="0" percent="0" rank="0" text="" dxfId="7">
      <formula>0</formula>
    </cfRule>
  </conditionalFormatting>
  <conditionalFormatting sqref="F648">
    <cfRule type="cellIs" priority="1929" operator="greaterThan" aboveAverage="0" equalAverage="0" bottom="0" percent="0" rank="0" text="" dxfId="7">
      <formula>0</formula>
    </cfRule>
  </conditionalFormatting>
  <conditionalFormatting sqref="I648">
    <cfRule type="cellIs" priority="1930" operator="lessThan" aboveAverage="0" equalAverage="0" bottom="0" percent="0" rank="0" text="" dxfId="8">
      <formula>0</formula>
    </cfRule>
  </conditionalFormatting>
  <conditionalFormatting sqref="E649">
    <cfRule type="cellIs" priority="1931" operator="greaterThan" aboveAverage="0" equalAverage="0" bottom="0" percent="0" rank="0" text="" dxfId="7">
      <formula>0</formula>
    </cfRule>
  </conditionalFormatting>
  <conditionalFormatting sqref="F649">
    <cfRule type="cellIs" priority="1932" operator="greaterThan" aboveAverage="0" equalAverage="0" bottom="0" percent="0" rank="0" text="" dxfId="7">
      <formula>0</formula>
    </cfRule>
  </conditionalFormatting>
  <conditionalFormatting sqref="I649">
    <cfRule type="cellIs" priority="1933" operator="lessThan" aboveAverage="0" equalAverage="0" bottom="0" percent="0" rank="0" text="" dxfId="8">
      <formula>0</formula>
    </cfRule>
  </conditionalFormatting>
  <conditionalFormatting sqref="E650">
    <cfRule type="cellIs" priority="1934" operator="greaterThan" aboveAverage="0" equalAverage="0" bottom="0" percent="0" rank="0" text="" dxfId="7">
      <formula>0</formula>
    </cfRule>
  </conditionalFormatting>
  <conditionalFormatting sqref="F650">
    <cfRule type="cellIs" priority="1935" operator="greaterThan" aboveAverage="0" equalAverage="0" bottom="0" percent="0" rank="0" text="" dxfId="7">
      <formula>0</formula>
    </cfRule>
  </conditionalFormatting>
  <conditionalFormatting sqref="I650">
    <cfRule type="cellIs" priority="1936" operator="lessThan" aboveAverage="0" equalAverage="0" bottom="0" percent="0" rank="0" text="" dxfId="8">
      <formula>0</formula>
    </cfRule>
  </conditionalFormatting>
  <conditionalFormatting sqref="E651">
    <cfRule type="cellIs" priority="1937" operator="greaterThan" aboveAverage="0" equalAverage="0" bottom="0" percent="0" rank="0" text="" dxfId="7">
      <formula>0</formula>
    </cfRule>
  </conditionalFormatting>
  <conditionalFormatting sqref="F651">
    <cfRule type="cellIs" priority="1938" operator="greaterThan" aboveAverage="0" equalAverage="0" bottom="0" percent="0" rank="0" text="" dxfId="7">
      <formula>0</formula>
    </cfRule>
  </conditionalFormatting>
  <conditionalFormatting sqref="I651">
    <cfRule type="cellIs" priority="1939" operator="lessThan" aboveAverage="0" equalAverage="0" bottom="0" percent="0" rank="0" text="" dxfId="8">
      <formula>0</formula>
    </cfRule>
  </conditionalFormatting>
  <conditionalFormatting sqref="E652">
    <cfRule type="cellIs" priority="1940" operator="greaterThan" aboveAverage="0" equalAverage="0" bottom="0" percent="0" rank="0" text="" dxfId="7">
      <formula>0</formula>
    </cfRule>
  </conditionalFormatting>
  <conditionalFormatting sqref="F652">
    <cfRule type="cellIs" priority="1941" operator="greaterThan" aboveAverage="0" equalAverage="0" bottom="0" percent="0" rank="0" text="" dxfId="7">
      <formula>0</formula>
    </cfRule>
  </conditionalFormatting>
  <conditionalFormatting sqref="I652">
    <cfRule type="cellIs" priority="1942" operator="lessThan" aboveAverage="0" equalAverage="0" bottom="0" percent="0" rank="0" text="" dxfId="8">
      <formula>0</formula>
    </cfRule>
  </conditionalFormatting>
  <conditionalFormatting sqref="E653">
    <cfRule type="cellIs" priority="1943" operator="greaterThan" aboveAverage="0" equalAverage="0" bottom="0" percent="0" rank="0" text="" dxfId="7">
      <formula>0</formula>
    </cfRule>
  </conditionalFormatting>
  <conditionalFormatting sqref="F653">
    <cfRule type="cellIs" priority="1944" operator="greaterThan" aboveAverage="0" equalAverage="0" bottom="0" percent="0" rank="0" text="" dxfId="7">
      <formula>0</formula>
    </cfRule>
  </conditionalFormatting>
  <conditionalFormatting sqref="I653">
    <cfRule type="cellIs" priority="1945" operator="lessThan" aboveAverage="0" equalAverage="0" bottom="0" percent="0" rank="0" text="" dxfId="8">
      <formula>0</formula>
    </cfRule>
  </conditionalFormatting>
  <conditionalFormatting sqref="E654">
    <cfRule type="cellIs" priority="1946" operator="greaterThan" aboveAverage="0" equalAverage="0" bottom="0" percent="0" rank="0" text="" dxfId="7">
      <formula>0</formula>
    </cfRule>
  </conditionalFormatting>
  <conditionalFormatting sqref="F654">
    <cfRule type="cellIs" priority="1947" operator="greaterThan" aboveAverage="0" equalAverage="0" bottom="0" percent="0" rank="0" text="" dxfId="7">
      <formula>0</formula>
    </cfRule>
  </conditionalFormatting>
  <conditionalFormatting sqref="I654">
    <cfRule type="cellIs" priority="1948" operator="lessThan" aboveAverage="0" equalAverage="0" bottom="0" percent="0" rank="0" text="" dxfId="8">
      <formula>0</formula>
    </cfRule>
  </conditionalFormatting>
  <conditionalFormatting sqref="E655">
    <cfRule type="cellIs" priority="1949" operator="greaterThan" aboveAverage="0" equalAverage="0" bottom="0" percent="0" rank="0" text="" dxfId="7">
      <formula>0</formula>
    </cfRule>
  </conditionalFormatting>
  <conditionalFormatting sqref="F655">
    <cfRule type="cellIs" priority="1950" operator="greaterThan" aboveAverage="0" equalAverage="0" bottom="0" percent="0" rank="0" text="" dxfId="7">
      <formula>0</formula>
    </cfRule>
  </conditionalFormatting>
  <conditionalFormatting sqref="I655">
    <cfRule type="cellIs" priority="1951" operator="lessThan" aboveAverage="0" equalAverage="0" bottom="0" percent="0" rank="0" text="" dxfId="8">
      <formula>0</formula>
    </cfRule>
  </conditionalFormatting>
  <conditionalFormatting sqref="E656">
    <cfRule type="cellIs" priority="1952" operator="greaterThan" aboveAverage="0" equalAverage="0" bottom="0" percent="0" rank="0" text="" dxfId="7">
      <formula>0</formula>
    </cfRule>
  </conditionalFormatting>
  <conditionalFormatting sqref="F656">
    <cfRule type="cellIs" priority="1953" operator="greaterThan" aboveAverage="0" equalAverage="0" bottom="0" percent="0" rank="0" text="" dxfId="7">
      <formula>0</formula>
    </cfRule>
  </conditionalFormatting>
  <conditionalFormatting sqref="I656">
    <cfRule type="cellIs" priority="1954" operator="lessThan" aboveAverage="0" equalAverage="0" bottom="0" percent="0" rank="0" text="" dxfId="8">
      <formula>0</formula>
    </cfRule>
  </conditionalFormatting>
  <conditionalFormatting sqref="E657">
    <cfRule type="cellIs" priority="1955" operator="greaterThan" aboveAverage="0" equalAverage="0" bottom="0" percent="0" rank="0" text="" dxfId="7">
      <formula>0</formula>
    </cfRule>
  </conditionalFormatting>
  <conditionalFormatting sqref="F657">
    <cfRule type="cellIs" priority="1956" operator="greaterThan" aboveAverage="0" equalAverage="0" bottom="0" percent="0" rank="0" text="" dxfId="7">
      <formula>0</formula>
    </cfRule>
  </conditionalFormatting>
  <conditionalFormatting sqref="I657">
    <cfRule type="cellIs" priority="1957" operator="lessThan" aboveAverage="0" equalAverage="0" bottom="0" percent="0" rank="0" text="" dxfId="8">
      <formula>0</formula>
    </cfRule>
  </conditionalFormatting>
  <conditionalFormatting sqref="E658">
    <cfRule type="cellIs" priority="1958" operator="greaterThan" aboveAverage="0" equalAverage="0" bottom="0" percent="0" rank="0" text="" dxfId="7">
      <formula>0</formula>
    </cfRule>
  </conditionalFormatting>
  <conditionalFormatting sqref="F658">
    <cfRule type="cellIs" priority="1959" operator="greaterThan" aboveAverage="0" equalAverage="0" bottom="0" percent="0" rank="0" text="" dxfId="7">
      <formula>0</formula>
    </cfRule>
  </conditionalFormatting>
  <conditionalFormatting sqref="I658">
    <cfRule type="cellIs" priority="1960" operator="lessThan" aboveAverage="0" equalAverage="0" bottom="0" percent="0" rank="0" text="" dxfId="8">
      <formula>0</formula>
    </cfRule>
  </conditionalFormatting>
  <conditionalFormatting sqref="E659">
    <cfRule type="cellIs" priority="1961" operator="greaterThan" aboveAverage="0" equalAverage="0" bottom="0" percent="0" rank="0" text="" dxfId="7">
      <formula>0</formula>
    </cfRule>
  </conditionalFormatting>
  <conditionalFormatting sqref="F659">
    <cfRule type="cellIs" priority="1962" operator="greaterThan" aboveAverage="0" equalAverage="0" bottom="0" percent="0" rank="0" text="" dxfId="7">
      <formula>0</formula>
    </cfRule>
  </conditionalFormatting>
  <conditionalFormatting sqref="I659">
    <cfRule type="cellIs" priority="1963" operator="lessThan" aboveAverage="0" equalAverage="0" bottom="0" percent="0" rank="0" text="" dxfId="8">
      <formula>0</formula>
    </cfRule>
  </conditionalFormatting>
  <conditionalFormatting sqref="E660">
    <cfRule type="cellIs" priority="1964" operator="greaterThan" aboveAverage="0" equalAverage="0" bottom="0" percent="0" rank="0" text="" dxfId="7">
      <formula>0</formula>
    </cfRule>
  </conditionalFormatting>
  <conditionalFormatting sqref="F660">
    <cfRule type="cellIs" priority="1965" operator="greaterThan" aboveAverage="0" equalAverage="0" bottom="0" percent="0" rank="0" text="" dxfId="7">
      <formula>0</formula>
    </cfRule>
  </conditionalFormatting>
  <conditionalFormatting sqref="I660">
    <cfRule type="cellIs" priority="1966" operator="lessThan" aboveAverage="0" equalAverage="0" bottom="0" percent="0" rank="0" text="" dxfId="8">
      <formula>0</formula>
    </cfRule>
  </conditionalFormatting>
  <conditionalFormatting sqref="E661">
    <cfRule type="cellIs" priority="1967" operator="greaterThan" aboveAverage="0" equalAverage="0" bottom="0" percent="0" rank="0" text="" dxfId="7">
      <formula>0</formula>
    </cfRule>
  </conditionalFormatting>
  <conditionalFormatting sqref="F661">
    <cfRule type="cellIs" priority="1968" operator="greaterThan" aboveAverage="0" equalAverage="0" bottom="0" percent="0" rank="0" text="" dxfId="7">
      <formula>0</formula>
    </cfRule>
  </conditionalFormatting>
  <conditionalFormatting sqref="I661">
    <cfRule type="cellIs" priority="1969" operator="lessThan" aboveAverage="0" equalAverage="0" bottom="0" percent="0" rank="0" text="" dxfId="8">
      <formula>0</formula>
    </cfRule>
  </conditionalFormatting>
  <conditionalFormatting sqref="E662">
    <cfRule type="cellIs" priority="1970" operator="greaterThan" aboveAverage="0" equalAverage="0" bottom="0" percent="0" rank="0" text="" dxfId="7">
      <formula>0</formula>
    </cfRule>
  </conditionalFormatting>
  <conditionalFormatting sqref="F662">
    <cfRule type="cellIs" priority="1971" operator="greaterThan" aboveAverage="0" equalAverage="0" bottom="0" percent="0" rank="0" text="" dxfId="7">
      <formula>0</formula>
    </cfRule>
  </conditionalFormatting>
  <conditionalFormatting sqref="I662">
    <cfRule type="cellIs" priority="1972" operator="lessThan" aboveAverage="0" equalAverage="0" bottom="0" percent="0" rank="0" text="" dxfId="8">
      <formula>0</formula>
    </cfRule>
  </conditionalFormatting>
  <conditionalFormatting sqref="E663">
    <cfRule type="cellIs" priority="1973" operator="greaterThan" aboveAverage="0" equalAverage="0" bottom="0" percent="0" rank="0" text="" dxfId="7">
      <formula>0</formula>
    </cfRule>
  </conditionalFormatting>
  <conditionalFormatting sqref="F663">
    <cfRule type="cellIs" priority="1974" operator="greaterThan" aboveAverage="0" equalAverage="0" bottom="0" percent="0" rank="0" text="" dxfId="7">
      <formula>0</formula>
    </cfRule>
  </conditionalFormatting>
  <conditionalFormatting sqref="I663">
    <cfRule type="cellIs" priority="1975" operator="lessThan" aboveAverage="0" equalAverage="0" bottom="0" percent="0" rank="0" text="" dxfId="8">
      <formula>0</formula>
    </cfRule>
  </conditionalFormatting>
  <conditionalFormatting sqref="E664">
    <cfRule type="cellIs" priority="1976" operator="greaterThan" aboveAverage="0" equalAverage="0" bottom="0" percent="0" rank="0" text="" dxfId="7">
      <formula>0</formula>
    </cfRule>
  </conditionalFormatting>
  <conditionalFormatting sqref="F664">
    <cfRule type="cellIs" priority="1977" operator="greaterThan" aboveAverage="0" equalAverage="0" bottom="0" percent="0" rank="0" text="" dxfId="7">
      <formula>0</formula>
    </cfRule>
  </conditionalFormatting>
  <conditionalFormatting sqref="I664">
    <cfRule type="cellIs" priority="1978" operator="lessThan" aboveAverage="0" equalAverage="0" bottom="0" percent="0" rank="0" text="" dxfId="8">
      <formula>0</formula>
    </cfRule>
  </conditionalFormatting>
  <conditionalFormatting sqref="E665">
    <cfRule type="cellIs" priority="1979" operator="greaterThan" aboveAverage="0" equalAverage="0" bottom="0" percent="0" rank="0" text="" dxfId="7">
      <formula>0</formula>
    </cfRule>
  </conditionalFormatting>
  <conditionalFormatting sqref="F665">
    <cfRule type="cellIs" priority="1980" operator="greaterThan" aboveAverage="0" equalAverage="0" bottom="0" percent="0" rank="0" text="" dxfId="7">
      <formula>0</formula>
    </cfRule>
  </conditionalFormatting>
  <conditionalFormatting sqref="I665">
    <cfRule type="cellIs" priority="1981" operator="lessThan" aboveAverage="0" equalAverage="0" bottom="0" percent="0" rank="0" text="" dxfId="8">
      <formula>0</formula>
    </cfRule>
  </conditionalFormatting>
  <conditionalFormatting sqref="E666">
    <cfRule type="cellIs" priority="1982" operator="greaterThan" aboveAverage="0" equalAverage="0" bottom="0" percent="0" rank="0" text="" dxfId="7">
      <formula>0</formula>
    </cfRule>
  </conditionalFormatting>
  <conditionalFormatting sqref="F666">
    <cfRule type="cellIs" priority="1983" operator="greaterThan" aboveAverage="0" equalAverage="0" bottom="0" percent="0" rank="0" text="" dxfId="7">
      <formula>0</formula>
    </cfRule>
  </conditionalFormatting>
  <conditionalFormatting sqref="I666">
    <cfRule type="cellIs" priority="1984" operator="lessThan" aboveAverage="0" equalAverage="0" bottom="0" percent="0" rank="0" text="" dxfId="8">
      <formula>0</formula>
    </cfRule>
  </conditionalFormatting>
  <conditionalFormatting sqref="E667">
    <cfRule type="cellIs" priority="1985" operator="greaterThan" aboveAverage="0" equalAverage="0" bottom="0" percent="0" rank="0" text="" dxfId="7">
      <formula>0</formula>
    </cfRule>
  </conditionalFormatting>
  <conditionalFormatting sqref="F667">
    <cfRule type="cellIs" priority="1986" operator="greaterThan" aboveAverage="0" equalAverage="0" bottom="0" percent="0" rank="0" text="" dxfId="7">
      <formula>0</formula>
    </cfRule>
  </conditionalFormatting>
  <conditionalFormatting sqref="I667">
    <cfRule type="cellIs" priority="1987" operator="lessThan" aboveAverage="0" equalAverage="0" bottom="0" percent="0" rank="0" text="" dxfId="8">
      <formula>0</formula>
    </cfRule>
  </conditionalFormatting>
  <conditionalFormatting sqref="E668">
    <cfRule type="cellIs" priority="1988" operator="greaterThan" aboveAverage="0" equalAverage="0" bottom="0" percent="0" rank="0" text="" dxfId="7">
      <formula>0</formula>
    </cfRule>
  </conditionalFormatting>
  <conditionalFormatting sqref="F668">
    <cfRule type="cellIs" priority="1989" operator="greaterThan" aboveAverage="0" equalAverage="0" bottom="0" percent="0" rank="0" text="" dxfId="7">
      <formula>0</formula>
    </cfRule>
  </conditionalFormatting>
  <conditionalFormatting sqref="I668">
    <cfRule type="cellIs" priority="1990" operator="lessThan" aboveAverage="0" equalAverage="0" bottom="0" percent="0" rank="0" text="" dxfId="8">
      <formula>0</formula>
    </cfRule>
  </conditionalFormatting>
  <conditionalFormatting sqref="E669">
    <cfRule type="cellIs" priority="1991" operator="greaterThan" aboveAverage="0" equalAverage="0" bottom="0" percent="0" rank="0" text="" dxfId="7">
      <formula>0</formula>
    </cfRule>
  </conditionalFormatting>
  <conditionalFormatting sqref="F669">
    <cfRule type="cellIs" priority="1992" operator="greaterThan" aboveAverage="0" equalAverage="0" bottom="0" percent="0" rank="0" text="" dxfId="7">
      <formula>0</formula>
    </cfRule>
  </conditionalFormatting>
  <conditionalFormatting sqref="I669">
    <cfRule type="cellIs" priority="1993" operator="lessThan" aboveAverage="0" equalAverage="0" bottom="0" percent="0" rank="0" text="" dxfId="8">
      <formula>0</formula>
    </cfRule>
  </conditionalFormatting>
  <conditionalFormatting sqref="E670">
    <cfRule type="cellIs" priority="1994" operator="greaterThan" aboveAverage="0" equalAverage="0" bottom="0" percent="0" rank="0" text="" dxfId="7">
      <formula>0</formula>
    </cfRule>
  </conditionalFormatting>
  <conditionalFormatting sqref="F670">
    <cfRule type="cellIs" priority="1995" operator="greaterThan" aboveAverage="0" equalAverage="0" bottom="0" percent="0" rank="0" text="" dxfId="7">
      <formula>0</formula>
    </cfRule>
  </conditionalFormatting>
  <conditionalFormatting sqref="I670">
    <cfRule type="cellIs" priority="1996" operator="lessThan" aboveAverage="0" equalAverage="0" bottom="0" percent="0" rank="0" text="" dxfId="8">
      <formula>0</formula>
    </cfRule>
  </conditionalFormatting>
  <conditionalFormatting sqref="E671">
    <cfRule type="cellIs" priority="1997" operator="greaterThan" aboveAverage="0" equalAverage="0" bottom="0" percent="0" rank="0" text="" dxfId="7">
      <formula>0</formula>
    </cfRule>
  </conditionalFormatting>
  <conditionalFormatting sqref="F671">
    <cfRule type="cellIs" priority="1998" operator="greaterThan" aboveAverage="0" equalAverage="0" bottom="0" percent="0" rank="0" text="" dxfId="7">
      <formula>0</formula>
    </cfRule>
  </conditionalFormatting>
  <conditionalFormatting sqref="I671">
    <cfRule type="cellIs" priority="1999" operator="lessThan" aboveAverage="0" equalAverage="0" bottom="0" percent="0" rank="0" text="" dxfId="8">
      <formula>0</formula>
    </cfRule>
  </conditionalFormatting>
  <conditionalFormatting sqref="E672">
    <cfRule type="cellIs" priority="2000" operator="greaterThan" aboveAverage="0" equalAverage="0" bottom="0" percent="0" rank="0" text="" dxfId="7">
      <formula>0</formula>
    </cfRule>
  </conditionalFormatting>
  <conditionalFormatting sqref="F672">
    <cfRule type="cellIs" priority="2001" operator="greaterThan" aboveAverage="0" equalAverage="0" bottom="0" percent="0" rank="0" text="" dxfId="7">
      <formula>0</formula>
    </cfRule>
  </conditionalFormatting>
  <conditionalFormatting sqref="I672">
    <cfRule type="cellIs" priority="2002" operator="lessThan" aboveAverage="0" equalAverage="0" bottom="0" percent="0" rank="0" text="" dxfId="8">
      <formula>0</formula>
    </cfRule>
  </conditionalFormatting>
  <conditionalFormatting sqref="E673">
    <cfRule type="cellIs" priority="2003" operator="greaterThan" aboveAverage="0" equalAverage="0" bottom="0" percent="0" rank="0" text="" dxfId="7">
      <formula>0</formula>
    </cfRule>
  </conditionalFormatting>
  <conditionalFormatting sqref="F673">
    <cfRule type="cellIs" priority="2004" operator="greaterThan" aboveAverage="0" equalAverage="0" bottom="0" percent="0" rank="0" text="" dxfId="7">
      <formula>0</formula>
    </cfRule>
  </conditionalFormatting>
  <conditionalFormatting sqref="I673">
    <cfRule type="cellIs" priority="2005" operator="lessThan" aboveAverage="0" equalAverage="0" bottom="0" percent="0" rank="0" text="" dxfId="8">
      <formula>0</formula>
    </cfRule>
  </conditionalFormatting>
  <conditionalFormatting sqref="E674">
    <cfRule type="cellIs" priority="2006" operator="greaterThan" aboveAverage="0" equalAverage="0" bottom="0" percent="0" rank="0" text="" dxfId="7">
      <formula>0</formula>
    </cfRule>
  </conditionalFormatting>
  <conditionalFormatting sqref="F674">
    <cfRule type="cellIs" priority="2007" operator="greaterThan" aboveAverage="0" equalAverage="0" bottom="0" percent="0" rank="0" text="" dxfId="7">
      <formula>0</formula>
    </cfRule>
  </conditionalFormatting>
  <conditionalFormatting sqref="I674">
    <cfRule type="cellIs" priority="2008" operator="lessThan" aboveAverage="0" equalAverage="0" bottom="0" percent="0" rank="0" text="" dxfId="8">
      <formula>0</formula>
    </cfRule>
  </conditionalFormatting>
  <conditionalFormatting sqref="E675">
    <cfRule type="cellIs" priority="2009" operator="greaterThan" aboveAverage="0" equalAverage="0" bottom="0" percent="0" rank="0" text="" dxfId="7">
      <formula>0</formula>
    </cfRule>
  </conditionalFormatting>
  <conditionalFormatting sqref="F675">
    <cfRule type="cellIs" priority="2010" operator="greaterThan" aboveAverage="0" equalAverage="0" bottom="0" percent="0" rank="0" text="" dxfId="7">
      <formula>0</formula>
    </cfRule>
  </conditionalFormatting>
  <conditionalFormatting sqref="I675">
    <cfRule type="cellIs" priority="2011" operator="lessThan" aboveAverage="0" equalAverage="0" bottom="0" percent="0" rank="0" text="" dxfId="8">
      <formula>0</formula>
    </cfRule>
  </conditionalFormatting>
  <conditionalFormatting sqref="E676">
    <cfRule type="cellIs" priority="2012" operator="greaterThan" aboveAverage="0" equalAverage="0" bottom="0" percent="0" rank="0" text="" dxfId="7">
      <formula>0</formula>
    </cfRule>
  </conditionalFormatting>
  <conditionalFormatting sqref="F676">
    <cfRule type="cellIs" priority="2013" operator="greaterThan" aboveAverage="0" equalAverage="0" bottom="0" percent="0" rank="0" text="" dxfId="7">
      <formula>0</formula>
    </cfRule>
  </conditionalFormatting>
  <conditionalFormatting sqref="I676">
    <cfRule type="cellIs" priority="2014" operator="lessThan" aboveAverage="0" equalAverage="0" bottom="0" percent="0" rank="0" text="" dxfId="8">
      <formula>0</formula>
    </cfRule>
  </conditionalFormatting>
  <conditionalFormatting sqref="E677">
    <cfRule type="cellIs" priority="2015" operator="greaterThan" aboveAverage="0" equalAverage="0" bottom="0" percent="0" rank="0" text="" dxfId="7">
      <formula>0</formula>
    </cfRule>
  </conditionalFormatting>
  <conditionalFormatting sqref="F677">
    <cfRule type="cellIs" priority="2016" operator="greaterThan" aboveAverage="0" equalAverage="0" bottom="0" percent="0" rank="0" text="" dxfId="7">
      <formula>0</formula>
    </cfRule>
  </conditionalFormatting>
  <conditionalFormatting sqref="I677">
    <cfRule type="cellIs" priority="2017" operator="lessThan" aboveAverage="0" equalAverage="0" bottom="0" percent="0" rank="0" text="" dxfId="8">
      <formula>0</formula>
    </cfRule>
  </conditionalFormatting>
  <conditionalFormatting sqref="E678">
    <cfRule type="cellIs" priority="2018" operator="greaterThan" aboveAverage="0" equalAverage="0" bottom="0" percent="0" rank="0" text="" dxfId="7">
      <formula>0</formula>
    </cfRule>
  </conditionalFormatting>
  <conditionalFormatting sqref="F678">
    <cfRule type="cellIs" priority="2019" operator="greaterThan" aboveAverage="0" equalAverage="0" bottom="0" percent="0" rank="0" text="" dxfId="7">
      <formula>0</formula>
    </cfRule>
  </conditionalFormatting>
  <conditionalFormatting sqref="I678">
    <cfRule type="cellIs" priority="2020" operator="lessThan" aboveAverage="0" equalAverage="0" bottom="0" percent="0" rank="0" text="" dxfId="8">
      <formula>0</formula>
    </cfRule>
  </conditionalFormatting>
  <conditionalFormatting sqref="E679">
    <cfRule type="cellIs" priority="2021" operator="greaterThan" aboveAverage="0" equalAverage="0" bottom="0" percent="0" rank="0" text="" dxfId="7">
      <formula>0</formula>
    </cfRule>
  </conditionalFormatting>
  <conditionalFormatting sqref="F679">
    <cfRule type="cellIs" priority="2022" operator="greaterThan" aboveAverage="0" equalAverage="0" bottom="0" percent="0" rank="0" text="" dxfId="7">
      <formula>0</formula>
    </cfRule>
  </conditionalFormatting>
  <conditionalFormatting sqref="I679">
    <cfRule type="cellIs" priority="2023" operator="lessThan" aboveAverage="0" equalAverage="0" bottom="0" percent="0" rank="0" text="" dxfId="8">
      <formula>0</formula>
    </cfRule>
  </conditionalFormatting>
  <conditionalFormatting sqref="E680">
    <cfRule type="cellIs" priority="2024" operator="greaterThan" aboveAverage="0" equalAverage="0" bottom="0" percent="0" rank="0" text="" dxfId="7">
      <formula>0</formula>
    </cfRule>
  </conditionalFormatting>
  <conditionalFormatting sqref="F680">
    <cfRule type="cellIs" priority="2025" operator="greaterThan" aboveAverage="0" equalAverage="0" bottom="0" percent="0" rank="0" text="" dxfId="7">
      <formula>0</formula>
    </cfRule>
  </conditionalFormatting>
  <conditionalFormatting sqref="I680">
    <cfRule type="cellIs" priority="2026" operator="lessThan" aboveAverage="0" equalAverage="0" bottom="0" percent="0" rank="0" text="" dxfId="8">
      <formula>0</formula>
    </cfRule>
  </conditionalFormatting>
  <conditionalFormatting sqref="E681">
    <cfRule type="cellIs" priority="2027" operator="greaterThan" aboveAverage="0" equalAverage="0" bottom="0" percent="0" rank="0" text="" dxfId="7">
      <formula>0</formula>
    </cfRule>
  </conditionalFormatting>
  <conditionalFormatting sqref="F681">
    <cfRule type="cellIs" priority="2028" operator="greaterThan" aboveAverage="0" equalAverage="0" bottom="0" percent="0" rank="0" text="" dxfId="7">
      <formula>0</formula>
    </cfRule>
  </conditionalFormatting>
  <conditionalFormatting sqref="I681">
    <cfRule type="cellIs" priority="2029" operator="lessThan" aboveAverage="0" equalAverage="0" bottom="0" percent="0" rank="0" text="" dxfId="8">
      <formula>0</formula>
    </cfRule>
  </conditionalFormatting>
  <conditionalFormatting sqref="E682">
    <cfRule type="cellIs" priority="2030" operator="greaterThan" aboveAverage="0" equalAverage="0" bottom="0" percent="0" rank="0" text="" dxfId="7">
      <formula>0</formula>
    </cfRule>
  </conditionalFormatting>
  <conditionalFormatting sqref="F682">
    <cfRule type="cellIs" priority="2031" operator="greaterThan" aboveAverage="0" equalAverage="0" bottom="0" percent="0" rank="0" text="" dxfId="7">
      <formula>0</formula>
    </cfRule>
  </conditionalFormatting>
  <conditionalFormatting sqref="I682">
    <cfRule type="cellIs" priority="2032" operator="lessThan" aboveAverage="0" equalAverage="0" bottom="0" percent="0" rank="0" text="" dxfId="8">
      <formula>0</formula>
    </cfRule>
  </conditionalFormatting>
  <conditionalFormatting sqref="E683">
    <cfRule type="cellIs" priority="2033" operator="greaterThan" aboveAverage="0" equalAverage="0" bottom="0" percent="0" rank="0" text="" dxfId="7">
      <formula>0</formula>
    </cfRule>
  </conditionalFormatting>
  <conditionalFormatting sqref="F683">
    <cfRule type="cellIs" priority="2034" operator="greaterThan" aboveAverage="0" equalAverage="0" bottom="0" percent="0" rank="0" text="" dxfId="7">
      <formula>0</formula>
    </cfRule>
  </conditionalFormatting>
  <conditionalFormatting sqref="I683">
    <cfRule type="cellIs" priority="2035" operator="lessThan" aboveAverage="0" equalAverage="0" bottom="0" percent="0" rank="0" text="" dxfId="8">
      <formula>0</formula>
    </cfRule>
  </conditionalFormatting>
  <conditionalFormatting sqref="E684">
    <cfRule type="cellIs" priority="2036" operator="greaterThan" aboveAverage="0" equalAverage="0" bottom="0" percent="0" rank="0" text="" dxfId="7">
      <formula>0</formula>
    </cfRule>
  </conditionalFormatting>
  <conditionalFormatting sqref="F684">
    <cfRule type="cellIs" priority="2037" operator="greaterThan" aboveAverage="0" equalAverage="0" bottom="0" percent="0" rank="0" text="" dxfId="7">
      <formula>0</formula>
    </cfRule>
  </conditionalFormatting>
  <conditionalFormatting sqref="I684">
    <cfRule type="cellIs" priority="2038" operator="lessThan" aboveAverage="0" equalAverage="0" bottom="0" percent="0" rank="0" text="" dxfId="8">
      <formula>0</formula>
    </cfRule>
  </conditionalFormatting>
  <conditionalFormatting sqref="E685">
    <cfRule type="cellIs" priority="2039" operator="greaterThan" aboveAverage="0" equalAverage="0" bottom="0" percent="0" rank="0" text="" dxfId="7">
      <formula>0</formula>
    </cfRule>
  </conditionalFormatting>
  <conditionalFormatting sqref="F685">
    <cfRule type="cellIs" priority="2040" operator="greaterThan" aboveAverage="0" equalAverage="0" bottom="0" percent="0" rank="0" text="" dxfId="7">
      <formula>0</formula>
    </cfRule>
  </conditionalFormatting>
  <conditionalFormatting sqref="I685">
    <cfRule type="cellIs" priority="2041" operator="lessThan" aboveAverage="0" equalAverage="0" bottom="0" percent="0" rank="0" text="" dxfId="8">
      <formula>0</formula>
    </cfRule>
  </conditionalFormatting>
  <conditionalFormatting sqref="E686">
    <cfRule type="cellIs" priority="2042" operator="greaterThan" aboveAverage="0" equalAverage="0" bottom="0" percent="0" rank="0" text="" dxfId="7">
      <formula>0</formula>
    </cfRule>
  </conditionalFormatting>
  <conditionalFormatting sqref="F686">
    <cfRule type="cellIs" priority="2043" operator="greaterThan" aboveAverage="0" equalAverage="0" bottom="0" percent="0" rank="0" text="" dxfId="7">
      <formula>0</formula>
    </cfRule>
  </conditionalFormatting>
  <conditionalFormatting sqref="I686">
    <cfRule type="cellIs" priority="2044" operator="lessThan" aboveAverage="0" equalAverage="0" bottom="0" percent="0" rank="0" text="" dxfId="8">
      <formula>0</formula>
    </cfRule>
  </conditionalFormatting>
  <conditionalFormatting sqref="E687">
    <cfRule type="cellIs" priority="2045" operator="greaterThan" aboveAverage="0" equalAverage="0" bottom="0" percent="0" rank="0" text="" dxfId="7">
      <formula>0</formula>
    </cfRule>
  </conditionalFormatting>
  <conditionalFormatting sqref="F687">
    <cfRule type="cellIs" priority="2046" operator="greaterThan" aboveAverage="0" equalAverage="0" bottom="0" percent="0" rank="0" text="" dxfId="7">
      <formula>0</formula>
    </cfRule>
  </conditionalFormatting>
  <conditionalFormatting sqref="I687">
    <cfRule type="cellIs" priority="2047" operator="lessThan" aboveAverage="0" equalAverage="0" bottom="0" percent="0" rank="0" text="" dxfId="8">
      <formula>0</formula>
    </cfRule>
  </conditionalFormatting>
  <conditionalFormatting sqref="E688">
    <cfRule type="cellIs" priority="2048" operator="greaterThan" aboveAverage="0" equalAverage="0" bottom="0" percent="0" rank="0" text="" dxfId="7">
      <formula>0</formula>
    </cfRule>
  </conditionalFormatting>
  <conditionalFormatting sqref="F688">
    <cfRule type="cellIs" priority="2049" operator="greaterThan" aboveAverage="0" equalAverage="0" bottom="0" percent="0" rank="0" text="" dxfId="7">
      <formula>0</formula>
    </cfRule>
  </conditionalFormatting>
  <conditionalFormatting sqref="I688">
    <cfRule type="cellIs" priority="2050" operator="lessThan" aboveAverage="0" equalAverage="0" bottom="0" percent="0" rank="0" text="" dxfId="8">
      <formula>0</formula>
    </cfRule>
  </conditionalFormatting>
  <conditionalFormatting sqref="E689">
    <cfRule type="cellIs" priority="2051" operator="greaterThan" aboveAverage="0" equalAverage="0" bottom="0" percent="0" rank="0" text="" dxfId="7">
      <formula>0</formula>
    </cfRule>
  </conditionalFormatting>
  <conditionalFormatting sqref="F689">
    <cfRule type="cellIs" priority="2052" operator="greaterThan" aboveAverage="0" equalAverage="0" bottom="0" percent="0" rank="0" text="" dxfId="7">
      <formula>0</formula>
    </cfRule>
  </conditionalFormatting>
  <conditionalFormatting sqref="I689">
    <cfRule type="cellIs" priority="2053" operator="lessThan" aboveAverage="0" equalAverage="0" bottom="0" percent="0" rank="0" text="" dxfId="8">
      <formula>0</formula>
    </cfRule>
  </conditionalFormatting>
  <conditionalFormatting sqref="E690">
    <cfRule type="cellIs" priority="2054" operator="greaterThan" aboveAverage="0" equalAverage="0" bottom="0" percent="0" rank="0" text="" dxfId="7">
      <formula>0</formula>
    </cfRule>
  </conditionalFormatting>
  <conditionalFormatting sqref="F690">
    <cfRule type="cellIs" priority="2055" operator="greaterThan" aboveAverage="0" equalAverage="0" bottom="0" percent="0" rank="0" text="" dxfId="7">
      <formula>0</formula>
    </cfRule>
  </conditionalFormatting>
  <conditionalFormatting sqref="I690">
    <cfRule type="cellIs" priority="2056" operator="lessThan" aboveAverage="0" equalAverage="0" bottom="0" percent="0" rank="0" text="" dxfId="8">
      <formula>0</formula>
    </cfRule>
  </conditionalFormatting>
  <conditionalFormatting sqref="E691">
    <cfRule type="cellIs" priority="2057" operator="greaterThan" aboveAverage="0" equalAverage="0" bottom="0" percent="0" rank="0" text="" dxfId="7">
      <formula>0</formula>
    </cfRule>
  </conditionalFormatting>
  <conditionalFormatting sqref="F691">
    <cfRule type="cellIs" priority="2058" operator="greaterThan" aboveAverage="0" equalAverage="0" bottom="0" percent="0" rank="0" text="" dxfId="7">
      <formula>0</formula>
    </cfRule>
  </conditionalFormatting>
  <conditionalFormatting sqref="I691">
    <cfRule type="cellIs" priority="2059" operator="lessThan" aboveAverage="0" equalAverage="0" bottom="0" percent="0" rank="0" text="" dxfId="8">
      <formula>0</formula>
    </cfRule>
  </conditionalFormatting>
  <conditionalFormatting sqref="E692">
    <cfRule type="cellIs" priority="2060" operator="greaterThan" aboveAverage="0" equalAverage="0" bottom="0" percent="0" rank="0" text="" dxfId="7">
      <formula>0</formula>
    </cfRule>
  </conditionalFormatting>
  <conditionalFormatting sqref="F692">
    <cfRule type="cellIs" priority="2061" operator="greaterThan" aboveAverage="0" equalAverage="0" bottom="0" percent="0" rank="0" text="" dxfId="7">
      <formula>0</formula>
    </cfRule>
  </conditionalFormatting>
  <conditionalFormatting sqref="I692">
    <cfRule type="cellIs" priority="2062" operator="lessThan" aboveAverage="0" equalAverage="0" bottom="0" percent="0" rank="0" text="" dxfId="8">
      <formula>0</formula>
    </cfRule>
  </conditionalFormatting>
  <conditionalFormatting sqref="E693">
    <cfRule type="cellIs" priority="2063" operator="greaterThan" aboveAverage="0" equalAverage="0" bottom="0" percent="0" rank="0" text="" dxfId="7">
      <formula>0</formula>
    </cfRule>
  </conditionalFormatting>
  <conditionalFormatting sqref="F693">
    <cfRule type="cellIs" priority="2064" operator="greaterThan" aboveAverage="0" equalAverage="0" bottom="0" percent="0" rank="0" text="" dxfId="7">
      <formula>0</formula>
    </cfRule>
  </conditionalFormatting>
  <conditionalFormatting sqref="I693">
    <cfRule type="cellIs" priority="2065" operator="lessThan" aboveAverage="0" equalAverage="0" bottom="0" percent="0" rank="0" text="" dxfId="8">
      <formula>0</formula>
    </cfRule>
  </conditionalFormatting>
  <conditionalFormatting sqref="E694">
    <cfRule type="cellIs" priority="2066" operator="greaterThan" aboveAverage="0" equalAverage="0" bottom="0" percent="0" rank="0" text="" dxfId="7">
      <formula>0</formula>
    </cfRule>
  </conditionalFormatting>
  <conditionalFormatting sqref="F694">
    <cfRule type="cellIs" priority="2067" operator="greaterThan" aboveAverage="0" equalAverage="0" bottom="0" percent="0" rank="0" text="" dxfId="7">
      <formula>0</formula>
    </cfRule>
  </conditionalFormatting>
  <conditionalFormatting sqref="I694">
    <cfRule type="cellIs" priority="2068" operator="lessThan" aboveAverage="0" equalAverage="0" bottom="0" percent="0" rank="0" text="" dxfId="8">
      <formula>0</formula>
    </cfRule>
  </conditionalFormatting>
  <conditionalFormatting sqref="E695">
    <cfRule type="cellIs" priority="2069" operator="greaterThan" aboveAverage="0" equalAverage="0" bottom="0" percent="0" rank="0" text="" dxfId="7">
      <formula>0</formula>
    </cfRule>
  </conditionalFormatting>
  <conditionalFormatting sqref="F695">
    <cfRule type="cellIs" priority="2070" operator="greaterThan" aboveAverage="0" equalAverage="0" bottom="0" percent="0" rank="0" text="" dxfId="7">
      <formula>0</formula>
    </cfRule>
  </conditionalFormatting>
  <conditionalFormatting sqref="I695">
    <cfRule type="cellIs" priority="2071" operator="lessThan" aboveAverage="0" equalAverage="0" bottom="0" percent="0" rank="0" text="" dxfId="8">
      <formula>0</formula>
    </cfRule>
  </conditionalFormatting>
  <conditionalFormatting sqref="E696">
    <cfRule type="cellIs" priority="2072" operator="greaterThan" aboveAverage="0" equalAverage="0" bottom="0" percent="0" rank="0" text="" dxfId="7">
      <formula>0</formula>
    </cfRule>
  </conditionalFormatting>
  <conditionalFormatting sqref="F696">
    <cfRule type="cellIs" priority="2073" operator="greaterThan" aboveAverage="0" equalAverage="0" bottom="0" percent="0" rank="0" text="" dxfId="7">
      <formula>0</formula>
    </cfRule>
  </conditionalFormatting>
  <conditionalFormatting sqref="I696">
    <cfRule type="cellIs" priority="2074" operator="lessThan" aboveAverage="0" equalAverage="0" bottom="0" percent="0" rank="0" text="" dxfId="8">
      <formula>0</formula>
    </cfRule>
  </conditionalFormatting>
  <conditionalFormatting sqref="E697">
    <cfRule type="cellIs" priority="2075" operator="greaterThan" aboveAverage="0" equalAverage="0" bottom="0" percent="0" rank="0" text="" dxfId="7">
      <formula>0</formula>
    </cfRule>
  </conditionalFormatting>
  <conditionalFormatting sqref="F697">
    <cfRule type="cellIs" priority="2076" operator="greaterThan" aboveAverage="0" equalAverage="0" bottom="0" percent="0" rank="0" text="" dxfId="7">
      <formula>0</formula>
    </cfRule>
  </conditionalFormatting>
  <conditionalFormatting sqref="I697">
    <cfRule type="cellIs" priority="2077" operator="lessThan" aboveAverage="0" equalAverage="0" bottom="0" percent="0" rank="0" text="" dxfId="8">
      <formula>0</formula>
    </cfRule>
  </conditionalFormatting>
  <conditionalFormatting sqref="E698">
    <cfRule type="cellIs" priority="2078" operator="greaterThan" aboveAverage="0" equalAverage="0" bottom="0" percent="0" rank="0" text="" dxfId="7">
      <formula>0</formula>
    </cfRule>
  </conditionalFormatting>
  <conditionalFormatting sqref="F698">
    <cfRule type="cellIs" priority="2079" operator="greaterThan" aboveAverage="0" equalAverage="0" bottom="0" percent="0" rank="0" text="" dxfId="7">
      <formula>0</formula>
    </cfRule>
  </conditionalFormatting>
  <conditionalFormatting sqref="I698">
    <cfRule type="cellIs" priority="2080" operator="lessThan" aboveAverage="0" equalAverage="0" bottom="0" percent="0" rank="0" text="" dxfId="8">
      <formula>0</formula>
    </cfRule>
  </conditionalFormatting>
  <conditionalFormatting sqref="E699">
    <cfRule type="cellIs" priority="2081" operator="greaterThan" aboveAverage="0" equalAverage="0" bottom="0" percent="0" rank="0" text="" dxfId="7">
      <formula>0</formula>
    </cfRule>
  </conditionalFormatting>
  <conditionalFormatting sqref="F699">
    <cfRule type="cellIs" priority="2082" operator="greaterThan" aboveAverage="0" equalAverage="0" bottom="0" percent="0" rank="0" text="" dxfId="7">
      <formula>0</formula>
    </cfRule>
  </conditionalFormatting>
  <conditionalFormatting sqref="I699">
    <cfRule type="cellIs" priority="2083" operator="lessThan" aboveAverage="0" equalAverage="0" bottom="0" percent="0" rank="0" text="" dxfId="8">
      <formula>0</formula>
    </cfRule>
  </conditionalFormatting>
  <conditionalFormatting sqref="E700">
    <cfRule type="cellIs" priority="2084" operator="greaterThan" aboveAverage="0" equalAverage="0" bottom="0" percent="0" rank="0" text="" dxfId="7">
      <formula>0</formula>
    </cfRule>
  </conditionalFormatting>
  <conditionalFormatting sqref="F700">
    <cfRule type="cellIs" priority="2085" operator="greaterThan" aboveAverage="0" equalAverage="0" bottom="0" percent="0" rank="0" text="" dxfId="7">
      <formula>0</formula>
    </cfRule>
  </conditionalFormatting>
  <conditionalFormatting sqref="I700">
    <cfRule type="cellIs" priority="2086" operator="lessThan" aboveAverage="0" equalAverage="0" bottom="0" percent="0" rank="0" text="" dxfId="8">
      <formula>0</formula>
    </cfRule>
  </conditionalFormatting>
  <conditionalFormatting sqref="E701">
    <cfRule type="cellIs" priority="2087" operator="greaterThan" aboveAverage="0" equalAverage="0" bottom="0" percent="0" rank="0" text="" dxfId="7">
      <formula>0</formula>
    </cfRule>
  </conditionalFormatting>
  <conditionalFormatting sqref="F701">
    <cfRule type="cellIs" priority="2088" operator="greaterThan" aboveAverage="0" equalAverage="0" bottom="0" percent="0" rank="0" text="" dxfId="7">
      <formula>0</formula>
    </cfRule>
  </conditionalFormatting>
  <conditionalFormatting sqref="I701">
    <cfRule type="cellIs" priority="2089" operator="lessThan" aboveAverage="0" equalAverage="0" bottom="0" percent="0" rank="0" text="" dxfId="8">
      <formula>0</formula>
    </cfRule>
  </conditionalFormatting>
  <conditionalFormatting sqref="E702">
    <cfRule type="cellIs" priority="2090" operator="greaterThan" aboveAverage="0" equalAverage="0" bottom="0" percent="0" rank="0" text="" dxfId="7">
      <formula>0</formula>
    </cfRule>
  </conditionalFormatting>
  <conditionalFormatting sqref="F702">
    <cfRule type="cellIs" priority="2091" operator="greaterThan" aboveAverage="0" equalAverage="0" bottom="0" percent="0" rank="0" text="" dxfId="7">
      <formula>0</formula>
    </cfRule>
  </conditionalFormatting>
  <conditionalFormatting sqref="I702">
    <cfRule type="cellIs" priority="2092" operator="lessThan" aboveAverage="0" equalAverage="0" bottom="0" percent="0" rank="0" text="" dxfId="8">
      <formula>0</formula>
    </cfRule>
  </conditionalFormatting>
  <conditionalFormatting sqref="E703">
    <cfRule type="cellIs" priority="2093" operator="greaterThan" aboveAverage="0" equalAverage="0" bottom="0" percent="0" rank="0" text="" dxfId="7">
      <formula>0</formula>
    </cfRule>
  </conditionalFormatting>
  <conditionalFormatting sqref="F703">
    <cfRule type="cellIs" priority="2094" operator="greaterThan" aboveAverage="0" equalAverage="0" bottom="0" percent="0" rank="0" text="" dxfId="7">
      <formula>0</formula>
    </cfRule>
  </conditionalFormatting>
  <conditionalFormatting sqref="I703">
    <cfRule type="cellIs" priority="2095" operator="lessThan" aboveAverage="0" equalAverage="0" bottom="0" percent="0" rank="0" text="" dxfId="8">
      <formula>0</formula>
    </cfRule>
  </conditionalFormatting>
  <conditionalFormatting sqref="E704">
    <cfRule type="cellIs" priority="2096" operator="greaterThan" aboveAverage="0" equalAverage="0" bottom="0" percent="0" rank="0" text="" dxfId="7">
      <formula>0</formula>
    </cfRule>
  </conditionalFormatting>
  <conditionalFormatting sqref="F704">
    <cfRule type="cellIs" priority="2097" operator="greaterThan" aboveAverage="0" equalAverage="0" bottom="0" percent="0" rank="0" text="" dxfId="7">
      <formula>0</formula>
    </cfRule>
  </conditionalFormatting>
  <conditionalFormatting sqref="I704">
    <cfRule type="cellIs" priority="2098" operator="lessThan" aboveAverage="0" equalAverage="0" bottom="0" percent="0" rank="0" text="" dxfId="8">
      <formula>0</formula>
    </cfRule>
  </conditionalFormatting>
  <conditionalFormatting sqref="E705">
    <cfRule type="cellIs" priority="2099" operator="greaterThan" aboveAverage="0" equalAverage="0" bottom="0" percent="0" rank="0" text="" dxfId="7">
      <formula>0</formula>
    </cfRule>
  </conditionalFormatting>
  <conditionalFormatting sqref="F705">
    <cfRule type="cellIs" priority="2100" operator="greaterThan" aboveAverage="0" equalAverage="0" bottom="0" percent="0" rank="0" text="" dxfId="7">
      <formula>0</formula>
    </cfRule>
  </conditionalFormatting>
  <conditionalFormatting sqref="I705">
    <cfRule type="cellIs" priority="2101" operator="lessThan" aboveAverage="0" equalAverage="0" bottom="0" percent="0" rank="0" text="" dxfId="8">
      <formula>0</formula>
    </cfRule>
  </conditionalFormatting>
  <conditionalFormatting sqref="E706">
    <cfRule type="cellIs" priority="2102" operator="greaterThan" aboveAverage="0" equalAverage="0" bottom="0" percent="0" rank="0" text="" dxfId="7">
      <formula>0</formula>
    </cfRule>
  </conditionalFormatting>
  <conditionalFormatting sqref="F706">
    <cfRule type="cellIs" priority="2103" operator="greaterThan" aboveAverage="0" equalAverage="0" bottom="0" percent="0" rank="0" text="" dxfId="7">
      <formula>0</formula>
    </cfRule>
  </conditionalFormatting>
  <conditionalFormatting sqref="I706">
    <cfRule type="cellIs" priority="2104" operator="lessThan" aboveAverage="0" equalAverage="0" bottom="0" percent="0" rank="0" text="" dxfId="8">
      <formula>0</formula>
    </cfRule>
  </conditionalFormatting>
  <conditionalFormatting sqref="E707">
    <cfRule type="cellIs" priority="2105" operator="greaterThan" aboveAverage="0" equalAverage="0" bottom="0" percent="0" rank="0" text="" dxfId="7">
      <formula>0</formula>
    </cfRule>
  </conditionalFormatting>
  <conditionalFormatting sqref="F707">
    <cfRule type="cellIs" priority="2106" operator="greaterThan" aboveAverage="0" equalAverage="0" bottom="0" percent="0" rank="0" text="" dxfId="7">
      <formula>0</formula>
    </cfRule>
  </conditionalFormatting>
  <conditionalFormatting sqref="I707">
    <cfRule type="cellIs" priority="2107" operator="lessThan" aboveAverage="0" equalAverage="0" bottom="0" percent="0" rank="0" text="" dxfId="8">
      <formula>0</formula>
    </cfRule>
  </conditionalFormatting>
  <conditionalFormatting sqref="E708">
    <cfRule type="cellIs" priority="2108" operator="greaterThan" aboveAverage="0" equalAverage="0" bottom="0" percent="0" rank="0" text="" dxfId="7">
      <formula>0</formula>
    </cfRule>
  </conditionalFormatting>
  <conditionalFormatting sqref="F708">
    <cfRule type="cellIs" priority="2109" operator="greaterThan" aboveAverage="0" equalAverage="0" bottom="0" percent="0" rank="0" text="" dxfId="7">
      <formula>0</formula>
    </cfRule>
  </conditionalFormatting>
  <conditionalFormatting sqref="I708">
    <cfRule type="cellIs" priority="2110" operator="lessThan" aboveAverage="0" equalAverage="0" bottom="0" percent="0" rank="0" text="" dxfId="8">
      <formula>0</formula>
    </cfRule>
  </conditionalFormatting>
  <conditionalFormatting sqref="E709">
    <cfRule type="cellIs" priority="2111" operator="greaterThan" aboveAverage="0" equalAverage="0" bottom="0" percent="0" rank="0" text="" dxfId="7">
      <formula>0</formula>
    </cfRule>
  </conditionalFormatting>
  <conditionalFormatting sqref="F709">
    <cfRule type="cellIs" priority="2112" operator="greaterThan" aboveAverage="0" equalAverage="0" bottom="0" percent="0" rank="0" text="" dxfId="7">
      <formula>0</formula>
    </cfRule>
  </conditionalFormatting>
  <conditionalFormatting sqref="I709">
    <cfRule type="cellIs" priority="2113" operator="lessThan" aboveAverage="0" equalAverage="0" bottom="0" percent="0" rank="0" text="" dxfId="8">
      <formula>0</formula>
    </cfRule>
  </conditionalFormatting>
  <conditionalFormatting sqref="E710">
    <cfRule type="cellIs" priority="2114" operator="greaterThan" aboveAverage="0" equalAverage="0" bottom="0" percent="0" rank="0" text="" dxfId="7">
      <formula>0</formula>
    </cfRule>
  </conditionalFormatting>
  <conditionalFormatting sqref="F710">
    <cfRule type="cellIs" priority="2115" operator="greaterThan" aboveAverage="0" equalAverage="0" bottom="0" percent="0" rank="0" text="" dxfId="7">
      <formula>0</formula>
    </cfRule>
  </conditionalFormatting>
  <conditionalFormatting sqref="I710">
    <cfRule type="cellIs" priority="2116" operator="lessThan" aboveAverage="0" equalAverage="0" bottom="0" percent="0" rank="0" text="" dxfId="8">
      <formula>0</formula>
    </cfRule>
  </conditionalFormatting>
  <conditionalFormatting sqref="E711">
    <cfRule type="cellIs" priority="2117" operator="greaterThan" aboveAverage="0" equalAverage="0" bottom="0" percent="0" rank="0" text="" dxfId="7">
      <formula>0</formula>
    </cfRule>
  </conditionalFormatting>
  <conditionalFormatting sqref="F711">
    <cfRule type="cellIs" priority="2118" operator="greaterThan" aboveAverage="0" equalAverage="0" bottom="0" percent="0" rank="0" text="" dxfId="7">
      <formula>0</formula>
    </cfRule>
  </conditionalFormatting>
  <conditionalFormatting sqref="I711">
    <cfRule type="cellIs" priority="2119" operator="lessThan" aboveAverage="0" equalAverage="0" bottom="0" percent="0" rank="0" text="" dxfId="8">
      <formula>0</formula>
    </cfRule>
  </conditionalFormatting>
  <conditionalFormatting sqref="E712">
    <cfRule type="cellIs" priority="2120" operator="greaterThan" aboveAverage="0" equalAverage="0" bottom="0" percent="0" rank="0" text="" dxfId="7">
      <formula>0</formula>
    </cfRule>
  </conditionalFormatting>
  <conditionalFormatting sqref="F712">
    <cfRule type="cellIs" priority="2121" operator="greaterThan" aboveAverage="0" equalAverage="0" bottom="0" percent="0" rank="0" text="" dxfId="7">
      <formula>0</formula>
    </cfRule>
  </conditionalFormatting>
  <conditionalFormatting sqref="I712">
    <cfRule type="cellIs" priority="2122" operator="lessThan" aboveAverage="0" equalAverage="0" bottom="0" percent="0" rank="0" text="" dxfId="8">
      <formula>0</formula>
    </cfRule>
  </conditionalFormatting>
  <conditionalFormatting sqref="E713">
    <cfRule type="cellIs" priority="2123" operator="greaterThan" aboveAverage="0" equalAverage="0" bottom="0" percent="0" rank="0" text="" dxfId="7">
      <formula>0</formula>
    </cfRule>
  </conditionalFormatting>
  <conditionalFormatting sqref="F713">
    <cfRule type="cellIs" priority="2124" operator="greaterThan" aboveAverage="0" equalAverage="0" bottom="0" percent="0" rank="0" text="" dxfId="7">
      <formula>0</formula>
    </cfRule>
  </conditionalFormatting>
  <conditionalFormatting sqref="I713">
    <cfRule type="cellIs" priority="2125" operator="lessThan" aboveAverage="0" equalAverage="0" bottom="0" percent="0" rank="0" text="" dxfId="8">
      <formula>0</formula>
    </cfRule>
  </conditionalFormatting>
  <conditionalFormatting sqref="E714">
    <cfRule type="cellIs" priority="2126" operator="greaterThan" aboveAverage="0" equalAverage="0" bottom="0" percent="0" rank="0" text="" dxfId="7">
      <formula>0</formula>
    </cfRule>
  </conditionalFormatting>
  <conditionalFormatting sqref="F714">
    <cfRule type="cellIs" priority="2127" operator="greaterThan" aboveAverage="0" equalAverage="0" bottom="0" percent="0" rank="0" text="" dxfId="7">
      <formula>0</formula>
    </cfRule>
  </conditionalFormatting>
  <conditionalFormatting sqref="I714">
    <cfRule type="cellIs" priority="2128" operator="lessThan" aboveAverage="0" equalAverage="0" bottom="0" percent="0" rank="0" text="" dxfId="8">
      <formula>0</formula>
    </cfRule>
  </conditionalFormatting>
  <conditionalFormatting sqref="E715">
    <cfRule type="cellIs" priority="2129" operator="greaterThan" aboveAverage="0" equalAverage="0" bottom="0" percent="0" rank="0" text="" dxfId="7">
      <formula>0</formula>
    </cfRule>
  </conditionalFormatting>
  <conditionalFormatting sqref="F715">
    <cfRule type="cellIs" priority="2130" operator="greaterThan" aboveAverage="0" equalAverage="0" bottom="0" percent="0" rank="0" text="" dxfId="7">
      <formula>0</formula>
    </cfRule>
  </conditionalFormatting>
  <conditionalFormatting sqref="I715">
    <cfRule type="cellIs" priority="2131" operator="lessThan" aboveAverage="0" equalAverage="0" bottom="0" percent="0" rank="0" text="" dxfId="8">
      <formula>0</formula>
    </cfRule>
  </conditionalFormatting>
  <conditionalFormatting sqref="E716">
    <cfRule type="cellIs" priority="2132" operator="greaterThan" aboveAverage="0" equalAverage="0" bottom="0" percent="0" rank="0" text="" dxfId="7">
      <formula>0</formula>
    </cfRule>
  </conditionalFormatting>
  <conditionalFormatting sqref="F716">
    <cfRule type="cellIs" priority="2133" operator="greaterThan" aboveAverage="0" equalAverage="0" bottom="0" percent="0" rank="0" text="" dxfId="7">
      <formula>0</formula>
    </cfRule>
  </conditionalFormatting>
  <conditionalFormatting sqref="I716">
    <cfRule type="cellIs" priority="2134" operator="lessThan" aboveAverage="0" equalAverage="0" bottom="0" percent="0" rank="0" text="" dxfId="8">
      <formula>0</formula>
    </cfRule>
  </conditionalFormatting>
  <conditionalFormatting sqref="E717">
    <cfRule type="cellIs" priority="2135" operator="greaterThan" aboveAverage="0" equalAverage="0" bottom="0" percent="0" rank="0" text="" dxfId="7">
      <formula>0</formula>
    </cfRule>
  </conditionalFormatting>
  <conditionalFormatting sqref="F717">
    <cfRule type="cellIs" priority="2136" operator="greaterThan" aboveAverage="0" equalAverage="0" bottom="0" percent="0" rank="0" text="" dxfId="7">
      <formula>0</formula>
    </cfRule>
  </conditionalFormatting>
  <conditionalFormatting sqref="I717">
    <cfRule type="cellIs" priority="2137" operator="lessThan" aboveAverage="0" equalAverage="0" bottom="0" percent="0" rank="0" text="" dxfId="8">
      <formula>0</formula>
    </cfRule>
  </conditionalFormatting>
  <conditionalFormatting sqref="E718">
    <cfRule type="cellIs" priority="2138" operator="greaterThan" aboveAverage="0" equalAverage="0" bottom="0" percent="0" rank="0" text="" dxfId="7">
      <formula>0</formula>
    </cfRule>
  </conditionalFormatting>
  <conditionalFormatting sqref="F718">
    <cfRule type="cellIs" priority="2139" operator="greaterThan" aboveAverage="0" equalAverage="0" bottom="0" percent="0" rank="0" text="" dxfId="7">
      <formula>0</formula>
    </cfRule>
  </conditionalFormatting>
  <conditionalFormatting sqref="I718">
    <cfRule type="cellIs" priority="2140" operator="lessThan" aboveAverage="0" equalAverage="0" bottom="0" percent="0" rank="0" text="" dxfId="8">
      <formula>0</formula>
    </cfRule>
  </conditionalFormatting>
  <conditionalFormatting sqref="E719">
    <cfRule type="cellIs" priority="2141" operator="greaterThan" aboveAverage="0" equalAverage="0" bottom="0" percent="0" rank="0" text="" dxfId="7">
      <formula>0</formula>
    </cfRule>
  </conditionalFormatting>
  <conditionalFormatting sqref="F719">
    <cfRule type="cellIs" priority="2142" operator="greaterThan" aboveAverage="0" equalAverage="0" bottom="0" percent="0" rank="0" text="" dxfId="7">
      <formula>0</formula>
    </cfRule>
  </conditionalFormatting>
  <conditionalFormatting sqref="I719">
    <cfRule type="cellIs" priority="2143" operator="lessThan" aboveAverage="0" equalAverage="0" bottom="0" percent="0" rank="0" text="" dxfId="8">
      <formula>0</formula>
    </cfRule>
  </conditionalFormatting>
  <conditionalFormatting sqref="E720">
    <cfRule type="cellIs" priority="2144" operator="greaterThan" aboveAverage="0" equalAverage="0" bottom="0" percent="0" rank="0" text="" dxfId="7">
      <formula>0</formula>
    </cfRule>
  </conditionalFormatting>
  <conditionalFormatting sqref="F720">
    <cfRule type="cellIs" priority="2145" operator="greaterThan" aboveAverage="0" equalAverage="0" bottom="0" percent="0" rank="0" text="" dxfId="7">
      <formula>0</formula>
    </cfRule>
  </conditionalFormatting>
  <conditionalFormatting sqref="I720">
    <cfRule type="cellIs" priority="2146" operator="lessThan" aboveAverage="0" equalAverage="0" bottom="0" percent="0" rank="0" text="" dxfId="8">
      <formula>0</formula>
    </cfRule>
  </conditionalFormatting>
  <conditionalFormatting sqref="E721">
    <cfRule type="cellIs" priority="2147" operator="greaterThan" aboveAverage="0" equalAverage="0" bottom="0" percent="0" rank="0" text="" dxfId="7">
      <formula>0</formula>
    </cfRule>
  </conditionalFormatting>
  <conditionalFormatting sqref="F721">
    <cfRule type="cellIs" priority="2148" operator="greaterThan" aboveAverage="0" equalAverage="0" bottom="0" percent="0" rank="0" text="" dxfId="7">
      <formula>0</formula>
    </cfRule>
  </conditionalFormatting>
  <conditionalFormatting sqref="I721">
    <cfRule type="cellIs" priority="2149" operator="lessThan" aboveAverage="0" equalAverage="0" bottom="0" percent="0" rank="0" text="" dxfId="8">
      <formula>0</formula>
    </cfRule>
  </conditionalFormatting>
  <conditionalFormatting sqref="E722">
    <cfRule type="cellIs" priority="2150" operator="greaterThan" aboveAverage="0" equalAverage="0" bottom="0" percent="0" rank="0" text="" dxfId="7">
      <formula>0</formula>
    </cfRule>
  </conditionalFormatting>
  <conditionalFormatting sqref="F722">
    <cfRule type="cellIs" priority="2151" operator="greaterThan" aboveAverage="0" equalAverage="0" bottom="0" percent="0" rank="0" text="" dxfId="7">
      <formula>0</formula>
    </cfRule>
  </conditionalFormatting>
  <conditionalFormatting sqref="I722">
    <cfRule type="cellIs" priority="2152" operator="lessThan" aboveAverage="0" equalAverage="0" bottom="0" percent="0" rank="0" text="" dxfId="8">
      <formula>0</formula>
    </cfRule>
  </conditionalFormatting>
  <conditionalFormatting sqref="E723">
    <cfRule type="cellIs" priority="2153" operator="greaterThan" aboveAverage="0" equalAverage="0" bottom="0" percent="0" rank="0" text="" dxfId="7">
      <formula>0</formula>
    </cfRule>
  </conditionalFormatting>
  <conditionalFormatting sqref="F723">
    <cfRule type="cellIs" priority="2154" operator="greaterThan" aboveAverage="0" equalAverage="0" bottom="0" percent="0" rank="0" text="" dxfId="7">
      <formula>0</formula>
    </cfRule>
  </conditionalFormatting>
  <conditionalFormatting sqref="I723">
    <cfRule type="cellIs" priority="2155" operator="lessThan" aboveAverage="0" equalAverage="0" bottom="0" percent="0" rank="0" text="" dxfId="8">
      <formula>0</formula>
    </cfRule>
  </conditionalFormatting>
  <conditionalFormatting sqref="E724">
    <cfRule type="cellIs" priority="2156" operator="greaterThan" aboveAverage="0" equalAverage="0" bottom="0" percent="0" rank="0" text="" dxfId="7">
      <formula>0</formula>
    </cfRule>
  </conditionalFormatting>
  <conditionalFormatting sqref="F724">
    <cfRule type="cellIs" priority="2157" operator="greaterThan" aboveAverage="0" equalAverage="0" bottom="0" percent="0" rank="0" text="" dxfId="7">
      <formula>0</formula>
    </cfRule>
  </conditionalFormatting>
  <conditionalFormatting sqref="I724">
    <cfRule type="cellIs" priority="2158" operator="lessThan" aboveAverage="0" equalAverage="0" bottom="0" percent="0" rank="0" text="" dxfId="8">
      <formula>0</formula>
    </cfRule>
  </conditionalFormatting>
  <conditionalFormatting sqref="E725">
    <cfRule type="cellIs" priority="2159" operator="greaterThan" aboveAverage="0" equalAverage="0" bottom="0" percent="0" rank="0" text="" dxfId="7">
      <formula>0</formula>
    </cfRule>
  </conditionalFormatting>
  <conditionalFormatting sqref="F725">
    <cfRule type="cellIs" priority="2160" operator="greaterThan" aboveAverage="0" equalAverage="0" bottom="0" percent="0" rank="0" text="" dxfId="7">
      <formula>0</formula>
    </cfRule>
  </conditionalFormatting>
  <conditionalFormatting sqref="I725">
    <cfRule type="cellIs" priority="2161" operator="lessThan" aboveAverage="0" equalAverage="0" bottom="0" percent="0" rank="0" text="" dxfId="8">
      <formula>0</formula>
    </cfRule>
  </conditionalFormatting>
  <conditionalFormatting sqref="E726">
    <cfRule type="cellIs" priority="2162" operator="greaterThan" aboveAverage="0" equalAverage="0" bottom="0" percent="0" rank="0" text="" dxfId="7">
      <formula>0</formula>
    </cfRule>
  </conditionalFormatting>
  <conditionalFormatting sqref="F726">
    <cfRule type="cellIs" priority="2163" operator="greaterThan" aboveAverage="0" equalAverage="0" bottom="0" percent="0" rank="0" text="" dxfId="7">
      <formula>0</formula>
    </cfRule>
  </conditionalFormatting>
  <conditionalFormatting sqref="I726">
    <cfRule type="cellIs" priority="2164" operator="lessThan" aboveAverage="0" equalAverage="0" bottom="0" percent="0" rank="0" text="" dxfId="8">
      <formula>0</formula>
    </cfRule>
  </conditionalFormatting>
  <conditionalFormatting sqref="E727">
    <cfRule type="cellIs" priority="2165" operator="greaterThan" aboveAverage="0" equalAverage="0" bottom="0" percent="0" rank="0" text="" dxfId="7">
      <formula>0</formula>
    </cfRule>
  </conditionalFormatting>
  <conditionalFormatting sqref="F727">
    <cfRule type="cellIs" priority="2166" operator="greaterThan" aboveAverage="0" equalAverage="0" bottom="0" percent="0" rank="0" text="" dxfId="7">
      <formula>0</formula>
    </cfRule>
  </conditionalFormatting>
  <conditionalFormatting sqref="I727">
    <cfRule type="cellIs" priority="2167" operator="lessThan" aboveAverage="0" equalAverage="0" bottom="0" percent="0" rank="0" text="" dxfId="8">
      <formula>0</formula>
    </cfRule>
  </conditionalFormatting>
  <conditionalFormatting sqref="E728">
    <cfRule type="cellIs" priority="2168" operator="greaterThan" aboveAverage="0" equalAverage="0" bottom="0" percent="0" rank="0" text="" dxfId="7">
      <formula>0</formula>
    </cfRule>
  </conditionalFormatting>
  <conditionalFormatting sqref="F728">
    <cfRule type="cellIs" priority="2169" operator="greaterThan" aboveAverage="0" equalAverage="0" bottom="0" percent="0" rank="0" text="" dxfId="7">
      <formula>0</formula>
    </cfRule>
  </conditionalFormatting>
  <conditionalFormatting sqref="I728">
    <cfRule type="cellIs" priority="2170" operator="lessThan" aboveAverage="0" equalAverage="0" bottom="0" percent="0" rank="0" text="" dxfId="8">
      <formula>0</formula>
    </cfRule>
  </conditionalFormatting>
  <conditionalFormatting sqref="E729">
    <cfRule type="cellIs" priority="2171" operator="greaterThan" aboveAverage="0" equalAverage="0" bottom="0" percent="0" rank="0" text="" dxfId="7">
      <formula>0</formula>
    </cfRule>
  </conditionalFormatting>
  <conditionalFormatting sqref="F729">
    <cfRule type="cellIs" priority="2172" operator="greaterThan" aboveAverage="0" equalAverage="0" bottom="0" percent="0" rank="0" text="" dxfId="7">
      <formula>0</formula>
    </cfRule>
  </conditionalFormatting>
  <conditionalFormatting sqref="I729">
    <cfRule type="cellIs" priority="2173" operator="lessThan" aboveAverage="0" equalAverage="0" bottom="0" percent="0" rank="0" text="" dxfId="8">
      <formula>0</formula>
    </cfRule>
  </conditionalFormatting>
  <conditionalFormatting sqref="E730">
    <cfRule type="cellIs" priority="2174" operator="greaterThan" aboveAverage="0" equalAverage="0" bottom="0" percent="0" rank="0" text="" dxfId="7">
      <formula>0</formula>
    </cfRule>
  </conditionalFormatting>
  <conditionalFormatting sqref="F730">
    <cfRule type="cellIs" priority="2175" operator="greaterThan" aboveAverage="0" equalAverage="0" bottom="0" percent="0" rank="0" text="" dxfId="7">
      <formula>0</formula>
    </cfRule>
  </conditionalFormatting>
  <conditionalFormatting sqref="I730">
    <cfRule type="cellIs" priority="2176" operator="lessThan" aboveAverage="0" equalAverage="0" bottom="0" percent="0" rank="0" text="" dxfId="8">
      <formula>0</formula>
    </cfRule>
  </conditionalFormatting>
  <conditionalFormatting sqref="E731">
    <cfRule type="cellIs" priority="2177" operator="greaterThan" aboveAverage="0" equalAverage="0" bottom="0" percent="0" rank="0" text="" dxfId="7">
      <formula>0</formula>
    </cfRule>
  </conditionalFormatting>
  <conditionalFormatting sqref="F731">
    <cfRule type="cellIs" priority="2178" operator="greaterThan" aboveAverage="0" equalAverage="0" bottom="0" percent="0" rank="0" text="" dxfId="7">
      <formula>0</formula>
    </cfRule>
  </conditionalFormatting>
  <conditionalFormatting sqref="I731">
    <cfRule type="cellIs" priority="2179" operator="lessThan" aboveAverage="0" equalAverage="0" bottom="0" percent="0" rank="0" text="" dxfId="8">
      <formula>0</formula>
    </cfRule>
  </conditionalFormatting>
  <conditionalFormatting sqref="E732">
    <cfRule type="cellIs" priority="2180" operator="greaterThan" aboveAverage="0" equalAverage="0" bottom="0" percent="0" rank="0" text="" dxfId="7">
      <formula>0</formula>
    </cfRule>
  </conditionalFormatting>
  <conditionalFormatting sqref="F732">
    <cfRule type="cellIs" priority="2181" operator="greaterThan" aboveAverage="0" equalAverage="0" bottom="0" percent="0" rank="0" text="" dxfId="7">
      <formula>0</formula>
    </cfRule>
  </conditionalFormatting>
  <conditionalFormatting sqref="I732">
    <cfRule type="cellIs" priority="2182" operator="lessThan" aboveAverage="0" equalAverage="0" bottom="0" percent="0" rank="0" text="" dxfId="8">
      <formula>0</formula>
    </cfRule>
  </conditionalFormatting>
  <conditionalFormatting sqref="E733">
    <cfRule type="cellIs" priority="2183" operator="greaterThan" aboveAverage="0" equalAverage="0" bottom="0" percent="0" rank="0" text="" dxfId="7">
      <formula>0</formula>
    </cfRule>
  </conditionalFormatting>
  <conditionalFormatting sqref="F733">
    <cfRule type="cellIs" priority="2184" operator="greaterThan" aboveAverage="0" equalAverage="0" bottom="0" percent="0" rank="0" text="" dxfId="7">
      <formula>0</formula>
    </cfRule>
  </conditionalFormatting>
  <conditionalFormatting sqref="I733">
    <cfRule type="cellIs" priority="2185" operator="lessThan" aboveAverage="0" equalAverage="0" bottom="0" percent="0" rank="0" text="" dxfId="8">
      <formula>0</formula>
    </cfRule>
  </conditionalFormatting>
  <conditionalFormatting sqref="E734">
    <cfRule type="cellIs" priority="2186" operator="greaterThan" aboveAverage="0" equalAverage="0" bottom="0" percent="0" rank="0" text="" dxfId="7">
      <formula>0</formula>
    </cfRule>
  </conditionalFormatting>
  <conditionalFormatting sqref="F734">
    <cfRule type="cellIs" priority="2187" operator="greaterThan" aboveAverage="0" equalAverage="0" bottom="0" percent="0" rank="0" text="" dxfId="7">
      <formula>0</formula>
    </cfRule>
  </conditionalFormatting>
  <conditionalFormatting sqref="I734">
    <cfRule type="cellIs" priority="2188" operator="lessThan" aboveAverage="0" equalAverage="0" bottom="0" percent="0" rank="0" text="" dxfId="8">
      <formula>0</formula>
    </cfRule>
  </conditionalFormatting>
  <conditionalFormatting sqref="E735">
    <cfRule type="cellIs" priority="2189" operator="greaterThan" aboveAverage="0" equalAverage="0" bottom="0" percent="0" rank="0" text="" dxfId="7">
      <formula>0</formula>
    </cfRule>
  </conditionalFormatting>
  <conditionalFormatting sqref="F735">
    <cfRule type="cellIs" priority="2190" operator="greaterThan" aboveAverage="0" equalAverage="0" bottom="0" percent="0" rank="0" text="" dxfId="7">
      <formula>0</formula>
    </cfRule>
  </conditionalFormatting>
  <conditionalFormatting sqref="I735">
    <cfRule type="cellIs" priority="2191" operator="lessThan" aboveAverage="0" equalAverage="0" bottom="0" percent="0" rank="0" text="" dxfId="8">
      <formula>0</formula>
    </cfRule>
  </conditionalFormatting>
  <conditionalFormatting sqref="E736">
    <cfRule type="cellIs" priority="2192" operator="greaterThan" aboveAverage="0" equalAverage="0" bottom="0" percent="0" rank="0" text="" dxfId="7">
      <formula>0</formula>
    </cfRule>
  </conditionalFormatting>
  <conditionalFormatting sqref="F736">
    <cfRule type="cellIs" priority="2193" operator="greaterThan" aboveAverage="0" equalAverage="0" bottom="0" percent="0" rank="0" text="" dxfId="7">
      <formula>0</formula>
    </cfRule>
  </conditionalFormatting>
  <conditionalFormatting sqref="I736">
    <cfRule type="cellIs" priority="2194" operator="lessThan" aboveAverage="0" equalAverage="0" bottom="0" percent="0" rank="0" text="" dxfId="8">
      <formula>0</formula>
    </cfRule>
  </conditionalFormatting>
  <conditionalFormatting sqref="E737">
    <cfRule type="cellIs" priority="2195" operator="greaterThan" aboveAverage="0" equalAverage="0" bottom="0" percent="0" rank="0" text="" dxfId="7">
      <formula>0</formula>
    </cfRule>
  </conditionalFormatting>
  <conditionalFormatting sqref="F737">
    <cfRule type="cellIs" priority="2196" operator="greaterThan" aboveAverage="0" equalAverage="0" bottom="0" percent="0" rank="0" text="" dxfId="7">
      <formula>0</formula>
    </cfRule>
  </conditionalFormatting>
  <conditionalFormatting sqref="I737">
    <cfRule type="cellIs" priority="2197" operator="lessThan" aboveAverage="0" equalAverage="0" bottom="0" percent="0" rank="0" text="" dxfId="8">
      <formula>0</formula>
    </cfRule>
  </conditionalFormatting>
  <conditionalFormatting sqref="E738">
    <cfRule type="cellIs" priority="2198" operator="greaterThan" aboveAverage="0" equalAverage="0" bottom="0" percent="0" rank="0" text="" dxfId="7">
      <formula>0</formula>
    </cfRule>
  </conditionalFormatting>
  <conditionalFormatting sqref="F738">
    <cfRule type="cellIs" priority="2199" operator="greaterThan" aboveAverage="0" equalAverage="0" bottom="0" percent="0" rank="0" text="" dxfId="7">
      <formula>0</formula>
    </cfRule>
  </conditionalFormatting>
  <conditionalFormatting sqref="I738">
    <cfRule type="cellIs" priority="2200" operator="lessThan" aboveAverage="0" equalAverage="0" bottom="0" percent="0" rank="0" text="" dxfId="8">
      <formula>0</formula>
    </cfRule>
  </conditionalFormatting>
  <conditionalFormatting sqref="E739">
    <cfRule type="cellIs" priority="2201" operator="greaterThan" aboveAverage="0" equalAverage="0" bottom="0" percent="0" rank="0" text="" dxfId="7">
      <formula>0</formula>
    </cfRule>
  </conditionalFormatting>
  <conditionalFormatting sqref="F739">
    <cfRule type="cellIs" priority="2202" operator="greaterThan" aboveAverage="0" equalAverage="0" bottom="0" percent="0" rank="0" text="" dxfId="7">
      <formula>0</formula>
    </cfRule>
  </conditionalFormatting>
  <conditionalFormatting sqref="I739">
    <cfRule type="cellIs" priority="2203" operator="lessThan" aboveAverage="0" equalAverage="0" bottom="0" percent="0" rank="0" text="" dxfId="8">
      <formula>0</formula>
    </cfRule>
  </conditionalFormatting>
  <conditionalFormatting sqref="E740">
    <cfRule type="cellIs" priority="2204" operator="greaterThan" aboveAverage="0" equalAverage="0" bottom="0" percent="0" rank="0" text="" dxfId="7">
      <formula>0</formula>
    </cfRule>
  </conditionalFormatting>
  <conditionalFormatting sqref="F740">
    <cfRule type="cellIs" priority="2205" operator="greaterThan" aboveAverage="0" equalAverage="0" bottom="0" percent="0" rank="0" text="" dxfId="7">
      <formula>0</formula>
    </cfRule>
  </conditionalFormatting>
  <conditionalFormatting sqref="I740">
    <cfRule type="cellIs" priority="2206" operator="lessThan" aboveAverage="0" equalAverage="0" bottom="0" percent="0" rank="0" text="" dxfId="8">
      <formula>0</formula>
    </cfRule>
  </conditionalFormatting>
  <conditionalFormatting sqref="E741">
    <cfRule type="cellIs" priority="2207" operator="greaterThan" aboveAverage="0" equalAverage="0" bottom="0" percent="0" rank="0" text="" dxfId="7">
      <formula>0</formula>
    </cfRule>
  </conditionalFormatting>
  <conditionalFormatting sqref="F741">
    <cfRule type="cellIs" priority="2208" operator="greaterThan" aboveAverage="0" equalAverage="0" bottom="0" percent="0" rank="0" text="" dxfId="7">
      <formula>0</formula>
    </cfRule>
  </conditionalFormatting>
  <conditionalFormatting sqref="I741">
    <cfRule type="cellIs" priority="2209" operator="lessThan" aboveAverage="0" equalAverage="0" bottom="0" percent="0" rank="0" text="" dxfId="8">
      <formula>0</formula>
    </cfRule>
  </conditionalFormatting>
  <conditionalFormatting sqref="E742">
    <cfRule type="cellIs" priority="2210" operator="greaterThan" aboveAverage="0" equalAverage="0" bottom="0" percent="0" rank="0" text="" dxfId="7">
      <formula>0</formula>
    </cfRule>
  </conditionalFormatting>
  <conditionalFormatting sqref="F742">
    <cfRule type="cellIs" priority="2211" operator="greaterThan" aboveAverage="0" equalAverage="0" bottom="0" percent="0" rank="0" text="" dxfId="7">
      <formula>0</formula>
    </cfRule>
  </conditionalFormatting>
  <conditionalFormatting sqref="I742">
    <cfRule type="cellIs" priority="2212" operator="lessThan" aboveAverage="0" equalAverage="0" bottom="0" percent="0" rank="0" text="" dxfId="8">
      <formula>0</formula>
    </cfRule>
  </conditionalFormatting>
  <conditionalFormatting sqref="E743">
    <cfRule type="cellIs" priority="2213" operator="greaterThan" aboveAverage="0" equalAverage="0" bottom="0" percent="0" rank="0" text="" dxfId="7">
      <formula>0</formula>
    </cfRule>
  </conditionalFormatting>
  <conditionalFormatting sqref="F743">
    <cfRule type="cellIs" priority="2214" operator="greaterThan" aboveAverage="0" equalAverage="0" bottom="0" percent="0" rank="0" text="" dxfId="7">
      <formula>0</formula>
    </cfRule>
  </conditionalFormatting>
  <conditionalFormatting sqref="I743">
    <cfRule type="cellIs" priority="2215" operator="lessThan" aboveAverage="0" equalAverage="0" bottom="0" percent="0" rank="0" text="" dxfId="8">
      <formula>0</formula>
    </cfRule>
  </conditionalFormatting>
  <conditionalFormatting sqref="E744">
    <cfRule type="cellIs" priority="2216" operator="greaterThan" aboveAverage="0" equalAverage="0" bottom="0" percent="0" rank="0" text="" dxfId="7">
      <formula>0</formula>
    </cfRule>
  </conditionalFormatting>
  <conditionalFormatting sqref="F744">
    <cfRule type="cellIs" priority="2217" operator="greaterThan" aboveAverage="0" equalAverage="0" bottom="0" percent="0" rank="0" text="" dxfId="7">
      <formula>0</formula>
    </cfRule>
  </conditionalFormatting>
  <conditionalFormatting sqref="I744">
    <cfRule type="cellIs" priority="2218" operator="lessThan" aboveAverage="0" equalAverage="0" bottom="0" percent="0" rank="0" text="" dxfId="8">
      <formula>0</formula>
    </cfRule>
  </conditionalFormatting>
  <conditionalFormatting sqref="E745">
    <cfRule type="cellIs" priority="2219" operator="greaterThan" aboveAverage="0" equalAverage="0" bottom="0" percent="0" rank="0" text="" dxfId="7">
      <formula>0</formula>
    </cfRule>
  </conditionalFormatting>
  <conditionalFormatting sqref="F745">
    <cfRule type="cellIs" priority="2220" operator="greaterThan" aboveAverage="0" equalAverage="0" bottom="0" percent="0" rank="0" text="" dxfId="7">
      <formula>0</formula>
    </cfRule>
  </conditionalFormatting>
  <conditionalFormatting sqref="I745">
    <cfRule type="cellIs" priority="2221" operator="lessThan" aboveAverage="0" equalAverage="0" bottom="0" percent="0" rank="0" text="" dxfId="8">
      <formula>0</formula>
    </cfRule>
  </conditionalFormatting>
  <conditionalFormatting sqref="E746">
    <cfRule type="cellIs" priority="2222" operator="greaterThan" aboveAverage="0" equalAverage="0" bottom="0" percent="0" rank="0" text="" dxfId="7">
      <formula>0</formula>
    </cfRule>
  </conditionalFormatting>
  <conditionalFormatting sqref="F746">
    <cfRule type="cellIs" priority="2223" operator="greaterThan" aboveAverage="0" equalAverage="0" bottom="0" percent="0" rank="0" text="" dxfId="7">
      <formula>0</formula>
    </cfRule>
  </conditionalFormatting>
  <conditionalFormatting sqref="I746">
    <cfRule type="cellIs" priority="2224" operator="lessThan" aboveAverage="0" equalAverage="0" bottom="0" percent="0" rank="0" text="" dxfId="8">
      <formula>0</formula>
    </cfRule>
  </conditionalFormatting>
  <conditionalFormatting sqref="E747">
    <cfRule type="cellIs" priority="2225" operator="greaterThan" aboveAverage="0" equalAverage="0" bottom="0" percent="0" rank="0" text="" dxfId="7">
      <formula>0</formula>
    </cfRule>
  </conditionalFormatting>
  <conditionalFormatting sqref="F747">
    <cfRule type="cellIs" priority="2226" operator="greaterThan" aboveAverage="0" equalAverage="0" bottom="0" percent="0" rank="0" text="" dxfId="7">
      <formula>0</formula>
    </cfRule>
  </conditionalFormatting>
  <conditionalFormatting sqref="I747">
    <cfRule type="cellIs" priority="2227" operator="lessThan" aboveAverage="0" equalAverage="0" bottom="0" percent="0" rank="0" text="" dxfId="8">
      <formula>0</formula>
    </cfRule>
  </conditionalFormatting>
  <conditionalFormatting sqref="E748">
    <cfRule type="cellIs" priority="2228" operator="greaterThan" aboveAverage="0" equalAverage="0" bottom="0" percent="0" rank="0" text="" dxfId="7">
      <formula>0</formula>
    </cfRule>
  </conditionalFormatting>
  <conditionalFormatting sqref="F748">
    <cfRule type="cellIs" priority="2229" operator="greaterThan" aboveAverage="0" equalAverage="0" bottom="0" percent="0" rank="0" text="" dxfId="7">
      <formula>0</formula>
    </cfRule>
  </conditionalFormatting>
  <conditionalFormatting sqref="I748">
    <cfRule type="cellIs" priority="2230" operator="lessThan" aboveAverage="0" equalAverage="0" bottom="0" percent="0" rank="0" text="" dxfId="8">
      <formula>0</formula>
    </cfRule>
  </conditionalFormatting>
  <conditionalFormatting sqref="E749">
    <cfRule type="cellIs" priority="2231" operator="greaterThan" aboveAverage="0" equalAverage="0" bottom="0" percent="0" rank="0" text="" dxfId="7">
      <formula>0</formula>
    </cfRule>
  </conditionalFormatting>
  <conditionalFormatting sqref="F749">
    <cfRule type="cellIs" priority="2232" operator="greaterThan" aboveAverage="0" equalAverage="0" bottom="0" percent="0" rank="0" text="" dxfId="7">
      <formula>0</formula>
    </cfRule>
  </conditionalFormatting>
  <conditionalFormatting sqref="I749">
    <cfRule type="cellIs" priority="2233" operator="lessThan" aboveAverage="0" equalAverage="0" bottom="0" percent="0" rank="0" text="" dxfId="8">
      <formula>0</formula>
    </cfRule>
  </conditionalFormatting>
  <conditionalFormatting sqref="E750">
    <cfRule type="cellIs" priority="2234" operator="greaterThan" aboveAverage="0" equalAverage="0" bottom="0" percent="0" rank="0" text="" dxfId="7">
      <formula>0</formula>
    </cfRule>
  </conditionalFormatting>
  <conditionalFormatting sqref="F750">
    <cfRule type="cellIs" priority="2235" operator="greaterThan" aboveAverage="0" equalAverage="0" bottom="0" percent="0" rank="0" text="" dxfId="7">
      <formula>0</formula>
    </cfRule>
  </conditionalFormatting>
  <conditionalFormatting sqref="I750">
    <cfRule type="cellIs" priority="2236" operator="lessThan" aboveAverage="0" equalAverage="0" bottom="0" percent="0" rank="0" text="" dxfId="8">
      <formula>0</formula>
    </cfRule>
  </conditionalFormatting>
  <conditionalFormatting sqref="E751">
    <cfRule type="cellIs" priority="2237" operator="greaterThan" aboveAverage="0" equalAverage="0" bottom="0" percent="0" rank="0" text="" dxfId="7">
      <formula>0</formula>
    </cfRule>
  </conditionalFormatting>
  <conditionalFormatting sqref="F751">
    <cfRule type="cellIs" priority="2238" operator="greaterThan" aboveAverage="0" equalAverage="0" bottom="0" percent="0" rank="0" text="" dxfId="7">
      <formula>0</formula>
    </cfRule>
  </conditionalFormatting>
  <conditionalFormatting sqref="I751">
    <cfRule type="cellIs" priority="2239" operator="lessThan" aboveAverage="0" equalAverage="0" bottom="0" percent="0" rank="0" text="" dxfId="8">
      <formula>0</formula>
    </cfRule>
  </conditionalFormatting>
  <conditionalFormatting sqref="E752">
    <cfRule type="cellIs" priority="2240" operator="greaterThan" aboveAverage="0" equalAverage="0" bottom="0" percent="0" rank="0" text="" dxfId="7">
      <formula>0</formula>
    </cfRule>
  </conditionalFormatting>
  <conditionalFormatting sqref="F752">
    <cfRule type="cellIs" priority="2241" operator="greaterThan" aboveAverage="0" equalAverage="0" bottom="0" percent="0" rank="0" text="" dxfId="7">
      <formula>0</formula>
    </cfRule>
  </conditionalFormatting>
  <conditionalFormatting sqref="I752">
    <cfRule type="cellIs" priority="2242" operator="lessThan" aboveAverage="0" equalAverage="0" bottom="0" percent="0" rank="0" text="" dxfId="8">
      <formula>0</formula>
    </cfRule>
  </conditionalFormatting>
  <conditionalFormatting sqref="E753">
    <cfRule type="cellIs" priority="2243" operator="greaterThan" aboveAverage="0" equalAverage="0" bottom="0" percent="0" rank="0" text="" dxfId="7">
      <formula>0</formula>
    </cfRule>
  </conditionalFormatting>
  <conditionalFormatting sqref="F753">
    <cfRule type="cellIs" priority="2244" operator="greaterThan" aboveAverage="0" equalAverage="0" bottom="0" percent="0" rank="0" text="" dxfId="7">
      <formula>0</formula>
    </cfRule>
  </conditionalFormatting>
  <conditionalFormatting sqref="I753">
    <cfRule type="cellIs" priority="2245" operator="lessThan" aboveAverage="0" equalAverage="0" bottom="0" percent="0" rank="0" text="" dxfId="8">
      <formula>0</formula>
    </cfRule>
  </conditionalFormatting>
  <conditionalFormatting sqref="E754">
    <cfRule type="cellIs" priority="2246" operator="greaterThan" aboveAverage="0" equalAverage="0" bottom="0" percent="0" rank="0" text="" dxfId="7">
      <formula>0</formula>
    </cfRule>
  </conditionalFormatting>
  <conditionalFormatting sqref="F754">
    <cfRule type="cellIs" priority="2247" operator="greaterThan" aboveAverage="0" equalAverage="0" bottom="0" percent="0" rank="0" text="" dxfId="7">
      <formula>0</formula>
    </cfRule>
  </conditionalFormatting>
  <conditionalFormatting sqref="I754">
    <cfRule type="cellIs" priority="2248" operator="lessThan" aboveAverage="0" equalAverage="0" bottom="0" percent="0" rank="0" text="" dxfId="8">
      <formula>0</formula>
    </cfRule>
  </conditionalFormatting>
  <conditionalFormatting sqref="E755">
    <cfRule type="cellIs" priority="2249" operator="greaterThan" aboveAverage="0" equalAverage="0" bottom="0" percent="0" rank="0" text="" dxfId="7">
      <formula>0</formula>
    </cfRule>
  </conditionalFormatting>
  <conditionalFormatting sqref="F755">
    <cfRule type="cellIs" priority="2250" operator="greaterThan" aboveAverage="0" equalAverage="0" bottom="0" percent="0" rank="0" text="" dxfId="7">
      <formula>0</formula>
    </cfRule>
  </conditionalFormatting>
  <conditionalFormatting sqref="I755">
    <cfRule type="cellIs" priority="2251" operator="lessThan" aboveAverage="0" equalAverage="0" bottom="0" percent="0" rank="0" text="" dxfId="8">
      <formula>0</formula>
    </cfRule>
  </conditionalFormatting>
  <conditionalFormatting sqref="E756">
    <cfRule type="cellIs" priority="2252" operator="greaterThan" aboveAverage="0" equalAverage="0" bottom="0" percent="0" rank="0" text="" dxfId="7">
      <formula>0</formula>
    </cfRule>
  </conditionalFormatting>
  <conditionalFormatting sqref="F756">
    <cfRule type="cellIs" priority="2253" operator="greaterThan" aboveAverage="0" equalAverage="0" bottom="0" percent="0" rank="0" text="" dxfId="7">
      <formula>0</formula>
    </cfRule>
  </conditionalFormatting>
  <conditionalFormatting sqref="I756">
    <cfRule type="cellIs" priority="2254" operator="lessThan" aboveAverage="0" equalAverage="0" bottom="0" percent="0" rank="0" text="" dxfId="8">
      <formula>0</formula>
    </cfRule>
  </conditionalFormatting>
  <conditionalFormatting sqref="E757">
    <cfRule type="cellIs" priority="2255" operator="greaterThan" aboveAverage="0" equalAverage="0" bottom="0" percent="0" rank="0" text="" dxfId="7">
      <formula>0</formula>
    </cfRule>
  </conditionalFormatting>
  <conditionalFormatting sqref="F757">
    <cfRule type="cellIs" priority="2256" operator="greaterThan" aboveAverage="0" equalAverage="0" bottom="0" percent="0" rank="0" text="" dxfId="7">
      <formula>0</formula>
    </cfRule>
  </conditionalFormatting>
  <conditionalFormatting sqref="I757">
    <cfRule type="cellIs" priority="2257" operator="lessThan" aboveAverage="0" equalAverage="0" bottom="0" percent="0" rank="0" text="" dxfId="8">
      <formula>0</formula>
    </cfRule>
  </conditionalFormatting>
  <conditionalFormatting sqref="E758">
    <cfRule type="cellIs" priority="2258" operator="greaterThan" aboveAverage="0" equalAverage="0" bottom="0" percent="0" rank="0" text="" dxfId="7">
      <formula>0</formula>
    </cfRule>
  </conditionalFormatting>
  <conditionalFormatting sqref="F758">
    <cfRule type="cellIs" priority="2259" operator="greaterThan" aboveAverage="0" equalAverage="0" bottom="0" percent="0" rank="0" text="" dxfId="7">
      <formula>0</formula>
    </cfRule>
  </conditionalFormatting>
  <conditionalFormatting sqref="I758">
    <cfRule type="cellIs" priority="2260" operator="lessThan" aboveAverage="0" equalAverage="0" bottom="0" percent="0" rank="0" text="" dxfId="8">
      <formula>0</formula>
    </cfRule>
  </conditionalFormatting>
  <conditionalFormatting sqref="E759">
    <cfRule type="cellIs" priority="2261" operator="greaterThan" aboveAverage="0" equalAverage="0" bottom="0" percent="0" rank="0" text="" dxfId="7">
      <formula>0</formula>
    </cfRule>
  </conditionalFormatting>
  <conditionalFormatting sqref="F759">
    <cfRule type="cellIs" priority="2262" operator="greaterThan" aboveAverage="0" equalAverage="0" bottom="0" percent="0" rank="0" text="" dxfId="7">
      <formula>0</formula>
    </cfRule>
  </conditionalFormatting>
  <conditionalFormatting sqref="I759">
    <cfRule type="cellIs" priority="2263" operator="lessThan" aboveAverage="0" equalAverage="0" bottom="0" percent="0" rank="0" text="" dxfId="8">
      <formula>0</formula>
    </cfRule>
  </conditionalFormatting>
  <conditionalFormatting sqref="E760">
    <cfRule type="cellIs" priority="2264" operator="greaterThan" aboveAverage="0" equalAverage="0" bottom="0" percent="0" rank="0" text="" dxfId="7">
      <formula>0</formula>
    </cfRule>
  </conditionalFormatting>
  <conditionalFormatting sqref="F760">
    <cfRule type="cellIs" priority="2265" operator="greaterThan" aboveAverage="0" equalAverage="0" bottom="0" percent="0" rank="0" text="" dxfId="7">
      <formula>0</formula>
    </cfRule>
  </conditionalFormatting>
  <conditionalFormatting sqref="I760">
    <cfRule type="cellIs" priority="2266" operator="lessThan" aboveAverage="0" equalAverage="0" bottom="0" percent="0" rank="0" text="" dxfId="8">
      <formula>0</formula>
    </cfRule>
  </conditionalFormatting>
  <conditionalFormatting sqref="E761">
    <cfRule type="cellIs" priority="2267" operator="greaterThan" aboveAverage="0" equalAverage="0" bottom="0" percent="0" rank="0" text="" dxfId="7">
      <formula>0</formula>
    </cfRule>
  </conditionalFormatting>
  <conditionalFormatting sqref="F761">
    <cfRule type="cellIs" priority="2268" operator="greaterThan" aboveAverage="0" equalAverage="0" bottom="0" percent="0" rank="0" text="" dxfId="7">
      <formula>0</formula>
    </cfRule>
  </conditionalFormatting>
  <conditionalFormatting sqref="I761">
    <cfRule type="cellIs" priority="2269" operator="lessThan" aboveAverage="0" equalAverage="0" bottom="0" percent="0" rank="0" text="" dxfId="8">
      <formula>0</formula>
    </cfRule>
  </conditionalFormatting>
  <conditionalFormatting sqref="E762">
    <cfRule type="cellIs" priority="2270" operator="greaterThan" aboveAverage="0" equalAverage="0" bottom="0" percent="0" rank="0" text="" dxfId="7">
      <formula>0</formula>
    </cfRule>
  </conditionalFormatting>
  <conditionalFormatting sqref="F762">
    <cfRule type="cellIs" priority="2271" operator="greaterThan" aboveAverage="0" equalAverage="0" bottom="0" percent="0" rank="0" text="" dxfId="7">
      <formula>0</formula>
    </cfRule>
  </conditionalFormatting>
  <conditionalFormatting sqref="I762">
    <cfRule type="cellIs" priority="2272" operator="lessThan" aboveAverage="0" equalAverage="0" bottom="0" percent="0" rank="0" text="" dxfId="8">
      <formula>0</formula>
    </cfRule>
  </conditionalFormatting>
  <conditionalFormatting sqref="E763">
    <cfRule type="cellIs" priority="2273" operator="greaterThan" aboveAverage="0" equalAverage="0" bottom="0" percent="0" rank="0" text="" dxfId="7">
      <formula>0</formula>
    </cfRule>
  </conditionalFormatting>
  <conditionalFormatting sqref="F763">
    <cfRule type="cellIs" priority="2274" operator="greaterThan" aboveAverage="0" equalAverage="0" bottom="0" percent="0" rank="0" text="" dxfId="7">
      <formula>0</formula>
    </cfRule>
  </conditionalFormatting>
  <conditionalFormatting sqref="I763">
    <cfRule type="cellIs" priority="2275" operator="lessThan" aboveAverage="0" equalAverage="0" bottom="0" percent="0" rank="0" text="" dxfId="8">
      <formula>0</formula>
    </cfRule>
  </conditionalFormatting>
  <conditionalFormatting sqref="E764">
    <cfRule type="cellIs" priority="2276" operator="greaterThan" aboveAverage="0" equalAverage="0" bottom="0" percent="0" rank="0" text="" dxfId="7">
      <formula>0</formula>
    </cfRule>
  </conditionalFormatting>
  <conditionalFormatting sqref="F764">
    <cfRule type="cellIs" priority="2277" operator="greaterThan" aboveAverage="0" equalAverage="0" bottom="0" percent="0" rank="0" text="" dxfId="7">
      <formula>0</formula>
    </cfRule>
  </conditionalFormatting>
  <conditionalFormatting sqref="I764">
    <cfRule type="cellIs" priority="2278" operator="lessThan" aboveAverage="0" equalAverage="0" bottom="0" percent="0" rank="0" text="" dxfId="8">
      <formula>0</formula>
    </cfRule>
  </conditionalFormatting>
  <conditionalFormatting sqref="E765">
    <cfRule type="cellIs" priority="2279" operator="greaterThan" aboveAverage="0" equalAverage="0" bottom="0" percent="0" rank="0" text="" dxfId="7">
      <formula>0</formula>
    </cfRule>
  </conditionalFormatting>
  <conditionalFormatting sqref="F765">
    <cfRule type="cellIs" priority="2280" operator="greaterThan" aboveAverage="0" equalAverage="0" bottom="0" percent="0" rank="0" text="" dxfId="7">
      <formula>0</formula>
    </cfRule>
  </conditionalFormatting>
  <conditionalFormatting sqref="I765">
    <cfRule type="cellIs" priority="2281" operator="lessThan" aboveAverage="0" equalAverage="0" bottom="0" percent="0" rank="0" text="" dxfId="8">
      <formula>0</formula>
    </cfRule>
  </conditionalFormatting>
  <conditionalFormatting sqref="E766">
    <cfRule type="cellIs" priority="2282" operator="greaterThan" aboveAverage="0" equalAverage="0" bottom="0" percent="0" rank="0" text="" dxfId="7">
      <formula>0</formula>
    </cfRule>
  </conditionalFormatting>
  <conditionalFormatting sqref="F766">
    <cfRule type="cellIs" priority="2283" operator="greaterThan" aboveAverage="0" equalAverage="0" bottom="0" percent="0" rank="0" text="" dxfId="7">
      <formula>0</formula>
    </cfRule>
  </conditionalFormatting>
  <conditionalFormatting sqref="I766">
    <cfRule type="cellIs" priority="2284" operator="lessThan" aboveAverage="0" equalAverage="0" bottom="0" percent="0" rank="0" text="" dxfId="8">
      <formula>0</formula>
    </cfRule>
  </conditionalFormatting>
  <conditionalFormatting sqref="E767">
    <cfRule type="cellIs" priority="2285" operator="greaterThan" aboveAverage="0" equalAverage="0" bottom="0" percent="0" rank="0" text="" dxfId="7">
      <formula>0</formula>
    </cfRule>
  </conditionalFormatting>
  <conditionalFormatting sqref="F767">
    <cfRule type="cellIs" priority="2286" operator="greaterThan" aboveAverage="0" equalAverage="0" bottom="0" percent="0" rank="0" text="" dxfId="7">
      <formula>0</formula>
    </cfRule>
  </conditionalFormatting>
  <conditionalFormatting sqref="I767">
    <cfRule type="cellIs" priority="2287" operator="lessThan" aboveAverage="0" equalAverage="0" bottom="0" percent="0" rank="0" text="" dxfId="8">
      <formula>0</formula>
    </cfRule>
  </conditionalFormatting>
  <conditionalFormatting sqref="E768">
    <cfRule type="cellIs" priority="2288" operator="greaterThan" aboveAverage="0" equalAverage="0" bottom="0" percent="0" rank="0" text="" dxfId="7">
      <formula>0</formula>
    </cfRule>
  </conditionalFormatting>
  <conditionalFormatting sqref="F768">
    <cfRule type="cellIs" priority="2289" operator="greaterThan" aboveAverage="0" equalAverage="0" bottom="0" percent="0" rank="0" text="" dxfId="7">
      <formula>0</formula>
    </cfRule>
  </conditionalFormatting>
  <conditionalFormatting sqref="I768">
    <cfRule type="cellIs" priority="2290" operator="lessThan" aboveAverage="0" equalAverage="0" bottom="0" percent="0" rank="0" text="" dxfId="8">
      <formula>0</formula>
    </cfRule>
  </conditionalFormatting>
  <conditionalFormatting sqref="E769">
    <cfRule type="cellIs" priority="2291" operator="greaterThan" aboveAverage="0" equalAverage="0" bottom="0" percent="0" rank="0" text="" dxfId="7">
      <formula>0</formula>
    </cfRule>
  </conditionalFormatting>
  <conditionalFormatting sqref="F769">
    <cfRule type="cellIs" priority="2292" operator="greaterThan" aboveAverage="0" equalAverage="0" bottom="0" percent="0" rank="0" text="" dxfId="7">
      <formula>0</formula>
    </cfRule>
  </conditionalFormatting>
  <conditionalFormatting sqref="I769">
    <cfRule type="cellIs" priority="2293" operator="lessThan" aboveAverage="0" equalAverage="0" bottom="0" percent="0" rank="0" text="" dxfId="8">
      <formula>0</formula>
    </cfRule>
  </conditionalFormatting>
  <conditionalFormatting sqref="E770">
    <cfRule type="cellIs" priority="2294" operator="greaterThan" aboveAverage="0" equalAverage="0" bottom="0" percent="0" rank="0" text="" dxfId="7">
      <formula>0</formula>
    </cfRule>
  </conditionalFormatting>
  <conditionalFormatting sqref="F770">
    <cfRule type="cellIs" priority="2295" operator="greaterThan" aboveAverage="0" equalAverage="0" bottom="0" percent="0" rank="0" text="" dxfId="7">
      <formula>0</formula>
    </cfRule>
  </conditionalFormatting>
  <conditionalFormatting sqref="I770">
    <cfRule type="cellIs" priority="2296" operator="lessThan" aboveAverage="0" equalAverage="0" bottom="0" percent="0" rank="0" text="" dxfId="8">
      <formula>0</formula>
    </cfRule>
  </conditionalFormatting>
  <conditionalFormatting sqref="E771">
    <cfRule type="cellIs" priority="2297" operator="greaterThan" aboveAverage="0" equalAverage="0" bottom="0" percent="0" rank="0" text="" dxfId="7">
      <formula>0</formula>
    </cfRule>
  </conditionalFormatting>
  <conditionalFormatting sqref="F771">
    <cfRule type="cellIs" priority="2298" operator="greaterThan" aboveAverage="0" equalAverage="0" bottom="0" percent="0" rank="0" text="" dxfId="7">
      <formula>0</formula>
    </cfRule>
  </conditionalFormatting>
  <conditionalFormatting sqref="I771">
    <cfRule type="cellIs" priority="2299" operator="lessThan" aboveAverage="0" equalAverage="0" bottom="0" percent="0" rank="0" text="" dxfId="8">
      <formula>0</formula>
    </cfRule>
  </conditionalFormatting>
  <conditionalFormatting sqref="E772">
    <cfRule type="cellIs" priority="2300" operator="greaterThan" aboveAverage="0" equalAverage="0" bottom="0" percent="0" rank="0" text="" dxfId="7">
      <formula>0</formula>
    </cfRule>
  </conditionalFormatting>
  <conditionalFormatting sqref="F772">
    <cfRule type="cellIs" priority="2301" operator="greaterThan" aboveAverage="0" equalAverage="0" bottom="0" percent="0" rank="0" text="" dxfId="7">
      <formula>0</formula>
    </cfRule>
  </conditionalFormatting>
  <conditionalFormatting sqref="I772">
    <cfRule type="cellIs" priority="2302" operator="lessThan" aboveAverage="0" equalAverage="0" bottom="0" percent="0" rank="0" text="" dxfId="8">
      <formula>0</formula>
    </cfRule>
  </conditionalFormatting>
  <conditionalFormatting sqref="E773">
    <cfRule type="cellIs" priority="2303" operator="greaterThan" aboveAverage="0" equalAverage="0" bottom="0" percent="0" rank="0" text="" dxfId="7">
      <formula>0</formula>
    </cfRule>
  </conditionalFormatting>
  <conditionalFormatting sqref="F773">
    <cfRule type="cellIs" priority="2304" operator="greaterThan" aboveAverage="0" equalAverage="0" bottom="0" percent="0" rank="0" text="" dxfId="7">
      <formula>0</formula>
    </cfRule>
  </conditionalFormatting>
  <conditionalFormatting sqref="I773">
    <cfRule type="cellIs" priority="2305" operator="lessThan" aboveAverage="0" equalAverage="0" bottom="0" percent="0" rank="0" text="" dxfId="8">
      <formula>0</formula>
    </cfRule>
  </conditionalFormatting>
  <conditionalFormatting sqref="E774">
    <cfRule type="cellIs" priority="2306" operator="greaterThan" aboveAverage="0" equalAverage="0" bottom="0" percent="0" rank="0" text="" dxfId="7">
      <formula>0</formula>
    </cfRule>
  </conditionalFormatting>
  <conditionalFormatting sqref="F774">
    <cfRule type="cellIs" priority="2307" operator="greaterThan" aboveAverage="0" equalAverage="0" bottom="0" percent="0" rank="0" text="" dxfId="7">
      <formula>0</formula>
    </cfRule>
  </conditionalFormatting>
  <conditionalFormatting sqref="I774">
    <cfRule type="cellIs" priority="2308" operator="lessThan" aboveAverage="0" equalAverage="0" bottom="0" percent="0" rank="0" text="" dxfId="8">
      <formula>0</formula>
    </cfRule>
  </conditionalFormatting>
  <conditionalFormatting sqref="E775">
    <cfRule type="cellIs" priority="2309" operator="greaterThan" aboveAverage="0" equalAverage="0" bottom="0" percent="0" rank="0" text="" dxfId="7">
      <formula>0</formula>
    </cfRule>
  </conditionalFormatting>
  <conditionalFormatting sqref="F775">
    <cfRule type="cellIs" priority="2310" operator="greaterThan" aboveAverage="0" equalAverage="0" bottom="0" percent="0" rank="0" text="" dxfId="7">
      <formula>0</formula>
    </cfRule>
  </conditionalFormatting>
  <conditionalFormatting sqref="I775">
    <cfRule type="cellIs" priority="2311" operator="lessThan" aboveAverage="0" equalAverage="0" bottom="0" percent="0" rank="0" text="" dxfId="8">
      <formula>0</formula>
    </cfRule>
  </conditionalFormatting>
  <conditionalFormatting sqref="E776">
    <cfRule type="cellIs" priority="2312" operator="greaterThan" aboveAverage="0" equalAverage="0" bottom="0" percent="0" rank="0" text="" dxfId="7">
      <formula>0</formula>
    </cfRule>
  </conditionalFormatting>
  <conditionalFormatting sqref="F776">
    <cfRule type="cellIs" priority="2313" operator="greaterThan" aboveAverage="0" equalAverage="0" bottom="0" percent="0" rank="0" text="" dxfId="7">
      <formula>0</formula>
    </cfRule>
  </conditionalFormatting>
  <conditionalFormatting sqref="I776">
    <cfRule type="cellIs" priority="2314" operator="lessThan" aboveAverage="0" equalAverage="0" bottom="0" percent="0" rank="0" text="" dxfId="8">
      <formula>0</formula>
    </cfRule>
  </conditionalFormatting>
  <conditionalFormatting sqref="E777">
    <cfRule type="cellIs" priority="2315" operator="greaterThan" aboveAverage="0" equalAverage="0" bottom="0" percent="0" rank="0" text="" dxfId="7">
      <formula>0</formula>
    </cfRule>
  </conditionalFormatting>
  <conditionalFormatting sqref="F777">
    <cfRule type="cellIs" priority="2316" operator="greaterThan" aboveAverage="0" equalAverage="0" bottom="0" percent="0" rank="0" text="" dxfId="7">
      <formula>0</formula>
    </cfRule>
  </conditionalFormatting>
  <conditionalFormatting sqref="I777">
    <cfRule type="cellIs" priority="2317" operator="lessThan" aboveAverage="0" equalAverage="0" bottom="0" percent="0" rank="0" text="" dxfId="8">
      <formula>0</formula>
    </cfRule>
  </conditionalFormatting>
  <conditionalFormatting sqref="E778">
    <cfRule type="cellIs" priority="2318" operator="greaterThan" aboveAverage="0" equalAverage="0" bottom="0" percent="0" rank="0" text="" dxfId="7">
      <formula>0</formula>
    </cfRule>
  </conditionalFormatting>
  <conditionalFormatting sqref="F778">
    <cfRule type="cellIs" priority="2319" operator="greaterThan" aboveAverage="0" equalAverage="0" bottom="0" percent="0" rank="0" text="" dxfId="7">
      <formula>0</formula>
    </cfRule>
  </conditionalFormatting>
  <conditionalFormatting sqref="I778">
    <cfRule type="cellIs" priority="2320" operator="lessThan" aboveAverage="0" equalAverage="0" bottom="0" percent="0" rank="0" text="" dxfId="8">
      <formula>0</formula>
    </cfRule>
  </conditionalFormatting>
  <conditionalFormatting sqref="E779">
    <cfRule type="cellIs" priority="2321" operator="greaterThan" aboveAverage="0" equalAverage="0" bottom="0" percent="0" rank="0" text="" dxfId="7">
      <formula>0</formula>
    </cfRule>
  </conditionalFormatting>
  <conditionalFormatting sqref="F779">
    <cfRule type="cellIs" priority="2322" operator="greaterThan" aboveAverage="0" equalAverage="0" bottom="0" percent="0" rank="0" text="" dxfId="7">
      <formula>0</formula>
    </cfRule>
  </conditionalFormatting>
  <conditionalFormatting sqref="I779">
    <cfRule type="cellIs" priority="2323" operator="lessThan" aboveAverage="0" equalAverage="0" bottom="0" percent="0" rank="0" text="" dxfId="8">
      <formula>0</formula>
    </cfRule>
  </conditionalFormatting>
  <conditionalFormatting sqref="E780">
    <cfRule type="cellIs" priority="2324" operator="greaterThan" aboveAverage="0" equalAverage="0" bottom="0" percent="0" rank="0" text="" dxfId="7">
      <formula>0</formula>
    </cfRule>
  </conditionalFormatting>
  <conditionalFormatting sqref="F780">
    <cfRule type="cellIs" priority="2325" operator="greaterThan" aboveAverage="0" equalAverage="0" bottom="0" percent="0" rank="0" text="" dxfId="7">
      <formula>0</formula>
    </cfRule>
  </conditionalFormatting>
  <conditionalFormatting sqref="I780">
    <cfRule type="cellIs" priority="2326" operator="lessThan" aboveAverage="0" equalAverage="0" bottom="0" percent="0" rank="0" text="" dxfId="8">
      <formula>0</formula>
    </cfRule>
  </conditionalFormatting>
  <conditionalFormatting sqref="E781">
    <cfRule type="cellIs" priority="2327" operator="greaterThan" aboveAverage="0" equalAverage="0" bottom="0" percent="0" rank="0" text="" dxfId="7">
      <formula>0</formula>
    </cfRule>
  </conditionalFormatting>
  <conditionalFormatting sqref="F781">
    <cfRule type="cellIs" priority="2328" operator="greaterThan" aboveAverage="0" equalAverage="0" bottom="0" percent="0" rank="0" text="" dxfId="7">
      <formula>0</formula>
    </cfRule>
  </conditionalFormatting>
  <conditionalFormatting sqref="I781">
    <cfRule type="cellIs" priority="2329" operator="lessThan" aboveAverage="0" equalAverage="0" bottom="0" percent="0" rank="0" text="" dxfId="8">
      <formula>0</formula>
    </cfRule>
  </conditionalFormatting>
  <conditionalFormatting sqref="E782">
    <cfRule type="cellIs" priority="2330" operator="greaterThan" aboveAverage="0" equalAverage="0" bottom="0" percent="0" rank="0" text="" dxfId="7">
      <formula>0</formula>
    </cfRule>
  </conditionalFormatting>
  <conditionalFormatting sqref="F782">
    <cfRule type="cellIs" priority="2331" operator="greaterThan" aboveAverage="0" equalAverage="0" bottom="0" percent="0" rank="0" text="" dxfId="7">
      <formula>0</formula>
    </cfRule>
  </conditionalFormatting>
  <conditionalFormatting sqref="I782">
    <cfRule type="cellIs" priority="2332" operator="lessThan" aboveAverage="0" equalAverage="0" bottom="0" percent="0" rank="0" text="" dxfId="8">
      <formula>0</formula>
    </cfRule>
  </conditionalFormatting>
  <conditionalFormatting sqref="E783">
    <cfRule type="cellIs" priority="2333" operator="greaterThan" aboveAverage="0" equalAverage="0" bottom="0" percent="0" rank="0" text="" dxfId="7">
      <formula>0</formula>
    </cfRule>
  </conditionalFormatting>
  <conditionalFormatting sqref="F783">
    <cfRule type="cellIs" priority="2334" operator="greaterThan" aboveAverage="0" equalAverage="0" bottom="0" percent="0" rank="0" text="" dxfId="7">
      <formula>0</formula>
    </cfRule>
  </conditionalFormatting>
  <conditionalFormatting sqref="I783">
    <cfRule type="cellIs" priority="2335" operator="lessThan" aboveAverage="0" equalAverage="0" bottom="0" percent="0" rank="0" text="" dxfId="8">
      <formula>0</formula>
    </cfRule>
  </conditionalFormatting>
  <conditionalFormatting sqref="E784">
    <cfRule type="cellIs" priority="2336" operator="greaterThan" aboveAverage="0" equalAverage="0" bottom="0" percent="0" rank="0" text="" dxfId="7">
      <formula>0</formula>
    </cfRule>
  </conditionalFormatting>
  <conditionalFormatting sqref="F784">
    <cfRule type="cellIs" priority="2337" operator="greaterThan" aboveAverage="0" equalAverage="0" bottom="0" percent="0" rank="0" text="" dxfId="7">
      <formula>0</formula>
    </cfRule>
  </conditionalFormatting>
  <conditionalFormatting sqref="I784">
    <cfRule type="cellIs" priority="2338" operator="lessThan" aboveAverage="0" equalAverage="0" bottom="0" percent="0" rank="0" text="" dxfId="8">
      <formula>0</formula>
    </cfRule>
  </conditionalFormatting>
  <conditionalFormatting sqref="E785">
    <cfRule type="cellIs" priority="2339" operator="greaterThan" aboveAverage="0" equalAverage="0" bottom="0" percent="0" rank="0" text="" dxfId="7">
      <formula>0</formula>
    </cfRule>
  </conditionalFormatting>
  <conditionalFormatting sqref="F785">
    <cfRule type="cellIs" priority="2340" operator="greaterThan" aboveAverage="0" equalAverage="0" bottom="0" percent="0" rank="0" text="" dxfId="7">
      <formula>0</formula>
    </cfRule>
  </conditionalFormatting>
  <conditionalFormatting sqref="I785">
    <cfRule type="cellIs" priority="2341" operator="lessThan" aboveAverage="0" equalAverage="0" bottom="0" percent="0" rank="0" text="" dxfId="8">
      <formula>0</formula>
    </cfRule>
  </conditionalFormatting>
  <conditionalFormatting sqref="E786">
    <cfRule type="cellIs" priority="2342" operator="greaterThan" aboveAverage="0" equalAverage="0" bottom="0" percent="0" rank="0" text="" dxfId="7">
      <formula>0</formula>
    </cfRule>
  </conditionalFormatting>
  <conditionalFormatting sqref="F786">
    <cfRule type="cellIs" priority="2343" operator="greaterThan" aboveAverage="0" equalAverage="0" bottom="0" percent="0" rank="0" text="" dxfId="7">
      <formula>0</formula>
    </cfRule>
  </conditionalFormatting>
  <conditionalFormatting sqref="I786">
    <cfRule type="cellIs" priority="2344" operator="lessThan" aboveAverage="0" equalAverage="0" bottom="0" percent="0" rank="0" text="" dxfId="8">
      <formula>0</formula>
    </cfRule>
  </conditionalFormatting>
  <conditionalFormatting sqref="E787">
    <cfRule type="cellIs" priority="2345" operator="greaterThan" aboveAverage="0" equalAverage="0" bottom="0" percent="0" rank="0" text="" dxfId="7">
      <formula>0</formula>
    </cfRule>
  </conditionalFormatting>
  <conditionalFormatting sqref="F787">
    <cfRule type="cellIs" priority="2346" operator="greaterThan" aboveAverage="0" equalAverage="0" bottom="0" percent="0" rank="0" text="" dxfId="7">
      <formula>0</formula>
    </cfRule>
  </conditionalFormatting>
  <conditionalFormatting sqref="I787">
    <cfRule type="cellIs" priority="2347" operator="lessThan" aboveAverage="0" equalAverage="0" bottom="0" percent="0" rank="0" text="" dxfId="8">
      <formula>0</formula>
    </cfRule>
  </conditionalFormatting>
  <conditionalFormatting sqref="E788">
    <cfRule type="cellIs" priority="2348" operator="greaterThan" aboveAverage="0" equalAverage="0" bottom="0" percent="0" rank="0" text="" dxfId="7">
      <formula>0</formula>
    </cfRule>
  </conditionalFormatting>
  <conditionalFormatting sqref="F788">
    <cfRule type="cellIs" priority="2349" operator="greaterThan" aboveAverage="0" equalAverage="0" bottom="0" percent="0" rank="0" text="" dxfId="7">
      <formula>0</formula>
    </cfRule>
  </conditionalFormatting>
  <conditionalFormatting sqref="I788">
    <cfRule type="cellIs" priority="2350" operator="lessThan" aboveAverage="0" equalAverage="0" bottom="0" percent="0" rank="0" text="" dxfId="8">
      <formula>0</formula>
    </cfRule>
  </conditionalFormatting>
  <conditionalFormatting sqref="E789">
    <cfRule type="cellIs" priority="2351" operator="greaterThan" aboveAverage="0" equalAverage="0" bottom="0" percent="0" rank="0" text="" dxfId="7">
      <formula>0</formula>
    </cfRule>
  </conditionalFormatting>
  <conditionalFormatting sqref="F789">
    <cfRule type="cellIs" priority="2352" operator="greaterThan" aboveAverage="0" equalAverage="0" bottom="0" percent="0" rank="0" text="" dxfId="7">
      <formula>0</formula>
    </cfRule>
  </conditionalFormatting>
  <conditionalFormatting sqref="I789">
    <cfRule type="cellIs" priority="2353" operator="lessThan" aboveAverage="0" equalAverage="0" bottom="0" percent="0" rank="0" text="" dxfId="8">
      <formula>0</formula>
    </cfRule>
  </conditionalFormatting>
  <conditionalFormatting sqref="E790">
    <cfRule type="cellIs" priority="2354" operator="greaterThan" aboveAverage="0" equalAverage="0" bottom="0" percent="0" rank="0" text="" dxfId="7">
      <formula>0</formula>
    </cfRule>
  </conditionalFormatting>
  <conditionalFormatting sqref="F790">
    <cfRule type="cellIs" priority="2355" operator="greaterThan" aboveAverage="0" equalAverage="0" bottom="0" percent="0" rank="0" text="" dxfId="7">
      <formula>0</formula>
    </cfRule>
  </conditionalFormatting>
  <conditionalFormatting sqref="I790">
    <cfRule type="cellIs" priority="2356" operator="lessThan" aboveAverage="0" equalAverage="0" bottom="0" percent="0" rank="0" text="" dxfId="8">
      <formula>0</formula>
    </cfRule>
  </conditionalFormatting>
  <conditionalFormatting sqref="E791">
    <cfRule type="cellIs" priority="2357" operator="greaterThan" aboveAverage="0" equalAverage="0" bottom="0" percent="0" rank="0" text="" dxfId="7">
      <formula>0</formula>
    </cfRule>
  </conditionalFormatting>
  <conditionalFormatting sqref="F791">
    <cfRule type="cellIs" priority="2358" operator="greaterThan" aboveAverage="0" equalAverage="0" bottom="0" percent="0" rank="0" text="" dxfId="7">
      <formula>0</formula>
    </cfRule>
  </conditionalFormatting>
  <conditionalFormatting sqref="I791">
    <cfRule type="cellIs" priority="2359" operator="lessThan" aboveAverage="0" equalAverage="0" bottom="0" percent="0" rank="0" text="" dxfId="8">
      <formula>0</formula>
    </cfRule>
  </conditionalFormatting>
  <conditionalFormatting sqref="E792">
    <cfRule type="cellIs" priority="2360" operator="greaterThan" aboveAverage="0" equalAverage="0" bottom="0" percent="0" rank="0" text="" dxfId="7">
      <formula>0</formula>
    </cfRule>
  </conditionalFormatting>
  <conditionalFormatting sqref="F792">
    <cfRule type="cellIs" priority="2361" operator="greaterThan" aboveAverage="0" equalAverage="0" bottom="0" percent="0" rank="0" text="" dxfId="7">
      <formula>0</formula>
    </cfRule>
  </conditionalFormatting>
  <conditionalFormatting sqref="I792">
    <cfRule type="cellIs" priority="2362" operator="lessThan" aboveAverage="0" equalAverage="0" bottom="0" percent="0" rank="0" text="" dxfId="8">
      <formula>0</formula>
    </cfRule>
  </conditionalFormatting>
  <conditionalFormatting sqref="E793">
    <cfRule type="cellIs" priority="2363" operator="greaterThan" aboveAverage="0" equalAverage="0" bottom="0" percent="0" rank="0" text="" dxfId="7">
      <formula>0</formula>
    </cfRule>
  </conditionalFormatting>
  <conditionalFormatting sqref="F793">
    <cfRule type="cellIs" priority="2364" operator="greaterThan" aboveAverage="0" equalAverage="0" bottom="0" percent="0" rank="0" text="" dxfId="7">
      <formula>0</formula>
    </cfRule>
  </conditionalFormatting>
  <conditionalFormatting sqref="I793">
    <cfRule type="cellIs" priority="2365" operator="lessThan" aboveAverage="0" equalAverage="0" bottom="0" percent="0" rank="0" text="" dxfId="8">
      <formula>0</formula>
    </cfRule>
  </conditionalFormatting>
  <conditionalFormatting sqref="E794">
    <cfRule type="cellIs" priority="2366" operator="greaterThan" aboveAverage="0" equalAverage="0" bottom="0" percent="0" rank="0" text="" dxfId="7">
      <formula>0</formula>
    </cfRule>
  </conditionalFormatting>
  <conditionalFormatting sqref="F794">
    <cfRule type="cellIs" priority="2367" operator="greaterThan" aboveAverage="0" equalAverage="0" bottom="0" percent="0" rank="0" text="" dxfId="7">
      <formula>0</formula>
    </cfRule>
  </conditionalFormatting>
  <conditionalFormatting sqref="I794">
    <cfRule type="cellIs" priority="2368" operator="lessThan" aboveAverage="0" equalAverage="0" bottom="0" percent="0" rank="0" text="" dxfId="8">
      <formula>0</formula>
    </cfRule>
  </conditionalFormatting>
  <conditionalFormatting sqref="E795">
    <cfRule type="cellIs" priority="2369" operator="greaterThan" aboveAverage="0" equalAverage="0" bottom="0" percent="0" rank="0" text="" dxfId="7">
      <formula>0</formula>
    </cfRule>
  </conditionalFormatting>
  <conditionalFormatting sqref="F795">
    <cfRule type="cellIs" priority="2370" operator="greaterThan" aboveAverage="0" equalAverage="0" bottom="0" percent="0" rank="0" text="" dxfId="7">
      <formula>0</formula>
    </cfRule>
  </conditionalFormatting>
  <conditionalFormatting sqref="I795">
    <cfRule type="cellIs" priority="2371" operator="lessThan" aboveAverage="0" equalAverage="0" bottom="0" percent="0" rank="0" text="" dxfId="8">
      <formula>0</formula>
    </cfRule>
  </conditionalFormatting>
  <conditionalFormatting sqref="E796">
    <cfRule type="cellIs" priority="2372" operator="greaterThan" aboveAverage="0" equalAverage="0" bottom="0" percent="0" rank="0" text="" dxfId="7">
      <formula>0</formula>
    </cfRule>
  </conditionalFormatting>
  <conditionalFormatting sqref="F796">
    <cfRule type="cellIs" priority="2373" operator="greaterThan" aboveAverage="0" equalAverage="0" bottom="0" percent="0" rank="0" text="" dxfId="7">
      <formula>0</formula>
    </cfRule>
  </conditionalFormatting>
  <conditionalFormatting sqref="I796">
    <cfRule type="cellIs" priority="2374" operator="lessThan" aboveAverage="0" equalAverage="0" bottom="0" percent="0" rank="0" text="" dxfId="8">
      <formula>0</formula>
    </cfRule>
  </conditionalFormatting>
  <conditionalFormatting sqref="E797">
    <cfRule type="cellIs" priority="2375" operator="greaterThan" aboveAverage="0" equalAverage="0" bottom="0" percent="0" rank="0" text="" dxfId="7">
      <formula>0</formula>
    </cfRule>
  </conditionalFormatting>
  <conditionalFormatting sqref="F797">
    <cfRule type="cellIs" priority="2376" operator="greaterThan" aboveAverage="0" equalAverage="0" bottom="0" percent="0" rank="0" text="" dxfId="7">
      <formula>0</formula>
    </cfRule>
  </conditionalFormatting>
  <conditionalFormatting sqref="I797">
    <cfRule type="cellIs" priority="2377" operator="lessThan" aboveAverage="0" equalAverage="0" bottom="0" percent="0" rank="0" text="" dxfId="8">
      <formula>0</formula>
    </cfRule>
  </conditionalFormatting>
  <conditionalFormatting sqref="E798">
    <cfRule type="cellIs" priority="2378" operator="greaterThan" aboveAverage="0" equalAverage="0" bottom="0" percent="0" rank="0" text="" dxfId="7">
      <formula>0</formula>
    </cfRule>
  </conditionalFormatting>
  <conditionalFormatting sqref="F798">
    <cfRule type="cellIs" priority="2379" operator="greaterThan" aboveAverage="0" equalAverage="0" bottom="0" percent="0" rank="0" text="" dxfId="7">
      <formula>0</formula>
    </cfRule>
  </conditionalFormatting>
  <conditionalFormatting sqref="I798">
    <cfRule type="cellIs" priority="2380" operator="lessThan" aboveAverage="0" equalAverage="0" bottom="0" percent="0" rank="0" text="" dxfId="8">
      <formula>0</formula>
    </cfRule>
  </conditionalFormatting>
  <conditionalFormatting sqref="E799">
    <cfRule type="cellIs" priority="2381" operator="greaterThan" aboveAverage="0" equalAverage="0" bottom="0" percent="0" rank="0" text="" dxfId="7">
      <formula>0</formula>
    </cfRule>
  </conditionalFormatting>
  <conditionalFormatting sqref="F799">
    <cfRule type="cellIs" priority="2382" operator="greaterThan" aboveAverage="0" equalAverage="0" bottom="0" percent="0" rank="0" text="" dxfId="7">
      <formula>0</formula>
    </cfRule>
  </conditionalFormatting>
  <conditionalFormatting sqref="I799">
    <cfRule type="cellIs" priority="2383" operator="lessThan" aboveAverage="0" equalAverage="0" bottom="0" percent="0" rank="0" text="" dxfId="8">
      <formula>0</formula>
    </cfRule>
  </conditionalFormatting>
  <conditionalFormatting sqref="E800">
    <cfRule type="cellIs" priority="2384" operator="greaterThan" aboveAverage="0" equalAverage="0" bottom="0" percent="0" rank="0" text="" dxfId="7">
      <formula>0</formula>
    </cfRule>
  </conditionalFormatting>
  <conditionalFormatting sqref="F800">
    <cfRule type="cellIs" priority="2385" operator="greaterThan" aboveAverage="0" equalAverage="0" bottom="0" percent="0" rank="0" text="" dxfId="7">
      <formula>0</formula>
    </cfRule>
  </conditionalFormatting>
  <conditionalFormatting sqref="I800">
    <cfRule type="cellIs" priority="2386" operator="lessThan" aboveAverage="0" equalAverage="0" bottom="0" percent="0" rank="0" text="" dxfId="8">
      <formula>0</formula>
    </cfRule>
  </conditionalFormatting>
  <conditionalFormatting sqref="E801">
    <cfRule type="cellIs" priority="2387" operator="greaterThan" aboveAverage="0" equalAverage="0" bottom="0" percent="0" rank="0" text="" dxfId="7">
      <formula>0</formula>
    </cfRule>
  </conditionalFormatting>
  <conditionalFormatting sqref="F801">
    <cfRule type="cellIs" priority="2388" operator="greaterThan" aboveAverage="0" equalAverage="0" bottom="0" percent="0" rank="0" text="" dxfId="7">
      <formula>0</formula>
    </cfRule>
  </conditionalFormatting>
  <conditionalFormatting sqref="I801">
    <cfRule type="cellIs" priority="2389" operator="lessThan" aboveAverage="0" equalAverage="0" bottom="0" percent="0" rank="0" text="" dxfId="8">
      <formula>0</formula>
    </cfRule>
  </conditionalFormatting>
  <conditionalFormatting sqref="E802">
    <cfRule type="cellIs" priority="2390" operator="greaterThan" aboveAverage="0" equalAverage="0" bottom="0" percent="0" rank="0" text="" dxfId="7">
      <formula>0</formula>
    </cfRule>
  </conditionalFormatting>
  <conditionalFormatting sqref="F802">
    <cfRule type="cellIs" priority="2391" operator="greaterThan" aboveAverage="0" equalAverage="0" bottom="0" percent="0" rank="0" text="" dxfId="7">
      <formula>0</formula>
    </cfRule>
  </conditionalFormatting>
  <conditionalFormatting sqref="I802">
    <cfRule type="cellIs" priority="2392" operator="lessThan" aboveAverage="0" equalAverage="0" bottom="0" percent="0" rank="0" text="" dxfId="8">
      <formula>0</formula>
    </cfRule>
  </conditionalFormatting>
  <conditionalFormatting sqref="E803">
    <cfRule type="cellIs" priority="2393" operator="greaterThan" aboveAverage="0" equalAverage="0" bottom="0" percent="0" rank="0" text="" dxfId="7">
      <formula>0</formula>
    </cfRule>
  </conditionalFormatting>
  <conditionalFormatting sqref="F803">
    <cfRule type="cellIs" priority="2394" operator="greaterThan" aboveAverage="0" equalAverage="0" bottom="0" percent="0" rank="0" text="" dxfId="7">
      <formula>0</formula>
    </cfRule>
  </conditionalFormatting>
  <conditionalFormatting sqref="I803">
    <cfRule type="cellIs" priority="2395" operator="lessThan" aboveAverage="0" equalAverage="0" bottom="0" percent="0" rank="0" text="" dxfId="8">
      <formula>0</formula>
    </cfRule>
  </conditionalFormatting>
  <conditionalFormatting sqref="E804">
    <cfRule type="cellIs" priority="2396" operator="greaterThan" aboveAverage="0" equalAverage="0" bottom="0" percent="0" rank="0" text="" dxfId="7">
      <formula>0</formula>
    </cfRule>
  </conditionalFormatting>
  <conditionalFormatting sqref="F804">
    <cfRule type="cellIs" priority="2397" operator="greaterThan" aboveAverage="0" equalAverage="0" bottom="0" percent="0" rank="0" text="" dxfId="7">
      <formula>0</formula>
    </cfRule>
  </conditionalFormatting>
  <conditionalFormatting sqref="I804">
    <cfRule type="cellIs" priority="2398" operator="lessThan" aboveAverage="0" equalAverage="0" bottom="0" percent="0" rank="0" text="" dxfId="8">
      <formula>0</formula>
    </cfRule>
  </conditionalFormatting>
  <conditionalFormatting sqref="E805">
    <cfRule type="cellIs" priority="2399" operator="greaterThan" aboveAverage="0" equalAverage="0" bottom="0" percent="0" rank="0" text="" dxfId="7">
      <formula>0</formula>
    </cfRule>
  </conditionalFormatting>
  <conditionalFormatting sqref="F805">
    <cfRule type="cellIs" priority="2400" operator="greaterThan" aboveAverage="0" equalAverage="0" bottom="0" percent="0" rank="0" text="" dxfId="7">
      <formula>0</formula>
    </cfRule>
  </conditionalFormatting>
  <conditionalFormatting sqref="I805">
    <cfRule type="cellIs" priority="2401" operator="lessThan" aboveAverage="0" equalAverage="0" bottom="0" percent="0" rank="0" text="" dxfId="8">
      <formula>0</formula>
    </cfRule>
  </conditionalFormatting>
  <conditionalFormatting sqref="E806">
    <cfRule type="cellIs" priority="2402" operator="greaterThan" aboveAverage="0" equalAverage="0" bottom="0" percent="0" rank="0" text="" dxfId="7">
      <formula>0</formula>
    </cfRule>
  </conditionalFormatting>
  <conditionalFormatting sqref="F806">
    <cfRule type="cellIs" priority="2403" operator="greaterThan" aboveAverage="0" equalAverage="0" bottom="0" percent="0" rank="0" text="" dxfId="7">
      <formula>0</formula>
    </cfRule>
  </conditionalFormatting>
  <conditionalFormatting sqref="I806">
    <cfRule type="cellIs" priority="2404" operator="lessThan" aboveAverage="0" equalAverage="0" bottom="0" percent="0" rank="0" text="" dxfId="8">
      <formula>0</formula>
    </cfRule>
  </conditionalFormatting>
  <conditionalFormatting sqref="E807">
    <cfRule type="cellIs" priority="2405" operator="greaterThan" aboveAverage="0" equalAverage="0" bottom="0" percent="0" rank="0" text="" dxfId="7">
      <formula>0</formula>
    </cfRule>
  </conditionalFormatting>
  <conditionalFormatting sqref="F807">
    <cfRule type="cellIs" priority="2406" operator="greaterThan" aboveAverage="0" equalAverage="0" bottom="0" percent="0" rank="0" text="" dxfId="7">
      <formula>0</formula>
    </cfRule>
  </conditionalFormatting>
  <conditionalFormatting sqref="I807">
    <cfRule type="cellIs" priority="2407" operator="lessThan" aboveAverage="0" equalAverage="0" bottom="0" percent="0" rank="0" text="" dxfId="8">
      <formula>0</formula>
    </cfRule>
  </conditionalFormatting>
  <conditionalFormatting sqref="E808">
    <cfRule type="cellIs" priority="2408" operator="greaterThan" aboveAverage="0" equalAverage="0" bottom="0" percent="0" rank="0" text="" dxfId="7">
      <formula>0</formula>
    </cfRule>
  </conditionalFormatting>
  <conditionalFormatting sqref="F808">
    <cfRule type="cellIs" priority="2409" operator="greaterThan" aboveAverage="0" equalAverage="0" bottom="0" percent="0" rank="0" text="" dxfId="7">
      <formula>0</formula>
    </cfRule>
  </conditionalFormatting>
  <conditionalFormatting sqref="I808">
    <cfRule type="cellIs" priority="2410" operator="lessThan" aboveAverage="0" equalAverage="0" bottom="0" percent="0" rank="0" text="" dxfId="8">
      <formula>0</formula>
    </cfRule>
  </conditionalFormatting>
  <conditionalFormatting sqref="E809">
    <cfRule type="cellIs" priority="2411" operator="greaterThan" aboveAverage="0" equalAverage="0" bottom="0" percent="0" rank="0" text="" dxfId="7">
      <formula>0</formula>
    </cfRule>
  </conditionalFormatting>
  <conditionalFormatting sqref="F809">
    <cfRule type="cellIs" priority="2412" operator="greaterThan" aboveAverage="0" equalAverage="0" bottom="0" percent="0" rank="0" text="" dxfId="7">
      <formula>0</formula>
    </cfRule>
  </conditionalFormatting>
  <conditionalFormatting sqref="I809">
    <cfRule type="cellIs" priority="2413" operator="lessThan" aboveAverage="0" equalAverage="0" bottom="0" percent="0" rank="0" text="" dxfId="8">
      <formula>0</formula>
    </cfRule>
  </conditionalFormatting>
  <conditionalFormatting sqref="E810">
    <cfRule type="cellIs" priority="2414" operator="greaterThan" aboveAverage="0" equalAverage="0" bottom="0" percent="0" rank="0" text="" dxfId="7">
      <formula>0</formula>
    </cfRule>
  </conditionalFormatting>
  <conditionalFormatting sqref="F810">
    <cfRule type="cellIs" priority="2415" operator="greaterThan" aboveAverage="0" equalAverage="0" bottom="0" percent="0" rank="0" text="" dxfId="7">
      <formula>0</formula>
    </cfRule>
  </conditionalFormatting>
  <conditionalFormatting sqref="I810">
    <cfRule type="cellIs" priority="2416" operator="lessThan" aboveAverage="0" equalAverage="0" bottom="0" percent="0" rank="0" text="" dxfId="8">
      <formula>0</formula>
    </cfRule>
  </conditionalFormatting>
  <conditionalFormatting sqref="E811">
    <cfRule type="cellIs" priority="2417" operator="greaterThan" aboveAverage="0" equalAverage="0" bottom="0" percent="0" rank="0" text="" dxfId="7">
      <formula>0</formula>
    </cfRule>
  </conditionalFormatting>
  <conditionalFormatting sqref="F811">
    <cfRule type="cellIs" priority="2418" operator="greaterThan" aboveAverage="0" equalAverage="0" bottom="0" percent="0" rank="0" text="" dxfId="7">
      <formula>0</formula>
    </cfRule>
  </conditionalFormatting>
  <conditionalFormatting sqref="I811">
    <cfRule type="cellIs" priority="2419" operator="lessThan" aboveAverage="0" equalAverage="0" bottom="0" percent="0" rank="0" text="" dxfId="8">
      <formula>0</formula>
    </cfRule>
  </conditionalFormatting>
  <conditionalFormatting sqref="E812">
    <cfRule type="cellIs" priority="2420" operator="greaterThan" aboveAverage="0" equalAverage="0" bottom="0" percent="0" rank="0" text="" dxfId="7">
      <formula>0</formula>
    </cfRule>
  </conditionalFormatting>
  <conditionalFormatting sqref="F812">
    <cfRule type="cellIs" priority="2421" operator="greaterThan" aboveAverage="0" equalAverage="0" bottom="0" percent="0" rank="0" text="" dxfId="7">
      <formula>0</formula>
    </cfRule>
  </conditionalFormatting>
  <conditionalFormatting sqref="I812">
    <cfRule type="cellIs" priority="2422" operator="lessThan" aboveAverage="0" equalAverage="0" bottom="0" percent="0" rank="0" text="" dxfId="8">
      <formula>0</formula>
    </cfRule>
  </conditionalFormatting>
  <conditionalFormatting sqref="E813">
    <cfRule type="cellIs" priority="2423" operator="greaterThan" aboveAverage="0" equalAverage="0" bottom="0" percent="0" rank="0" text="" dxfId="7">
      <formula>0</formula>
    </cfRule>
  </conditionalFormatting>
  <conditionalFormatting sqref="F813">
    <cfRule type="cellIs" priority="2424" operator="greaterThan" aboveAverage="0" equalAverage="0" bottom="0" percent="0" rank="0" text="" dxfId="7">
      <formula>0</formula>
    </cfRule>
  </conditionalFormatting>
  <conditionalFormatting sqref="I813">
    <cfRule type="cellIs" priority="2425" operator="lessThan" aboveAverage="0" equalAverage="0" bottom="0" percent="0" rank="0" text="" dxfId="8">
      <formula>0</formula>
    </cfRule>
  </conditionalFormatting>
  <conditionalFormatting sqref="E814">
    <cfRule type="cellIs" priority="2426" operator="greaterThan" aboveAverage="0" equalAverage="0" bottom="0" percent="0" rank="0" text="" dxfId="7">
      <formula>0</formula>
    </cfRule>
  </conditionalFormatting>
  <conditionalFormatting sqref="F814">
    <cfRule type="cellIs" priority="2427" operator="greaterThan" aboveAverage="0" equalAverage="0" bottom="0" percent="0" rank="0" text="" dxfId="7">
      <formula>0</formula>
    </cfRule>
  </conditionalFormatting>
  <conditionalFormatting sqref="I814">
    <cfRule type="cellIs" priority="2428" operator="lessThan" aboveAverage="0" equalAverage="0" bottom="0" percent="0" rank="0" text="" dxfId="8">
      <formula>0</formula>
    </cfRule>
  </conditionalFormatting>
  <conditionalFormatting sqref="E815">
    <cfRule type="cellIs" priority="2429" operator="greaterThan" aboveAverage="0" equalAverage="0" bottom="0" percent="0" rank="0" text="" dxfId="7">
      <formula>0</formula>
    </cfRule>
  </conditionalFormatting>
  <conditionalFormatting sqref="F815">
    <cfRule type="cellIs" priority="2430" operator="greaterThan" aboveAverage="0" equalAverage="0" bottom="0" percent="0" rank="0" text="" dxfId="7">
      <formula>0</formula>
    </cfRule>
  </conditionalFormatting>
  <conditionalFormatting sqref="I815">
    <cfRule type="cellIs" priority="2431" operator="lessThan" aboveAverage="0" equalAverage="0" bottom="0" percent="0" rank="0" text="" dxfId="8">
      <formula>0</formula>
    </cfRule>
  </conditionalFormatting>
  <conditionalFormatting sqref="E816">
    <cfRule type="cellIs" priority="2432" operator="greaterThan" aboveAverage="0" equalAverage="0" bottom="0" percent="0" rank="0" text="" dxfId="7">
      <formula>0</formula>
    </cfRule>
  </conditionalFormatting>
  <conditionalFormatting sqref="F816">
    <cfRule type="cellIs" priority="2433" operator="greaterThan" aboveAverage="0" equalAverage="0" bottom="0" percent="0" rank="0" text="" dxfId="7">
      <formula>0</formula>
    </cfRule>
  </conditionalFormatting>
  <conditionalFormatting sqref="I816">
    <cfRule type="cellIs" priority="2434" operator="lessThan" aboveAverage="0" equalAverage="0" bottom="0" percent="0" rank="0" text="" dxfId="8">
      <formula>0</formula>
    </cfRule>
  </conditionalFormatting>
  <conditionalFormatting sqref="E817">
    <cfRule type="cellIs" priority="2435" operator="greaterThan" aboveAverage="0" equalAverage="0" bottom="0" percent="0" rank="0" text="" dxfId="7">
      <formula>0</formula>
    </cfRule>
  </conditionalFormatting>
  <conditionalFormatting sqref="F817">
    <cfRule type="cellIs" priority="2436" operator="greaterThan" aboveAverage="0" equalAverage="0" bottom="0" percent="0" rank="0" text="" dxfId="7">
      <formula>0</formula>
    </cfRule>
  </conditionalFormatting>
  <conditionalFormatting sqref="I817">
    <cfRule type="cellIs" priority="2437" operator="lessThan" aboveAverage="0" equalAverage="0" bottom="0" percent="0" rank="0" text="" dxfId="8">
      <formula>0</formula>
    </cfRule>
  </conditionalFormatting>
  <conditionalFormatting sqref="E818">
    <cfRule type="cellIs" priority="2438" operator="greaterThan" aboveAverage="0" equalAverage="0" bottom="0" percent="0" rank="0" text="" dxfId="7">
      <formula>0</formula>
    </cfRule>
  </conditionalFormatting>
  <conditionalFormatting sqref="F818">
    <cfRule type="cellIs" priority="2439" operator="greaterThan" aboveAverage="0" equalAverage="0" bottom="0" percent="0" rank="0" text="" dxfId="7">
      <formula>0</formula>
    </cfRule>
  </conditionalFormatting>
  <conditionalFormatting sqref="I818">
    <cfRule type="cellIs" priority="2440" operator="lessThan" aboveAverage="0" equalAverage="0" bottom="0" percent="0" rank="0" text="" dxfId="8">
      <formula>0</formula>
    </cfRule>
  </conditionalFormatting>
  <conditionalFormatting sqref="E819">
    <cfRule type="cellIs" priority="2441" operator="greaterThan" aboveAverage="0" equalAverage="0" bottom="0" percent="0" rank="0" text="" dxfId="7">
      <formula>0</formula>
    </cfRule>
  </conditionalFormatting>
  <conditionalFormatting sqref="F819">
    <cfRule type="cellIs" priority="2442" operator="greaterThan" aboveAverage="0" equalAverage="0" bottom="0" percent="0" rank="0" text="" dxfId="7">
      <formula>0</formula>
    </cfRule>
  </conditionalFormatting>
  <conditionalFormatting sqref="I819">
    <cfRule type="cellIs" priority="2443" operator="lessThan" aboveAverage="0" equalAverage="0" bottom="0" percent="0" rank="0" text="" dxfId="8">
      <formula>0</formula>
    </cfRule>
  </conditionalFormatting>
  <conditionalFormatting sqref="E820">
    <cfRule type="cellIs" priority="2444" operator="greaterThan" aboveAverage="0" equalAverage="0" bottom="0" percent="0" rank="0" text="" dxfId="7">
      <formula>0</formula>
    </cfRule>
  </conditionalFormatting>
  <conditionalFormatting sqref="F820">
    <cfRule type="cellIs" priority="2445" operator="greaterThan" aboveAverage="0" equalAverage="0" bottom="0" percent="0" rank="0" text="" dxfId="7">
      <formula>0</formula>
    </cfRule>
  </conditionalFormatting>
  <conditionalFormatting sqref="I820">
    <cfRule type="cellIs" priority="2446" operator="lessThan" aboveAverage="0" equalAverage="0" bottom="0" percent="0" rank="0" text="" dxfId="8">
      <formula>0</formula>
    </cfRule>
  </conditionalFormatting>
  <conditionalFormatting sqref="E821">
    <cfRule type="cellIs" priority="2447" operator="greaterThan" aboveAverage="0" equalAverage="0" bottom="0" percent="0" rank="0" text="" dxfId="7">
      <formula>0</formula>
    </cfRule>
  </conditionalFormatting>
  <conditionalFormatting sqref="F821">
    <cfRule type="cellIs" priority="2448" operator="greaterThan" aboveAverage="0" equalAverage="0" bottom="0" percent="0" rank="0" text="" dxfId="7">
      <formula>0</formula>
    </cfRule>
  </conditionalFormatting>
  <conditionalFormatting sqref="I821">
    <cfRule type="cellIs" priority="2449" operator="lessThan" aboveAverage="0" equalAverage="0" bottom="0" percent="0" rank="0" text="" dxfId="8">
      <formula>0</formula>
    </cfRule>
  </conditionalFormatting>
  <conditionalFormatting sqref="E822">
    <cfRule type="cellIs" priority="2450" operator="greaterThan" aboveAverage="0" equalAverage="0" bottom="0" percent="0" rank="0" text="" dxfId="7">
      <formula>0</formula>
    </cfRule>
  </conditionalFormatting>
  <conditionalFormatting sqref="F822">
    <cfRule type="cellIs" priority="2451" operator="greaterThan" aboveAverage="0" equalAverage="0" bottom="0" percent="0" rank="0" text="" dxfId="7">
      <formula>0</formula>
    </cfRule>
  </conditionalFormatting>
  <conditionalFormatting sqref="I822">
    <cfRule type="cellIs" priority="2452" operator="lessThan" aboveAverage="0" equalAverage="0" bottom="0" percent="0" rank="0" text="" dxfId="8">
      <formula>0</formula>
    </cfRule>
  </conditionalFormatting>
  <conditionalFormatting sqref="E823">
    <cfRule type="cellIs" priority="2453" operator="greaterThan" aboveAverage="0" equalAverage="0" bottom="0" percent="0" rank="0" text="" dxfId="7">
      <formula>0</formula>
    </cfRule>
  </conditionalFormatting>
  <conditionalFormatting sqref="F823">
    <cfRule type="cellIs" priority="2454" operator="greaterThan" aboveAverage="0" equalAverage="0" bottom="0" percent="0" rank="0" text="" dxfId="7">
      <formula>0</formula>
    </cfRule>
  </conditionalFormatting>
  <conditionalFormatting sqref="I823">
    <cfRule type="cellIs" priority="2455" operator="lessThan" aboveAverage="0" equalAverage="0" bottom="0" percent="0" rank="0" text="" dxfId="8">
      <formula>0</formula>
    </cfRule>
  </conditionalFormatting>
  <conditionalFormatting sqref="E824">
    <cfRule type="cellIs" priority="2456" operator="greaterThan" aboveAverage="0" equalAverage="0" bottom="0" percent="0" rank="0" text="" dxfId="7">
      <formula>0</formula>
    </cfRule>
  </conditionalFormatting>
  <conditionalFormatting sqref="F824">
    <cfRule type="cellIs" priority="2457" operator="greaterThan" aboveAverage="0" equalAverage="0" bottom="0" percent="0" rank="0" text="" dxfId="7">
      <formula>0</formula>
    </cfRule>
  </conditionalFormatting>
  <conditionalFormatting sqref="I824">
    <cfRule type="cellIs" priority="2458" operator="lessThan" aboveAverage="0" equalAverage="0" bottom="0" percent="0" rank="0" text="" dxfId="8">
      <formula>0</formula>
    </cfRule>
  </conditionalFormatting>
  <conditionalFormatting sqref="E825">
    <cfRule type="cellIs" priority="2459" operator="greaterThan" aboveAverage="0" equalAverage="0" bottom="0" percent="0" rank="0" text="" dxfId="7">
      <formula>0</formula>
    </cfRule>
  </conditionalFormatting>
  <conditionalFormatting sqref="F825">
    <cfRule type="cellIs" priority="2460" operator="greaterThan" aboveAverage="0" equalAverage="0" bottom="0" percent="0" rank="0" text="" dxfId="7">
      <formula>0</formula>
    </cfRule>
  </conditionalFormatting>
  <conditionalFormatting sqref="I825">
    <cfRule type="cellIs" priority="2461" operator="lessThan" aboveAverage="0" equalAverage="0" bottom="0" percent="0" rank="0" text="" dxfId="8">
      <formula>0</formula>
    </cfRule>
  </conditionalFormatting>
  <conditionalFormatting sqref="E826">
    <cfRule type="cellIs" priority="2462" operator="greaterThan" aboveAverage="0" equalAverage="0" bottom="0" percent="0" rank="0" text="" dxfId="7">
      <formula>0</formula>
    </cfRule>
  </conditionalFormatting>
  <conditionalFormatting sqref="F826">
    <cfRule type="cellIs" priority="2463" operator="greaterThan" aboveAverage="0" equalAverage="0" bottom="0" percent="0" rank="0" text="" dxfId="7">
      <formula>0</formula>
    </cfRule>
  </conditionalFormatting>
  <conditionalFormatting sqref="I826">
    <cfRule type="cellIs" priority="2464" operator="lessThan" aboveAverage="0" equalAverage="0" bottom="0" percent="0" rank="0" text="" dxfId="8">
      <formula>0</formula>
    </cfRule>
  </conditionalFormatting>
  <conditionalFormatting sqref="E827">
    <cfRule type="cellIs" priority="2465" operator="greaterThan" aboveAverage="0" equalAverage="0" bottom="0" percent="0" rank="0" text="" dxfId="7">
      <formula>0</formula>
    </cfRule>
  </conditionalFormatting>
  <conditionalFormatting sqref="F827">
    <cfRule type="cellIs" priority="2466" operator="greaterThan" aboveAverage="0" equalAverage="0" bottom="0" percent="0" rank="0" text="" dxfId="7">
      <formula>0</formula>
    </cfRule>
  </conditionalFormatting>
  <conditionalFormatting sqref="I827">
    <cfRule type="cellIs" priority="2467" operator="lessThan" aboveAverage="0" equalAverage="0" bottom="0" percent="0" rank="0" text="" dxfId="8">
      <formula>0</formula>
    </cfRule>
  </conditionalFormatting>
  <conditionalFormatting sqref="E828">
    <cfRule type="cellIs" priority="2468" operator="greaterThan" aboveAverage="0" equalAverage="0" bottom="0" percent="0" rank="0" text="" dxfId="7">
      <formula>0</formula>
    </cfRule>
  </conditionalFormatting>
  <conditionalFormatting sqref="F828">
    <cfRule type="cellIs" priority="2469" operator="greaterThan" aboveAverage="0" equalAverage="0" bottom="0" percent="0" rank="0" text="" dxfId="7">
      <formula>0</formula>
    </cfRule>
  </conditionalFormatting>
  <conditionalFormatting sqref="I828">
    <cfRule type="cellIs" priority="2470" operator="lessThan" aboveAverage="0" equalAverage="0" bottom="0" percent="0" rank="0" text="" dxfId="8">
      <formula>0</formula>
    </cfRule>
  </conditionalFormatting>
  <conditionalFormatting sqref="E829">
    <cfRule type="cellIs" priority="2471" operator="greaterThan" aboveAverage="0" equalAverage="0" bottom="0" percent="0" rank="0" text="" dxfId="7">
      <formula>0</formula>
    </cfRule>
  </conditionalFormatting>
  <conditionalFormatting sqref="F829">
    <cfRule type="cellIs" priority="2472" operator="greaterThan" aboveAverage="0" equalAverage="0" bottom="0" percent="0" rank="0" text="" dxfId="7">
      <formula>0</formula>
    </cfRule>
  </conditionalFormatting>
  <conditionalFormatting sqref="I829">
    <cfRule type="cellIs" priority="2473" operator="lessThan" aboveAverage="0" equalAverage="0" bottom="0" percent="0" rank="0" text="" dxfId="8">
      <formula>0</formula>
    </cfRule>
  </conditionalFormatting>
  <conditionalFormatting sqref="E830">
    <cfRule type="cellIs" priority="2474" operator="greaterThan" aboveAverage="0" equalAverage="0" bottom="0" percent="0" rank="0" text="" dxfId="7">
      <formula>0</formula>
    </cfRule>
  </conditionalFormatting>
  <conditionalFormatting sqref="F830">
    <cfRule type="cellIs" priority="2475" operator="greaterThan" aboveAverage="0" equalAverage="0" bottom="0" percent="0" rank="0" text="" dxfId="7">
      <formula>0</formula>
    </cfRule>
  </conditionalFormatting>
  <conditionalFormatting sqref="I830">
    <cfRule type="cellIs" priority="2476" operator="lessThan" aboveAverage="0" equalAverage="0" bottom="0" percent="0" rank="0" text="" dxfId="8">
      <formula>0</formula>
    </cfRule>
  </conditionalFormatting>
  <conditionalFormatting sqref="E831">
    <cfRule type="cellIs" priority="2477" operator="greaterThan" aboveAverage="0" equalAverage="0" bottom="0" percent="0" rank="0" text="" dxfId="7">
      <formula>0</formula>
    </cfRule>
  </conditionalFormatting>
  <conditionalFormatting sqref="F831">
    <cfRule type="cellIs" priority="2478" operator="greaterThan" aboveAverage="0" equalAverage="0" bottom="0" percent="0" rank="0" text="" dxfId="7">
      <formula>0</formula>
    </cfRule>
  </conditionalFormatting>
  <conditionalFormatting sqref="I831">
    <cfRule type="cellIs" priority="2479" operator="lessThan" aboveAverage="0" equalAverage="0" bottom="0" percent="0" rank="0" text="" dxfId="8">
      <formula>0</formula>
    </cfRule>
  </conditionalFormatting>
  <conditionalFormatting sqref="E832">
    <cfRule type="cellIs" priority="2480" operator="greaterThan" aboveAverage="0" equalAverage="0" bottom="0" percent="0" rank="0" text="" dxfId="7">
      <formula>0</formula>
    </cfRule>
  </conditionalFormatting>
  <conditionalFormatting sqref="F832">
    <cfRule type="cellIs" priority="2481" operator="greaterThan" aboveAverage="0" equalAverage="0" bottom="0" percent="0" rank="0" text="" dxfId="7">
      <formula>0</formula>
    </cfRule>
  </conditionalFormatting>
  <conditionalFormatting sqref="I832">
    <cfRule type="cellIs" priority="2482" operator="lessThan" aboveAverage="0" equalAverage="0" bottom="0" percent="0" rank="0" text="" dxfId="8">
      <formula>0</formula>
    </cfRule>
  </conditionalFormatting>
  <conditionalFormatting sqref="E833">
    <cfRule type="cellIs" priority="2483" operator="greaterThan" aboveAverage="0" equalAverage="0" bottom="0" percent="0" rank="0" text="" dxfId="7">
      <formula>0</formula>
    </cfRule>
  </conditionalFormatting>
  <conditionalFormatting sqref="F833">
    <cfRule type="cellIs" priority="2484" operator="greaterThan" aboveAverage="0" equalAverage="0" bottom="0" percent="0" rank="0" text="" dxfId="7">
      <formula>0</formula>
    </cfRule>
  </conditionalFormatting>
  <conditionalFormatting sqref="I833">
    <cfRule type="cellIs" priority="2485" operator="lessThan" aboveAverage="0" equalAverage="0" bottom="0" percent="0" rank="0" text="" dxfId="8">
      <formula>0</formula>
    </cfRule>
  </conditionalFormatting>
  <conditionalFormatting sqref="E834">
    <cfRule type="cellIs" priority="2486" operator="greaterThan" aboveAverage="0" equalAverage="0" bottom="0" percent="0" rank="0" text="" dxfId="7">
      <formula>0</formula>
    </cfRule>
  </conditionalFormatting>
  <conditionalFormatting sqref="F834">
    <cfRule type="cellIs" priority="2487" operator="greaterThan" aboveAverage="0" equalAverage="0" bottom="0" percent="0" rank="0" text="" dxfId="7">
      <formula>0</formula>
    </cfRule>
  </conditionalFormatting>
  <conditionalFormatting sqref="I834">
    <cfRule type="cellIs" priority="2488" operator="lessThan" aboveAverage="0" equalAverage="0" bottom="0" percent="0" rank="0" text="" dxfId="8">
      <formula>0</formula>
    </cfRule>
  </conditionalFormatting>
  <conditionalFormatting sqref="E835">
    <cfRule type="cellIs" priority="2489" operator="greaterThan" aboveAverage="0" equalAverage="0" bottom="0" percent="0" rank="0" text="" dxfId="7">
      <formula>0</formula>
    </cfRule>
  </conditionalFormatting>
  <conditionalFormatting sqref="F835">
    <cfRule type="cellIs" priority="2490" operator="greaterThan" aboveAverage="0" equalAverage="0" bottom="0" percent="0" rank="0" text="" dxfId="7">
      <formula>0</formula>
    </cfRule>
  </conditionalFormatting>
  <conditionalFormatting sqref="I835">
    <cfRule type="cellIs" priority="2491" operator="lessThan" aboveAverage="0" equalAverage="0" bottom="0" percent="0" rank="0" text="" dxfId="8">
      <formula>0</formula>
    </cfRule>
  </conditionalFormatting>
  <conditionalFormatting sqref="E836">
    <cfRule type="cellIs" priority="2492" operator="greaterThan" aboveAverage="0" equalAverage="0" bottom="0" percent="0" rank="0" text="" dxfId="7">
      <formula>0</formula>
    </cfRule>
  </conditionalFormatting>
  <conditionalFormatting sqref="F836">
    <cfRule type="cellIs" priority="2493" operator="greaterThan" aboveAverage="0" equalAverage="0" bottom="0" percent="0" rank="0" text="" dxfId="7">
      <formula>0</formula>
    </cfRule>
  </conditionalFormatting>
  <conditionalFormatting sqref="I836">
    <cfRule type="cellIs" priority="2494" operator="lessThan" aboveAverage="0" equalAverage="0" bottom="0" percent="0" rank="0" text="" dxfId="8">
      <formula>0</formula>
    </cfRule>
  </conditionalFormatting>
  <conditionalFormatting sqref="E837">
    <cfRule type="cellIs" priority="2495" operator="greaterThan" aboveAverage="0" equalAverage="0" bottom="0" percent="0" rank="0" text="" dxfId="7">
      <formula>0</formula>
    </cfRule>
  </conditionalFormatting>
  <conditionalFormatting sqref="F837">
    <cfRule type="cellIs" priority="2496" operator="greaterThan" aboveAverage="0" equalAverage="0" bottom="0" percent="0" rank="0" text="" dxfId="7">
      <formula>0</formula>
    </cfRule>
  </conditionalFormatting>
  <conditionalFormatting sqref="I837">
    <cfRule type="cellIs" priority="2497" operator="lessThan" aboveAverage="0" equalAverage="0" bottom="0" percent="0" rank="0" text="" dxfId="8">
      <formula>0</formula>
    </cfRule>
  </conditionalFormatting>
  <conditionalFormatting sqref="E838">
    <cfRule type="cellIs" priority="2498" operator="greaterThan" aboveAverage="0" equalAverage="0" bottom="0" percent="0" rank="0" text="" dxfId="7">
      <formula>0</formula>
    </cfRule>
  </conditionalFormatting>
  <conditionalFormatting sqref="F838">
    <cfRule type="cellIs" priority="2499" operator="greaterThan" aboveAverage="0" equalAverage="0" bottom="0" percent="0" rank="0" text="" dxfId="7">
      <formula>0</formula>
    </cfRule>
  </conditionalFormatting>
  <conditionalFormatting sqref="I838">
    <cfRule type="cellIs" priority="2500" operator="lessThan" aboveAverage="0" equalAverage="0" bottom="0" percent="0" rank="0" text="" dxfId="8">
      <formula>0</formula>
    </cfRule>
  </conditionalFormatting>
  <conditionalFormatting sqref="E839">
    <cfRule type="cellIs" priority="2501" operator="greaterThan" aboveAverage="0" equalAverage="0" bottom="0" percent="0" rank="0" text="" dxfId="7">
      <formula>0</formula>
    </cfRule>
  </conditionalFormatting>
  <conditionalFormatting sqref="F839">
    <cfRule type="cellIs" priority="2502" operator="greaterThan" aboveAverage="0" equalAverage="0" bottom="0" percent="0" rank="0" text="" dxfId="7">
      <formula>0</formula>
    </cfRule>
  </conditionalFormatting>
  <conditionalFormatting sqref="I839">
    <cfRule type="cellIs" priority="2503" operator="lessThan" aboveAverage="0" equalAverage="0" bottom="0" percent="0" rank="0" text="" dxfId="8">
      <formula>0</formula>
    </cfRule>
  </conditionalFormatting>
  <conditionalFormatting sqref="E840">
    <cfRule type="cellIs" priority="2504" operator="greaterThan" aboveAverage="0" equalAverage="0" bottom="0" percent="0" rank="0" text="" dxfId="7">
      <formula>0</formula>
    </cfRule>
  </conditionalFormatting>
  <conditionalFormatting sqref="F840">
    <cfRule type="cellIs" priority="2505" operator="greaterThan" aboveAverage="0" equalAverage="0" bottom="0" percent="0" rank="0" text="" dxfId="7">
      <formula>0</formula>
    </cfRule>
  </conditionalFormatting>
  <conditionalFormatting sqref="I840">
    <cfRule type="cellIs" priority="2506" operator="lessThan" aboveAverage="0" equalAverage="0" bottom="0" percent="0" rank="0" text="" dxfId="8">
      <formula>0</formula>
    </cfRule>
  </conditionalFormatting>
  <conditionalFormatting sqref="E841">
    <cfRule type="cellIs" priority="2507" operator="greaterThan" aboveAverage="0" equalAverage="0" bottom="0" percent="0" rank="0" text="" dxfId="7">
      <formula>0</formula>
    </cfRule>
  </conditionalFormatting>
  <conditionalFormatting sqref="F841">
    <cfRule type="cellIs" priority="2508" operator="greaterThan" aboveAverage="0" equalAverage="0" bottom="0" percent="0" rank="0" text="" dxfId="7">
      <formula>0</formula>
    </cfRule>
  </conditionalFormatting>
  <conditionalFormatting sqref="I841">
    <cfRule type="cellIs" priority="2509" operator="lessThan" aboveAverage="0" equalAverage="0" bottom="0" percent="0" rank="0" text="" dxfId="8">
      <formula>0</formula>
    </cfRule>
  </conditionalFormatting>
  <conditionalFormatting sqref="E842">
    <cfRule type="cellIs" priority="2510" operator="greaterThan" aboveAverage="0" equalAverage="0" bottom="0" percent="0" rank="0" text="" dxfId="7">
      <formula>0</formula>
    </cfRule>
  </conditionalFormatting>
  <conditionalFormatting sqref="F842">
    <cfRule type="cellIs" priority="2511" operator="greaterThan" aboveAverage="0" equalAverage="0" bottom="0" percent="0" rank="0" text="" dxfId="7">
      <formula>0</formula>
    </cfRule>
  </conditionalFormatting>
  <conditionalFormatting sqref="I842">
    <cfRule type="cellIs" priority="2512" operator="lessThan" aboveAverage="0" equalAverage="0" bottom="0" percent="0" rank="0" text="" dxfId="8">
      <formula>0</formula>
    </cfRule>
  </conditionalFormatting>
  <conditionalFormatting sqref="E843">
    <cfRule type="cellIs" priority="2513" operator="greaterThan" aboveAverage="0" equalAverage="0" bottom="0" percent="0" rank="0" text="" dxfId="7">
      <formula>0</formula>
    </cfRule>
  </conditionalFormatting>
  <conditionalFormatting sqref="F843">
    <cfRule type="cellIs" priority="2514" operator="greaterThan" aboveAverage="0" equalAverage="0" bottom="0" percent="0" rank="0" text="" dxfId="7">
      <formula>0</formula>
    </cfRule>
  </conditionalFormatting>
  <conditionalFormatting sqref="I843">
    <cfRule type="cellIs" priority="2515" operator="lessThan" aboveAverage="0" equalAverage="0" bottom="0" percent="0" rank="0" text="" dxfId="8">
      <formula>0</formula>
    </cfRule>
  </conditionalFormatting>
  <conditionalFormatting sqref="E844">
    <cfRule type="cellIs" priority="2516" operator="greaterThan" aboveAverage="0" equalAverage="0" bottom="0" percent="0" rank="0" text="" dxfId="7">
      <formula>0</formula>
    </cfRule>
  </conditionalFormatting>
  <conditionalFormatting sqref="F844">
    <cfRule type="cellIs" priority="2517" operator="greaterThan" aboveAverage="0" equalAverage="0" bottom="0" percent="0" rank="0" text="" dxfId="7">
      <formula>0</formula>
    </cfRule>
  </conditionalFormatting>
  <conditionalFormatting sqref="I844">
    <cfRule type="cellIs" priority="2518" operator="lessThan" aboveAverage="0" equalAverage="0" bottom="0" percent="0" rank="0" text="" dxfId="8">
      <formula>0</formula>
    </cfRule>
  </conditionalFormatting>
  <conditionalFormatting sqref="E845">
    <cfRule type="cellIs" priority="2519" operator="greaterThan" aboveAverage="0" equalAverage="0" bottom="0" percent="0" rank="0" text="" dxfId="7">
      <formula>0</formula>
    </cfRule>
  </conditionalFormatting>
  <conditionalFormatting sqref="F845">
    <cfRule type="cellIs" priority="2520" operator="greaterThan" aboveAverage="0" equalAverage="0" bottom="0" percent="0" rank="0" text="" dxfId="7">
      <formula>0</formula>
    </cfRule>
  </conditionalFormatting>
  <conditionalFormatting sqref="I845">
    <cfRule type="cellIs" priority="2521" operator="lessThan" aboveAverage="0" equalAverage="0" bottom="0" percent="0" rank="0" text="" dxfId="8">
      <formula>0</formula>
    </cfRule>
  </conditionalFormatting>
  <conditionalFormatting sqref="E846">
    <cfRule type="cellIs" priority="2522" operator="greaterThan" aboveAverage="0" equalAverage="0" bottom="0" percent="0" rank="0" text="" dxfId="7">
      <formula>0</formula>
    </cfRule>
  </conditionalFormatting>
  <conditionalFormatting sqref="F846">
    <cfRule type="cellIs" priority="2523" operator="greaterThan" aboveAverage="0" equalAverage="0" bottom="0" percent="0" rank="0" text="" dxfId="7">
      <formula>0</formula>
    </cfRule>
  </conditionalFormatting>
  <conditionalFormatting sqref="I846">
    <cfRule type="cellIs" priority="2524" operator="lessThan" aboveAverage="0" equalAverage="0" bottom="0" percent="0" rank="0" text="" dxfId="8">
      <formula>0</formula>
    </cfRule>
  </conditionalFormatting>
  <conditionalFormatting sqref="E847">
    <cfRule type="cellIs" priority="2525" operator="greaterThan" aboveAverage="0" equalAverage="0" bottom="0" percent="0" rank="0" text="" dxfId="7">
      <formula>0</formula>
    </cfRule>
  </conditionalFormatting>
  <conditionalFormatting sqref="F847">
    <cfRule type="cellIs" priority="2526" operator="greaterThan" aboveAverage="0" equalAverage="0" bottom="0" percent="0" rank="0" text="" dxfId="7">
      <formula>0</formula>
    </cfRule>
  </conditionalFormatting>
  <conditionalFormatting sqref="I847">
    <cfRule type="cellIs" priority="2527" operator="lessThan" aboveAverage="0" equalAverage="0" bottom="0" percent="0" rank="0" text="" dxfId="8">
      <formula>0</formula>
    </cfRule>
  </conditionalFormatting>
  <conditionalFormatting sqref="E848">
    <cfRule type="cellIs" priority="2528" operator="greaterThan" aboveAverage="0" equalAverage="0" bottom="0" percent="0" rank="0" text="" dxfId="7">
      <formula>0</formula>
    </cfRule>
  </conditionalFormatting>
  <conditionalFormatting sqref="F848">
    <cfRule type="cellIs" priority="2529" operator="greaterThan" aboveAverage="0" equalAverage="0" bottom="0" percent="0" rank="0" text="" dxfId="7">
      <formula>0</formula>
    </cfRule>
  </conditionalFormatting>
  <conditionalFormatting sqref="I848">
    <cfRule type="cellIs" priority="2530" operator="lessThan" aboveAverage="0" equalAverage="0" bottom="0" percent="0" rank="0" text="" dxfId="8">
      <formula>0</formula>
    </cfRule>
  </conditionalFormatting>
  <conditionalFormatting sqref="E849">
    <cfRule type="cellIs" priority="2531" operator="greaterThan" aboveAverage="0" equalAverage="0" bottom="0" percent="0" rank="0" text="" dxfId="7">
      <formula>0</formula>
    </cfRule>
  </conditionalFormatting>
  <conditionalFormatting sqref="F849">
    <cfRule type="cellIs" priority="2532" operator="greaterThan" aboveAverage="0" equalAverage="0" bottom="0" percent="0" rank="0" text="" dxfId="7">
      <formula>0</formula>
    </cfRule>
  </conditionalFormatting>
  <conditionalFormatting sqref="I849">
    <cfRule type="cellIs" priority="2533" operator="lessThan" aboveAverage="0" equalAverage="0" bottom="0" percent="0" rank="0" text="" dxfId="8">
      <formula>0</formula>
    </cfRule>
  </conditionalFormatting>
  <conditionalFormatting sqref="E850">
    <cfRule type="cellIs" priority="2534" operator="greaterThan" aboveAverage="0" equalAverage="0" bottom="0" percent="0" rank="0" text="" dxfId="7">
      <formula>0</formula>
    </cfRule>
  </conditionalFormatting>
  <conditionalFormatting sqref="F850">
    <cfRule type="cellIs" priority="2535" operator="greaterThan" aboveAverage="0" equalAverage="0" bottom="0" percent="0" rank="0" text="" dxfId="7">
      <formula>0</formula>
    </cfRule>
  </conditionalFormatting>
  <conditionalFormatting sqref="I850">
    <cfRule type="cellIs" priority="2536" operator="lessThan" aboveAverage="0" equalAverage="0" bottom="0" percent="0" rank="0" text="" dxfId="8">
      <formula>0</formula>
    </cfRule>
  </conditionalFormatting>
  <conditionalFormatting sqref="E851">
    <cfRule type="cellIs" priority="2537" operator="greaterThan" aboveAverage="0" equalAverage="0" bottom="0" percent="0" rank="0" text="" dxfId="7">
      <formula>0</formula>
    </cfRule>
  </conditionalFormatting>
  <conditionalFormatting sqref="F851">
    <cfRule type="cellIs" priority="2538" operator="greaterThan" aboveAverage="0" equalAverage="0" bottom="0" percent="0" rank="0" text="" dxfId="7">
      <formula>0</formula>
    </cfRule>
  </conditionalFormatting>
  <conditionalFormatting sqref="I851">
    <cfRule type="cellIs" priority="2539" operator="lessThan" aboveAverage="0" equalAverage="0" bottom="0" percent="0" rank="0" text="" dxfId="8">
      <formula>0</formula>
    </cfRule>
  </conditionalFormatting>
  <conditionalFormatting sqref="E852">
    <cfRule type="cellIs" priority="2540" operator="greaterThan" aboveAverage="0" equalAverage="0" bottom="0" percent="0" rank="0" text="" dxfId="7">
      <formula>0</formula>
    </cfRule>
  </conditionalFormatting>
  <conditionalFormatting sqref="F852">
    <cfRule type="cellIs" priority="2541" operator="greaterThan" aboveAverage="0" equalAverage="0" bottom="0" percent="0" rank="0" text="" dxfId="7">
      <formula>0</formula>
    </cfRule>
  </conditionalFormatting>
  <conditionalFormatting sqref="I852">
    <cfRule type="cellIs" priority="2542" operator="lessThan" aboveAverage="0" equalAverage="0" bottom="0" percent="0" rank="0" text="" dxfId="8">
      <formula>0</formula>
    </cfRule>
  </conditionalFormatting>
  <conditionalFormatting sqref="E853">
    <cfRule type="cellIs" priority="2543" operator="greaterThan" aboveAverage="0" equalAverage="0" bottom="0" percent="0" rank="0" text="" dxfId="7">
      <formula>0</formula>
    </cfRule>
  </conditionalFormatting>
  <conditionalFormatting sqref="F853">
    <cfRule type="cellIs" priority="2544" operator="greaterThan" aboveAverage="0" equalAverage="0" bottom="0" percent="0" rank="0" text="" dxfId="7">
      <formula>0</formula>
    </cfRule>
  </conditionalFormatting>
  <conditionalFormatting sqref="I853">
    <cfRule type="cellIs" priority="2545" operator="lessThan" aboveAverage="0" equalAverage="0" bottom="0" percent="0" rank="0" text="" dxfId="8">
      <formula>0</formula>
    </cfRule>
  </conditionalFormatting>
  <conditionalFormatting sqref="E854">
    <cfRule type="cellIs" priority="2546" operator="greaterThan" aboveAverage="0" equalAverage="0" bottom="0" percent="0" rank="0" text="" dxfId="7">
      <formula>0</formula>
    </cfRule>
  </conditionalFormatting>
  <conditionalFormatting sqref="F854">
    <cfRule type="cellIs" priority="2547" operator="greaterThan" aboveAverage="0" equalAverage="0" bottom="0" percent="0" rank="0" text="" dxfId="7">
      <formula>0</formula>
    </cfRule>
  </conditionalFormatting>
  <conditionalFormatting sqref="I854">
    <cfRule type="cellIs" priority="2548" operator="lessThan" aboveAverage="0" equalAverage="0" bottom="0" percent="0" rank="0" text="" dxfId="8">
      <formula>0</formula>
    </cfRule>
  </conditionalFormatting>
  <conditionalFormatting sqref="E855">
    <cfRule type="cellIs" priority="2549" operator="greaterThan" aboveAverage="0" equalAverage="0" bottom="0" percent="0" rank="0" text="" dxfId="7">
      <formula>0</formula>
    </cfRule>
  </conditionalFormatting>
  <conditionalFormatting sqref="F855">
    <cfRule type="cellIs" priority="2550" operator="greaterThan" aboveAverage="0" equalAverage="0" bottom="0" percent="0" rank="0" text="" dxfId="7">
      <formula>0</formula>
    </cfRule>
  </conditionalFormatting>
  <conditionalFormatting sqref="I855">
    <cfRule type="cellIs" priority="2551" operator="lessThan" aboveAverage="0" equalAverage="0" bottom="0" percent="0" rank="0" text="" dxfId="8">
      <formula>0</formula>
    </cfRule>
  </conditionalFormatting>
  <conditionalFormatting sqref="E856">
    <cfRule type="cellIs" priority="2552" operator="greaterThan" aboveAverage="0" equalAverage="0" bottom="0" percent="0" rank="0" text="" dxfId="7">
      <formula>0</formula>
    </cfRule>
  </conditionalFormatting>
  <conditionalFormatting sqref="F856">
    <cfRule type="cellIs" priority="2553" operator="greaterThan" aboveAverage="0" equalAverage="0" bottom="0" percent="0" rank="0" text="" dxfId="7">
      <formula>0</formula>
    </cfRule>
  </conditionalFormatting>
  <conditionalFormatting sqref="I856">
    <cfRule type="cellIs" priority="2554" operator="lessThan" aboveAverage="0" equalAverage="0" bottom="0" percent="0" rank="0" text="" dxfId="8">
      <formula>0</formula>
    </cfRule>
  </conditionalFormatting>
  <conditionalFormatting sqref="E857">
    <cfRule type="cellIs" priority="2555" operator="greaterThan" aboveAverage="0" equalAverage="0" bottom="0" percent="0" rank="0" text="" dxfId="7">
      <formula>0</formula>
    </cfRule>
  </conditionalFormatting>
  <conditionalFormatting sqref="F857">
    <cfRule type="cellIs" priority="2556" operator="greaterThan" aboveAverage="0" equalAverage="0" bottom="0" percent="0" rank="0" text="" dxfId="7">
      <formula>0</formula>
    </cfRule>
  </conditionalFormatting>
  <conditionalFormatting sqref="I857">
    <cfRule type="cellIs" priority="2557" operator="lessThan" aboveAverage="0" equalAverage="0" bottom="0" percent="0" rank="0" text="" dxfId="8">
      <formula>0</formula>
    </cfRule>
  </conditionalFormatting>
  <conditionalFormatting sqref="E858">
    <cfRule type="cellIs" priority="2558" operator="greaterThan" aboveAverage="0" equalAverage="0" bottom="0" percent="0" rank="0" text="" dxfId="7">
      <formula>0</formula>
    </cfRule>
  </conditionalFormatting>
  <conditionalFormatting sqref="F858">
    <cfRule type="cellIs" priority="2559" operator="greaterThan" aboveAverage="0" equalAverage="0" bottom="0" percent="0" rank="0" text="" dxfId="7">
      <formula>0</formula>
    </cfRule>
  </conditionalFormatting>
  <conditionalFormatting sqref="I858">
    <cfRule type="cellIs" priority="2560" operator="lessThan" aboveAverage="0" equalAverage="0" bottom="0" percent="0" rank="0" text="" dxfId="8">
      <formula>0</formula>
    </cfRule>
  </conditionalFormatting>
  <conditionalFormatting sqref="E859">
    <cfRule type="cellIs" priority="2561" operator="greaterThan" aboveAverage="0" equalAverage="0" bottom="0" percent="0" rank="0" text="" dxfId="7">
      <formula>0</formula>
    </cfRule>
  </conditionalFormatting>
  <conditionalFormatting sqref="F859">
    <cfRule type="cellIs" priority="2562" operator="greaterThan" aboveAverage="0" equalAverage="0" bottom="0" percent="0" rank="0" text="" dxfId="7">
      <formula>0</formula>
    </cfRule>
  </conditionalFormatting>
  <conditionalFormatting sqref="I859">
    <cfRule type="cellIs" priority="2563" operator="lessThan" aboveAverage="0" equalAverage="0" bottom="0" percent="0" rank="0" text="" dxfId="8">
      <formula>0</formula>
    </cfRule>
  </conditionalFormatting>
  <conditionalFormatting sqref="E860">
    <cfRule type="cellIs" priority="2564" operator="greaterThan" aboveAverage="0" equalAverage="0" bottom="0" percent="0" rank="0" text="" dxfId="7">
      <formula>0</formula>
    </cfRule>
  </conditionalFormatting>
  <conditionalFormatting sqref="F860">
    <cfRule type="cellIs" priority="2565" operator="greaterThan" aboveAverage="0" equalAverage="0" bottom="0" percent="0" rank="0" text="" dxfId="7">
      <formula>0</formula>
    </cfRule>
  </conditionalFormatting>
  <conditionalFormatting sqref="I860">
    <cfRule type="cellIs" priority="2566" operator="lessThan" aboveAverage="0" equalAverage="0" bottom="0" percent="0" rank="0" text="" dxfId="8">
      <formula>0</formula>
    </cfRule>
  </conditionalFormatting>
  <conditionalFormatting sqref="E861">
    <cfRule type="cellIs" priority="2567" operator="greaterThan" aboveAverage="0" equalAverage="0" bottom="0" percent="0" rank="0" text="" dxfId="7">
      <formula>0</formula>
    </cfRule>
  </conditionalFormatting>
  <conditionalFormatting sqref="F861">
    <cfRule type="cellIs" priority="2568" operator="greaterThan" aboveAverage="0" equalAverage="0" bottom="0" percent="0" rank="0" text="" dxfId="7">
      <formula>0</formula>
    </cfRule>
  </conditionalFormatting>
  <conditionalFormatting sqref="I861">
    <cfRule type="cellIs" priority="2569" operator="lessThan" aboveAverage="0" equalAverage="0" bottom="0" percent="0" rank="0" text="" dxfId="8">
      <formula>0</formula>
    </cfRule>
  </conditionalFormatting>
  <conditionalFormatting sqref="E862">
    <cfRule type="cellIs" priority="2570" operator="greaterThan" aboveAverage="0" equalAverage="0" bottom="0" percent="0" rank="0" text="" dxfId="7">
      <formula>0</formula>
    </cfRule>
  </conditionalFormatting>
  <conditionalFormatting sqref="F862">
    <cfRule type="cellIs" priority="2571" operator="greaterThan" aboveAverage="0" equalAverage="0" bottom="0" percent="0" rank="0" text="" dxfId="7">
      <formula>0</formula>
    </cfRule>
  </conditionalFormatting>
  <conditionalFormatting sqref="I862">
    <cfRule type="cellIs" priority="2572" operator="lessThan" aboveAverage="0" equalAverage="0" bottom="0" percent="0" rank="0" text="" dxfId="8">
      <formula>0</formula>
    </cfRule>
  </conditionalFormatting>
  <conditionalFormatting sqref="E863">
    <cfRule type="cellIs" priority="2573" operator="greaterThan" aboveAverage="0" equalAverage="0" bottom="0" percent="0" rank="0" text="" dxfId="7">
      <formula>0</formula>
    </cfRule>
  </conditionalFormatting>
  <conditionalFormatting sqref="F863">
    <cfRule type="cellIs" priority="2574" operator="greaterThan" aboveAverage="0" equalAverage="0" bottom="0" percent="0" rank="0" text="" dxfId="7">
      <formula>0</formula>
    </cfRule>
  </conditionalFormatting>
  <conditionalFormatting sqref="I863">
    <cfRule type="cellIs" priority="2575" operator="lessThan" aboveAverage="0" equalAverage="0" bottom="0" percent="0" rank="0" text="" dxfId="8">
      <formula>0</formula>
    </cfRule>
  </conditionalFormatting>
  <conditionalFormatting sqref="E864">
    <cfRule type="cellIs" priority="2576" operator="greaterThan" aboveAverage="0" equalAverage="0" bottom="0" percent="0" rank="0" text="" dxfId="7">
      <formula>0</formula>
    </cfRule>
  </conditionalFormatting>
  <conditionalFormatting sqref="F864">
    <cfRule type="cellIs" priority="2577" operator="greaterThan" aboveAverage="0" equalAverage="0" bottom="0" percent="0" rank="0" text="" dxfId="7">
      <formula>0</formula>
    </cfRule>
  </conditionalFormatting>
  <conditionalFormatting sqref="I864">
    <cfRule type="cellIs" priority="2578" operator="lessThan" aboveAverage="0" equalAverage="0" bottom="0" percent="0" rank="0" text="" dxfId="8">
      <formula>0</formula>
    </cfRule>
  </conditionalFormatting>
  <conditionalFormatting sqref="E865">
    <cfRule type="cellIs" priority="2579" operator="greaterThan" aboveAverage="0" equalAverage="0" bottom="0" percent="0" rank="0" text="" dxfId="7">
      <formula>0</formula>
    </cfRule>
  </conditionalFormatting>
  <conditionalFormatting sqref="F865">
    <cfRule type="cellIs" priority="2580" operator="greaterThan" aboveAverage="0" equalAverage="0" bottom="0" percent="0" rank="0" text="" dxfId="7">
      <formula>0</formula>
    </cfRule>
  </conditionalFormatting>
  <conditionalFormatting sqref="I865">
    <cfRule type="cellIs" priority="2581" operator="lessThan" aboveAverage="0" equalAverage="0" bottom="0" percent="0" rank="0" text="" dxfId="8">
      <formula>0</formula>
    </cfRule>
  </conditionalFormatting>
  <conditionalFormatting sqref="E866">
    <cfRule type="cellIs" priority="2582" operator="greaterThan" aboveAverage="0" equalAverage="0" bottom="0" percent="0" rank="0" text="" dxfId="7">
      <formula>0</formula>
    </cfRule>
  </conditionalFormatting>
  <conditionalFormatting sqref="F866">
    <cfRule type="cellIs" priority="2583" operator="greaterThan" aboveAverage="0" equalAverage="0" bottom="0" percent="0" rank="0" text="" dxfId="7">
      <formula>0</formula>
    </cfRule>
  </conditionalFormatting>
  <conditionalFormatting sqref="I866">
    <cfRule type="cellIs" priority="2584" operator="lessThan" aboveAverage="0" equalAverage="0" bottom="0" percent="0" rank="0" text="" dxfId="8">
      <formula>0</formula>
    </cfRule>
  </conditionalFormatting>
  <conditionalFormatting sqref="E867">
    <cfRule type="cellIs" priority="2585" operator="greaterThan" aboveAverage="0" equalAverage="0" bottom="0" percent="0" rank="0" text="" dxfId="7">
      <formula>0</formula>
    </cfRule>
  </conditionalFormatting>
  <conditionalFormatting sqref="F867">
    <cfRule type="cellIs" priority="2586" operator="greaterThan" aboveAverage="0" equalAverage="0" bottom="0" percent="0" rank="0" text="" dxfId="7">
      <formula>0</formula>
    </cfRule>
  </conditionalFormatting>
  <conditionalFormatting sqref="I867">
    <cfRule type="cellIs" priority="2587" operator="lessThan" aboveAverage="0" equalAverage="0" bottom="0" percent="0" rank="0" text="" dxfId="8">
      <formula>0</formula>
    </cfRule>
  </conditionalFormatting>
  <conditionalFormatting sqref="E868">
    <cfRule type="cellIs" priority="2588" operator="greaterThan" aboveAverage="0" equalAverage="0" bottom="0" percent="0" rank="0" text="" dxfId="7">
      <formula>0</formula>
    </cfRule>
  </conditionalFormatting>
  <conditionalFormatting sqref="F868">
    <cfRule type="cellIs" priority="2589" operator="greaterThan" aboveAverage="0" equalAverage="0" bottom="0" percent="0" rank="0" text="" dxfId="7">
      <formula>0</formula>
    </cfRule>
  </conditionalFormatting>
  <conditionalFormatting sqref="I868">
    <cfRule type="cellIs" priority="2590" operator="lessThan" aboveAverage="0" equalAverage="0" bottom="0" percent="0" rank="0" text="" dxfId="8">
      <formula>0</formula>
    </cfRule>
  </conditionalFormatting>
  <conditionalFormatting sqref="E869">
    <cfRule type="cellIs" priority="2591" operator="greaterThan" aboveAverage="0" equalAverage="0" bottom="0" percent="0" rank="0" text="" dxfId="7">
      <formula>0</formula>
    </cfRule>
  </conditionalFormatting>
  <conditionalFormatting sqref="F869">
    <cfRule type="cellIs" priority="2592" operator="greaterThan" aboveAverage="0" equalAverage="0" bottom="0" percent="0" rank="0" text="" dxfId="7">
      <formula>0</formula>
    </cfRule>
  </conditionalFormatting>
  <conditionalFormatting sqref="I869">
    <cfRule type="cellIs" priority="2593" operator="lessThan" aboveAverage="0" equalAverage="0" bottom="0" percent="0" rank="0" text="" dxfId="8">
      <formula>0</formula>
    </cfRule>
  </conditionalFormatting>
  <conditionalFormatting sqref="E870">
    <cfRule type="cellIs" priority="2594" operator="greaterThan" aboveAverage="0" equalAverage="0" bottom="0" percent="0" rank="0" text="" dxfId="7">
      <formula>0</formula>
    </cfRule>
  </conditionalFormatting>
  <conditionalFormatting sqref="F870">
    <cfRule type="cellIs" priority="2595" operator="greaterThan" aboveAverage="0" equalAverage="0" bottom="0" percent="0" rank="0" text="" dxfId="7">
      <formula>0</formula>
    </cfRule>
  </conditionalFormatting>
  <conditionalFormatting sqref="I870">
    <cfRule type="cellIs" priority="2596" operator="lessThan" aboveAverage="0" equalAverage="0" bottom="0" percent="0" rank="0" text="" dxfId="8">
      <formula>0</formula>
    </cfRule>
  </conditionalFormatting>
  <conditionalFormatting sqref="E871">
    <cfRule type="cellIs" priority="2597" operator="greaterThan" aboveAverage="0" equalAverage="0" bottom="0" percent="0" rank="0" text="" dxfId="7">
      <formula>0</formula>
    </cfRule>
  </conditionalFormatting>
  <conditionalFormatting sqref="F871">
    <cfRule type="cellIs" priority="2598" operator="greaterThan" aboveAverage="0" equalAverage="0" bottom="0" percent="0" rank="0" text="" dxfId="7">
      <formula>0</formula>
    </cfRule>
  </conditionalFormatting>
  <conditionalFormatting sqref="I871">
    <cfRule type="cellIs" priority="2599" operator="lessThan" aboveAverage="0" equalAverage="0" bottom="0" percent="0" rank="0" text="" dxfId="8">
      <formula>0</formula>
    </cfRule>
  </conditionalFormatting>
  <conditionalFormatting sqref="E872">
    <cfRule type="cellIs" priority="2600" operator="greaterThan" aboveAverage="0" equalAverage="0" bottom="0" percent="0" rank="0" text="" dxfId="7">
      <formula>0</formula>
    </cfRule>
  </conditionalFormatting>
  <conditionalFormatting sqref="F872">
    <cfRule type="cellIs" priority="2601" operator="greaterThan" aboveAverage="0" equalAverage="0" bottom="0" percent="0" rank="0" text="" dxfId="7">
      <formula>0</formula>
    </cfRule>
  </conditionalFormatting>
  <conditionalFormatting sqref="I872">
    <cfRule type="cellIs" priority="2602" operator="lessThan" aboveAverage="0" equalAverage="0" bottom="0" percent="0" rank="0" text="" dxfId="8">
      <formula>0</formula>
    </cfRule>
  </conditionalFormatting>
  <conditionalFormatting sqref="E873">
    <cfRule type="cellIs" priority="2603" operator="greaterThan" aboveAverage="0" equalAverage="0" bottom="0" percent="0" rank="0" text="" dxfId="7">
      <formula>0</formula>
    </cfRule>
  </conditionalFormatting>
  <conditionalFormatting sqref="F873">
    <cfRule type="cellIs" priority="2604" operator="greaterThan" aboveAverage="0" equalAverage="0" bottom="0" percent="0" rank="0" text="" dxfId="7">
      <formula>0</formula>
    </cfRule>
  </conditionalFormatting>
  <conditionalFormatting sqref="I873">
    <cfRule type="cellIs" priority="2605" operator="lessThan" aboveAverage="0" equalAverage="0" bottom="0" percent="0" rank="0" text="" dxfId="8">
      <formula>0</formula>
    </cfRule>
  </conditionalFormatting>
  <conditionalFormatting sqref="E874">
    <cfRule type="cellIs" priority="2606" operator="greaterThan" aboveAverage="0" equalAverage="0" bottom="0" percent="0" rank="0" text="" dxfId="7">
      <formula>0</formula>
    </cfRule>
  </conditionalFormatting>
  <conditionalFormatting sqref="F874">
    <cfRule type="cellIs" priority="2607" operator="greaterThan" aboveAverage="0" equalAverage="0" bottom="0" percent="0" rank="0" text="" dxfId="7">
      <formula>0</formula>
    </cfRule>
  </conditionalFormatting>
  <conditionalFormatting sqref="I874">
    <cfRule type="cellIs" priority="2608" operator="lessThan" aboveAverage="0" equalAverage="0" bottom="0" percent="0" rank="0" text="" dxfId="8">
      <formula>0</formula>
    </cfRule>
  </conditionalFormatting>
  <conditionalFormatting sqref="E875">
    <cfRule type="cellIs" priority="2609" operator="greaterThan" aboveAverage="0" equalAverage="0" bottom="0" percent="0" rank="0" text="" dxfId="7">
      <formula>0</formula>
    </cfRule>
  </conditionalFormatting>
  <conditionalFormatting sqref="F875">
    <cfRule type="cellIs" priority="2610" operator="greaterThan" aboveAverage="0" equalAverage="0" bottom="0" percent="0" rank="0" text="" dxfId="7">
      <formula>0</formula>
    </cfRule>
  </conditionalFormatting>
  <conditionalFormatting sqref="I875">
    <cfRule type="cellIs" priority="2611" operator="lessThan" aboveAverage="0" equalAverage="0" bottom="0" percent="0" rank="0" text="" dxfId="8">
      <formula>0</formula>
    </cfRule>
  </conditionalFormatting>
  <conditionalFormatting sqref="E876">
    <cfRule type="cellIs" priority="2612" operator="greaterThan" aboveAverage="0" equalAverage="0" bottom="0" percent="0" rank="0" text="" dxfId="7">
      <formula>0</formula>
    </cfRule>
  </conditionalFormatting>
  <conditionalFormatting sqref="F876">
    <cfRule type="cellIs" priority="2613" operator="greaterThan" aboveAverage="0" equalAverage="0" bottom="0" percent="0" rank="0" text="" dxfId="7">
      <formula>0</formula>
    </cfRule>
  </conditionalFormatting>
  <conditionalFormatting sqref="I876">
    <cfRule type="cellIs" priority="2614" operator="lessThan" aboveAverage="0" equalAverage="0" bottom="0" percent="0" rank="0" text="" dxfId="8">
      <formula>0</formula>
    </cfRule>
  </conditionalFormatting>
  <conditionalFormatting sqref="E877">
    <cfRule type="cellIs" priority="2615" operator="greaterThan" aboveAverage="0" equalAverage="0" bottom="0" percent="0" rank="0" text="" dxfId="7">
      <formula>0</formula>
    </cfRule>
  </conditionalFormatting>
  <conditionalFormatting sqref="F877">
    <cfRule type="cellIs" priority="2616" operator="greaterThan" aboveAverage="0" equalAverage="0" bottom="0" percent="0" rank="0" text="" dxfId="7">
      <formula>0</formula>
    </cfRule>
  </conditionalFormatting>
  <conditionalFormatting sqref="I877">
    <cfRule type="cellIs" priority="2617" operator="lessThan" aboveAverage="0" equalAverage="0" bottom="0" percent="0" rank="0" text="" dxfId="8">
      <formula>0</formula>
    </cfRule>
  </conditionalFormatting>
  <conditionalFormatting sqref="E878">
    <cfRule type="cellIs" priority="2618" operator="greaterThan" aboveAverage="0" equalAverage="0" bottom="0" percent="0" rank="0" text="" dxfId="7">
      <formula>0</formula>
    </cfRule>
  </conditionalFormatting>
  <conditionalFormatting sqref="F878">
    <cfRule type="cellIs" priority="2619" operator="greaterThan" aboveAverage="0" equalAverage="0" bottom="0" percent="0" rank="0" text="" dxfId="7">
      <formula>0</formula>
    </cfRule>
  </conditionalFormatting>
  <conditionalFormatting sqref="I878">
    <cfRule type="cellIs" priority="2620" operator="lessThan" aboveAverage="0" equalAverage="0" bottom="0" percent="0" rank="0" text="" dxfId="8">
      <formula>0</formula>
    </cfRule>
  </conditionalFormatting>
  <conditionalFormatting sqref="E879">
    <cfRule type="cellIs" priority="2621" operator="greaterThan" aboveAverage="0" equalAverage="0" bottom="0" percent="0" rank="0" text="" dxfId="7">
      <formula>0</formula>
    </cfRule>
  </conditionalFormatting>
  <conditionalFormatting sqref="F879">
    <cfRule type="cellIs" priority="2622" operator="greaterThan" aboveAverage="0" equalAverage="0" bottom="0" percent="0" rank="0" text="" dxfId="7">
      <formula>0</formula>
    </cfRule>
  </conditionalFormatting>
  <conditionalFormatting sqref="I879">
    <cfRule type="cellIs" priority="2623" operator="lessThan" aboveAverage="0" equalAverage="0" bottom="0" percent="0" rank="0" text="" dxfId="8">
      <formula>0</formula>
    </cfRule>
  </conditionalFormatting>
  <conditionalFormatting sqref="E880">
    <cfRule type="cellIs" priority="2624" operator="greaterThan" aboveAverage="0" equalAverage="0" bottom="0" percent="0" rank="0" text="" dxfId="7">
      <formula>0</formula>
    </cfRule>
  </conditionalFormatting>
  <conditionalFormatting sqref="F880">
    <cfRule type="cellIs" priority="2625" operator="greaterThan" aboveAverage="0" equalAverage="0" bottom="0" percent="0" rank="0" text="" dxfId="7">
      <formula>0</formula>
    </cfRule>
  </conditionalFormatting>
  <conditionalFormatting sqref="I880">
    <cfRule type="cellIs" priority="2626" operator="lessThan" aboveAverage="0" equalAverage="0" bottom="0" percent="0" rank="0" text="" dxfId="8">
      <formula>0</formula>
    </cfRule>
  </conditionalFormatting>
  <conditionalFormatting sqref="E881">
    <cfRule type="cellIs" priority="2627" operator="greaterThan" aboveAverage="0" equalAverage="0" bottom="0" percent="0" rank="0" text="" dxfId="7">
      <formula>0</formula>
    </cfRule>
  </conditionalFormatting>
  <conditionalFormatting sqref="F881">
    <cfRule type="cellIs" priority="2628" operator="greaterThan" aboveAverage="0" equalAverage="0" bottom="0" percent="0" rank="0" text="" dxfId="7">
      <formula>0</formula>
    </cfRule>
  </conditionalFormatting>
  <conditionalFormatting sqref="I881">
    <cfRule type="cellIs" priority="2629" operator="lessThan" aboveAverage="0" equalAverage="0" bottom="0" percent="0" rank="0" text="" dxfId="8">
      <formula>0</formula>
    </cfRule>
  </conditionalFormatting>
  <conditionalFormatting sqref="E882">
    <cfRule type="cellIs" priority="2630" operator="greaterThan" aboveAverage="0" equalAverage="0" bottom="0" percent="0" rank="0" text="" dxfId="7">
      <formula>0</formula>
    </cfRule>
  </conditionalFormatting>
  <conditionalFormatting sqref="F882">
    <cfRule type="cellIs" priority="2631" operator="greaterThan" aboveAverage="0" equalAverage="0" bottom="0" percent="0" rank="0" text="" dxfId="7">
      <formula>0</formula>
    </cfRule>
  </conditionalFormatting>
  <conditionalFormatting sqref="I882">
    <cfRule type="cellIs" priority="2632" operator="lessThan" aboveAverage="0" equalAverage="0" bottom="0" percent="0" rank="0" text="" dxfId="8">
      <formula>0</formula>
    </cfRule>
  </conditionalFormatting>
  <conditionalFormatting sqref="E883">
    <cfRule type="cellIs" priority="2633" operator="greaterThan" aboveAverage="0" equalAverage="0" bottom="0" percent="0" rank="0" text="" dxfId="7">
      <formula>0</formula>
    </cfRule>
  </conditionalFormatting>
  <conditionalFormatting sqref="F883">
    <cfRule type="cellIs" priority="2634" operator="greaterThan" aboveAverage="0" equalAverage="0" bottom="0" percent="0" rank="0" text="" dxfId="7">
      <formula>0</formula>
    </cfRule>
  </conditionalFormatting>
  <conditionalFormatting sqref="I883">
    <cfRule type="cellIs" priority="2635" operator="lessThan" aboveAverage="0" equalAverage="0" bottom="0" percent="0" rank="0" text="" dxfId="8">
      <formula>0</formula>
    </cfRule>
  </conditionalFormatting>
  <conditionalFormatting sqref="E884">
    <cfRule type="cellIs" priority="2636" operator="greaterThan" aboveAverage="0" equalAverage="0" bottom="0" percent="0" rank="0" text="" dxfId="7">
      <formula>0</formula>
    </cfRule>
  </conditionalFormatting>
  <conditionalFormatting sqref="F884">
    <cfRule type="cellIs" priority="2637" operator="greaterThan" aboveAverage="0" equalAverage="0" bottom="0" percent="0" rank="0" text="" dxfId="7">
      <formula>0</formula>
    </cfRule>
  </conditionalFormatting>
  <conditionalFormatting sqref="I884">
    <cfRule type="cellIs" priority="2638" operator="lessThan" aboveAverage="0" equalAverage="0" bottom="0" percent="0" rank="0" text="" dxfId="8">
      <formula>0</formula>
    </cfRule>
  </conditionalFormatting>
  <conditionalFormatting sqref="E885">
    <cfRule type="cellIs" priority="2639" operator="greaterThan" aboveAverage="0" equalAverage="0" bottom="0" percent="0" rank="0" text="" dxfId="7">
      <formula>0</formula>
    </cfRule>
  </conditionalFormatting>
  <conditionalFormatting sqref="F885">
    <cfRule type="cellIs" priority="2640" operator="greaterThan" aboveAverage="0" equalAverage="0" bottom="0" percent="0" rank="0" text="" dxfId="7">
      <formula>0</formula>
    </cfRule>
  </conditionalFormatting>
  <conditionalFormatting sqref="I885">
    <cfRule type="cellIs" priority="2641" operator="lessThan" aboveAverage="0" equalAverage="0" bottom="0" percent="0" rank="0" text="" dxfId="8">
      <formula>0</formula>
    </cfRule>
  </conditionalFormatting>
  <conditionalFormatting sqref="E886">
    <cfRule type="cellIs" priority="2642" operator="greaterThan" aboveAverage="0" equalAverage="0" bottom="0" percent="0" rank="0" text="" dxfId="7">
      <formula>0</formula>
    </cfRule>
  </conditionalFormatting>
  <conditionalFormatting sqref="F886">
    <cfRule type="cellIs" priority="2643" operator="greaterThan" aboveAverage="0" equalAverage="0" bottom="0" percent="0" rank="0" text="" dxfId="7">
      <formula>0</formula>
    </cfRule>
  </conditionalFormatting>
  <conditionalFormatting sqref="I886">
    <cfRule type="cellIs" priority="2644" operator="lessThan" aboveAverage="0" equalAverage="0" bottom="0" percent="0" rank="0" text="" dxfId="8">
      <formula>0</formula>
    </cfRule>
  </conditionalFormatting>
  <conditionalFormatting sqref="E887">
    <cfRule type="cellIs" priority="2645" operator="greaterThan" aboveAverage="0" equalAverage="0" bottom="0" percent="0" rank="0" text="" dxfId="7">
      <formula>0</formula>
    </cfRule>
  </conditionalFormatting>
  <conditionalFormatting sqref="F887">
    <cfRule type="cellIs" priority="2646" operator="greaterThan" aboveAverage="0" equalAverage="0" bottom="0" percent="0" rank="0" text="" dxfId="7">
      <formula>0</formula>
    </cfRule>
  </conditionalFormatting>
  <conditionalFormatting sqref="I887">
    <cfRule type="cellIs" priority="2647" operator="lessThan" aboveAverage="0" equalAverage="0" bottom="0" percent="0" rank="0" text="" dxfId="8">
      <formula>0</formula>
    </cfRule>
  </conditionalFormatting>
  <conditionalFormatting sqref="E888">
    <cfRule type="cellIs" priority="2648" operator="greaterThan" aboveAverage="0" equalAverage="0" bottom="0" percent="0" rank="0" text="" dxfId="7">
      <formula>0</formula>
    </cfRule>
  </conditionalFormatting>
  <conditionalFormatting sqref="F888">
    <cfRule type="cellIs" priority="2649" operator="greaterThan" aboveAverage="0" equalAverage="0" bottom="0" percent="0" rank="0" text="" dxfId="7">
      <formula>0</formula>
    </cfRule>
  </conditionalFormatting>
  <conditionalFormatting sqref="I888">
    <cfRule type="cellIs" priority="2650" operator="lessThan" aboveAverage="0" equalAverage="0" bottom="0" percent="0" rank="0" text="" dxfId="8">
      <formula>0</formula>
    </cfRule>
  </conditionalFormatting>
  <conditionalFormatting sqref="E889">
    <cfRule type="cellIs" priority="2651" operator="greaterThan" aboveAverage="0" equalAverage="0" bottom="0" percent="0" rank="0" text="" dxfId="7">
      <formula>0</formula>
    </cfRule>
  </conditionalFormatting>
  <conditionalFormatting sqref="F889">
    <cfRule type="cellIs" priority="2652" operator="greaterThan" aboveAverage="0" equalAverage="0" bottom="0" percent="0" rank="0" text="" dxfId="7">
      <formula>0</formula>
    </cfRule>
  </conditionalFormatting>
  <conditionalFormatting sqref="I889">
    <cfRule type="cellIs" priority="2653" operator="lessThan" aboveAverage="0" equalAverage="0" bottom="0" percent="0" rank="0" text="" dxfId="8">
      <formula>0</formula>
    </cfRule>
  </conditionalFormatting>
  <conditionalFormatting sqref="E890">
    <cfRule type="cellIs" priority="2654" operator="greaterThan" aboveAverage="0" equalAverage="0" bottom="0" percent="0" rank="0" text="" dxfId="7">
      <formula>0</formula>
    </cfRule>
  </conditionalFormatting>
  <conditionalFormatting sqref="F890">
    <cfRule type="cellIs" priority="2655" operator="greaterThan" aboveAverage="0" equalAverage="0" bottom="0" percent="0" rank="0" text="" dxfId="7">
      <formula>0</formula>
    </cfRule>
  </conditionalFormatting>
  <conditionalFormatting sqref="I890">
    <cfRule type="cellIs" priority="2656" operator="lessThan" aboveAverage="0" equalAverage="0" bottom="0" percent="0" rank="0" text="" dxfId="8">
      <formula>0</formula>
    </cfRule>
  </conditionalFormatting>
  <conditionalFormatting sqref="E891">
    <cfRule type="cellIs" priority="2657" operator="greaterThan" aboveAverage="0" equalAverage="0" bottom="0" percent="0" rank="0" text="" dxfId="7">
      <formula>0</formula>
    </cfRule>
  </conditionalFormatting>
  <conditionalFormatting sqref="F891">
    <cfRule type="cellIs" priority="2658" operator="greaterThan" aboveAverage="0" equalAverage="0" bottom="0" percent="0" rank="0" text="" dxfId="7">
      <formula>0</formula>
    </cfRule>
  </conditionalFormatting>
  <conditionalFormatting sqref="I891">
    <cfRule type="cellIs" priority="2659" operator="lessThan" aboveAverage="0" equalAverage="0" bottom="0" percent="0" rank="0" text="" dxfId="8">
      <formula>0</formula>
    </cfRule>
  </conditionalFormatting>
  <conditionalFormatting sqref="E892">
    <cfRule type="cellIs" priority="2660" operator="greaterThan" aboveAverage="0" equalAverage="0" bottom="0" percent="0" rank="0" text="" dxfId="7">
      <formula>0</formula>
    </cfRule>
  </conditionalFormatting>
  <conditionalFormatting sqref="F892">
    <cfRule type="cellIs" priority="2661" operator="greaterThan" aboveAverage="0" equalAverage="0" bottom="0" percent="0" rank="0" text="" dxfId="7">
      <formula>0</formula>
    </cfRule>
  </conditionalFormatting>
  <conditionalFormatting sqref="I892">
    <cfRule type="cellIs" priority="2662" operator="lessThan" aboveAverage="0" equalAverage="0" bottom="0" percent="0" rank="0" text="" dxfId="8">
      <formula>0</formula>
    </cfRule>
  </conditionalFormatting>
  <conditionalFormatting sqref="E893">
    <cfRule type="cellIs" priority="2663" operator="greaterThan" aboveAverage="0" equalAverage="0" bottom="0" percent="0" rank="0" text="" dxfId="7">
      <formula>0</formula>
    </cfRule>
  </conditionalFormatting>
  <conditionalFormatting sqref="F893">
    <cfRule type="cellIs" priority="2664" operator="greaterThan" aboveAverage="0" equalAverage="0" bottom="0" percent="0" rank="0" text="" dxfId="7">
      <formula>0</formula>
    </cfRule>
  </conditionalFormatting>
  <conditionalFormatting sqref="I893">
    <cfRule type="cellIs" priority="2665" operator="lessThan" aboveAverage="0" equalAverage="0" bottom="0" percent="0" rank="0" text="" dxfId="8">
      <formula>0</formula>
    </cfRule>
  </conditionalFormatting>
  <conditionalFormatting sqref="E894">
    <cfRule type="cellIs" priority="2666" operator="greaterThan" aboveAverage="0" equalAverage="0" bottom="0" percent="0" rank="0" text="" dxfId="7">
      <formula>0</formula>
    </cfRule>
  </conditionalFormatting>
  <conditionalFormatting sqref="F894">
    <cfRule type="cellIs" priority="2667" operator="greaterThan" aboveAverage="0" equalAverage="0" bottom="0" percent="0" rank="0" text="" dxfId="7">
      <formula>0</formula>
    </cfRule>
  </conditionalFormatting>
  <conditionalFormatting sqref="I894">
    <cfRule type="cellIs" priority="2668" operator="lessThan" aboveAverage="0" equalAverage="0" bottom="0" percent="0" rank="0" text="" dxfId="8">
      <formula>0</formula>
    </cfRule>
  </conditionalFormatting>
  <conditionalFormatting sqref="E895">
    <cfRule type="cellIs" priority="2669" operator="greaterThan" aboveAverage="0" equalAverage="0" bottom="0" percent="0" rank="0" text="" dxfId="7">
      <formula>0</formula>
    </cfRule>
  </conditionalFormatting>
  <conditionalFormatting sqref="F895">
    <cfRule type="cellIs" priority="2670" operator="greaterThan" aboveAverage="0" equalAverage="0" bottom="0" percent="0" rank="0" text="" dxfId="7">
      <formula>0</formula>
    </cfRule>
  </conditionalFormatting>
  <conditionalFormatting sqref="I895">
    <cfRule type="cellIs" priority="2671" operator="lessThan" aboveAverage="0" equalAverage="0" bottom="0" percent="0" rank="0" text="" dxfId="8">
      <formula>0</formula>
    </cfRule>
  </conditionalFormatting>
  <conditionalFormatting sqref="E896">
    <cfRule type="cellIs" priority="2672" operator="greaterThan" aboveAverage="0" equalAverage="0" bottom="0" percent="0" rank="0" text="" dxfId="7">
      <formula>0</formula>
    </cfRule>
  </conditionalFormatting>
  <conditionalFormatting sqref="F896">
    <cfRule type="cellIs" priority="2673" operator="greaterThan" aboveAverage="0" equalAverage="0" bottom="0" percent="0" rank="0" text="" dxfId="7">
      <formula>0</formula>
    </cfRule>
  </conditionalFormatting>
  <conditionalFormatting sqref="I896">
    <cfRule type="cellIs" priority="2674" operator="lessThan" aboveAverage="0" equalAverage="0" bottom="0" percent="0" rank="0" text="" dxfId="8">
      <formula>0</formula>
    </cfRule>
  </conditionalFormatting>
  <conditionalFormatting sqref="E897">
    <cfRule type="cellIs" priority="2675" operator="greaterThan" aboveAverage="0" equalAverage="0" bottom="0" percent="0" rank="0" text="" dxfId="7">
      <formula>0</formula>
    </cfRule>
  </conditionalFormatting>
  <conditionalFormatting sqref="F897">
    <cfRule type="cellIs" priority="2676" operator="greaterThan" aboveAverage="0" equalAverage="0" bottom="0" percent="0" rank="0" text="" dxfId="7">
      <formula>0</formula>
    </cfRule>
  </conditionalFormatting>
  <conditionalFormatting sqref="I897">
    <cfRule type="cellIs" priority="2677" operator="lessThan" aboveAverage="0" equalAverage="0" bottom="0" percent="0" rank="0" text="" dxfId="8">
      <formula>0</formula>
    </cfRule>
  </conditionalFormatting>
  <conditionalFormatting sqref="E898">
    <cfRule type="cellIs" priority="2678" operator="greaterThan" aboveAverage="0" equalAverage="0" bottom="0" percent="0" rank="0" text="" dxfId="7">
      <formula>0</formula>
    </cfRule>
  </conditionalFormatting>
  <conditionalFormatting sqref="F898">
    <cfRule type="cellIs" priority="2679" operator="greaterThan" aboveAverage="0" equalAverage="0" bottom="0" percent="0" rank="0" text="" dxfId="7">
      <formula>0</formula>
    </cfRule>
  </conditionalFormatting>
  <conditionalFormatting sqref="I898">
    <cfRule type="cellIs" priority="2680" operator="lessThan" aboveAverage="0" equalAverage="0" bottom="0" percent="0" rank="0" text="" dxfId="8">
      <formula>0</formula>
    </cfRule>
  </conditionalFormatting>
  <conditionalFormatting sqref="E899">
    <cfRule type="cellIs" priority="2681" operator="greaterThan" aboveAverage="0" equalAverage="0" bottom="0" percent="0" rank="0" text="" dxfId="7">
      <formula>0</formula>
    </cfRule>
  </conditionalFormatting>
  <conditionalFormatting sqref="F899">
    <cfRule type="cellIs" priority="2682" operator="greaterThan" aboveAverage="0" equalAverage="0" bottom="0" percent="0" rank="0" text="" dxfId="7">
      <formula>0</formula>
    </cfRule>
  </conditionalFormatting>
  <conditionalFormatting sqref="I899">
    <cfRule type="cellIs" priority="2683" operator="lessThan" aboveAverage="0" equalAverage="0" bottom="0" percent="0" rank="0" text="" dxfId="8">
      <formula>0</formula>
    </cfRule>
  </conditionalFormatting>
  <conditionalFormatting sqref="E900">
    <cfRule type="cellIs" priority="2684" operator="greaterThan" aboveAverage="0" equalAverage="0" bottom="0" percent="0" rank="0" text="" dxfId="7">
      <formula>0</formula>
    </cfRule>
  </conditionalFormatting>
  <conditionalFormatting sqref="F900">
    <cfRule type="cellIs" priority="2685" operator="greaterThan" aboveAverage="0" equalAverage="0" bottom="0" percent="0" rank="0" text="" dxfId="7">
      <formula>0</formula>
    </cfRule>
  </conditionalFormatting>
  <conditionalFormatting sqref="I900">
    <cfRule type="cellIs" priority="2686" operator="lessThan" aboveAverage="0" equalAverage="0" bottom="0" percent="0" rank="0" text="" dxfId="8">
      <formula>0</formula>
    </cfRule>
  </conditionalFormatting>
  <conditionalFormatting sqref="E901">
    <cfRule type="cellIs" priority="2687" operator="greaterThan" aboveAverage="0" equalAverage="0" bottom="0" percent="0" rank="0" text="" dxfId="7">
      <formula>0</formula>
    </cfRule>
  </conditionalFormatting>
  <conditionalFormatting sqref="F901">
    <cfRule type="cellIs" priority="2688" operator="greaterThan" aboveAverage="0" equalAverage="0" bottom="0" percent="0" rank="0" text="" dxfId="7">
      <formula>0</formula>
    </cfRule>
  </conditionalFormatting>
  <conditionalFormatting sqref="I901">
    <cfRule type="cellIs" priority="2689" operator="lessThan" aboveAverage="0" equalAverage="0" bottom="0" percent="0" rank="0" text="" dxfId="8">
      <formula>0</formula>
    </cfRule>
  </conditionalFormatting>
  <conditionalFormatting sqref="E902">
    <cfRule type="cellIs" priority="2690" operator="greaterThan" aboveAverage="0" equalAverage="0" bottom="0" percent="0" rank="0" text="" dxfId="7">
      <formula>0</formula>
    </cfRule>
  </conditionalFormatting>
  <conditionalFormatting sqref="F902">
    <cfRule type="cellIs" priority="2691" operator="greaterThan" aboveAverage="0" equalAverage="0" bottom="0" percent="0" rank="0" text="" dxfId="7">
      <formula>0</formula>
    </cfRule>
  </conditionalFormatting>
  <conditionalFormatting sqref="I902">
    <cfRule type="cellIs" priority="2692" operator="lessThan" aboveAverage="0" equalAverage="0" bottom="0" percent="0" rank="0" text="" dxfId="8">
      <formula>0</formula>
    </cfRule>
  </conditionalFormatting>
  <conditionalFormatting sqref="E903">
    <cfRule type="cellIs" priority="2693" operator="greaterThan" aboveAverage="0" equalAverage="0" bottom="0" percent="0" rank="0" text="" dxfId="7">
      <formula>0</formula>
    </cfRule>
  </conditionalFormatting>
  <conditionalFormatting sqref="F903">
    <cfRule type="cellIs" priority="2694" operator="greaterThan" aboveAverage="0" equalAverage="0" bottom="0" percent="0" rank="0" text="" dxfId="7">
      <formula>0</formula>
    </cfRule>
  </conditionalFormatting>
  <conditionalFormatting sqref="I903">
    <cfRule type="cellIs" priority="2695" operator="lessThan" aboveAverage="0" equalAverage="0" bottom="0" percent="0" rank="0" text="" dxfId="8">
      <formula>0</formula>
    </cfRule>
  </conditionalFormatting>
  <conditionalFormatting sqref="E904">
    <cfRule type="cellIs" priority="2696" operator="greaterThan" aboveAverage="0" equalAverage="0" bottom="0" percent="0" rank="0" text="" dxfId="7">
      <formula>0</formula>
    </cfRule>
  </conditionalFormatting>
  <conditionalFormatting sqref="F904">
    <cfRule type="cellIs" priority="2697" operator="greaterThan" aboveAverage="0" equalAverage="0" bottom="0" percent="0" rank="0" text="" dxfId="7">
      <formula>0</formula>
    </cfRule>
  </conditionalFormatting>
  <conditionalFormatting sqref="I904">
    <cfRule type="cellIs" priority="2698" operator="lessThan" aboveAverage="0" equalAverage="0" bottom="0" percent="0" rank="0" text="" dxfId="8">
      <formula>0</formula>
    </cfRule>
  </conditionalFormatting>
  <conditionalFormatting sqref="E905">
    <cfRule type="cellIs" priority="2699" operator="greaterThan" aboveAverage="0" equalAverage="0" bottom="0" percent="0" rank="0" text="" dxfId="7">
      <formula>0</formula>
    </cfRule>
  </conditionalFormatting>
  <conditionalFormatting sqref="F905">
    <cfRule type="cellIs" priority="2700" operator="greaterThan" aboveAverage="0" equalAverage="0" bottom="0" percent="0" rank="0" text="" dxfId="7">
      <formula>0</formula>
    </cfRule>
  </conditionalFormatting>
  <conditionalFormatting sqref="I905">
    <cfRule type="cellIs" priority="2701" operator="lessThan" aboveAverage="0" equalAverage="0" bottom="0" percent="0" rank="0" text="" dxfId="8">
      <formula>0</formula>
    </cfRule>
  </conditionalFormatting>
  <conditionalFormatting sqref="E906">
    <cfRule type="cellIs" priority="2702" operator="greaterThan" aboveAverage="0" equalAverage="0" bottom="0" percent="0" rank="0" text="" dxfId="7">
      <formula>0</formula>
    </cfRule>
  </conditionalFormatting>
  <conditionalFormatting sqref="F906">
    <cfRule type="cellIs" priority="2703" operator="greaterThan" aboveAverage="0" equalAverage="0" bottom="0" percent="0" rank="0" text="" dxfId="7">
      <formula>0</formula>
    </cfRule>
  </conditionalFormatting>
  <conditionalFormatting sqref="I906">
    <cfRule type="cellIs" priority="2704" operator="lessThan" aboveAverage="0" equalAverage="0" bottom="0" percent="0" rank="0" text="" dxfId="8">
      <formula>0</formula>
    </cfRule>
  </conditionalFormatting>
  <conditionalFormatting sqref="E907">
    <cfRule type="cellIs" priority="2705" operator="greaterThan" aboveAverage="0" equalAverage="0" bottom="0" percent="0" rank="0" text="" dxfId="7">
      <formula>0</formula>
    </cfRule>
  </conditionalFormatting>
  <conditionalFormatting sqref="F907">
    <cfRule type="cellIs" priority="2706" operator="greaterThan" aboveAverage="0" equalAverage="0" bottom="0" percent="0" rank="0" text="" dxfId="7">
      <formula>0</formula>
    </cfRule>
  </conditionalFormatting>
  <conditionalFormatting sqref="I907">
    <cfRule type="cellIs" priority="2707" operator="lessThan" aboveAverage="0" equalAverage="0" bottom="0" percent="0" rank="0" text="" dxfId="8">
      <formula>0</formula>
    </cfRule>
  </conditionalFormatting>
  <conditionalFormatting sqref="E908">
    <cfRule type="cellIs" priority="2708" operator="greaterThan" aboveAverage="0" equalAverage="0" bottom="0" percent="0" rank="0" text="" dxfId="7">
      <formula>0</formula>
    </cfRule>
  </conditionalFormatting>
  <conditionalFormatting sqref="F908">
    <cfRule type="cellIs" priority="2709" operator="greaterThan" aboveAverage="0" equalAverage="0" bottom="0" percent="0" rank="0" text="" dxfId="7">
      <formula>0</formula>
    </cfRule>
  </conditionalFormatting>
  <conditionalFormatting sqref="I908">
    <cfRule type="cellIs" priority="2710" operator="lessThan" aboveAverage="0" equalAverage="0" bottom="0" percent="0" rank="0" text="" dxfId="8">
      <formula>0</formula>
    </cfRule>
  </conditionalFormatting>
  <conditionalFormatting sqref="E909">
    <cfRule type="cellIs" priority="2711" operator="greaterThan" aboveAverage="0" equalAverage="0" bottom="0" percent="0" rank="0" text="" dxfId="7">
      <formula>0</formula>
    </cfRule>
  </conditionalFormatting>
  <conditionalFormatting sqref="F909">
    <cfRule type="cellIs" priority="2712" operator="greaterThan" aboveAverage="0" equalAverage="0" bottom="0" percent="0" rank="0" text="" dxfId="7">
      <formula>0</formula>
    </cfRule>
  </conditionalFormatting>
  <conditionalFormatting sqref="I909">
    <cfRule type="cellIs" priority="2713" operator="lessThan" aboveAverage="0" equalAverage="0" bottom="0" percent="0" rank="0" text="" dxfId="8">
      <formula>0</formula>
    </cfRule>
  </conditionalFormatting>
  <conditionalFormatting sqref="E910">
    <cfRule type="cellIs" priority="2714" operator="greaterThan" aboveAverage="0" equalAverage="0" bottom="0" percent="0" rank="0" text="" dxfId="7">
      <formula>0</formula>
    </cfRule>
  </conditionalFormatting>
  <conditionalFormatting sqref="F910">
    <cfRule type="cellIs" priority="2715" operator="greaterThan" aboveAverage="0" equalAverage="0" bottom="0" percent="0" rank="0" text="" dxfId="7">
      <formula>0</formula>
    </cfRule>
  </conditionalFormatting>
  <conditionalFormatting sqref="I910">
    <cfRule type="cellIs" priority="2716" operator="lessThan" aboveAverage="0" equalAverage="0" bottom="0" percent="0" rank="0" text="" dxfId="8">
      <formula>0</formula>
    </cfRule>
  </conditionalFormatting>
  <conditionalFormatting sqref="E911">
    <cfRule type="cellIs" priority="2717" operator="greaterThan" aboveAverage="0" equalAverage="0" bottom="0" percent="0" rank="0" text="" dxfId="7">
      <formula>0</formula>
    </cfRule>
  </conditionalFormatting>
  <conditionalFormatting sqref="F911">
    <cfRule type="cellIs" priority="2718" operator="greaterThan" aboveAverage="0" equalAverage="0" bottom="0" percent="0" rank="0" text="" dxfId="7">
      <formula>0</formula>
    </cfRule>
  </conditionalFormatting>
  <conditionalFormatting sqref="I911">
    <cfRule type="cellIs" priority="2719" operator="lessThan" aboveAverage="0" equalAverage="0" bottom="0" percent="0" rank="0" text="" dxfId="8">
      <formula>0</formula>
    </cfRule>
  </conditionalFormatting>
  <conditionalFormatting sqref="E912">
    <cfRule type="cellIs" priority="2720" operator="greaterThan" aboveAverage="0" equalAverage="0" bottom="0" percent="0" rank="0" text="" dxfId="7">
      <formula>0</formula>
    </cfRule>
  </conditionalFormatting>
  <conditionalFormatting sqref="F912">
    <cfRule type="cellIs" priority="2721" operator="greaterThan" aboveAverage="0" equalAverage="0" bottom="0" percent="0" rank="0" text="" dxfId="7">
      <formula>0</formula>
    </cfRule>
  </conditionalFormatting>
  <conditionalFormatting sqref="I912">
    <cfRule type="cellIs" priority="2722" operator="lessThan" aboveAverage="0" equalAverage="0" bottom="0" percent="0" rank="0" text="" dxfId="8">
      <formula>0</formula>
    </cfRule>
  </conditionalFormatting>
  <conditionalFormatting sqref="E913">
    <cfRule type="cellIs" priority="2723" operator="greaterThan" aboveAverage="0" equalAverage="0" bottom="0" percent="0" rank="0" text="" dxfId="7">
      <formula>0</formula>
    </cfRule>
  </conditionalFormatting>
  <conditionalFormatting sqref="F913">
    <cfRule type="cellIs" priority="2724" operator="greaterThan" aboveAverage="0" equalAverage="0" bottom="0" percent="0" rank="0" text="" dxfId="7">
      <formula>0</formula>
    </cfRule>
  </conditionalFormatting>
  <conditionalFormatting sqref="I913">
    <cfRule type="cellIs" priority="2725" operator="lessThan" aboveAverage="0" equalAverage="0" bottom="0" percent="0" rank="0" text="" dxfId="8">
      <formula>0</formula>
    </cfRule>
  </conditionalFormatting>
  <conditionalFormatting sqref="E914">
    <cfRule type="cellIs" priority="2726" operator="greaterThan" aboveAverage="0" equalAverage="0" bottom="0" percent="0" rank="0" text="" dxfId="7">
      <formula>0</formula>
    </cfRule>
  </conditionalFormatting>
  <conditionalFormatting sqref="F914">
    <cfRule type="cellIs" priority="2727" operator="greaterThan" aboveAverage="0" equalAverage="0" bottom="0" percent="0" rank="0" text="" dxfId="7">
      <formula>0</formula>
    </cfRule>
  </conditionalFormatting>
  <conditionalFormatting sqref="I914">
    <cfRule type="cellIs" priority="2728" operator="lessThan" aboveAverage="0" equalAverage="0" bottom="0" percent="0" rank="0" text="" dxfId="8">
      <formula>0</formula>
    </cfRule>
  </conditionalFormatting>
  <conditionalFormatting sqref="E915">
    <cfRule type="cellIs" priority="2729" operator="greaterThan" aboveAverage="0" equalAverage="0" bottom="0" percent="0" rank="0" text="" dxfId="7">
      <formula>0</formula>
    </cfRule>
  </conditionalFormatting>
  <conditionalFormatting sqref="F915">
    <cfRule type="cellIs" priority="2730" operator="greaterThan" aboveAverage="0" equalAverage="0" bottom="0" percent="0" rank="0" text="" dxfId="7">
      <formula>0</formula>
    </cfRule>
  </conditionalFormatting>
  <conditionalFormatting sqref="I915">
    <cfRule type="cellIs" priority="2731" operator="lessThan" aboveAverage="0" equalAverage="0" bottom="0" percent="0" rank="0" text="" dxfId="8">
      <formula>0</formula>
    </cfRule>
  </conditionalFormatting>
  <conditionalFormatting sqref="E916">
    <cfRule type="cellIs" priority="2732" operator="greaterThan" aboveAverage="0" equalAverage="0" bottom="0" percent="0" rank="0" text="" dxfId="7">
      <formula>0</formula>
    </cfRule>
  </conditionalFormatting>
  <conditionalFormatting sqref="F916">
    <cfRule type="cellIs" priority="2733" operator="greaterThan" aboveAverage="0" equalAverage="0" bottom="0" percent="0" rank="0" text="" dxfId="7">
      <formula>0</formula>
    </cfRule>
  </conditionalFormatting>
  <conditionalFormatting sqref="I916">
    <cfRule type="cellIs" priority="2734" operator="lessThan" aboveAverage="0" equalAverage="0" bottom="0" percent="0" rank="0" text="" dxfId="8">
      <formula>0</formula>
    </cfRule>
  </conditionalFormatting>
  <conditionalFormatting sqref="E917">
    <cfRule type="cellIs" priority="2735" operator="greaterThan" aboveAverage="0" equalAverage="0" bottom="0" percent="0" rank="0" text="" dxfId="7">
      <formula>0</formula>
    </cfRule>
  </conditionalFormatting>
  <conditionalFormatting sqref="F917">
    <cfRule type="cellIs" priority="2736" operator="greaterThan" aboveAverage="0" equalAverage="0" bottom="0" percent="0" rank="0" text="" dxfId="7">
      <formula>0</formula>
    </cfRule>
  </conditionalFormatting>
  <conditionalFormatting sqref="I917">
    <cfRule type="cellIs" priority="2737" operator="lessThan" aboveAverage="0" equalAverage="0" bottom="0" percent="0" rank="0" text="" dxfId="8">
      <formula>0</formula>
    </cfRule>
  </conditionalFormatting>
  <conditionalFormatting sqref="E918">
    <cfRule type="cellIs" priority="2738" operator="greaterThan" aboveAverage="0" equalAverage="0" bottom="0" percent="0" rank="0" text="" dxfId="7">
      <formula>0</formula>
    </cfRule>
  </conditionalFormatting>
  <conditionalFormatting sqref="F918">
    <cfRule type="cellIs" priority="2739" operator="greaterThan" aboveAverage="0" equalAverage="0" bottom="0" percent="0" rank="0" text="" dxfId="7">
      <formula>0</formula>
    </cfRule>
  </conditionalFormatting>
  <conditionalFormatting sqref="I918">
    <cfRule type="cellIs" priority="2740" operator="lessThan" aboveAverage="0" equalAverage="0" bottom="0" percent="0" rank="0" text="" dxfId="8">
      <formula>0</formula>
    </cfRule>
  </conditionalFormatting>
  <conditionalFormatting sqref="E919">
    <cfRule type="cellIs" priority="2741" operator="greaterThan" aboveAverage="0" equalAverage="0" bottom="0" percent="0" rank="0" text="" dxfId="7">
      <formula>0</formula>
    </cfRule>
  </conditionalFormatting>
  <conditionalFormatting sqref="F919">
    <cfRule type="cellIs" priority="2742" operator="greaterThan" aboveAverage="0" equalAverage="0" bottom="0" percent="0" rank="0" text="" dxfId="7">
      <formula>0</formula>
    </cfRule>
  </conditionalFormatting>
  <conditionalFormatting sqref="I919">
    <cfRule type="cellIs" priority="2743" operator="lessThan" aboveAverage="0" equalAverage="0" bottom="0" percent="0" rank="0" text="" dxfId="8">
      <formula>0</formula>
    </cfRule>
  </conditionalFormatting>
  <conditionalFormatting sqref="E920">
    <cfRule type="cellIs" priority="2744" operator="greaterThan" aboveAverage="0" equalAverage="0" bottom="0" percent="0" rank="0" text="" dxfId="7">
      <formula>0</formula>
    </cfRule>
  </conditionalFormatting>
  <conditionalFormatting sqref="F920">
    <cfRule type="cellIs" priority="2745" operator="greaterThan" aboveAverage="0" equalAverage="0" bottom="0" percent="0" rank="0" text="" dxfId="7">
      <formula>0</formula>
    </cfRule>
  </conditionalFormatting>
  <conditionalFormatting sqref="I920">
    <cfRule type="cellIs" priority="2746" operator="lessThan" aboveAverage="0" equalAverage="0" bottom="0" percent="0" rank="0" text="" dxfId="8">
      <formula>0</formula>
    </cfRule>
  </conditionalFormatting>
  <conditionalFormatting sqref="E921">
    <cfRule type="cellIs" priority="2747" operator="greaterThan" aboveAverage="0" equalAverage="0" bottom="0" percent="0" rank="0" text="" dxfId="7">
      <formula>0</formula>
    </cfRule>
  </conditionalFormatting>
  <conditionalFormatting sqref="F921">
    <cfRule type="cellIs" priority="2748" operator="greaterThan" aboveAverage="0" equalAverage="0" bottom="0" percent="0" rank="0" text="" dxfId="7">
      <formula>0</formula>
    </cfRule>
  </conditionalFormatting>
  <conditionalFormatting sqref="I921">
    <cfRule type="cellIs" priority="2749" operator="lessThan" aboveAverage="0" equalAverage="0" bottom="0" percent="0" rank="0" text="" dxfId="8">
      <formula>0</formula>
    </cfRule>
  </conditionalFormatting>
  <conditionalFormatting sqref="E922">
    <cfRule type="cellIs" priority="2750" operator="greaterThan" aboveAverage="0" equalAverage="0" bottom="0" percent="0" rank="0" text="" dxfId="7">
      <formula>0</formula>
    </cfRule>
  </conditionalFormatting>
  <conditionalFormatting sqref="F922">
    <cfRule type="cellIs" priority="2751" operator="greaterThan" aboveAverage="0" equalAverage="0" bottom="0" percent="0" rank="0" text="" dxfId="7">
      <formula>0</formula>
    </cfRule>
  </conditionalFormatting>
  <conditionalFormatting sqref="I922">
    <cfRule type="cellIs" priority="2752" operator="lessThan" aboveAverage="0" equalAverage="0" bottom="0" percent="0" rank="0" text="" dxfId="8">
      <formula>0</formula>
    </cfRule>
  </conditionalFormatting>
  <conditionalFormatting sqref="E923">
    <cfRule type="cellIs" priority="2753" operator="greaterThan" aboveAverage="0" equalAverage="0" bottom="0" percent="0" rank="0" text="" dxfId="7">
      <formula>0</formula>
    </cfRule>
  </conditionalFormatting>
  <conditionalFormatting sqref="F923">
    <cfRule type="cellIs" priority="2754" operator="greaterThan" aboveAverage="0" equalAverage="0" bottom="0" percent="0" rank="0" text="" dxfId="7">
      <formula>0</formula>
    </cfRule>
  </conditionalFormatting>
  <conditionalFormatting sqref="I923">
    <cfRule type="cellIs" priority="2755" operator="lessThan" aboveAverage="0" equalAverage="0" bottom="0" percent="0" rank="0" text="" dxfId="8">
      <formula>0</formula>
    </cfRule>
  </conditionalFormatting>
  <conditionalFormatting sqref="E924">
    <cfRule type="cellIs" priority="2756" operator="greaterThan" aboveAverage="0" equalAverage="0" bottom="0" percent="0" rank="0" text="" dxfId="7">
      <formula>0</formula>
    </cfRule>
  </conditionalFormatting>
  <conditionalFormatting sqref="F924">
    <cfRule type="cellIs" priority="2757" operator="greaterThan" aboveAverage="0" equalAverage="0" bottom="0" percent="0" rank="0" text="" dxfId="7">
      <formula>0</formula>
    </cfRule>
  </conditionalFormatting>
  <conditionalFormatting sqref="I924">
    <cfRule type="cellIs" priority="2758" operator="lessThan" aboveAverage="0" equalAverage="0" bottom="0" percent="0" rank="0" text="" dxfId="8">
      <formula>0</formula>
    </cfRule>
  </conditionalFormatting>
  <conditionalFormatting sqref="E925">
    <cfRule type="cellIs" priority="2759" operator="greaterThan" aboveAverage="0" equalAverage="0" bottom="0" percent="0" rank="0" text="" dxfId="7">
      <formula>0</formula>
    </cfRule>
  </conditionalFormatting>
  <conditionalFormatting sqref="F925">
    <cfRule type="cellIs" priority="2760" operator="greaterThan" aboveAverage="0" equalAverage="0" bottom="0" percent="0" rank="0" text="" dxfId="7">
      <formula>0</formula>
    </cfRule>
  </conditionalFormatting>
  <conditionalFormatting sqref="I925">
    <cfRule type="cellIs" priority="2761" operator="lessThan" aboveAverage="0" equalAverage="0" bottom="0" percent="0" rank="0" text="" dxfId="8">
      <formula>0</formula>
    </cfRule>
  </conditionalFormatting>
  <conditionalFormatting sqref="E926">
    <cfRule type="cellIs" priority="2762" operator="greaterThan" aboveAverage="0" equalAverage="0" bottom="0" percent="0" rank="0" text="" dxfId="7">
      <formula>0</formula>
    </cfRule>
  </conditionalFormatting>
  <conditionalFormatting sqref="F926">
    <cfRule type="cellIs" priority="2763" operator="greaterThan" aboveAverage="0" equalAverage="0" bottom="0" percent="0" rank="0" text="" dxfId="7">
      <formula>0</formula>
    </cfRule>
  </conditionalFormatting>
  <conditionalFormatting sqref="I926">
    <cfRule type="cellIs" priority="2764" operator="lessThan" aboveAverage="0" equalAverage="0" bottom="0" percent="0" rank="0" text="" dxfId="8">
      <formula>0</formula>
    </cfRule>
  </conditionalFormatting>
  <conditionalFormatting sqref="E927">
    <cfRule type="cellIs" priority="2765" operator="greaterThan" aboveAverage="0" equalAverage="0" bottom="0" percent="0" rank="0" text="" dxfId="7">
      <formula>0</formula>
    </cfRule>
  </conditionalFormatting>
  <conditionalFormatting sqref="F927">
    <cfRule type="cellIs" priority="2766" operator="greaterThan" aboveAverage="0" equalAverage="0" bottom="0" percent="0" rank="0" text="" dxfId="7">
      <formula>0</formula>
    </cfRule>
  </conditionalFormatting>
  <conditionalFormatting sqref="I927">
    <cfRule type="cellIs" priority="2767" operator="lessThan" aboveAverage="0" equalAverage="0" bottom="0" percent="0" rank="0" text="" dxfId="8">
      <formula>0</formula>
    </cfRule>
  </conditionalFormatting>
  <conditionalFormatting sqref="E928">
    <cfRule type="cellIs" priority="2768" operator="greaterThan" aboveAverage="0" equalAverage="0" bottom="0" percent="0" rank="0" text="" dxfId="7">
      <formula>0</formula>
    </cfRule>
  </conditionalFormatting>
  <conditionalFormatting sqref="F928">
    <cfRule type="cellIs" priority="2769" operator="greaterThan" aboveAverage="0" equalAverage="0" bottom="0" percent="0" rank="0" text="" dxfId="7">
      <formula>0</formula>
    </cfRule>
  </conditionalFormatting>
  <conditionalFormatting sqref="I928">
    <cfRule type="cellIs" priority="2770" operator="lessThan" aboveAverage="0" equalAverage="0" bottom="0" percent="0" rank="0" text="" dxfId="8">
      <formula>0</formula>
    </cfRule>
  </conditionalFormatting>
  <conditionalFormatting sqref="E929">
    <cfRule type="cellIs" priority="2771" operator="greaterThan" aboveAverage="0" equalAverage="0" bottom="0" percent="0" rank="0" text="" dxfId="7">
      <formula>0</formula>
    </cfRule>
  </conditionalFormatting>
  <conditionalFormatting sqref="F929">
    <cfRule type="cellIs" priority="2772" operator="greaterThan" aboveAverage="0" equalAverage="0" bottom="0" percent="0" rank="0" text="" dxfId="7">
      <formula>0</formula>
    </cfRule>
  </conditionalFormatting>
  <conditionalFormatting sqref="I929">
    <cfRule type="cellIs" priority="2773" operator="lessThan" aboveAverage="0" equalAverage="0" bottom="0" percent="0" rank="0" text="" dxfId="8">
      <formula>0</formula>
    </cfRule>
  </conditionalFormatting>
  <conditionalFormatting sqref="E930">
    <cfRule type="cellIs" priority="2774" operator="greaterThan" aboveAverage="0" equalAverage="0" bottom="0" percent="0" rank="0" text="" dxfId="7">
      <formula>0</formula>
    </cfRule>
  </conditionalFormatting>
  <conditionalFormatting sqref="F930">
    <cfRule type="cellIs" priority="2775" operator="greaterThan" aboveAverage="0" equalAverage="0" bottom="0" percent="0" rank="0" text="" dxfId="7">
      <formula>0</formula>
    </cfRule>
  </conditionalFormatting>
  <conditionalFormatting sqref="I930">
    <cfRule type="cellIs" priority="2776" operator="lessThan" aboveAverage="0" equalAverage="0" bottom="0" percent="0" rank="0" text="" dxfId="8">
      <formula>0</formula>
    </cfRule>
  </conditionalFormatting>
  <conditionalFormatting sqref="E931">
    <cfRule type="cellIs" priority="2777" operator="greaterThan" aboveAverage="0" equalAverage="0" bottom="0" percent="0" rank="0" text="" dxfId="7">
      <formula>0</formula>
    </cfRule>
  </conditionalFormatting>
  <conditionalFormatting sqref="F931">
    <cfRule type="cellIs" priority="2778" operator="greaterThan" aboveAverage="0" equalAverage="0" bottom="0" percent="0" rank="0" text="" dxfId="7">
      <formula>0</formula>
    </cfRule>
  </conditionalFormatting>
  <conditionalFormatting sqref="I931">
    <cfRule type="cellIs" priority="2779" operator="lessThan" aboveAverage="0" equalAverage="0" bottom="0" percent="0" rank="0" text="" dxfId="8">
      <formula>0</formula>
    </cfRule>
  </conditionalFormatting>
  <conditionalFormatting sqref="E932">
    <cfRule type="cellIs" priority="2780" operator="greaterThan" aboveAverage="0" equalAverage="0" bottom="0" percent="0" rank="0" text="" dxfId="7">
      <formula>0</formula>
    </cfRule>
  </conditionalFormatting>
  <conditionalFormatting sqref="F932">
    <cfRule type="cellIs" priority="2781" operator="greaterThan" aboveAverage="0" equalAverage="0" bottom="0" percent="0" rank="0" text="" dxfId="7">
      <formula>0</formula>
    </cfRule>
  </conditionalFormatting>
  <conditionalFormatting sqref="I932">
    <cfRule type="cellIs" priority="2782" operator="lessThan" aboveAverage="0" equalAverage="0" bottom="0" percent="0" rank="0" text="" dxfId="8">
      <formula>0</formula>
    </cfRule>
  </conditionalFormatting>
  <conditionalFormatting sqref="E933">
    <cfRule type="cellIs" priority="2783" operator="greaterThan" aboveAverage="0" equalAverage="0" bottom="0" percent="0" rank="0" text="" dxfId="7">
      <formula>0</formula>
    </cfRule>
  </conditionalFormatting>
  <conditionalFormatting sqref="F933">
    <cfRule type="cellIs" priority="2784" operator="greaterThan" aboveAverage="0" equalAverage="0" bottom="0" percent="0" rank="0" text="" dxfId="7">
      <formula>0</formula>
    </cfRule>
  </conditionalFormatting>
  <conditionalFormatting sqref="I933">
    <cfRule type="cellIs" priority="2785" operator="lessThan" aboveAverage="0" equalAverage="0" bottom="0" percent="0" rank="0" text="" dxfId="8">
      <formula>0</formula>
    </cfRule>
  </conditionalFormatting>
  <conditionalFormatting sqref="E934">
    <cfRule type="cellIs" priority="2786" operator="greaterThan" aboveAverage="0" equalAverage="0" bottom="0" percent="0" rank="0" text="" dxfId="7">
      <formula>0</formula>
    </cfRule>
  </conditionalFormatting>
  <conditionalFormatting sqref="F934">
    <cfRule type="cellIs" priority="2787" operator="greaterThan" aboveAverage="0" equalAverage="0" bottom="0" percent="0" rank="0" text="" dxfId="7">
      <formula>0</formula>
    </cfRule>
  </conditionalFormatting>
  <conditionalFormatting sqref="I934">
    <cfRule type="cellIs" priority="2788" operator="lessThan" aboveAverage="0" equalAverage="0" bottom="0" percent="0" rank="0" text="" dxfId="8">
      <formula>0</formula>
    </cfRule>
  </conditionalFormatting>
  <conditionalFormatting sqref="E935">
    <cfRule type="cellIs" priority="2789" operator="greaterThan" aboveAverage="0" equalAverage="0" bottom="0" percent="0" rank="0" text="" dxfId="7">
      <formula>0</formula>
    </cfRule>
  </conditionalFormatting>
  <conditionalFormatting sqref="F935">
    <cfRule type="cellIs" priority="2790" operator="greaterThan" aboveAverage="0" equalAverage="0" bottom="0" percent="0" rank="0" text="" dxfId="7">
      <formula>0</formula>
    </cfRule>
  </conditionalFormatting>
  <conditionalFormatting sqref="I935">
    <cfRule type="cellIs" priority="2791" operator="lessThan" aboveAverage="0" equalAverage="0" bottom="0" percent="0" rank="0" text="" dxfId="8">
      <formula>0</formula>
    </cfRule>
  </conditionalFormatting>
  <conditionalFormatting sqref="E936">
    <cfRule type="cellIs" priority="2792" operator="greaterThan" aboveAverage="0" equalAverage="0" bottom="0" percent="0" rank="0" text="" dxfId="7">
      <formula>0</formula>
    </cfRule>
  </conditionalFormatting>
  <conditionalFormatting sqref="F936">
    <cfRule type="cellIs" priority="2793" operator="greaterThan" aboveAverage="0" equalAverage="0" bottom="0" percent="0" rank="0" text="" dxfId="7">
      <formula>0</formula>
    </cfRule>
  </conditionalFormatting>
  <conditionalFormatting sqref="I936">
    <cfRule type="cellIs" priority="2794" operator="lessThan" aboveAverage="0" equalAverage="0" bottom="0" percent="0" rank="0" text="" dxfId="8">
      <formula>0</formula>
    </cfRule>
  </conditionalFormatting>
  <conditionalFormatting sqref="E937">
    <cfRule type="cellIs" priority="2795" operator="greaterThan" aboveAverage="0" equalAverage="0" bottom="0" percent="0" rank="0" text="" dxfId="7">
      <formula>0</formula>
    </cfRule>
  </conditionalFormatting>
  <conditionalFormatting sqref="F937">
    <cfRule type="cellIs" priority="2796" operator="greaterThan" aboveAverage="0" equalAverage="0" bottom="0" percent="0" rank="0" text="" dxfId="7">
      <formula>0</formula>
    </cfRule>
  </conditionalFormatting>
  <conditionalFormatting sqref="I937">
    <cfRule type="cellIs" priority="2797" operator="lessThan" aboveAverage="0" equalAverage="0" bottom="0" percent="0" rank="0" text="" dxfId="8">
      <formula>0</formula>
    </cfRule>
  </conditionalFormatting>
  <conditionalFormatting sqref="E938">
    <cfRule type="cellIs" priority="2798" operator="greaterThan" aboveAverage="0" equalAverage="0" bottom="0" percent="0" rank="0" text="" dxfId="7">
      <formula>0</formula>
    </cfRule>
  </conditionalFormatting>
  <conditionalFormatting sqref="F938">
    <cfRule type="cellIs" priority="2799" operator="greaterThan" aboveAverage="0" equalAverage="0" bottom="0" percent="0" rank="0" text="" dxfId="7">
      <formula>0</formula>
    </cfRule>
  </conditionalFormatting>
  <conditionalFormatting sqref="I938">
    <cfRule type="cellIs" priority="2800" operator="lessThan" aboveAverage="0" equalAverage="0" bottom="0" percent="0" rank="0" text="" dxfId="8">
      <formula>0</formula>
    </cfRule>
  </conditionalFormatting>
  <conditionalFormatting sqref="E939">
    <cfRule type="cellIs" priority="2801" operator="greaterThan" aboveAverage="0" equalAverage="0" bottom="0" percent="0" rank="0" text="" dxfId="7">
      <formula>0</formula>
    </cfRule>
  </conditionalFormatting>
  <conditionalFormatting sqref="F939">
    <cfRule type="cellIs" priority="2802" operator="greaterThan" aboveAverage="0" equalAverage="0" bottom="0" percent="0" rank="0" text="" dxfId="7">
      <formula>0</formula>
    </cfRule>
  </conditionalFormatting>
  <conditionalFormatting sqref="I939">
    <cfRule type="cellIs" priority="2803" operator="lessThan" aboveAverage="0" equalAverage="0" bottom="0" percent="0" rank="0" text="" dxfId="8">
      <formula>0</formula>
    </cfRule>
  </conditionalFormatting>
  <conditionalFormatting sqref="E940">
    <cfRule type="cellIs" priority="2804" operator="greaterThan" aboveAverage="0" equalAverage="0" bottom="0" percent="0" rank="0" text="" dxfId="7">
      <formula>0</formula>
    </cfRule>
  </conditionalFormatting>
  <conditionalFormatting sqref="F940">
    <cfRule type="cellIs" priority="2805" operator="greaterThan" aboveAverage="0" equalAverage="0" bottom="0" percent="0" rank="0" text="" dxfId="7">
      <formula>0</formula>
    </cfRule>
  </conditionalFormatting>
  <conditionalFormatting sqref="I940">
    <cfRule type="cellIs" priority="2806" operator="lessThan" aboveAverage="0" equalAverage="0" bottom="0" percent="0" rank="0" text="" dxfId="8">
      <formula>0</formula>
    </cfRule>
  </conditionalFormatting>
  <conditionalFormatting sqref="E941">
    <cfRule type="cellIs" priority="2807" operator="greaterThan" aboveAverage="0" equalAverage="0" bottom="0" percent="0" rank="0" text="" dxfId="7">
      <formula>0</formula>
    </cfRule>
  </conditionalFormatting>
  <conditionalFormatting sqref="F941">
    <cfRule type="cellIs" priority="2808" operator="greaterThan" aboveAverage="0" equalAverage="0" bottom="0" percent="0" rank="0" text="" dxfId="7">
      <formula>0</formula>
    </cfRule>
  </conditionalFormatting>
  <conditionalFormatting sqref="I941">
    <cfRule type="cellIs" priority="2809" operator="lessThan" aboveAverage="0" equalAverage="0" bottom="0" percent="0" rank="0" text="" dxfId="8">
      <formula>0</formula>
    </cfRule>
  </conditionalFormatting>
  <conditionalFormatting sqref="E942">
    <cfRule type="cellIs" priority="2810" operator="greaterThan" aboveAverage="0" equalAverage="0" bottom="0" percent="0" rank="0" text="" dxfId="7">
      <formula>0</formula>
    </cfRule>
  </conditionalFormatting>
  <conditionalFormatting sqref="F942">
    <cfRule type="cellIs" priority="2811" operator="greaterThan" aboveAverage="0" equalAverage="0" bottom="0" percent="0" rank="0" text="" dxfId="7">
      <formula>0</formula>
    </cfRule>
  </conditionalFormatting>
  <conditionalFormatting sqref="I942">
    <cfRule type="cellIs" priority="2812" operator="lessThan" aboveAverage="0" equalAverage="0" bottom="0" percent="0" rank="0" text="" dxfId="8">
      <formula>0</formula>
    </cfRule>
  </conditionalFormatting>
  <conditionalFormatting sqref="E943">
    <cfRule type="cellIs" priority="2813" operator="greaterThan" aboveAverage="0" equalAverage="0" bottom="0" percent="0" rank="0" text="" dxfId="7">
      <formula>0</formula>
    </cfRule>
  </conditionalFormatting>
  <conditionalFormatting sqref="F943">
    <cfRule type="cellIs" priority="2814" operator="greaterThan" aboveAverage="0" equalAverage="0" bottom="0" percent="0" rank="0" text="" dxfId="7">
      <formula>0</formula>
    </cfRule>
  </conditionalFormatting>
  <conditionalFormatting sqref="I943">
    <cfRule type="cellIs" priority="2815" operator="lessThan" aboveAverage="0" equalAverage="0" bottom="0" percent="0" rank="0" text="" dxfId="8">
      <formula>0</formula>
    </cfRule>
  </conditionalFormatting>
  <conditionalFormatting sqref="E944">
    <cfRule type="cellIs" priority="2816" operator="greaterThan" aboveAverage="0" equalAverage="0" bottom="0" percent="0" rank="0" text="" dxfId="7">
      <formula>0</formula>
    </cfRule>
  </conditionalFormatting>
  <conditionalFormatting sqref="F944">
    <cfRule type="cellIs" priority="2817" operator="greaterThan" aboveAverage="0" equalAverage="0" bottom="0" percent="0" rank="0" text="" dxfId="7">
      <formula>0</formula>
    </cfRule>
  </conditionalFormatting>
  <conditionalFormatting sqref="I944">
    <cfRule type="cellIs" priority="2818" operator="lessThan" aboveAverage="0" equalAverage="0" bottom="0" percent="0" rank="0" text="" dxfId="8">
      <formula>0</formula>
    </cfRule>
  </conditionalFormatting>
  <conditionalFormatting sqref="E945">
    <cfRule type="cellIs" priority="2819" operator="greaterThan" aboveAverage="0" equalAverage="0" bottom="0" percent="0" rank="0" text="" dxfId="7">
      <formula>0</formula>
    </cfRule>
  </conditionalFormatting>
  <conditionalFormatting sqref="F945">
    <cfRule type="cellIs" priority="2820" operator="greaterThan" aboveAverage="0" equalAverage="0" bottom="0" percent="0" rank="0" text="" dxfId="7">
      <formula>0</formula>
    </cfRule>
  </conditionalFormatting>
  <conditionalFormatting sqref="I945">
    <cfRule type="cellIs" priority="2821" operator="lessThan" aboveAverage="0" equalAverage="0" bottom="0" percent="0" rank="0" text="" dxfId="8">
      <formula>0</formula>
    </cfRule>
  </conditionalFormatting>
  <conditionalFormatting sqref="E946">
    <cfRule type="cellIs" priority="2822" operator="greaterThan" aboveAverage="0" equalAverage="0" bottom="0" percent="0" rank="0" text="" dxfId="7">
      <formula>0</formula>
    </cfRule>
  </conditionalFormatting>
  <conditionalFormatting sqref="F946">
    <cfRule type="cellIs" priority="2823" operator="greaterThan" aboveAverage="0" equalAverage="0" bottom="0" percent="0" rank="0" text="" dxfId="7">
      <formula>0</formula>
    </cfRule>
  </conditionalFormatting>
  <conditionalFormatting sqref="I946">
    <cfRule type="cellIs" priority="2824" operator="lessThan" aboveAverage="0" equalAverage="0" bottom="0" percent="0" rank="0" text="" dxfId="8">
      <formula>0</formula>
    </cfRule>
  </conditionalFormatting>
  <conditionalFormatting sqref="E947">
    <cfRule type="cellIs" priority="2825" operator="greaterThan" aboveAverage="0" equalAverage="0" bottom="0" percent="0" rank="0" text="" dxfId="7">
      <formula>0</formula>
    </cfRule>
  </conditionalFormatting>
  <conditionalFormatting sqref="F947">
    <cfRule type="cellIs" priority="2826" operator="greaterThan" aboveAverage="0" equalAverage="0" bottom="0" percent="0" rank="0" text="" dxfId="7">
      <formula>0</formula>
    </cfRule>
  </conditionalFormatting>
  <conditionalFormatting sqref="I947">
    <cfRule type="cellIs" priority="2827" operator="lessThan" aboveAverage="0" equalAverage="0" bottom="0" percent="0" rank="0" text="" dxfId="8">
      <formula>0</formula>
    </cfRule>
  </conditionalFormatting>
  <conditionalFormatting sqref="E948">
    <cfRule type="cellIs" priority="2828" operator="greaterThan" aboveAverage="0" equalAverage="0" bottom="0" percent="0" rank="0" text="" dxfId="7">
      <formula>0</formula>
    </cfRule>
  </conditionalFormatting>
  <conditionalFormatting sqref="F948">
    <cfRule type="cellIs" priority="2829" operator="greaterThan" aboveAverage="0" equalAverage="0" bottom="0" percent="0" rank="0" text="" dxfId="7">
      <formula>0</formula>
    </cfRule>
  </conditionalFormatting>
  <conditionalFormatting sqref="I948">
    <cfRule type="cellIs" priority="2830" operator="lessThan" aboveAverage="0" equalAverage="0" bottom="0" percent="0" rank="0" text="" dxfId="8">
      <formula>0</formula>
    </cfRule>
  </conditionalFormatting>
  <conditionalFormatting sqref="E949">
    <cfRule type="cellIs" priority="2831" operator="greaterThan" aboveAverage="0" equalAverage="0" bottom="0" percent="0" rank="0" text="" dxfId="7">
      <formula>0</formula>
    </cfRule>
  </conditionalFormatting>
  <conditionalFormatting sqref="F949">
    <cfRule type="cellIs" priority="2832" operator="greaterThan" aboveAverage="0" equalAverage="0" bottom="0" percent="0" rank="0" text="" dxfId="7">
      <formula>0</formula>
    </cfRule>
  </conditionalFormatting>
  <conditionalFormatting sqref="I949">
    <cfRule type="cellIs" priority="2833" operator="lessThan" aboveAverage="0" equalAverage="0" bottom="0" percent="0" rank="0" text="" dxfId="8">
      <formula>0</formula>
    </cfRule>
  </conditionalFormatting>
  <conditionalFormatting sqref="E950">
    <cfRule type="cellIs" priority="2834" operator="greaterThan" aboveAverage="0" equalAverage="0" bottom="0" percent="0" rank="0" text="" dxfId="7">
      <formula>0</formula>
    </cfRule>
  </conditionalFormatting>
  <conditionalFormatting sqref="F950">
    <cfRule type="cellIs" priority="2835" operator="greaterThan" aboveAverage="0" equalAverage="0" bottom="0" percent="0" rank="0" text="" dxfId="7">
      <formula>0</formula>
    </cfRule>
  </conditionalFormatting>
  <conditionalFormatting sqref="I950">
    <cfRule type="cellIs" priority="2836" operator="lessThan" aboveAverage="0" equalAverage="0" bottom="0" percent="0" rank="0" text="" dxfId="8">
      <formula>0</formula>
    </cfRule>
  </conditionalFormatting>
  <conditionalFormatting sqref="E951">
    <cfRule type="cellIs" priority="2837" operator="greaterThan" aboveAverage="0" equalAverage="0" bottom="0" percent="0" rank="0" text="" dxfId="7">
      <formula>0</formula>
    </cfRule>
  </conditionalFormatting>
  <conditionalFormatting sqref="F951">
    <cfRule type="cellIs" priority="2838" operator="greaterThan" aboveAverage="0" equalAverage="0" bottom="0" percent="0" rank="0" text="" dxfId="7">
      <formula>0</formula>
    </cfRule>
  </conditionalFormatting>
  <conditionalFormatting sqref="I951">
    <cfRule type="cellIs" priority="2839" operator="lessThan" aboveAverage="0" equalAverage="0" bottom="0" percent="0" rank="0" text="" dxfId="8">
      <formula>0</formula>
    </cfRule>
  </conditionalFormatting>
  <conditionalFormatting sqref="E952">
    <cfRule type="cellIs" priority="2840" operator="greaterThan" aboveAverage="0" equalAverage="0" bottom="0" percent="0" rank="0" text="" dxfId="7">
      <formula>0</formula>
    </cfRule>
  </conditionalFormatting>
  <conditionalFormatting sqref="F952">
    <cfRule type="cellIs" priority="2841" operator="greaterThan" aboveAverage="0" equalAverage="0" bottom="0" percent="0" rank="0" text="" dxfId="7">
      <formula>0</formula>
    </cfRule>
  </conditionalFormatting>
  <conditionalFormatting sqref="I952">
    <cfRule type="cellIs" priority="2842" operator="lessThan" aboveAverage="0" equalAverage="0" bottom="0" percent="0" rank="0" text="" dxfId="8">
      <formula>0</formula>
    </cfRule>
  </conditionalFormatting>
  <conditionalFormatting sqref="E953">
    <cfRule type="cellIs" priority="2843" operator="greaterThan" aboveAverage="0" equalAverage="0" bottom="0" percent="0" rank="0" text="" dxfId="7">
      <formula>0</formula>
    </cfRule>
  </conditionalFormatting>
  <conditionalFormatting sqref="F953">
    <cfRule type="cellIs" priority="2844" operator="greaterThan" aboveAverage="0" equalAverage="0" bottom="0" percent="0" rank="0" text="" dxfId="7">
      <formula>0</formula>
    </cfRule>
  </conditionalFormatting>
  <conditionalFormatting sqref="I953">
    <cfRule type="cellIs" priority="2845" operator="lessThan" aboveAverage="0" equalAverage="0" bottom="0" percent="0" rank="0" text="" dxfId="8">
      <formula>0</formula>
    </cfRule>
  </conditionalFormatting>
  <conditionalFormatting sqref="E954">
    <cfRule type="cellIs" priority="2846" operator="greaterThan" aboveAverage="0" equalAverage="0" bottom="0" percent="0" rank="0" text="" dxfId="7">
      <formula>0</formula>
    </cfRule>
  </conditionalFormatting>
  <conditionalFormatting sqref="F954">
    <cfRule type="cellIs" priority="2847" operator="greaterThan" aboveAverage="0" equalAverage="0" bottom="0" percent="0" rank="0" text="" dxfId="7">
      <formula>0</formula>
    </cfRule>
  </conditionalFormatting>
  <conditionalFormatting sqref="I954">
    <cfRule type="cellIs" priority="2848" operator="lessThan" aboveAverage="0" equalAverage="0" bottom="0" percent="0" rank="0" text="" dxfId="8">
      <formula>0</formula>
    </cfRule>
  </conditionalFormatting>
  <conditionalFormatting sqref="E955">
    <cfRule type="cellIs" priority="2849" operator="greaterThan" aboveAverage="0" equalAverage="0" bottom="0" percent="0" rank="0" text="" dxfId="7">
      <formula>0</formula>
    </cfRule>
  </conditionalFormatting>
  <conditionalFormatting sqref="F955">
    <cfRule type="cellIs" priority="2850" operator="greaterThan" aboveAverage="0" equalAverage="0" bottom="0" percent="0" rank="0" text="" dxfId="7">
      <formula>0</formula>
    </cfRule>
  </conditionalFormatting>
  <conditionalFormatting sqref="I955">
    <cfRule type="cellIs" priority="2851" operator="lessThan" aboveAverage="0" equalAverage="0" bottom="0" percent="0" rank="0" text="" dxfId="8">
      <formula>0</formula>
    </cfRule>
  </conditionalFormatting>
  <conditionalFormatting sqref="E956">
    <cfRule type="cellIs" priority="2852" operator="greaterThan" aboveAverage="0" equalAverage="0" bottom="0" percent="0" rank="0" text="" dxfId="7">
      <formula>0</formula>
    </cfRule>
  </conditionalFormatting>
  <conditionalFormatting sqref="F956">
    <cfRule type="cellIs" priority="2853" operator="greaterThan" aboveAverage="0" equalAverage="0" bottom="0" percent="0" rank="0" text="" dxfId="7">
      <formula>0</formula>
    </cfRule>
  </conditionalFormatting>
  <conditionalFormatting sqref="I956">
    <cfRule type="cellIs" priority="2854" operator="lessThan" aboveAverage="0" equalAverage="0" bottom="0" percent="0" rank="0" text="" dxfId="8">
      <formula>0</formula>
    </cfRule>
  </conditionalFormatting>
  <conditionalFormatting sqref="E957">
    <cfRule type="cellIs" priority="2855" operator="greaterThan" aboveAverage="0" equalAverage="0" bottom="0" percent="0" rank="0" text="" dxfId="7">
      <formula>0</formula>
    </cfRule>
  </conditionalFormatting>
  <conditionalFormatting sqref="F957">
    <cfRule type="cellIs" priority="2856" operator="greaterThan" aboveAverage="0" equalAverage="0" bottom="0" percent="0" rank="0" text="" dxfId="7">
      <formula>0</formula>
    </cfRule>
  </conditionalFormatting>
  <conditionalFormatting sqref="I957">
    <cfRule type="cellIs" priority="2857" operator="lessThan" aboveAverage="0" equalAverage="0" bottom="0" percent="0" rank="0" text="" dxfId="8">
      <formula>0</formula>
    </cfRule>
  </conditionalFormatting>
  <conditionalFormatting sqref="E958">
    <cfRule type="cellIs" priority="2858" operator="greaterThan" aboveAverage="0" equalAverage="0" bottom="0" percent="0" rank="0" text="" dxfId="7">
      <formula>0</formula>
    </cfRule>
  </conditionalFormatting>
  <conditionalFormatting sqref="F958">
    <cfRule type="cellIs" priority="2859" operator="greaterThan" aboveAverage="0" equalAverage="0" bottom="0" percent="0" rank="0" text="" dxfId="7">
      <formula>0</formula>
    </cfRule>
  </conditionalFormatting>
  <conditionalFormatting sqref="I958">
    <cfRule type="cellIs" priority="2860" operator="lessThan" aboveAverage="0" equalAverage="0" bottom="0" percent="0" rank="0" text="" dxfId="8">
      <formula>0</formula>
    </cfRule>
  </conditionalFormatting>
  <conditionalFormatting sqref="E959">
    <cfRule type="cellIs" priority="2861" operator="greaterThan" aboveAverage="0" equalAverage="0" bottom="0" percent="0" rank="0" text="" dxfId="7">
      <formula>0</formula>
    </cfRule>
  </conditionalFormatting>
  <conditionalFormatting sqref="F959">
    <cfRule type="cellIs" priority="2862" operator="greaterThan" aboveAverage="0" equalAverage="0" bottom="0" percent="0" rank="0" text="" dxfId="7">
      <formula>0</formula>
    </cfRule>
  </conditionalFormatting>
  <conditionalFormatting sqref="I959">
    <cfRule type="cellIs" priority="2863" operator="lessThan" aboveAverage="0" equalAverage="0" bottom="0" percent="0" rank="0" text="" dxfId="8">
      <formula>0</formula>
    </cfRule>
  </conditionalFormatting>
  <conditionalFormatting sqref="E960">
    <cfRule type="cellIs" priority="2864" operator="greaterThan" aboveAverage="0" equalAverage="0" bottom="0" percent="0" rank="0" text="" dxfId="7">
      <formula>0</formula>
    </cfRule>
  </conditionalFormatting>
  <conditionalFormatting sqref="F960">
    <cfRule type="cellIs" priority="2865" operator="greaterThan" aboveAverage="0" equalAverage="0" bottom="0" percent="0" rank="0" text="" dxfId="7">
      <formula>0</formula>
    </cfRule>
  </conditionalFormatting>
  <conditionalFormatting sqref="I960">
    <cfRule type="cellIs" priority="2866" operator="lessThan" aboveAverage="0" equalAverage="0" bottom="0" percent="0" rank="0" text="" dxfId="8">
      <formula>0</formula>
    </cfRule>
  </conditionalFormatting>
  <conditionalFormatting sqref="E961">
    <cfRule type="cellIs" priority="2867" operator="greaterThan" aboveAverage="0" equalAverage="0" bottom="0" percent="0" rank="0" text="" dxfId="7">
      <formula>0</formula>
    </cfRule>
  </conditionalFormatting>
  <conditionalFormatting sqref="F961">
    <cfRule type="cellIs" priority="2868" operator="greaterThan" aboveAverage="0" equalAverage="0" bottom="0" percent="0" rank="0" text="" dxfId="7">
      <formula>0</formula>
    </cfRule>
  </conditionalFormatting>
  <conditionalFormatting sqref="I961">
    <cfRule type="cellIs" priority="2869" operator="lessThan" aboveAverage="0" equalAverage="0" bottom="0" percent="0" rank="0" text="" dxfId="8">
      <formula>0</formula>
    </cfRule>
  </conditionalFormatting>
  <conditionalFormatting sqref="E962">
    <cfRule type="cellIs" priority="2870" operator="greaterThan" aboveAverage="0" equalAverage="0" bottom="0" percent="0" rank="0" text="" dxfId="7">
      <formula>0</formula>
    </cfRule>
  </conditionalFormatting>
  <conditionalFormatting sqref="F962">
    <cfRule type="cellIs" priority="2871" operator="greaterThan" aboveAverage="0" equalAverage="0" bottom="0" percent="0" rank="0" text="" dxfId="7">
      <formula>0</formula>
    </cfRule>
  </conditionalFormatting>
  <conditionalFormatting sqref="I962">
    <cfRule type="cellIs" priority="2872" operator="lessThan" aboveAverage="0" equalAverage="0" bottom="0" percent="0" rank="0" text="" dxfId="8">
      <formula>0</formula>
    </cfRule>
  </conditionalFormatting>
  <conditionalFormatting sqref="E963">
    <cfRule type="cellIs" priority="2873" operator="greaterThan" aboveAverage="0" equalAverage="0" bottom="0" percent="0" rank="0" text="" dxfId="7">
      <formula>0</formula>
    </cfRule>
  </conditionalFormatting>
  <conditionalFormatting sqref="F963">
    <cfRule type="cellIs" priority="2874" operator="greaterThan" aboveAverage="0" equalAverage="0" bottom="0" percent="0" rank="0" text="" dxfId="7">
      <formula>0</formula>
    </cfRule>
  </conditionalFormatting>
  <conditionalFormatting sqref="I963">
    <cfRule type="cellIs" priority="2875" operator="lessThan" aboveAverage="0" equalAverage="0" bottom="0" percent="0" rank="0" text="" dxfId="8">
      <formula>0</formula>
    </cfRule>
  </conditionalFormatting>
  <conditionalFormatting sqref="E964">
    <cfRule type="cellIs" priority="2876" operator="greaterThan" aboveAverage="0" equalAverage="0" bottom="0" percent="0" rank="0" text="" dxfId="7">
      <formula>0</formula>
    </cfRule>
  </conditionalFormatting>
  <conditionalFormatting sqref="F964">
    <cfRule type="cellIs" priority="2877" operator="greaterThan" aboveAverage="0" equalAverage="0" bottom="0" percent="0" rank="0" text="" dxfId="7">
      <formula>0</formula>
    </cfRule>
  </conditionalFormatting>
  <conditionalFormatting sqref="I964">
    <cfRule type="cellIs" priority="2878" operator="lessThan" aboveAverage="0" equalAverage="0" bottom="0" percent="0" rank="0" text="" dxfId="8">
      <formula>0</formula>
    </cfRule>
  </conditionalFormatting>
  <conditionalFormatting sqref="E965">
    <cfRule type="cellIs" priority="2879" operator="greaterThan" aboveAverage="0" equalAverage="0" bottom="0" percent="0" rank="0" text="" dxfId="7">
      <formula>0</formula>
    </cfRule>
  </conditionalFormatting>
  <conditionalFormatting sqref="F965">
    <cfRule type="cellIs" priority="2880" operator="greaterThan" aboveAverage="0" equalAverage="0" bottom="0" percent="0" rank="0" text="" dxfId="7">
      <formula>0</formula>
    </cfRule>
  </conditionalFormatting>
  <conditionalFormatting sqref="I965">
    <cfRule type="cellIs" priority="2881" operator="lessThan" aboveAverage="0" equalAverage="0" bottom="0" percent="0" rank="0" text="" dxfId="8">
      <formula>0</formula>
    </cfRule>
  </conditionalFormatting>
  <conditionalFormatting sqref="E966">
    <cfRule type="cellIs" priority="2882" operator="greaterThan" aboveAverage="0" equalAverage="0" bottom="0" percent="0" rank="0" text="" dxfId="7">
      <formula>0</formula>
    </cfRule>
  </conditionalFormatting>
  <conditionalFormatting sqref="F966">
    <cfRule type="cellIs" priority="2883" operator="greaterThan" aboveAverage="0" equalAverage="0" bottom="0" percent="0" rank="0" text="" dxfId="7">
      <formula>0</formula>
    </cfRule>
  </conditionalFormatting>
  <conditionalFormatting sqref="I966">
    <cfRule type="cellIs" priority="2884" operator="lessThan" aboveAverage="0" equalAverage="0" bottom="0" percent="0" rank="0" text="" dxfId="8">
      <formula>0</formula>
    </cfRule>
  </conditionalFormatting>
  <conditionalFormatting sqref="E967">
    <cfRule type="cellIs" priority="2885" operator="greaterThan" aboveAverage="0" equalAverage="0" bottom="0" percent="0" rank="0" text="" dxfId="7">
      <formula>0</formula>
    </cfRule>
  </conditionalFormatting>
  <conditionalFormatting sqref="F967">
    <cfRule type="cellIs" priority="2886" operator="greaterThan" aboveAverage="0" equalAverage="0" bottom="0" percent="0" rank="0" text="" dxfId="7">
      <formula>0</formula>
    </cfRule>
  </conditionalFormatting>
  <conditionalFormatting sqref="I967">
    <cfRule type="cellIs" priority="2887" operator="lessThan" aboveAverage="0" equalAverage="0" bottom="0" percent="0" rank="0" text="" dxfId="8">
      <formula>0</formula>
    </cfRule>
  </conditionalFormatting>
  <conditionalFormatting sqref="E968">
    <cfRule type="cellIs" priority="2888" operator="greaterThan" aboveAverage="0" equalAverage="0" bottom="0" percent="0" rank="0" text="" dxfId="7">
      <formula>0</formula>
    </cfRule>
  </conditionalFormatting>
  <conditionalFormatting sqref="F968">
    <cfRule type="cellIs" priority="2889" operator="greaterThan" aboveAverage="0" equalAverage="0" bottom="0" percent="0" rank="0" text="" dxfId="7">
      <formula>0</formula>
    </cfRule>
  </conditionalFormatting>
  <conditionalFormatting sqref="I968">
    <cfRule type="cellIs" priority="2890" operator="lessThan" aboveAverage="0" equalAverage="0" bottom="0" percent="0" rank="0" text="" dxfId="8">
      <formula>0</formula>
    </cfRule>
  </conditionalFormatting>
  <conditionalFormatting sqref="E969">
    <cfRule type="cellIs" priority="2891" operator="greaterThan" aboveAverage="0" equalAverage="0" bottom="0" percent="0" rank="0" text="" dxfId="7">
      <formula>0</formula>
    </cfRule>
  </conditionalFormatting>
  <conditionalFormatting sqref="F969">
    <cfRule type="cellIs" priority="2892" operator="greaterThan" aboveAverage="0" equalAverage="0" bottom="0" percent="0" rank="0" text="" dxfId="7">
      <formula>0</formula>
    </cfRule>
  </conditionalFormatting>
  <conditionalFormatting sqref="I969">
    <cfRule type="cellIs" priority="2893" operator="lessThan" aboveAverage="0" equalAverage="0" bottom="0" percent="0" rank="0" text="" dxfId="8">
      <formula>0</formula>
    </cfRule>
  </conditionalFormatting>
  <conditionalFormatting sqref="E970">
    <cfRule type="cellIs" priority="2894" operator="greaterThan" aboveAverage="0" equalAverage="0" bottom="0" percent="0" rank="0" text="" dxfId="7">
      <formula>0</formula>
    </cfRule>
  </conditionalFormatting>
  <conditionalFormatting sqref="F970">
    <cfRule type="cellIs" priority="2895" operator="greaterThan" aboveAverage="0" equalAverage="0" bottom="0" percent="0" rank="0" text="" dxfId="7">
      <formula>0</formula>
    </cfRule>
  </conditionalFormatting>
  <conditionalFormatting sqref="I970">
    <cfRule type="cellIs" priority="2896" operator="lessThan" aboveAverage="0" equalAverage="0" bottom="0" percent="0" rank="0" text="" dxfId="8">
      <formula>0</formula>
    </cfRule>
  </conditionalFormatting>
  <conditionalFormatting sqref="E971">
    <cfRule type="cellIs" priority="2897" operator="greaterThan" aboveAverage="0" equalAverage="0" bottom="0" percent="0" rank="0" text="" dxfId="7">
      <formula>0</formula>
    </cfRule>
  </conditionalFormatting>
  <conditionalFormatting sqref="F971">
    <cfRule type="cellIs" priority="2898" operator="greaterThan" aboveAverage="0" equalAverage="0" bottom="0" percent="0" rank="0" text="" dxfId="7">
      <formula>0</formula>
    </cfRule>
  </conditionalFormatting>
  <conditionalFormatting sqref="I971">
    <cfRule type="cellIs" priority="2899" operator="lessThan" aboveAverage="0" equalAverage="0" bottom="0" percent="0" rank="0" text="" dxfId="8">
      <formula>0</formula>
    </cfRule>
  </conditionalFormatting>
  <conditionalFormatting sqref="E972">
    <cfRule type="cellIs" priority="2900" operator="greaterThan" aboveAverage="0" equalAverage="0" bottom="0" percent="0" rank="0" text="" dxfId="7">
      <formula>0</formula>
    </cfRule>
  </conditionalFormatting>
  <conditionalFormatting sqref="F972">
    <cfRule type="cellIs" priority="2901" operator="greaterThan" aboveAverage="0" equalAverage="0" bottom="0" percent="0" rank="0" text="" dxfId="7">
      <formula>0</formula>
    </cfRule>
  </conditionalFormatting>
  <conditionalFormatting sqref="I972">
    <cfRule type="cellIs" priority="2902" operator="lessThan" aboveAverage="0" equalAverage="0" bottom="0" percent="0" rank="0" text="" dxfId="8">
      <formula>0</formula>
    </cfRule>
  </conditionalFormatting>
  <conditionalFormatting sqref="E973">
    <cfRule type="cellIs" priority="2903" operator="greaterThan" aboveAverage="0" equalAverage="0" bottom="0" percent="0" rank="0" text="" dxfId="7">
      <formula>0</formula>
    </cfRule>
  </conditionalFormatting>
  <conditionalFormatting sqref="F973">
    <cfRule type="cellIs" priority="2904" operator="greaterThan" aboveAverage="0" equalAverage="0" bottom="0" percent="0" rank="0" text="" dxfId="7">
      <formula>0</formula>
    </cfRule>
  </conditionalFormatting>
  <conditionalFormatting sqref="I973">
    <cfRule type="cellIs" priority="2905" operator="lessThan" aboveAverage="0" equalAverage="0" bottom="0" percent="0" rank="0" text="" dxfId="8">
      <formula>0</formula>
    </cfRule>
  </conditionalFormatting>
  <conditionalFormatting sqref="E974">
    <cfRule type="cellIs" priority="2906" operator="greaterThan" aboveAverage="0" equalAverage="0" bottom="0" percent="0" rank="0" text="" dxfId="7">
      <formula>0</formula>
    </cfRule>
  </conditionalFormatting>
  <conditionalFormatting sqref="F974">
    <cfRule type="cellIs" priority="2907" operator="greaterThan" aboveAverage="0" equalAverage="0" bottom="0" percent="0" rank="0" text="" dxfId="7">
      <formula>0</formula>
    </cfRule>
  </conditionalFormatting>
  <conditionalFormatting sqref="I974">
    <cfRule type="cellIs" priority="2908" operator="lessThan" aboveAverage="0" equalAverage="0" bottom="0" percent="0" rank="0" text="" dxfId="8">
      <formula>0</formula>
    </cfRule>
  </conditionalFormatting>
  <conditionalFormatting sqref="E975">
    <cfRule type="cellIs" priority="2909" operator="greaterThan" aboveAverage="0" equalAverage="0" bottom="0" percent="0" rank="0" text="" dxfId="7">
      <formula>0</formula>
    </cfRule>
  </conditionalFormatting>
  <conditionalFormatting sqref="F975">
    <cfRule type="cellIs" priority="2910" operator="greaterThan" aboveAverage="0" equalAverage="0" bottom="0" percent="0" rank="0" text="" dxfId="7">
      <formula>0</formula>
    </cfRule>
  </conditionalFormatting>
  <conditionalFormatting sqref="I975">
    <cfRule type="cellIs" priority="2911" operator="lessThan" aboveAverage="0" equalAverage="0" bottom="0" percent="0" rank="0" text="" dxfId="8">
      <formula>0</formula>
    </cfRule>
  </conditionalFormatting>
  <conditionalFormatting sqref="E976">
    <cfRule type="cellIs" priority="2912" operator="greaterThan" aboveAverage="0" equalAverage="0" bottom="0" percent="0" rank="0" text="" dxfId="7">
      <formula>0</formula>
    </cfRule>
  </conditionalFormatting>
  <conditionalFormatting sqref="F976">
    <cfRule type="cellIs" priority="2913" operator="greaterThan" aboveAverage="0" equalAverage="0" bottom="0" percent="0" rank="0" text="" dxfId="7">
      <formula>0</formula>
    </cfRule>
  </conditionalFormatting>
  <conditionalFormatting sqref="I976">
    <cfRule type="cellIs" priority="2914" operator="lessThan" aboveAverage="0" equalAverage="0" bottom="0" percent="0" rank="0" text="" dxfId="8">
      <formula>0</formula>
    </cfRule>
  </conditionalFormatting>
  <conditionalFormatting sqref="E977">
    <cfRule type="cellIs" priority="2915" operator="greaterThan" aboveAverage="0" equalAverage="0" bottom="0" percent="0" rank="0" text="" dxfId="7">
      <formula>0</formula>
    </cfRule>
  </conditionalFormatting>
  <conditionalFormatting sqref="F977">
    <cfRule type="cellIs" priority="2916" operator="greaterThan" aboveAverage="0" equalAverage="0" bottom="0" percent="0" rank="0" text="" dxfId="7">
      <formula>0</formula>
    </cfRule>
  </conditionalFormatting>
  <conditionalFormatting sqref="I977">
    <cfRule type="cellIs" priority="2917" operator="lessThan" aboveAverage="0" equalAverage="0" bottom="0" percent="0" rank="0" text="" dxfId="8">
      <formula>0</formula>
    </cfRule>
  </conditionalFormatting>
  <conditionalFormatting sqref="E978">
    <cfRule type="cellIs" priority="2918" operator="greaterThan" aboveAverage="0" equalAverage="0" bottom="0" percent="0" rank="0" text="" dxfId="7">
      <formula>0</formula>
    </cfRule>
  </conditionalFormatting>
  <conditionalFormatting sqref="F978">
    <cfRule type="cellIs" priority="2919" operator="greaterThan" aboveAverage="0" equalAverage="0" bottom="0" percent="0" rank="0" text="" dxfId="7">
      <formula>0</formula>
    </cfRule>
  </conditionalFormatting>
  <conditionalFormatting sqref="I978">
    <cfRule type="cellIs" priority="2920" operator="lessThan" aboveAverage="0" equalAverage="0" bottom="0" percent="0" rank="0" text="" dxfId="8">
      <formula>0</formula>
    </cfRule>
  </conditionalFormatting>
  <conditionalFormatting sqref="E979">
    <cfRule type="cellIs" priority="2921" operator="greaterThan" aboveAverage="0" equalAverage="0" bottom="0" percent="0" rank="0" text="" dxfId="7">
      <formula>0</formula>
    </cfRule>
  </conditionalFormatting>
  <conditionalFormatting sqref="F979">
    <cfRule type="cellIs" priority="2922" operator="greaterThan" aboveAverage="0" equalAverage="0" bottom="0" percent="0" rank="0" text="" dxfId="7">
      <formula>0</formula>
    </cfRule>
  </conditionalFormatting>
  <conditionalFormatting sqref="I979">
    <cfRule type="cellIs" priority="2923" operator="lessThan" aboveAverage="0" equalAverage="0" bottom="0" percent="0" rank="0" text="" dxfId="8">
      <formula>0</formula>
    </cfRule>
  </conditionalFormatting>
  <conditionalFormatting sqref="E980">
    <cfRule type="cellIs" priority="2924" operator="greaterThan" aboveAverage="0" equalAverage="0" bottom="0" percent="0" rank="0" text="" dxfId="7">
      <formula>0</formula>
    </cfRule>
  </conditionalFormatting>
  <conditionalFormatting sqref="F980">
    <cfRule type="cellIs" priority="2925" operator="greaterThan" aboveAverage="0" equalAverage="0" bottom="0" percent="0" rank="0" text="" dxfId="7">
      <formula>0</formula>
    </cfRule>
  </conditionalFormatting>
  <conditionalFormatting sqref="I980">
    <cfRule type="cellIs" priority="2926" operator="lessThan" aboveAverage="0" equalAverage="0" bottom="0" percent="0" rank="0" text="" dxfId="8">
      <formula>0</formula>
    </cfRule>
  </conditionalFormatting>
  <conditionalFormatting sqref="E981">
    <cfRule type="cellIs" priority="2927" operator="greaterThan" aboveAverage="0" equalAverage="0" bottom="0" percent="0" rank="0" text="" dxfId="7">
      <formula>0</formula>
    </cfRule>
  </conditionalFormatting>
  <conditionalFormatting sqref="F981">
    <cfRule type="cellIs" priority="2928" operator="greaterThan" aboveAverage="0" equalAverage="0" bottom="0" percent="0" rank="0" text="" dxfId="7">
      <formula>0</formula>
    </cfRule>
  </conditionalFormatting>
  <conditionalFormatting sqref="I981">
    <cfRule type="cellIs" priority="2929" operator="lessThan" aboveAverage="0" equalAverage="0" bottom="0" percent="0" rank="0" text="" dxfId="8">
      <formula>0</formula>
    </cfRule>
  </conditionalFormatting>
  <conditionalFormatting sqref="E982">
    <cfRule type="cellIs" priority="2930" operator="greaterThan" aboveAverage="0" equalAverage="0" bottom="0" percent="0" rank="0" text="" dxfId="7">
      <formula>0</formula>
    </cfRule>
  </conditionalFormatting>
  <conditionalFormatting sqref="F982">
    <cfRule type="cellIs" priority="2931" operator="greaterThan" aboveAverage="0" equalAverage="0" bottom="0" percent="0" rank="0" text="" dxfId="7">
      <formula>0</formula>
    </cfRule>
  </conditionalFormatting>
  <conditionalFormatting sqref="I982">
    <cfRule type="cellIs" priority="2932" operator="lessThan" aboveAverage="0" equalAverage="0" bottom="0" percent="0" rank="0" text="" dxfId="8">
      <formula>0</formula>
    </cfRule>
  </conditionalFormatting>
  <conditionalFormatting sqref="E983">
    <cfRule type="cellIs" priority="2933" operator="greaterThan" aboveAverage="0" equalAverage="0" bottom="0" percent="0" rank="0" text="" dxfId="7">
      <formula>0</formula>
    </cfRule>
  </conditionalFormatting>
  <conditionalFormatting sqref="F983">
    <cfRule type="cellIs" priority="2934" operator="greaterThan" aboveAverage="0" equalAverage="0" bottom="0" percent="0" rank="0" text="" dxfId="7">
      <formula>0</formula>
    </cfRule>
  </conditionalFormatting>
  <conditionalFormatting sqref="I983">
    <cfRule type="cellIs" priority="2935" operator="lessThan" aboveAverage="0" equalAverage="0" bottom="0" percent="0" rank="0" text="" dxfId="8">
      <formula>0</formula>
    </cfRule>
  </conditionalFormatting>
  <conditionalFormatting sqref="E984">
    <cfRule type="cellIs" priority="2936" operator="greaterThan" aboveAverage="0" equalAverage="0" bottom="0" percent="0" rank="0" text="" dxfId="7">
      <formula>0</formula>
    </cfRule>
  </conditionalFormatting>
  <conditionalFormatting sqref="F984">
    <cfRule type="cellIs" priority="2937" operator="greaterThan" aboveAverage="0" equalAverage="0" bottom="0" percent="0" rank="0" text="" dxfId="7">
      <formula>0</formula>
    </cfRule>
  </conditionalFormatting>
  <conditionalFormatting sqref="I984">
    <cfRule type="cellIs" priority="2938" operator="lessThan" aboveAverage="0" equalAverage="0" bottom="0" percent="0" rank="0" text="" dxfId="8">
      <formula>0</formula>
    </cfRule>
  </conditionalFormatting>
  <conditionalFormatting sqref="E985">
    <cfRule type="cellIs" priority="2939" operator="greaterThan" aboveAverage="0" equalAverage="0" bottom="0" percent="0" rank="0" text="" dxfId="7">
      <formula>0</formula>
    </cfRule>
  </conditionalFormatting>
  <conditionalFormatting sqref="F985">
    <cfRule type="cellIs" priority="2940" operator="greaterThan" aboveAverage="0" equalAverage="0" bottom="0" percent="0" rank="0" text="" dxfId="7">
      <formula>0</formula>
    </cfRule>
  </conditionalFormatting>
  <conditionalFormatting sqref="I985">
    <cfRule type="cellIs" priority="2941" operator="lessThan" aboveAverage="0" equalAverage="0" bottom="0" percent="0" rank="0" text="" dxfId="8">
      <formula>0</formula>
    </cfRule>
  </conditionalFormatting>
  <conditionalFormatting sqref="E986">
    <cfRule type="cellIs" priority="2942" operator="greaterThan" aboveAverage="0" equalAverage="0" bottom="0" percent="0" rank="0" text="" dxfId="7">
      <formula>0</formula>
    </cfRule>
  </conditionalFormatting>
  <conditionalFormatting sqref="F986">
    <cfRule type="cellIs" priority="2943" operator="greaterThan" aboveAverage="0" equalAverage="0" bottom="0" percent="0" rank="0" text="" dxfId="7">
      <formula>0</formula>
    </cfRule>
  </conditionalFormatting>
  <conditionalFormatting sqref="I986">
    <cfRule type="cellIs" priority="2944" operator="lessThan" aboveAverage="0" equalAverage="0" bottom="0" percent="0" rank="0" text="" dxfId="8">
      <formula>0</formula>
    </cfRule>
  </conditionalFormatting>
  <conditionalFormatting sqref="E987">
    <cfRule type="cellIs" priority="2945" operator="greaterThan" aboveAverage="0" equalAverage="0" bottom="0" percent="0" rank="0" text="" dxfId="7">
      <formula>0</formula>
    </cfRule>
  </conditionalFormatting>
  <conditionalFormatting sqref="F987">
    <cfRule type="cellIs" priority="2946" operator="greaterThan" aboveAverage="0" equalAverage="0" bottom="0" percent="0" rank="0" text="" dxfId="7">
      <formula>0</formula>
    </cfRule>
  </conditionalFormatting>
  <conditionalFormatting sqref="I987">
    <cfRule type="cellIs" priority="2947" operator="lessThan" aboveAverage="0" equalAverage="0" bottom="0" percent="0" rank="0" text="" dxfId="8">
      <formula>0</formula>
    </cfRule>
  </conditionalFormatting>
  <conditionalFormatting sqref="E988">
    <cfRule type="cellIs" priority="2948" operator="greaterThan" aboveAverage="0" equalAverage="0" bottom="0" percent="0" rank="0" text="" dxfId="7">
      <formula>0</formula>
    </cfRule>
  </conditionalFormatting>
  <conditionalFormatting sqref="F988">
    <cfRule type="cellIs" priority="2949" operator="greaterThan" aboveAverage="0" equalAverage="0" bottom="0" percent="0" rank="0" text="" dxfId="7">
      <formula>0</formula>
    </cfRule>
  </conditionalFormatting>
  <conditionalFormatting sqref="I988">
    <cfRule type="cellIs" priority="2950" operator="lessThan" aboveAverage="0" equalAverage="0" bottom="0" percent="0" rank="0" text="" dxfId="8">
      <formula>0</formula>
    </cfRule>
  </conditionalFormatting>
  <conditionalFormatting sqref="E989">
    <cfRule type="cellIs" priority="2951" operator="greaterThan" aboveAverage="0" equalAverage="0" bottom="0" percent="0" rank="0" text="" dxfId="7">
      <formula>0</formula>
    </cfRule>
  </conditionalFormatting>
  <conditionalFormatting sqref="F989">
    <cfRule type="cellIs" priority="2952" operator="greaterThan" aboveAverage="0" equalAverage="0" bottom="0" percent="0" rank="0" text="" dxfId="7">
      <formula>0</formula>
    </cfRule>
  </conditionalFormatting>
  <conditionalFormatting sqref="I989">
    <cfRule type="cellIs" priority="2953" operator="lessThan" aboveAverage="0" equalAverage="0" bottom="0" percent="0" rank="0" text="" dxfId="8">
      <formula>0</formula>
    </cfRule>
  </conditionalFormatting>
  <conditionalFormatting sqref="E990">
    <cfRule type="cellIs" priority="2954" operator="greaterThan" aboveAverage="0" equalAverage="0" bottom="0" percent="0" rank="0" text="" dxfId="7">
      <formula>0</formula>
    </cfRule>
  </conditionalFormatting>
  <conditionalFormatting sqref="F990">
    <cfRule type="cellIs" priority="2955" operator="greaterThan" aboveAverage="0" equalAverage="0" bottom="0" percent="0" rank="0" text="" dxfId="7">
      <formula>0</formula>
    </cfRule>
  </conditionalFormatting>
  <conditionalFormatting sqref="I990">
    <cfRule type="cellIs" priority="2956" operator="lessThan" aboveAverage="0" equalAverage="0" bottom="0" percent="0" rank="0" text="" dxfId="8">
      <formula>0</formula>
    </cfRule>
  </conditionalFormatting>
  <conditionalFormatting sqref="E991">
    <cfRule type="cellIs" priority="2957" operator="greaterThan" aboveAverage="0" equalAverage="0" bottom="0" percent="0" rank="0" text="" dxfId="7">
      <formula>0</formula>
    </cfRule>
  </conditionalFormatting>
  <conditionalFormatting sqref="F991">
    <cfRule type="cellIs" priority="2958" operator="greaterThan" aboveAverage="0" equalAverage="0" bottom="0" percent="0" rank="0" text="" dxfId="7">
      <formula>0</formula>
    </cfRule>
  </conditionalFormatting>
  <conditionalFormatting sqref="I991">
    <cfRule type="cellIs" priority="2959" operator="lessThan" aboveAverage="0" equalAverage="0" bottom="0" percent="0" rank="0" text="" dxfId="8">
      <formula>0</formula>
    </cfRule>
  </conditionalFormatting>
  <conditionalFormatting sqref="E992">
    <cfRule type="cellIs" priority="2960" operator="greaterThan" aboveAverage="0" equalAverage="0" bottom="0" percent="0" rank="0" text="" dxfId="7">
      <formula>0</formula>
    </cfRule>
  </conditionalFormatting>
  <conditionalFormatting sqref="F992">
    <cfRule type="cellIs" priority="2961" operator="greaterThan" aboveAverage="0" equalAverage="0" bottom="0" percent="0" rank="0" text="" dxfId="7">
      <formula>0</formula>
    </cfRule>
  </conditionalFormatting>
  <conditionalFormatting sqref="I992">
    <cfRule type="cellIs" priority="2962" operator="lessThan" aboveAverage="0" equalAverage="0" bottom="0" percent="0" rank="0" text="" dxfId="8">
      <formula>0</formula>
    </cfRule>
  </conditionalFormatting>
  <conditionalFormatting sqref="E993">
    <cfRule type="cellIs" priority="2963" operator="greaterThan" aboveAverage="0" equalAverage="0" bottom="0" percent="0" rank="0" text="" dxfId="7">
      <formula>0</formula>
    </cfRule>
  </conditionalFormatting>
  <conditionalFormatting sqref="F993">
    <cfRule type="cellIs" priority="2964" operator="greaterThan" aboveAverage="0" equalAverage="0" bottom="0" percent="0" rank="0" text="" dxfId="7">
      <formula>0</formula>
    </cfRule>
  </conditionalFormatting>
  <conditionalFormatting sqref="I993">
    <cfRule type="cellIs" priority="2965" operator="lessThan" aboveAverage="0" equalAverage="0" bottom="0" percent="0" rank="0" text="" dxfId="8">
      <formula>0</formula>
    </cfRule>
  </conditionalFormatting>
  <conditionalFormatting sqref="E994">
    <cfRule type="cellIs" priority="2966" operator="greaterThan" aboveAverage="0" equalAverage="0" bottom="0" percent="0" rank="0" text="" dxfId="7">
      <formula>0</formula>
    </cfRule>
  </conditionalFormatting>
  <conditionalFormatting sqref="F994">
    <cfRule type="cellIs" priority="2967" operator="greaterThan" aboveAverage="0" equalAverage="0" bottom="0" percent="0" rank="0" text="" dxfId="7">
      <formula>0</formula>
    </cfRule>
  </conditionalFormatting>
  <conditionalFormatting sqref="I994">
    <cfRule type="cellIs" priority="2968" operator="lessThan" aboveAverage="0" equalAverage="0" bottom="0" percent="0" rank="0" text="" dxfId="8">
      <formula>0</formula>
    </cfRule>
  </conditionalFormatting>
  <conditionalFormatting sqref="E995">
    <cfRule type="cellIs" priority="2969" operator="greaterThan" aboveAverage="0" equalAverage="0" bottom="0" percent="0" rank="0" text="" dxfId="7">
      <formula>0</formula>
    </cfRule>
  </conditionalFormatting>
  <conditionalFormatting sqref="F995">
    <cfRule type="cellIs" priority="2970" operator="greaterThan" aboveAverage="0" equalAverage="0" bottom="0" percent="0" rank="0" text="" dxfId="7">
      <formula>0</formula>
    </cfRule>
  </conditionalFormatting>
  <conditionalFormatting sqref="I995">
    <cfRule type="cellIs" priority="2971" operator="lessThan" aboveAverage="0" equalAverage="0" bottom="0" percent="0" rank="0" text="" dxfId="8">
      <formula>0</formula>
    </cfRule>
  </conditionalFormatting>
  <conditionalFormatting sqref="E996">
    <cfRule type="cellIs" priority="2972" operator="greaterThan" aboveAverage="0" equalAverage="0" bottom="0" percent="0" rank="0" text="" dxfId="7">
      <formula>0</formula>
    </cfRule>
  </conditionalFormatting>
  <conditionalFormatting sqref="F996">
    <cfRule type="cellIs" priority="2973" operator="greaterThan" aboveAverage="0" equalAverage="0" bottom="0" percent="0" rank="0" text="" dxfId="7">
      <formula>0</formula>
    </cfRule>
  </conditionalFormatting>
  <conditionalFormatting sqref="I996">
    <cfRule type="cellIs" priority="2974" operator="lessThan" aboveAverage="0" equalAverage="0" bottom="0" percent="0" rank="0" text="" dxfId="8">
      <formula>0</formula>
    </cfRule>
  </conditionalFormatting>
  <conditionalFormatting sqref="E997">
    <cfRule type="cellIs" priority="2975" operator="greaterThan" aboveAverage="0" equalAverage="0" bottom="0" percent="0" rank="0" text="" dxfId="7">
      <formula>0</formula>
    </cfRule>
  </conditionalFormatting>
  <conditionalFormatting sqref="F997">
    <cfRule type="cellIs" priority="2976" operator="greaterThan" aboveAverage="0" equalAverage="0" bottom="0" percent="0" rank="0" text="" dxfId="7">
      <formula>0</formula>
    </cfRule>
  </conditionalFormatting>
  <conditionalFormatting sqref="I997">
    <cfRule type="cellIs" priority="2977" operator="lessThan" aboveAverage="0" equalAverage="0" bottom="0" percent="0" rank="0" text="" dxfId="8">
      <formula>0</formula>
    </cfRule>
  </conditionalFormatting>
  <conditionalFormatting sqref="E998">
    <cfRule type="cellIs" priority="2978" operator="greaterThan" aboveAverage="0" equalAverage="0" bottom="0" percent="0" rank="0" text="" dxfId="7">
      <formula>0</formula>
    </cfRule>
  </conditionalFormatting>
  <conditionalFormatting sqref="F998">
    <cfRule type="cellIs" priority="2979" operator="greaterThan" aboveAverage="0" equalAverage="0" bottom="0" percent="0" rank="0" text="" dxfId="7">
      <formula>0</formula>
    </cfRule>
  </conditionalFormatting>
  <conditionalFormatting sqref="I998">
    <cfRule type="cellIs" priority="2980" operator="lessThan" aboveAverage="0" equalAverage="0" bottom="0" percent="0" rank="0" text="" dxfId="8">
      <formula>0</formula>
    </cfRule>
  </conditionalFormatting>
  <conditionalFormatting sqref="E999">
    <cfRule type="cellIs" priority="2981" operator="greaterThan" aboveAverage="0" equalAverage="0" bottom="0" percent="0" rank="0" text="" dxfId="7">
      <formula>0</formula>
    </cfRule>
  </conditionalFormatting>
  <conditionalFormatting sqref="F999">
    <cfRule type="cellIs" priority="2982" operator="greaterThan" aboveAverage="0" equalAverage="0" bottom="0" percent="0" rank="0" text="" dxfId="7">
      <formula>0</formula>
    </cfRule>
  </conditionalFormatting>
  <conditionalFormatting sqref="I999">
    <cfRule type="cellIs" priority="2983" operator="lessThan" aboveAverage="0" equalAverage="0" bottom="0" percent="0" rank="0" text="" dxfId="8">
      <formula>0</formula>
    </cfRule>
  </conditionalFormatting>
  <conditionalFormatting sqref="E1000">
    <cfRule type="cellIs" priority="2984" operator="greaterThan" aboveAverage="0" equalAverage="0" bottom="0" percent="0" rank="0" text="" dxfId="7">
      <formula>0</formula>
    </cfRule>
  </conditionalFormatting>
  <conditionalFormatting sqref="F1000">
    <cfRule type="cellIs" priority="2985" operator="greaterThan" aboveAverage="0" equalAverage="0" bottom="0" percent="0" rank="0" text="" dxfId="7">
      <formula>0</formula>
    </cfRule>
  </conditionalFormatting>
  <conditionalFormatting sqref="I1000">
    <cfRule type="cellIs" priority="2986" operator="lessThan" aboveAverage="0" equalAverage="0" bottom="0" percent="0" rank="0" text="" dxfId="8">
      <formula>0</formula>
    </cfRule>
  </conditionalFormatting>
  <conditionalFormatting sqref="E1001">
    <cfRule type="cellIs" priority="2987" operator="greaterThan" aboveAverage="0" equalAverage="0" bottom="0" percent="0" rank="0" text="" dxfId="7">
      <formula>0</formula>
    </cfRule>
  </conditionalFormatting>
  <conditionalFormatting sqref="F1001">
    <cfRule type="cellIs" priority="2988" operator="greaterThan" aboveAverage="0" equalAverage="0" bottom="0" percent="0" rank="0" text="" dxfId="7">
      <formula>0</formula>
    </cfRule>
  </conditionalFormatting>
  <conditionalFormatting sqref="I1001">
    <cfRule type="cellIs" priority="2989" operator="lessThan" aboveAverage="0" equalAverage="0" bottom="0" percent="0" rank="0" text="" dxfId="8">
      <formula>0</formula>
    </cfRule>
  </conditionalFormatting>
  <conditionalFormatting sqref="E1002">
    <cfRule type="cellIs" priority="2990" operator="greaterThan" aboveAverage="0" equalAverage="0" bottom="0" percent="0" rank="0" text="" dxfId="7">
      <formula>0</formula>
    </cfRule>
  </conditionalFormatting>
  <conditionalFormatting sqref="F1002">
    <cfRule type="cellIs" priority="2991" operator="greaterThan" aboveAverage="0" equalAverage="0" bottom="0" percent="0" rank="0" text="" dxfId="7">
      <formula>0</formula>
    </cfRule>
  </conditionalFormatting>
  <conditionalFormatting sqref="I1002">
    <cfRule type="cellIs" priority="2992" operator="lessThan" aboveAverage="0" equalAverage="0" bottom="0" percent="0" rank="0" text="" dxfId="8">
      <formula>0</formula>
    </cfRule>
  </conditionalFormatting>
  <conditionalFormatting sqref="E1003">
    <cfRule type="cellIs" priority="2993" operator="greaterThan" aboveAverage="0" equalAverage="0" bottom="0" percent="0" rank="0" text="" dxfId="7">
      <formula>0</formula>
    </cfRule>
  </conditionalFormatting>
  <conditionalFormatting sqref="F1003">
    <cfRule type="cellIs" priority="2994" operator="greaterThan" aboveAverage="0" equalAverage="0" bottom="0" percent="0" rank="0" text="" dxfId="7">
      <formula>0</formula>
    </cfRule>
  </conditionalFormatting>
  <conditionalFormatting sqref="I1003">
    <cfRule type="cellIs" priority="2995" operator="lessThan" aboveAverage="0" equalAverage="0" bottom="0" percent="0" rank="0" text="" dxfId="8">
      <formula>0</formula>
    </cfRule>
  </conditionalFormatting>
  <dataValidations count="2">
    <dataValidation allowBlank="true" error="01.01.2020'den sonraki bir tarih girin." errorStyle="stop" errorTitle="Geçersiz tarih" operator="greaterThan" prompt="Hakedişin tahakkuk edildiği tarih." promptTitle="Hakediş Tarihi" showDropDown="false" showErrorMessage="true" showInputMessage="true" sqref="B6:B1004" type="date">
      <formula1>2020-1-1</formula1>
      <formula2>0</formula2>
    </dataValidation>
    <dataValidation allowBlank="true" error="Hakediş 1 ₺'den büyük olmalı." errorStyle="stop" errorTitle="Geçersiz tutar" operator="greaterThan" prompt="KDV hariç brüt hakediş tutarı." promptTitle="Brüt Hakediş (₺)" showDropDown="false" showErrorMessage="true" showInputMessage="true" sqref="C6:C100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25.5" hidden="false" customHeight="true" outlineLevel="0" collapsed="false">
      <c r="A1" s="12" t="s">
        <v>65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0" t="s">
        <v>66</v>
      </c>
      <c r="B3" s="20"/>
      <c r="C3" s="20"/>
      <c r="D3" s="20"/>
      <c r="E3" s="20"/>
      <c r="F3" s="20"/>
    </row>
    <row r="5" customFormat="false" ht="30" hidden="false" customHeight="true" outlineLevel="0" collapsed="false">
      <c r="A5" s="21" t="s">
        <v>46</v>
      </c>
      <c r="B5" s="21" t="s">
        <v>67</v>
      </c>
      <c r="C5" s="21" t="s">
        <v>68</v>
      </c>
      <c r="D5" s="21" t="s">
        <v>69</v>
      </c>
      <c r="E5" s="21" t="s">
        <v>70</v>
      </c>
    </row>
    <row r="6" customFormat="false" ht="15" hidden="false" customHeight="false" outlineLevel="0" collapsed="false">
      <c r="A6" s="22" t="s">
        <v>55</v>
      </c>
      <c r="B6" s="23" t="n">
        <v>46152</v>
      </c>
      <c r="C6" s="24" t="n">
        <v>700000</v>
      </c>
      <c r="D6" s="30" t="n">
        <f aca="false">IF(OR($A6="",$B6=""),"",MAX(0,raporTarihi-$B6-VadeGun))</f>
        <v>31</v>
      </c>
      <c r="E6" s="25" t="n">
        <f aca="false">IF(OR($A6="",$B6="",$C6="",$D6=""),"",$C6*GecikmeFaizOrani*$D6/365)</f>
        <v>8917.80821917808</v>
      </c>
    </row>
    <row r="7" customFormat="false" ht="15" hidden="false" customHeight="false" outlineLevel="0" collapsed="false">
      <c r="A7" s="22" t="s">
        <v>56</v>
      </c>
      <c r="B7" s="23" t="n">
        <v>46167</v>
      </c>
      <c r="C7" s="24" t="n">
        <v>900000</v>
      </c>
      <c r="D7" s="30" t="n">
        <f aca="false">IF(OR($A7="",$B7=""),"",MAX(0,raporTarihi-$B7-VadeGun))</f>
        <v>16</v>
      </c>
      <c r="E7" s="25" t="n">
        <f aca="false">IF(OR($A7="",$B7="",$C7="",$D7=""),"",$C7*GecikmeFaizOrani*$D7/365)</f>
        <v>5917.80821917808</v>
      </c>
    </row>
    <row r="8" customFormat="false" ht="15" hidden="false" customHeight="false" outlineLevel="0" collapsed="false">
      <c r="A8" s="22" t="s">
        <v>57</v>
      </c>
      <c r="B8" s="23" t="n">
        <v>46208</v>
      </c>
      <c r="C8" s="24" t="n">
        <v>1050000</v>
      </c>
      <c r="D8" s="30" t="n">
        <f aca="false">IF(OR($A8="",$B8=""),"",MAX(0,raporTarihi-$B8-VadeGun))</f>
        <v>0</v>
      </c>
      <c r="E8" s="25" t="n">
        <f aca="false">IF(OR($A8="",$B8="",$C8="",$D8=""),"",$C8*GecikmeFaizOrani*$D8/365)</f>
        <v>0</v>
      </c>
    </row>
    <row r="9" customFormat="false" ht="15" hidden="false" customHeight="false" outlineLevel="0" collapsed="false">
      <c r="A9" s="22" t="s">
        <v>58</v>
      </c>
      <c r="B9" s="23" t="n">
        <v>46228</v>
      </c>
      <c r="C9" s="24" t="n">
        <v>950000</v>
      </c>
      <c r="D9" s="30" t="n">
        <f aca="false">IF(OR($A9="",$B9=""),"",MAX(0,raporTarihi-$B9-VadeGun))</f>
        <v>0</v>
      </c>
      <c r="E9" s="25" t="n">
        <f aca="false">IF(OR($A9="",$B9="",$C9="",$D9=""),"",$C9*GecikmeFaizOrani*$D9/365)</f>
        <v>0</v>
      </c>
    </row>
    <row r="10" customFormat="false" ht="15" hidden="false" customHeight="false" outlineLevel="0" collapsed="false">
      <c r="A10" s="22" t="s">
        <v>59</v>
      </c>
      <c r="B10" s="23" t="n">
        <v>46270</v>
      </c>
      <c r="C10" s="24" t="n">
        <v>1250000</v>
      </c>
      <c r="D10" s="30" t="n">
        <f aca="false">IF(OR($A10="",$B10=""),"",MAX(0,raporTarihi-$B10-VadeGun))</f>
        <v>0</v>
      </c>
      <c r="E10" s="25" t="n">
        <f aca="false">IF(OR($A10="",$B10="",$C10="",$D10=""),"",$C10*GecikmeFaizOrani*$D10/365)</f>
        <v>0</v>
      </c>
    </row>
    <row r="11" customFormat="false" ht="15" hidden="false" customHeight="false" outlineLevel="0" collapsed="false">
      <c r="A11" s="22" t="s">
        <v>60</v>
      </c>
      <c r="B11" s="23" t="n">
        <v>46290</v>
      </c>
      <c r="C11" s="24" t="n">
        <v>1150000</v>
      </c>
      <c r="D11" s="30" t="n">
        <f aca="false">IF(OR($A11="",$B11=""),"",MAX(0,raporTarihi-$B11-VadeGun))</f>
        <v>0</v>
      </c>
      <c r="E11" s="25" t="n">
        <f aca="false">IF(OR($A11="",$B11="",$C11="",$D11=""),"",$C11*GecikmeFaizOrani*$D11/365)</f>
        <v>0</v>
      </c>
    </row>
    <row r="12" customFormat="false" ht="15" hidden="false" customHeight="false" outlineLevel="0" collapsed="false">
      <c r="A12" s="22" t="s">
        <v>61</v>
      </c>
      <c r="B12" s="23" t="n">
        <v>46331</v>
      </c>
      <c r="C12" s="24" t="n">
        <v>850000</v>
      </c>
      <c r="D12" s="30" t="n">
        <f aca="false">IF(OR($A12="",$B12=""),"",MAX(0,raporTarihi-$B12-VadeGun))</f>
        <v>0</v>
      </c>
      <c r="E12" s="25" t="n">
        <f aca="false">IF(OR($A12="",$B12="",$C12="",$D12=""),"",$C12*GecikmeFaizOrani*$D12/365)</f>
        <v>0</v>
      </c>
    </row>
    <row r="13" customFormat="false" ht="15" hidden="false" customHeight="false" outlineLevel="0" collapsed="false">
      <c r="A13" s="22" t="s">
        <v>62</v>
      </c>
      <c r="B13" s="23" t="n">
        <v>46351</v>
      </c>
      <c r="C13" s="24" t="n">
        <v>700000</v>
      </c>
      <c r="D13" s="30" t="n">
        <f aca="false">IF(OR($A13="",$B13=""),"",MAX(0,raporTarihi-$B13-VadeGun))</f>
        <v>0</v>
      </c>
      <c r="E13" s="25" t="n">
        <f aca="false">IF(OR($A13="",$B13="",$C13="",$D13=""),"",$C13*GecikmeFaizOrani*$D13/365)</f>
        <v>0</v>
      </c>
    </row>
    <row r="14" customFormat="false" ht="15" hidden="false" customHeight="false" outlineLevel="0" collapsed="false">
      <c r="A14" s="22" t="s">
        <v>63</v>
      </c>
      <c r="B14" s="23" t="n">
        <v>46397</v>
      </c>
      <c r="C14" s="24" t="n">
        <v>800000</v>
      </c>
      <c r="D14" s="30" t="n">
        <f aca="false">IF(OR($A14="",$B14=""),"",MAX(0,raporTarihi-$B14-VadeGun))</f>
        <v>0</v>
      </c>
      <c r="E14" s="25" t="n">
        <f aca="false">IF(OR($A14="",$B14="",$C14="",$D14=""),"",$C14*GecikmeFaizOrani*$D14/365)</f>
        <v>0</v>
      </c>
    </row>
    <row r="15" customFormat="false" ht="15" hidden="false" customHeight="false" outlineLevel="0" collapsed="false">
      <c r="A15" s="26"/>
      <c r="B15" s="27"/>
      <c r="C15" s="28"/>
      <c r="D15" s="31"/>
      <c r="E15" s="29"/>
    </row>
    <row r="16" customFormat="false" ht="15" hidden="false" customHeight="false" outlineLevel="0" collapsed="false">
      <c r="A16" s="26"/>
      <c r="B16" s="27"/>
      <c r="C16" s="28"/>
      <c r="D16" s="31"/>
      <c r="E16" s="29"/>
    </row>
    <row r="17" customFormat="false" ht="15" hidden="false" customHeight="false" outlineLevel="0" collapsed="false">
      <c r="A17" s="26"/>
      <c r="B17" s="27"/>
      <c r="C17" s="28"/>
      <c r="D17" s="31"/>
      <c r="E17" s="29"/>
    </row>
    <row r="18" customFormat="false" ht="15" hidden="false" customHeight="false" outlineLevel="0" collapsed="false">
      <c r="A18" s="26"/>
      <c r="B18" s="27"/>
      <c r="C18" s="28"/>
      <c r="D18" s="31"/>
      <c r="E18" s="29"/>
    </row>
    <row r="19" customFormat="false" ht="15" hidden="false" customHeight="false" outlineLevel="0" collapsed="false">
      <c r="A19" s="26"/>
      <c r="B19" s="27"/>
      <c r="C19" s="28"/>
      <c r="D19" s="31"/>
      <c r="E19" s="29"/>
    </row>
    <row r="20" customFormat="false" ht="15" hidden="false" customHeight="false" outlineLevel="0" collapsed="false">
      <c r="A20" s="26"/>
      <c r="B20" s="27"/>
      <c r="C20" s="28"/>
      <c r="D20" s="31"/>
      <c r="E20" s="29"/>
    </row>
    <row r="21" customFormat="false" ht="15" hidden="false" customHeight="false" outlineLevel="0" collapsed="false">
      <c r="A21" s="26"/>
      <c r="B21" s="27"/>
      <c r="C21" s="28"/>
      <c r="D21" s="31"/>
      <c r="E21" s="29"/>
    </row>
    <row r="22" customFormat="false" ht="15" hidden="false" customHeight="false" outlineLevel="0" collapsed="false">
      <c r="A22" s="26"/>
      <c r="B22" s="27"/>
      <c r="C22" s="28"/>
      <c r="D22" s="31"/>
      <c r="E22" s="29"/>
    </row>
    <row r="23" customFormat="false" ht="15" hidden="false" customHeight="false" outlineLevel="0" collapsed="false">
      <c r="A23" s="26"/>
      <c r="B23" s="27"/>
      <c r="C23" s="28"/>
      <c r="D23" s="31"/>
      <c r="E23" s="29"/>
    </row>
    <row r="24" customFormat="false" ht="15" hidden="false" customHeight="false" outlineLevel="0" collapsed="false">
      <c r="A24" s="26"/>
      <c r="B24" s="27"/>
      <c r="C24" s="28"/>
      <c r="D24" s="31"/>
      <c r="E24" s="29"/>
    </row>
    <row r="25" customFormat="false" ht="15" hidden="false" customHeight="false" outlineLevel="0" collapsed="false">
      <c r="A25" s="26"/>
      <c r="B25" s="27"/>
      <c r="C25" s="28"/>
      <c r="D25" s="31"/>
      <c r="E25" s="29"/>
    </row>
    <row r="26" customFormat="false" ht="15" hidden="false" customHeight="false" outlineLevel="0" collapsed="false">
      <c r="A26" s="26"/>
      <c r="B26" s="27"/>
      <c r="C26" s="28"/>
      <c r="D26" s="31"/>
      <c r="E26" s="29"/>
    </row>
    <row r="27" customFormat="false" ht="15" hidden="false" customHeight="false" outlineLevel="0" collapsed="false">
      <c r="A27" s="26"/>
      <c r="B27" s="27"/>
      <c r="C27" s="28"/>
      <c r="D27" s="31"/>
      <c r="E27" s="29"/>
    </row>
    <row r="28" customFormat="false" ht="15" hidden="false" customHeight="false" outlineLevel="0" collapsed="false">
      <c r="A28" s="26"/>
      <c r="B28" s="27"/>
      <c r="C28" s="28"/>
      <c r="D28" s="31"/>
      <c r="E28" s="29"/>
    </row>
    <row r="29" customFormat="false" ht="15" hidden="false" customHeight="false" outlineLevel="0" collapsed="false">
      <c r="A29" s="26"/>
      <c r="B29" s="27"/>
      <c r="C29" s="28"/>
      <c r="D29" s="31"/>
      <c r="E29" s="29"/>
    </row>
    <row r="30" customFormat="false" ht="15" hidden="false" customHeight="false" outlineLevel="0" collapsed="false">
      <c r="A30" s="26"/>
      <c r="B30" s="27"/>
      <c r="C30" s="28"/>
      <c r="D30" s="31"/>
      <c r="E30" s="29"/>
    </row>
    <row r="31" customFormat="false" ht="15" hidden="false" customHeight="false" outlineLevel="0" collapsed="false">
      <c r="A31" s="26"/>
      <c r="B31" s="27"/>
      <c r="C31" s="28"/>
      <c r="D31" s="31"/>
      <c r="E31" s="29"/>
    </row>
    <row r="32" customFormat="false" ht="15" hidden="false" customHeight="false" outlineLevel="0" collapsed="false">
      <c r="A32" s="26"/>
      <c r="B32" s="27"/>
      <c r="C32" s="28"/>
      <c r="D32" s="31"/>
      <c r="E32" s="29"/>
    </row>
    <row r="33" customFormat="false" ht="15" hidden="false" customHeight="false" outlineLevel="0" collapsed="false">
      <c r="A33" s="26"/>
      <c r="B33" s="27"/>
      <c r="C33" s="28"/>
      <c r="D33" s="31"/>
      <c r="E33" s="29"/>
    </row>
    <row r="34" customFormat="false" ht="15" hidden="false" customHeight="false" outlineLevel="0" collapsed="false">
      <c r="A34" s="26"/>
      <c r="B34" s="27"/>
      <c r="C34" s="28"/>
      <c r="D34" s="31"/>
      <c r="E34" s="29"/>
    </row>
    <row r="35" customFormat="false" ht="15" hidden="false" customHeight="false" outlineLevel="0" collapsed="false">
      <c r="A35" s="26"/>
      <c r="B35" s="27"/>
      <c r="C35" s="28"/>
      <c r="D35" s="31"/>
      <c r="E35" s="29"/>
    </row>
    <row r="36" customFormat="false" ht="15" hidden="false" customHeight="false" outlineLevel="0" collapsed="false">
      <c r="A36" s="26"/>
      <c r="B36" s="27"/>
      <c r="C36" s="28"/>
      <c r="D36" s="31"/>
      <c r="E36" s="29"/>
    </row>
    <row r="37" customFormat="false" ht="15" hidden="false" customHeight="false" outlineLevel="0" collapsed="false">
      <c r="A37" s="26"/>
      <c r="B37" s="27"/>
      <c r="C37" s="28"/>
      <c r="D37" s="31"/>
      <c r="E37" s="29"/>
    </row>
    <row r="38" customFormat="false" ht="15" hidden="false" customHeight="false" outlineLevel="0" collapsed="false">
      <c r="A38" s="26"/>
      <c r="B38" s="27"/>
      <c r="C38" s="28"/>
      <c r="D38" s="31"/>
      <c r="E38" s="29"/>
    </row>
    <row r="39" customFormat="false" ht="15" hidden="false" customHeight="false" outlineLevel="0" collapsed="false">
      <c r="A39" s="26"/>
      <c r="B39" s="27"/>
      <c r="C39" s="28"/>
      <c r="D39" s="31"/>
      <c r="E39" s="29"/>
    </row>
    <row r="40" customFormat="false" ht="15" hidden="false" customHeight="false" outlineLevel="0" collapsed="false">
      <c r="A40" s="26"/>
      <c r="B40" s="27"/>
      <c r="C40" s="28"/>
      <c r="D40" s="31"/>
      <c r="E40" s="29"/>
    </row>
    <row r="41" customFormat="false" ht="15" hidden="false" customHeight="false" outlineLevel="0" collapsed="false">
      <c r="A41" s="26"/>
      <c r="B41" s="27"/>
      <c r="C41" s="28"/>
      <c r="D41" s="31"/>
      <c r="E41" s="29"/>
    </row>
    <row r="42" customFormat="false" ht="15" hidden="false" customHeight="false" outlineLevel="0" collapsed="false">
      <c r="A42" s="26"/>
      <c r="B42" s="27"/>
      <c r="C42" s="28"/>
      <c r="D42" s="31"/>
      <c r="E42" s="29"/>
    </row>
    <row r="43" customFormat="false" ht="15" hidden="false" customHeight="false" outlineLevel="0" collapsed="false">
      <c r="A43" s="26"/>
      <c r="B43" s="27"/>
      <c r="C43" s="28"/>
      <c r="D43" s="31"/>
      <c r="E43" s="29"/>
    </row>
    <row r="44" customFormat="false" ht="15" hidden="false" customHeight="false" outlineLevel="0" collapsed="false">
      <c r="A44" s="26"/>
      <c r="B44" s="27"/>
      <c r="C44" s="28"/>
      <c r="D44" s="31"/>
      <c r="E44" s="29"/>
    </row>
    <row r="45" customFormat="false" ht="15" hidden="false" customHeight="false" outlineLevel="0" collapsed="false">
      <c r="A45" s="26"/>
      <c r="B45" s="27"/>
      <c r="C45" s="28"/>
      <c r="D45" s="31"/>
      <c r="E45" s="29"/>
    </row>
    <row r="46" customFormat="false" ht="15" hidden="false" customHeight="false" outlineLevel="0" collapsed="false">
      <c r="A46" s="26"/>
      <c r="B46" s="27"/>
      <c r="C46" s="28"/>
      <c r="D46" s="31"/>
      <c r="E46" s="29"/>
    </row>
    <row r="47" customFormat="false" ht="15" hidden="false" customHeight="false" outlineLevel="0" collapsed="false">
      <c r="A47" s="26"/>
      <c r="B47" s="27"/>
      <c r="C47" s="28"/>
      <c r="D47" s="31"/>
      <c r="E47" s="29"/>
    </row>
    <row r="48" customFormat="false" ht="15" hidden="false" customHeight="false" outlineLevel="0" collapsed="false">
      <c r="A48" s="26"/>
      <c r="B48" s="27"/>
      <c r="C48" s="28"/>
      <c r="D48" s="31"/>
      <c r="E48" s="29"/>
    </row>
    <row r="49" customFormat="false" ht="15" hidden="false" customHeight="false" outlineLevel="0" collapsed="false">
      <c r="A49" s="26"/>
      <c r="B49" s="27"/>
      <c r="C49" s="28"/>
      <c r="D49" s="31"/>
      <c r="E49" s="29"/>
    </row>
    <row r="50" customFormat="false" ht="15" hidden="false" customHeight="false" outlineLevel="0" collapsed="false">
      <c r="A50" s="26"/>
      <c r="B50" s="27"/>
      <c r="C50" s="28"/>
      <c r="D50" s="31"/>
      <c r="E50" s="29"/>
    </row>
    <row r="51" customFormat="false" ht="15" hidden="false" customHeight="false" outlineLevel="0" collapsed="false">
      <c r="A51" s="26"/>
      <c r="B51" s="27"/>
      <c r="C51" s="28"/>
      <c r="D51" s="31"/>
      <c r="E51" s="29"/>
    </row>
    <row r="52" customFormat="false" ht="15" hidden="false" customHeight="false" outlineLevel="0" collapsed="false">
      <c r="A52" s="26"/>
      <c r="B52" s="27"/>
      <c r="C52" s="28"/>
      <c r="D52" s="31"/>
      <c r="E52" s="29"/>
    </row>
    <row r="53" customFormat="false" ht="15" hidden="false" customHeight="false" outlineLevel="0" collapsed="false">
      <c r="A53" s="26"/>
      <c r="B53" s="27"/>
      <c r="C53" s="28"/>
      <c r="D53" s="31"/>
      <c r="E53" s="29"/>
    </row>
    <row r="54" customFormat="false" ht="15" hidden="false" customHeight="false" outlineLevel="0" collapsed="false">
      <c r="A54" s="26"/>
      <c r="B54" s="27"/>
      <c r="C54" s="28"/>
      <c r="D54" s="31"/>
      <c r="E54" s="29"/>
    </row>
    <row r="55" customFormat="false" ht="15" hidden="false" customHeight="false" outlineLevel="0" collapsed="false">
      <c r="A55" s="26"/>
      <c r="B55" s="27"/>
      <c r="C55" s="28"/>
      <c r="D55" s="31"/>
      <c r="E55" s="29"/>
    </row>
    <row r="56" customFormat="false" ht="15" hidden="false" customHeight="false" outlineLevel="0" collapsed="false">
      <c r="A56" s="26"/>
      <c r="B56" s="27"/>
      <c r="C56" s="28"/>
      <c r="D56" s="31"/>
      <c r="E56" s="29"/>
    </row>
    <row r="57" customFormat="false" ht="15" hidden="false" customHeight="false" outlineLevel="0" collapsed="false">
      <c r="A57" s="26"/>
      <c r="B57" s="27"/>
      <c r="C57" s="28"/>
      <c r="D57" s="31"/>
      <c r="E57" s="29"/>
    </row>
    <row r="58" customFormat="false" ht="15" hidden="false" customHeight="false" outlineLevel="0" collapsed="false">
      <c r="A58" s="26"/>
      <c r="B58" s="27"/>
      <c r="C58" s="28"/>
      <c r="D58" s="31"/>
      <c r="E58" s="29"/>
    </row>
    <row r="59" customFormat="false" ht="15" hidden="false" customHeight="false" outlineLevel="0" collapsed="false">
      <c r="A59" s="26"/>
      <c r="B59" s="27"/>
      <c r="C59" s="28"/>
      <c r="D59" s="31"/>
      <c r="E59" s="29"/>
    </row>
    <row r="60" customFormat="false" ht="15" hidden="false" customHeight="false" outlineLevel="0" collapsed="false">
      <c r="A60" s="26"/>
      <c r="B60" s="27"/>
      <c r="C60" s="28"/>
      <c r="D60" s="31"/>
      <c r="E60" s="29"/>
    </row>
    <row r="61" customFormat="false" ht="15" hidden="false" customHeight="false" outlineLevel="0" collapsed="false">
      <c r="A61" s="26"/>
      <c r="B61" s="27"/>
      <c r="C61" s="28"/>
      <c r="D61" s="31"/>
      <c r="E61" s="29"/>
    </row>
    <row r="62" customFormat="false" ht="15" hidden="false" customHeight="false" outlineLevel="0" collapsed="false">
      <c r="A62" s="26"/>
      <c r="B62" s="27"/>
      <c r="C62" s="28"/>
      <c r="D62" s="31"/>
      <c r="E62" s="29"/>
    </row>
    <row r="63" customFormat="false" ht="15" hidden="false" customHeight="false" outlineLevel="0" collapsed="false">
      <c r="A63" s="26"/>
      <c r="B63" s="27"/>
      <c r="C63" s="28"/>
      <c r="D63" s="31"/>
      <c r="E63" s="29"/>
    </row>
    <row r="64" customFormat="false" ht="15" hidden="false" customHeight="false" outlineLevel="0" collapsed="false">
      <c r="A64" s="26"/>
      <c r="B64" s="27"/>
      <c r="C64" s="28"/>
      <c r="D64" s="31"/>
      <c r="E64" s="29"/>
    </row>
    <row r="65" customFormat="false" ht="15" hidden="false" customHeight="false" outlineLevel="0" collapsed="false">
      <c r="A65" s="26"/>
      <c r="B65" s="27"/>
      <c r="C65" s="28"/>
      <c r="D65" s="31"/>
      <c r="E65" s="29"/>
    </row>
    <row r="66" customFormat="false" ht="15" hidden="false" customHeight="false" outlineLevel="0" collapsed="false">
      <c r="A66" s="26"/>
      <c r="B66" s="27"/>
      <c r="C66" s="28"/>
      <c r="D66" s="31"/>
      <c r="E66" s="29"/>
    </row>
    <row r="67" customFormat="false" ht="15" hidden="false" customHeight="false" outlineLevel="0" collapsed="false">
      <c r="A67" s="26"/>
      <c r="B67" s="27"/>
      <c r="C67" s="28"/>
      <c r="D67" s="31"/>
      <c r="E67" s="29"/>
    </row>
    <row r="68" customFormat="false" ht="15" hidden="false" customHeight="false" outlineLevel="0" collapsed="false">
      <c r="A68" s="26"/>
      <c r="B68" s="27"/>
      <c r="C68" s="28"/>
      <c r="D68" s="31"/>
      <c r="E68" s="29"/>
    </row>
    <row r="69" customFormat="false" ht="15" hidden="false" customHeight="false" outlineLevel="0" collapsed="false">
      <c r="A69" s="26"/>
      <c r="B69" s="27"/>
      <c r="C69" s="28"/>
      <c r="D69" s="31"/>
      <c r="E69" s="29"/>
    </row>
    <row r="70" customFormat="false" ht="15" hidden="false" customHeight="false" outlineLevel="0" collapsed="false">
      <c r="A70" s="26"/>
      <c r="B70" s="27"/>
      <c r="C70" s="28"/>
      <c r="D70" s="31"/>
      <c r="E70" s="29"/>
    </row>
    <row r="71" customFormat="false" ht="15" hidden="false" customHeight="false" outlineLevel="0" collapsed="false">
      <c r="A71" s="26"/>
      <c r="B71" s="27"/>
      <c r="C71" s="28"/>
      <c r="D71" s="31"/>
      <c r="E71" s="29"/>
    </row>
    <row r="72" customFormat="false" ht="15" hidden="false" customHeight="false" outlineLevel="0" collapsed="false">
      <c r="A72" s="26"/>
      <c r="B72" s="27"/>
      <c r="C72" s="28"/>
      <c r="D72" s="31"/>
      <c r="E72" s="29"/>
    </row>
    <row r="73" customFormat="false" ht="15" hidden="false" customHeight="false" outlineLevel="0" collapsed="false">
      <c r="A73" s="26"/>
      <c r="B73" s="27"/>
      <c r="C73" s="28"/>
      <c r="D73" s="31"/>
      <c r="E73" s="29"/>
    </row>
    <row r="74" customFormat="false" ht="15" hidden="false" customHeight="false" outlineLevel="0" collapsed="false">
      <c r="A74" s="26"/>
      <c r="B74" s="27"/>
      <c r="C74" s="28"/>
      <c r="D74" s="31"/>
      <c r="E74" s="29"/>
    </row>
    <row r="75" customFormat="false" ht="15" hidden="false" customHeight="false" outlineLevel="0" collapsed="false">
      <c r="A75" s="26"/>
      <c r="B75" s="27"/>
      <c r="C75" s="28"/>
      <c r="D75" s="31"/>
      <c r="E75" s="29"/>
    </row>
    <row r="76" customFormat="false" ht="15" hidden="false" customHeight="false" outlineLevel="0" collapsed="false">
      <c r="A76" s="26"/>
      <c r="B76" s="27"/>
      <c r="C76" s="28"/>
      <c r="D76" s="31"/>
      <c r="E76" s="29"/>
    </row>
    <row r="77" customFormat="false" ht="15" hidden="false" customHeight="false" outlineLevel="0" collapsed="false">
      <c r="A77" s="26"/>
      <c r="B77" s="27"/>
      <c r="C77" s="28"/>
      <c r="D77" s="31"/>
      <c r="E77" s="29"/>
    </row>
    <row r="78" customFormat="false" ht="15" hidden="false" customHeight="false" outlineLevel="0" collapsed="false">
      <c r="A78" s="26"/>
      <c r="B78" s="27"/>
      <c r="C78" s="28"/>
      <c r="D78" s="31"/>
      <c r="E78" s="29"/>
    </row>
    <row r="79" customFormat="false" ht="15" hidden="false" customHeight="false" outlineLevel="0" collapsed="false">
      <c r="A79" s="26"/>
      <c r="B79" s="27"/>
      <c r="C79" s="28"/>
      <c r="D79" s="31"/>
      <c r="E79" s="29"/>
    </row>
    <row r="80" customFormat="false" ht="15" hidden="false" customHeight="false" outlineLevel="0" collapsed="false">
      <c r="A80" s="26"/>
      <c r="B80" s="27"/>
      <c r="C80" s="28"/>
      <c r="D80" s="31"/>
      <c r="E80" s="29"/>
    </row>
    <row r="81" customFormat="false" ht="15" hidden="false" customHeight="false" outlineLevel="0" collapsed="false">
      <c r="A81" s="26"/>
      <c r="B81" s="27"/>
      <c r="C81" s="28"/>
      <c r="D81" s="31"/>
      <c r="E81" s="29"/>
    </row>
    <row r="82" customFormat="false" ht="15" hidden="false" customHeight="false" outlineLevel="0" collapsed="false">
      <c r="A82" s="26"/>
      <c r="B82" s="27"/>
      <c r="C82" s="28"/>
      <c r="D82" s="31"/>
      <c r="E82" s="29"/>
    </row>
    <row r="83" customFormat="false" ht="15" hidden="false" customHeight="false" outlineLevel="0" collapsed="false">
      <c r="A83" s="26"/>
      <c r="B83" s="27"/>
      <c r="C83" s="28"/>
      <c r="D83" s="31"/>
      <c r="E83" s="29"/>
    </row>
    <row r="84" customFormat="false" ht="15" hidden="false" customHeight="false" outlineLevel="0" collapsed="false">
      <c r="A84" s="26"/>
      <c r="B84" s="27"/>
      <c r="C84" s="28"/>
      <c r="D84" s="31"/>
      <c r="E84" s="29"/>
    </row>
    <row r="85" customFormat="false" ht="15" hidden="false" customHeight="false" outlineLevel="0" collapsed="false">
      <c r="A85" s="26"/>
      <c r="B85" s="27"/>
      <c r="C85" s="28"/>
      <c r="D85" s="31"/>
      <c r="E85" s="29"/>
    </row>
    <row r="86" customFormat="false" ht="15" hidden="false" customHeight="false" outlineLevel="0" collapsed="false">
      <c r="A86" s="26"/>
      <c r="B86" s="27"/>
      <c r="C86" s="28"/>
      <c r="D86" s="31"/>
      <c r="E86" s="29"/>
    </row>
    <row r="87" customFormat="false" ht="15" hidden="false" customHeight="false" outlineLevel="0" collapsed="false">
      <c r="A87" s="26"/>
      <c r="B87" s="27"/>
      <c r="C87" s="28"/>
      <c r="D87" s="31"/>
      <c r="E87" s="29"/>
    </row>
    <row r="88" customFormat="false" ht="15" hidden="false" customHeight="false" outlineLevel="0" collapsed="false">
      <c r="A88" s="26"/>
      <c r="B88" s="27"/>
      <c r="C88" s="28"/>
      <c r="D88" s="31"/>
      <c r="E88" s="29"/>
    </row>
    <row r="89" customFormat="false" ht="15" hidden="false" customHeight="false" outlineLevel="0" collapsed="false">
      <c r="A89" s="26"/>
      <c r="B89" s="27"/>
      <c r="C89" s="28"/>
      <c r="D89" s="31"/>
      <c r="E89" s="29"/>
    </row>
    <row r="90" customFormat="false" ht="15" hidden="false" customHeight="false" outlineLevel="0" collapsed="false">
      <c r="A90" s="26"/>
      <c r="B90" s="27"/>
      <c r="C90" s="28"/>
      <c r="D90" s="31"/>
      <c r="E90" s="29"/>
    </row>
    <row r="91" customFormat="false" ht="15" hidden="false" customHeight="false" outlineLevel="0" collapsed="false">
      <c r="A91" s="26"/>
      <c r="B91" s="27"/>
      <c r="C91" s="28"/>
      <c r="D91" s="31"/>
      <c r="E91" s="29"/>
    </row>
    <row r="92" customFormat="false" ht="15" hidden="false" customHeight="false" outlineLevel="0" collapsed="false">
      <c r="A92" s="26"/>
      <c r="B92" s="27"/>
      <c r="C92" s="28"/>
      <c r="D92" s="31"/>
      <c r="E92" s="29"/>
    </row>
    <row r="93" customFormat="false" ht="15" hidden="false" customHeight="false" outlineLevel="0" collapsed="false">
      <c r="A93" s="26"/>
      <c r="B93" s="27"/>
      <c r="C93" s="28"/>
      <c r="D93" s="31"/>
      <c r="E93" s="29"/>
    </row>
    <row r="94" customFormat="false" ht="15" hidden="false" customHeight="false" outlineLevel="0" collapsed="false">
      <c r="A94" s="26"/>
      <c r="B94" s="27"/>
      <c r="C94" s="28"/>
      <c r="D94" s="31"/>
      <c r="E94" s="29"/>
    </row>
    <row r="95" customFormat="false" ht="15" hidden="false" customHeight="false" outlineLevel="0" collapsed="false">
      <c r="A95" s="26"/>
      <c r="B95" s="27"/>
      <c r="C95" s="28"/>
      <c r="D95" s="31"/>
      <c r="E95" s="29"/>
    </row>
    <row r="96" customFormat="false" ht="15" hidden="false" customHeight="false" outlineLevel="0" collapsed="false">
      <c r="A96" s="26"/>
      <c r="B96" s="27"/>
      <c r="C96" s="28"/>
      <c r="D96" s="31"/>
      <c r="E96" s="29"/>
    </row>
    <row r="97" customFormat="false" ht="15" hidden="false" customHeight="false" outlineLevel="0" collapsed="false">
      <c r="A97" s="26"/>
      <c r="B97" s="27"/>
      <c r="C97" s="28"/>
      <c r="D97" s="31"/>
      <c r="E97" s="29"/>
    </row>
    <row r="98" customFormat="false" ht="15" hidden="false" customHeight="false" outlineLevel="0" collapsed="false">
      <c r="A98" s="26"/>
      <c r="B98" s="27"/>
      <c r="C98" s="28"/>
      <c r="D98" s="31"/>
      <c r="E98" s="29"/>
    </row>
    <row r="99" customFormat="false" ht="15" hidden="false" customHeight="false" outlineLevel="0" collapsed="false">
      <c r="A99" s="26"/>
      <c r="B99" s="27"/>
      <c r="C99" s="28"/>
      <c r="D99" s="31"/>
      <c r="E99" s="29"/>
    </row>
    <row r="100" customFormat="false" ht="15" hidden="false" customHeight="false" outlineLevel="0" collapsed="false">
      <c r="A100" s="26"/>
      <c r="B100" s="27"/>
      <c r="C100" s="28"/>
      <c r="D100" s="31"/>
      <c r="E100" s="29"/>
    </row>
    <row r="101" customFormat="false" ht="15" hidden="false" customHeight="false" outlineLevel="0" collapsed="false">
      <c r="A101" s="26"/>
      <c r="B101" s="27"/>
      <c r="C101" s="28"/>
      <c r="D101" s="31"/>
      <c r="E101" s="29"/>
    </row>
    <row r="102" customFormat="false" ht="15" hidden="false" customHeight="false" outlineLevel="0" collapsed="false">
      <c r="A102" s="26"/>
      <c r="B102" s="27"/>
      <c r="C102" s="28"/>
      <c r="D102" s="31"/>
      <c r="E102" s="29"/>
    </row>
    <row r="103" customFormat="false" ht="15" hidden="false" customHeight="false" outlineLevel="0" collapsed="false">
      <c r="A103" s="26"/>
      <c r="B103" s="27"/>
      <c r="C103" s="28"/>
      <c r="D103" s="31"/>
      <c r="E103" s="29"/>
    </row>
    <row r="104" customFormat="false" ht="15" hidden="false" customHeight="false" outlineLevel="0" collapsed="false">
      <c r="A104" s="26"/>
      <c r="B104" s="27"/>
      <c r="C104" s="28"/>
      <c r="D104" s="31"/>
      <c r="E104" s="29"/>
    </row>
    <row r="105" customFormat="false" ht="15" hidden="false" customHeight="false" outlineLevel="0" collapsed="false">
      <c r="A105" s="26"/>
      <c r="B105" s="27"/>
      <c r="C105" s="28"/>
      <c r="D105" s="31"/>
      <c r="E105" s="29"/>
    </row>
    <row r="106" customFormat="false" ht="15" hidden="false" customHeight="false" outlineLevel="0" collapsed="false">
      <c r="A106" s="26"/>
      <c r="B106" s="27"/>
      <c r="C106" s="28"/>
      <c r="D106" s="31"/>
      <c r="E106" s="29"/>
    </row>
    <row r="107" customFormat="false" ht="15" hidden="false" customHeight="false" outlineLevel="0" collapsed="false">
      <c r="A107" s="26"/>
      <c r="B107" s="27"/>
      <c r="C107" s="28"/>
      <c r="D107" s="31"/>
      <c r="E107" s="29"/>
    </row>
    <row r="108" customFormat="false" ht="15" hidden="false" customHeight="false" outlineLevel="0" collapsed="false">
      <c r="A108" s="26"/>
      <c r="B108" s="27"/>
      <c r="C108" s="28"/>
      <c r="D108" s="31"/>
      <c r="E108" s="29"/>
    </row>
    <row r="109" customFormat="false" ht="15" hidden="false" customHeight="false" outlineLevel="0" collapsed="false">
      <c r="A109" s="26"/>
      <c r="B109" s="27"/>
      <c r="C109" s="28"/>
      <c r="D109" s="31"/>
      <c r="E109" s="29"/>
    </row>
    <row r="110" customFormat="false" ht="15" hidden="false" customHeight="false" outlineLevel="0" collapsed="false">
      <c r="A110" s="26"/>
      <c r="B110" s="27"/>
      <c r="C110" s="28"/>
      <c r="D110" s="31"/>
      <c r="E110" s="29"/>
    </row>
    <row r="111" customFormat="false" ht="15" hidden="false" customHeight="false" outlineLevel="0" collapsed="false">
      <c r="A111" s="26"/>
      <c r="B111" s="27"/>
      <c r="C111" s="28"/>
      <c r="D111" s="31"/>
      <c r="E111" s="29"/>
    </row>
    <row r="112" customFormat="false" ht="15" hidden="false" customHeight="false" outlineLevel="0" collapsed="false">
      <c r="A112" s="26"/>
      <c r="B112" s="27"/>
      <c r="C112" s="28"/>
      <c r="D112" s="31"/>
      <c r="E112" s="29"/>
    </row>
    <row r="113" customFormat="false" ht="15" hidden="false" customHeight="false" outlineLevel="0" collapsed="false">
      <c r="A113" s="26"/>
      <c r="B113" s="27"/>
      <c r="C113" s="28"/>
      <c r="D113" s="31"/>
      <c r="E113" s="29"/>
    </row>
    <row r="114" customFormat="false" ht="15" hidden="false" customHeight="false" outlineLevel="0" collapsed="false">
      <c r="A114" s="26"/>
      <c r="B114" s="27"/>
      <c r="C114" s="28"/>
      <c r="D114" s="31"/>
      <c r="E114" s="29"/>
    </row>
    <row r="115" customFormat="false" ht="15" hidden="false" customHeight="false" outlineLevel="0" collapsed="false">
      <c r="A115" s="26"/>
      <c r="B115" s="27"/>
      <c r="C115" s="28"/>
      <c r="D115" s="31"/>
      <c r="E115" s="29"/>
    </row>
    <row r="116" customFormat="false" ht="15" hidden="false" customHeight="false" outlineLevel="0" collapsed="false">
      <c r="A116" s="26"/>
      <c r="B116" s="27"/>
      <c r="C116" s="28"/>
      <c r="D116" s="31"/>
      <c r="E116" s="29"/>
    </row>
    <row r="117" customFormat="false" ht="15" hidden="false" customHeight="false" outlineLevel="0" collapsed="false">
      <c r="A117" s="26"/>
      <c r="B117" s="27"/>
      <c r="C117" s="28"/>
      <c r="D117" s="31"/>
      <c r="E117" s="29"/>
    </row>
    <row r="118" customFormat="false" ht="15" hidden="false" customHeight="false" outlineLevel="0" collapsed="false">
      <c r="A118" s="26"/>
      <c r="B118" s="27"/>
      <c r="C118" s="28"/>
      <c r="D118" s="31"/>
      <c r="E118" s="29"/>
    </row>
    <row r="119" customFormat="false" ht="15" hidden="false" customHeight="false" outlineLevel="0" collapsed="false">
      <c r="A119" s="26"/>
      <c r="B119" s="27"/>
      <c r="C119" s="28"/>
      <c r="D119" s="31"/>
      <c r="E119" s="29"/>
    </row>
    <row r="120" customFormat="false" ht="15" hidden="false" customHeight="false" outlineLevel="0" collapsed="false">
      <c r="A120" s="26"/>
      <c r="B120" s="27"/>
      <c r="C120" s="28"/>
      <c r="D120" s="31"/>
      <c r="E120" s="29"/>
    </row>
    <row r="121" customFormat="false" ht="15" hidden="false" customHeight="false" outlineLevel="0" collapsed="false">
      <c r="A121" s="26"/>
      <c r="B121" s="27"/>
      <c r="C121" s="28"/>
      <c r="D121" s="31"/>
      <c r="E121" s="29"/>
    </row>
    <row r="122" customFormat="false" ht="15" hidden="false" customHeight="false" outlineLevel="0" collapsed="false">
      <c r="A122" s="26"/>
      <c r="B122" s="27"/>
      <c r="C122" s="28"/>
      <c r="D122" s="31"/>
      <c r="E122" s="29"/>
    </row>
    <row r="123" customFormat="false" ht="15" hidden="false" customHeight="false" outlineLevel="0" collapsed="false">
      <c r="A123" s="26"/>
      <c r="B123" s="27"/>
      <c r="C123" s="28"/>
      <c r="D123" s="31"/>
      <c r="E123" s="29"/>
    </row>
    <row r="124" customFormat="false" ht="15" hidden="false" customHeight="false" outlineLevel="0" collapsed="false">
      <c r="A124" s="26"/>
      <c r="B124" s="27"/>
      <c r="C124" s="28"/>
      <c r="D124" s="31"/>
      <c r="E124" s="29"/>
    </row>
    <row r="125" customFormat="false" ht="15" hidden="false" customHeight="false" outlineLevel="0" collapsed="false">
      <c r="A125" s="26"/>
      <c r="B125" s="27"/>
      <c r="C125" s="28"/>
      <c r="D125" s="31"/>
      <c r="E125" s="29"/>
    </row>
    <row r="126" customFormat="false" ht="15" hidden="false" customHeight="false" outlineLevel="0" collapsed="false">
      <c r="A126" s="26"/>
      <c r="B126" s="27"/>
      <c r="C126" s="28"/>
      <c r="D126" s="31"/>
      <c r="E126" s="29"/>
    </row>
    <row r="127" customFormat="false" ht="15" hidden="false" customHeight="false" outlineLevel="0" collapsed="false">
      <c r="A127" s="26"/>
      <c r="B127" s="27"/>
      <c r="C127" s="28"/>
      <c r="D127" s="31"/>
      <c r="E127" s="29"/>
    </row>
    <row r="128" customFormat="false" ht="15" hidden="false" customHeight="false" outlineLevel="0" collapsed="false">
      <c r="A128" s="26"/>
      <c r="B128" s="27"/>
      <c r="C128" s="28"/>
      <c r="D128" s="31"/>
      <c r="E128" s="29"/>
    </row>
    <row r="129" customFormat="false" ht="15" hidden="false" customHeight="false" outlineLevel="0" collapsed="false">
      <c r="A129" s="26"/>
      <c r="B129" s="27"/>
      <c r="C129" s="28"/>
      <c r="D129" s="31"/>
      <c r="E129" s="29"/>
    </row>
    <row r="130" customFormat="false" ht="15" hidden="false" customHeight="false" outlineLevel="0" collapsed="false">
      <c r="A130" s="26"/>
      <c r="B130" s="27"/>
      <c r="C130" s="28"/>
      <c r="D130" s="31"/>
      <c r="E130" s="29"/>
    </row>
    <row r="131" customFormat="false" ht="15" hidden="false" customHeight="false" outlineLevel="0" collapsed="false">
      <c r="A131" s="26"/>
      <c r="B131" s="27"/>
      <c r="C131" s="28"/>
      <c r="D131" s="31"/>
      <c r="E131" s="29"/>
    </row>
    <row r="132" customFormat="false" ht="15" hidden="false" customHeight="false" outlineLevel="0" collapsed="false">
      <c r="A132" s="26"/>
      <c r="B132" s="27"/>
      <c r="C132" s="28"/>
      <c r="D132" s="31"/>
      <c r="E132" s="29"/>
    </row>
    <row r="133" customFormat="false" ht="15" hidden="false" customHeight="false" outlineLevel="0" collapsed="false">
      <c r="A133" s="26"/>
      <c r="B133" s="27"/>
      <c r="C133" s="28"/>
      <c r="D133" s="31"/>
      <c r="E133" s="29"/>
    </row>
    <row r="134" customFormat="false" ht="15" hidden="false" customHeight="false" outlineLevel="0" collapsed="false">
      <c r="A134" s="26"/>
      <c r="B134" s="27"/>
      <c r="C134" s="28"/>
      <c r="D134" s="31"/>
      <c r="E134" s="29"/>
    </row>
    <row r="135" customFormat="false" ht="15" hidden="false" customHeight="false" outlineLevel="0" collapsed="false">
      <c r="A135" s="26"/>
      <c r="B135" s="27"/>
      <c r="C135" s="28"/>
      <c r="D135" s="31"/>
      <c r="E135" s="29"/>
    </row>
    <row r="136" customFormat="false" ht="15" hidden="false" customHeight="false" outlineLevel="0" collapsed="false">
      <c r="A136" s="26"/>
      <c r="B136" s="27"/>
      <c r="C136" s="28"/>
      <c r="D136" s="31"/>
      <c r="E136" s="29"/>
    </row>
    <row r="137" customFormat="false" ht="15" hidden="false" customHeight="false" outlineLevel="0" collapsed="false">
      <c r="A137" s="26"/>
      <c r="B137" s="27"/>
      <c r="C137" s="28"/>
      <c r="D137" s="31"/>
      <c r="E137" s="29"/>
    </row>
    <row r="138" customFormat="false" ht="15" hidden="false" customHeight="false" outlineLevel="0" collapsed="false">
      <c r="A138" s="26"/>
      <c r="B138" s="27"/>
      <c r="C138" s="28"/>
      <c r="D138" s="31"/>
      <c r="E138" s="29"/>
    </row>
    <row r="139" customFormat="false" ht="15" hidden="false" customHeight="false" outlineLevel="0" collapsed="false">
      <c r="A139" s="26"/>
      <c r="B139" s="27"/>
      <c r="C139" s="28"/>
      <c r="D139" s="31"/>
      <c r="E139" s="29"/>
    </row>
    <row r="140" customFormat="false" ht="15" hidden="false" customHeight="false" outlineLevel="0" collapsed="false">
      <c r="A140" s="26"/>
      <c r="B140" s="27"/>
      <c r="C140" s="28"/>
      <c r="D140" s="31"/>
      <c r="E140" s="29"/>
    </row>
    <row r="141" customFormat="false" ht="15" hidden="false" customHeight="false" outlineLevel="0" collapsed="false">
      <c r="A141" s="26"/>
      <c r="B141" s="27"/>
      <c r="C141" s="28"/>
      <c r="D141" s="31"/>
      <c r="E141" s="29"/>
    </row>
    <row r="142" customFormat="false" ht="15" hidden="false" customHeight="false" outlineLevel="0" collapsed="false">
      <c r="A142" s="26"/>
      <c r="B142" s="27"/>
      <c r="C142" s="28"/>
      <c r="D142" s="31"/>
      <c r="E142" s="29"/>
    </row>
    <row r="143" customFormat="false" ht="15" hidden="false" customHeight="false" outlineLevel="0" collapsed="false">
      <c r="A143" s="26"/>
      <c r="B143" s="27"/>
      <c r="C143" s="28"/>
      <c r="D143" s="31"/>
      <c r="E143" s="29"/>
    </row>
    <row r="144" customFormat="false" ht="15" hidden="false" customHeight="false" outlineLevel="0" collapsed="false">
      <c r="A144" s="26"/>
      <c r="B144" s="27"/>
      <c r="C144" s="28"/>
      <c r="D144" s="31"/>
      <c r="E144" s="29"/>
    </row>
    <row r="145" customFormat="false" ht="15" hidden="false" customHeight="false" outlineLevel="0" collapsed="false">
      <c r="A145" s="26"/>
      <c r="B145" s="27"/>
      <c r="C145" s="28"/>
      <c r="D145" s="31"/>
      <c r="E145" s="29"/>
    </row>
    <row r="146" customFormat="false" ht="15" hidden="false" customHeight="false" outlineLevel="0" collapsed="false">
      <c r="A146" s="26"/>
      <c r="B146" s="27"/>
      <c r="C146" s="28"/>
      <c r="D146" s="31"/>
      <c r="E146" s="29"/>
    </row>
    <row r="147" customFormat="false" ht="15" hidden="false" customHeight="false" outlineLevel="0" collapsed="false">
      <c r="A147" s="26"/>
      <c r="B147" s="27"/>
      <c r="C147" s="28"/>
      <c r="D147" s="31"/>
      <c r="E147" s="29"/>
    </row>
    <row r="148" customFormat="false" ht="15" hidden="false" customHeight="false" outlineLevel="0" collapsed="false">
      <c r="A148" s="26"/>
      <c r="B148" s="27"/>
      <c r="C148" s="28"/>
      <c r="D148" s="31"/>
      <c r="E148" s="29"/>
    </row>
    <row r="149" customFormat="false" ht="15" hidden="false" customHeight="false" outlineLevel="0" collapsed="false">
      <c r="A149" s="26"/>
      <c r="B149" s="27"/>
      <c r="C149" s="28"/>
      <c r="D149" s="31"/>
      <c r="E149" s="29"/>
    </row>
    <row r="150" customFormat="false" ht="15" hidden="false" customHeight="false" outlineLevel="0" collapsed="false">
      <c r="A150" s="26"/>
      <c r="B150" s="27"/>
      <c r="C150" s="28"/>
      <c r="D150" s="31"/>
      <c r="E150" s="29"/>
    </row>
    <row r="151" customFormat="false" ht="15" hidden="false" customHeight="false" outlineLevel="0" collapsed="false">
      <c r="A151" s="26"/>
      <c r="B151" s="27"/>
      <c r="C151" s="28"/>
      <c r="D151" s="31"/>
      <c r="E151" s="29"/>
    </row>
    <row r="152" customFormat="false" ht="15" hidden="false" customHeight="false" outlineLevel="0" collapsed="false">
      <c r="A152" s="26"/>
      <c r="B152" s="27"/>
      <c r="C152" s="28"/>
      <c r="D152" s="31"/>
      <c r="E152" s="29"/>
    </row>
    <row r="153" customFormat="false" ht="15" hidden="false" customHeight="false" outlineLevel="0" collapsed="false">
      <c r="A153" s="26"/>
      <c r="B153" s="27"/>
      <c r="C153" s="28"/>
      <c r="D153" s="31"/>
      <c r="E153" s="29"/>
    </row>
    <row r="154" customFormat="false" ht="15" hidden="false" customHeight="false" outlineLevel="0" collapsed="false">
      <c r="A154" s="26"/>
      <c r="B154" s="27"/>
      <c r="C154" s="28"/>
      <c r="D154" s="31"/>
      <c r="E154" s="29"/>
    </row>
    <row r="155" customFormat="false" ht="15" hidden="false" customHeight="false" outlineLevel="0" collapsed="false">
      <c r="A155" s="26"/>
      <c r="B155" s="27"/>
      <c r="C155" s="28"/>
      <c r="D155" s="31"/>
      <c r="E155" s="29"/>
    </row>
    <row r="156" customFormat="false" ht="15" hidden="false" customHeight="false" outlineLevel="0" collapsed="false">
      <c r="A156" s="26"/>
      <c r="B156" s="27"/>
      <c r="C156" s="28"/>
      <c r="D156" s="31"/>
      <c r="E156" s="29"/>
    </row>
    <row r="157" customFormat="false" ht="15" hidden="false" customHeight="false" outlineLevel="0" collapsed="false">
      <c r="A157" s="26"/>
      <c r="B157" s="27"/>
      <c r="C157" s="28"/>
      <c r="D157" s="31"/>
      <c r="E157" s="29"/>
    </row>
    <row r="158" customFormat="false" ht="15" hidden="false" customHeight="false" outlineLevel="0" collapsed="false">
      <c r="A158" s="26"/>
      <c r="B158" s="27"/>
      <c r="C158" s="28"/>
      <c r="D158" s="31"/>
      <c r="E158" s="29"/>
    </row>
    <row r="159" customFormat="false" ht="15" hidden="false" customHeight="false" outlineLevel="0" collapsed="false">
      <c r="A159" s="26"/>
      <c r="B159" s="27"/>
      <c r="C159" s="28"/>
      <c r="D159" s="31"/>
      <c r="E159" s="29"/>
    </row>
    <row r="160" customFormat="false" ht="15" hidden="false" customHeight="false" outlineLevel="0" collapsed="false">
      <c r="A160" s="26"/>
      <c r="B160" s="27"/>
      <c r="C160" s="28"/>
      <c r="D160" s="31"/>
      <c r="E160" s="29"/>
    </row>
    <row r="161" customFormat="false" ht="15" hidden="false" customHeight="false" outlineLevel="0" collapsed="false">
      <c r="A161" s="26"/>
      <c r="B161" s="27"/>
      <c r="C161" s="28"/>
      <c r="D161" s="31"/>
      <c r="E161" s="29"/>
    </row>
    <row r="162" customFormat="false" ht="15" hidden="false" customHeight="false" outlineLevel="0" collapsed="false">
      <c r="A162" s="26"/>
      <c r="B162" s="27"/>
      <c r="C162" s="28"/>
      <c r="D162" s="31"/>
      <c r="E162" s="29"/>
    </row>
    <row r="163" customFormat="false" ht="15" hidden="false" customHeight="false" outlineLevel="0" collapsed="false">
      <c r="A163" s="26"/>
      <c r="B163" s="27"/>
      <c r="C163" s="28"/>
      <c r="D163" s="31"/>
      <c r="E163" s="29"/>
    </row>
    <row r="164" customFormat="false" ht="15" hidden="false" customHeight="false" outlineLevel="0" collapsed="false">
      <c r="A164" s="26"/>
      <c r="B164" s="27"/>
      <c r="C164" s="28"/>
      <c r="D164" s="31"/>
      <c r="E164" s="29"/>
    </row>
    <row r="165" customFormat="false" ht="15" hidden="false" customHeight="false" outlineLevel="0" collapsed="false">
      <c r="A165" s="26"/>
      <c r="B165" s="27"/>
      <c r="C165" s="28"/>
      <c r="D165" s="31"/>
      <c r="E165" s="29"/>
    </row>
    <row r="166" customFormat="false" ht="15" hidden="false" customHeight="false" outlineLevel="0" collapsed="false">
      <c r="A166" s="26"/>
      <c r="B166" s="27"/>
      <c r="C166" s="28"/>
      <c r="D166" s="31"/>
      <c r="E166" s="29"/>
    </row>
    <row r="167" customFormat="false" ht="15" hidden="false" customHeight="false" outlineLevel="0" collapsed="false">
      <c r="A167" s="26"/>
      <c r="B167" s="27"/>
      <c r="C167" s="28"/>
      <c r="D167" s="31"/>
      <c r="E167" s="29"/>
    </row>
    <row r="168" customFormat="false" ht="15" hidden="false" customHeight="false" outlineLevel="0" collapsed="false">
      <c r="A168" s="26"/>
      <c r="B168" s="27"/>
      <c r="C168" s="28"/>
      <c r="D168" s="31"/>
      <c r="E168" s="29"/>
    </row>
    <row r="169" customFormat="false" ht="15" hidden="false" customHeight="false" outlineLevel="0" collapsed="false">
      <c r="A169" s="26"/>
      <c r="B169" s="27"/>
      <c r="C169" s="28"/>
      <c r="D169" s="31"/>
      <c r="E169" s="29"/>
    </row>
    <row r="170" customFormat="false" ht="15" hidden="false" customHeight="false" outlineLevel="0" collapsed="false">
      <c r="A170" s="26"/>
      <c r="B170" s="27"/>
      <c r="C170" s="28"/>
      <c r="D170" s="31"/>
      <c r="E170" s="29"/>
    </row>
    <row r="171" customFormat="false" ht="15" hidden="false" customHeight="false" outlineLevel="0" collapsed="false">
      <c r="A171" s="26"/>
      <c r="B171" s="27"/>
      <c r="C171" s="28"/>
      <c r="D171" s="31"/>
      <c r="E171" s="29"/>
    </row>
    <row r="172" customFormat="false" ht="15" hidden="false" customHeight="false" outlineLevel="0" collapsed="false">
      <c r="A172" s="26"/>
      <c r="B172" s="27"/>
      <c r="C172" s="28"/>
      <c r="D172" s="31"/>
      <c r="E172" s="29"/>
    </row>
    <row r="173" customFormat="false" ht="15" hidden="false" customHeight="false" outlineLevel="0" collapsed="false">
      <c r="A173" s="26"/>
      <c r="B173" s="27"/>
      <c r="C173" s="28"/>
      <c r="D173" s="31"/>
      <c r="E173" s="29"/>
    </row>
    <row r="174" customFormat="false" ht="15" hidden="false" customHeight="false" outlineLevel="0" collapsed="false">
      <c r="A174" s="26"/>
      <c r="B174" s="27"/>
      <c r="C174" s="28"/>
      <c r="D174" s="31"/>
      <c r="E174" s="29"/>
    </row>
    <row r="175" customFormat="false" ht="15" hidden="false" customHeight="false" outlineLevel="0" collapsed="false">
      <c r="A175" s="26"/>
      <c r="B175" s="27"/>
      <c r="C175" s="28"/>
      <c r="D175" s="31"/>
      <c r="E175" s="29"/>
    </row>
    <row r="176" customFormat="false" ht="15" hidden="false" customHeight="false" outlineLevel="0" collapsed="false">
      <c r="A176" s="26"/>
      <c r="B176" s="27"/>
      <c r="C176" s="28"/>
      <c r="D176" s="31"/>
      <c r="E176" s="29"/>
    </row>
    <row r="177" customFormat="false" ht="15" hidden="false" customHeight="false" outlineLevel="0" collapsed="false">
      <c r="A177" s="26"/>
      <c r="B177" s="27"/>
      <c r="C177" s="28"/>
      <c r="D177" s="31"/>
      <c r="E177" s="29"/>
    </row>
    <row r="178" customFormat="false" ht="15" hidden="false" customHeight="false" outlineLevel="0" collapsed="false">
      <c r="A178" s="26"/>
      <c r="B178" s="27"/>
      <c r="C178" s="28"/>
      <c r="D178" s="31"/>
      <c r="E178" s="29"/>
    </row>
    <row r="179" customFormat="false" ht="15" hidden="false" customHeight="false" outlineLevel="0" collapsed="false">
      <c r="A179" s="26"/>
      <c r="B179" s="27"/>
      <c r="C179" s="28"/>
      <c r="D179" s="31"/>
      <c r="E179" s="29"/>
    </row>
    <row r="180" customFormat="false" ht="15" hidden="false" customHeight="false" outlineLevel="0" collapsed="false">
      <c r="A180" s="26"/>
      <c r="B180" s="27"/>
      <c r="C180" s="28"/>
      <c r="D180" s="31"/>
      <c r="E180" s="29"/>
    </row>
    <row r="181" customFormat="false" ht="15" hidden="false" customHeight="false" outlineLevel="0" collapsed="false">
      <c r="A181" s="26"/>
      <c r="B181" s="27"/>
      <c r="C181" s="28"/>
      <c r="D181" s="31"/>
      <c r="E181" s="29"/>
    </row>
    <row r="182" customFormat="false" ht="15" hidden="false" customHeight="false" outlineLevel="0" collapsed="false">
      <c r="A182" s="26"/>
      <c r="B182" s="27"/>
      <c r="C182" s="28"/>
      <c r="D182" s="31"/>
      <c r="E182" s="29"/>
    </row>
    <row r="183" customFormat="false" ht="15" hidden="false" customHeight="false" outlineLevel="0" collapsed="false">
      <c r="A183" s="26"/>
      <c r="B183" s="27"/>
      <c r="C183" s="28"/>
      <c r="D183" s="31"/>
      <c r="E183" s="29"/>
    </row>
    <row r="184" customFormat="false" ht="15" hidden="false" customHeight="false" outlineLevel="0" collapsed="false">
      <c r="A184" s="26"/>
      <c r="B184" s="27"/>
      <c r="C184" s="28"/>
      <c r="D184" s="31"/>
      <c r="E184" s="29"/>
    </row>
    <row r="185" customFormat="false" ht="15" hidden="false" customHeight="false" outlineLevel="0" collapsed="false">
      <c r="A185" s="26"/>
      <c r="B185" s="27"/>
      <c r="C185" s="28"/>
      <c r="D185" s="31"/>
      <c r="E185" s="29"/>
    </row>
    <row r="186" customFormat="false" ht="15" hidden="false" customHeight="false" outlineLevel="0" collapsed="false">
      <c r="A186" s="26"/>
      <c r="B186" s="27"/>
      <c r="C186" s="28"/>
      <c r="D186" s="31"/>
      <c r="E186" s="29"/>
    </row>
    <row r="187" customFormat="false" ht="15" hidden="false" customHeight="false" outlineLevel="0" collapsed="false">
      <c r="A187" s="26"/>
      <c r="B187" s="27"/>
      <c r="C187" s="28"/>
      <c r="D187" s="31"/>
      <c r="E187" s="29"/>
    </row>
    <row r="188" customFormat="false" ht="15" hidden="false" customHeight="false" outlineLevel="0" collapsed="false">
      <c r="A188" s="26"/>
      <c r="B188" s="27"/>
      <c r="C188" s="28"/>
      <c r="D188" s="31"/>
      <c r="E188" s="29"/>
    </row>
    <row r="189" customFormat="false" ht="15" hidden="false" customHeight="false" outlineLevel="0" collapsed="false">
      <c r="A189" s="26"/>
      <c r="B189" s="27"/>
      <c r="C189" s="28"/>
      <c r="D189" s="31"/>
      <c r="E189" s="29"/>
    </row>
    <row r="190" customFormat="false" ht="15" hidden="false" customHeight="false" outlineLevel="0" collapsed="false">
      <c r="A190" s="26"/>
      <c r="B190" s="27"/>
      <c r="C190" s="28"/>
      <c r="D190" s="31"/>
      <c r="E190" s="29"/>
    </row>
    <row r="191" customFormat="false" ht="15" hidden="false" customHeight="false" outlineLevel="0" collapsed="false">
      <c r="A191" s="26"/>
      <c r="B191" s="27"/>
      <c r="C191" s="28"/>
      <c r="D191" s="31"/>
      <c r="E191" s="29"/>
    </row>
    <row r="192" customFormat="false" ht="15" hidden="false" customHeight="false" outlineLevel="0" collapsed="false">
      <c r="A192" s="26"/>
      <c r="B192" s="27"/>
      <c r="C192" s="28"/>
      <c r="D192" s="31"/>
      <c r="E192" s="29"/>
    </row>
    <row r="193" customFormat="false" ht="15" hidden="false" customHeight="false" outlineLevel="0" collapsed="false">
      <c r="A193" s="26"/>
      <c r="B193" s="27"/>
      <c r="C193" s="28"/>
      <c r="D193" s="31"/>
      <c r="E193" s="29"/>
    </row>
    <row r="194" customFormat="false" ht="15" hidden="false" customHeight="false" outlineLevel="0" collapsed="false">
      <c r="A194" s="26"/>
      <c r="B194" s="27"/>
      <c r="C194" s="28"/>
      <c r="D194" s="31"/>
      <c r="E194" s="29"/>
    </row>
    <row r="195" customFormat="false" ht="15" hidden="false" customHeight="false" outlineLevel="0" collapsed="false">
      <c r="A195" s="26"/>
      <c r="B195" s="27"/>
      <c r="C195" s="28"/>
      <c r="D195" s="31"/>
      <c r="E195" s="29"/>
    </row>
    <row r="196" customFormat="false" ht="15" hidden="false" customHeight="false" outlineLevel="0" collapsed="false">
      <c r="A196" s="26"/>
      <c r="B196" s="27"/>
      <c r="C196" s="28"/>
      <c r="D196" s="31"/>
      <c r="E196" s="29"/>
    </row>
    <row r="197" customFormat="false" ht="15" hidden="false" customHeight="false" outlineLevel="0" collapsed="false">
      <c r="A197" s="26"/>
      <c r="B197" s="27"/>
      <c r="C197" s="28"/>
      <c r="D197" s="31"/>
      <c r="E197" s="29"/>
    </row>
    <row r="198" customFormat="false" ht="15" hidden="false" customHeight="false" outlineLevel="0" collapsed="false">
      <c r="A198" s="26"/>
      <c r="B198" s="27"/>
      <c r="C198" s="28"/>
      <c r="D198" s="31"/>
      <c r="E198" s="29"/>
    </row>
    <row r="199" customFormat="false" ht="15" hidden="false" customHeight="false" outlineLevel="0" collapsed="false">
      <c r="A199" s="26"/>
      <c r="B199" s="27"/>
      <c r="C199" s="28"/>
      <c r="D199" s="31"/>
      <c r="E199" s="29"/>
    </row>
    <row r="200" customFormat="false" ht="15" hidden="false" customHeight="false" outlineLevel="0" collapsed="false">
      <c r="A200" s="26"/>
      <c r="B200" s="27"/>
      <c r="C200" s="28"/>
      <c r="D200" s="31"/>
      <c r="E200" s="29"/>
    </row>
    <row r="201" customFormat="false" ht="15" hidden="false" customHeight="false" outlineLevel="0" collapsed="false">
      <c r="A201" s="26"/>
      <c r="B201" s="27"/>
      <c r="C201" s="28"/>
      <c r="D201" s="31"/>
      <c r="E201" s="29"/>
    </row>
    <row r="202" customFormat="false" ht="15" hidden="false" customHeight="false" outlineLevel="0" collapsed="false">
      <c r="A202" s="26"/>
      <c r="B202" s="27"/>
      <c r="C202" s="28"/>
      <c r="D202" s="31"/>
      <c r="E202" s="29"/>
    </row>
    <row r="203" customFormat="false" ht="15" hidden="false" customHeight="false" outlineLevel="0" collapsed="false">
      <c r="A203" s="26"/>
      <c r="B203" s="27"/>
      <c r="C203" s="28"/>
      <c r="D203" s="31"/>
      <c r="E203" s="29"/>
    </row>
    <row r="204" customFormat="false" ht="15" hidden="false" customHeight="false" outlineLevel="0" collapsed="false">
      <c r="A204" s="26"/>
      <c r="B204" s="27"/>
      <c r="C204" s="28"/>
      <c r="D204" s="31"/>
      <c r="E204" s="29"/>
    </row>
    <row r="205" customFormat="false" ht="15" hidden="false" customHeight="false" outlineLevel="0" collapsed="false">
      <c r="A205" s="26"/>
      <c r="B205" s="27"/>
      <c r="C205" s="28"/>
      <c r="D205" s="31"/>
      <c r="E205" s="29"/>
    </row>
    <row r="206" customFormat="false" ht="15" hidden="false" customHeight="false" outlineLevel="0" collapsed="false">
      <c r="A206" s="26"/>
      <c r="B206" s="27"/>
      <c r="C206" s="28"/>
      <c r="D206" s="31"/>
      <c r="E206" s="29"/>
    </row>
    <row r="207" customFormat="false" ht="15" hidden="false" customHeight="false" outlineLevel="0" collapsed="false">
      <c r="A207" s="26"/>
      <c r="B207" s="27"/>
      <c r="C207" s="28"/>
      <c r="D207" s="31"/>
      <c r="E207" s="29"/>
    </row>
    <row r="208" customFormat="false" ht="15" hidden="false" customHeight="false" outlineLevel="0" collapsed="false">
      <c r="A208" s="26"/>
      <c r="B208" s="27"/>
      <c r="C208" s="28"/>
      <c r="D208" s="31"/>
      <c r="E208" s="29"/>
    </row>
    <row r="209" customFormat="false" ht="15" hidden="false" customHeight="false" outlineLevel="0" collapsed="false">
      <c r="A209" s="26"/>
      <c r="B209" s="27"/>
      <c r="C209" s="28"/>
      <c r="D209" s="31"/>
      <c r="E209" s="29"/>
    </row>
    <row r="210" customFormat="false" ht="15" hidden="false" customHeight="false" outlineLevel="0" collapsed="false">
      <c r="A210" s="26"/>
      <c r="B210" s="27"/>
      <c r="C210" s="28"/>
      <c r="D210" s="31"/>
      <c r="E210" s="29"/>
    </row>
    <row r="211" customFormat="false" ht="15" hidden="false" customHeight="false" outlineLevel="0" collapsed="false">
      <c r="A211" s="26"/>
      <c r="B211" s="27"/>
      <c r="C211" s="28"/>
      <c r="D211" s="31"/>
      <c r="E211" s="29"/>
    </row>
    <row r="212" customFormat="false" ht="15" hidden="false" customHeight="false" outlineLevel="0" collapsed="false">
      <c r="A212" s="26"/>
      <c r="B212" s="27"/>
      <c r="C212" s="28"/>
      <c r="D212" s="31"/>
      <c r="E212" s="29"/>
    </row>
    <row r="213" customFormat="false" ht="15" hidden="false" customHeight="false" outlineLevel="0" collapsed="false">
      <c r="A213" s="26"/>
      <c r="B213" s="27"/>
      <c r="C213" s="28"/>
      <c r="D213" s="31"/>
      <c r="E213" s="29"/>
    </row>
    <row r="214" customFormat="false" ht="15" hidden="false" customHeight="false" outlineLevel="0" collapsed="false">
      <c r="A214" s="26"/>
      <c r="B214" s="27"/>
      <c r="C214" s="28"/>
      <c r="D214" s="31"/>
      <c r="E214" s="29"/>
    </row>
    <row r="215" customFormat="false" ht="15" hidden="false" customHeight="false" outlineLevel="0" collapsed="false">
      <c r="A215" s="26"/>
      <c r="B215" s="27"/>
      <c r="C215" s="28"/>
      <c r="D215" s="31"/>
      <c r="E215" s="29"/>
    </row>
    <row r="216" customFormat="false" ht="15" hidden="false" customHeight="false" outlineLevel="0" collapsed="false">
      <c r="A216" s="26"/>
      <c r="B216" s="27"/>
      <c r="C216" s="28"/>
      <c r="D216" s="31"/>
      <c r="E216" s="29"/>
    </row>
    <row r="217" customFormat="false" ht="15" hidden="false" customHeight="false" outlineLevel="0" collapsed="false">
      <c r="A217" s="26"/>
      <c r="B217" s="27"/>
      <c r="C217" s="28"/>
      <c r="D217" s="31"/>
      <c r="E217" s="29"/>
    </row>
    <row r="218" customFormat="false" ht="15" hidden="false" customHeight="false" outlineLevel="0" collapsed="false">
      <c r="A218" s="26"/>
      <c r="B218" s="27"/>
      <c r="C218" s="28"/>
      <c r="D218" s="31"/>
      <c r="E218" s="29"/>
    </row>
    <row r="219" customFormat="false" ht="15" hidden="false" customHeight="false" outlineLevel="0" collapsed="false">
      <c r="A219" s="26"/>
      <c r="B219" s="27"/>
      <c r="C219" s="28"/>
      <c r="D219" s="31"/>
      <c r="E219" s="29"/>
    </row>
    <row r="220" customFormat="false" ht="15" hidden="false" customHeight="false" outlineLevel="0" collapsed="false">
      <c r="A220" s="26"/>
      <c r="B220" s="27"/>
      <c r="C220" s="28"/>
      <c r="D220" s="31"/>
      <c r="E220" s="29"/>
    </row>
    <row r="221" customFormat="false" ht="15" hidden="false" customHeight="false" outlineLevel="0" collapsed="false">
      <c r="A221" s="26"/>
      <c r="B221" s="27"/>
      <c r="C221" s="28"/>
      <c r="D221" s="31"/>
      <c r="E221" s="29"/>
    </row>
    <row r="222" customFormat="false" ht="15" hidden="false" customHeight="false" outlineLevel="0" collapsed="false">
      <c r="A222" s="26"/>
      <c r="B222" s="27"/>
      <c r="C222" s="28"/>
      <c r="D222" s="31"/>
      <c r="E222" s="29"/>
    </row>
    <row r="223" customFormat="false" ht="15" hidden="false" customHeight="false" outlineLevel="0" collapsed="false">
      <c r="A223" s="26"/>
      <c r="B223" s="27"/>
      <c r="C223" s="28"/>
      <c r="D223" s="31"/>
      <c r="E223" s="29"/>
    </row>
    <row r="224" customFormat="false" ht="15" hidden="false" customHeight="false" outlineLevel="0" collapsed="false">
      <c r="A224" s="26"/>
      <c r="B224" s="27"/>
      <c r="C224" s="28"/>
      <c r="D224" s="31"/>
      <c r="E224" s="29"/>
    </row>
    <row r="225" customFormat="false" ht="15" hidden="false" customHeight="false" outlineLevel="0" collapsed="false">
      <c r="A225" s="26"/>
      <c r="B225" s="27"/>
      <c r="C225" s="28"/>
      <c r="D225" s="31"/>
      <c r="E225" s="29"/>
    </row>
    <row r="226" customFormat="false" ht="15" hidden="false" customHeight="false" outlineLevel="0" collapsed="false">
      <c r="A226" s="26"/>
      <c r="B226" s="27"/>
      <c r="C226" s="28"/>
      <c r="D226" s="31"/>
      <c r="E226" s="29"/>
    </row>
    <row r="227" customFormat="false" ht="15" hidden="false" customHeight="false" outlineLevel="0" collapsed="false">
      <c r="A227" s="26"/>
      <c r="B227" s="27"/>
      <c r="C227" s="28"/>
      <c r="D227" s="31"/>
      <c r="E227" s="29"/>
    </row>
    <row r="228" customFormat="false" ht="15" hidden="false" customHeight="false" outlineLevel="0" collapsed="false">
      <c r="A228" s="26"/>
      <c r="B228" s="27"/>
      <c r="C228" s="28"/>
      <c r="D228" s="31"/>
      <c r="E228" s="29"/>
    </row>
    <row r="229" customFormat="false" ht="15" hidden="false" customHeight="false" outlineLevel="0" collapsed="false">
      <c r="A229" s="26"/>
      <c r="B229" s="27"/>
      <c r="C229" s="28"/>
      <c r="D229" s="31"/>
      <c r="E229" s="29"/>
    </row>
    <row r="230" customFormat="false" ht="15" hidden="false" customHeight="false" outlineLevel="0" collapsed="false">
      <c r="A230" s="26"/>
      <c r="B230" s="27"/>
      <c r="C230" s="28"/>
      <c r="D230" s="31"/>
      <c r="E230" s="29"/>
    </row>
    <row r="231" customFormat="false" ht="15" hidden="false" customHeight="false" outlineLevel="0" collapsed="false">
      <c r="A231" s="26"/>
      <c r="B231" s="27"/>
      <c r="C231" s="28"/>
      <c r="D231" s="31"/>
      <c r="E231" s="29"/>
    </row>
    <row r="232" customFormat="false" ht="15" hidden="false" customHeight="false" outlineLevel="0" collapsed="false">
      <c r="A232" s="26"/>
      <c r="B232" s="27"/>
      <c r="C232" s="28"/>
      <c r="D232" s="31"/>
      <c r="E232" s="29"/>
    </row>
    <row r="233" customFormat="false" ht="15" hidden="false" customHeight="false" outlineLevel="0" collapsed="false">
      <c r="A233" s="26"/>
      <c r="B233" s="27"/>
      <c r="C233" s="28"/>
      <c r="D233" s="31"/>
      <c r="E233" s="29"/>
    </row>
    <row r="234" customFormat="false" ht="15" hidden="false" customHeight="false" outlineLevel="0" collapsed="false">
      <c r="A234" s="26"/>
      <c r="B234" s="27"/>
      <c r="C234" s="28"/>
      <c r="D234" s="31"/>
      <c r="E234" s="29"/>
    </row>
    <row r="235" customFormat="false" ht="15" hidden="false" customHeight="false" outlineLevel="0" collapsed="false">
      <c r="A235" s="26"/>
      <c r="B235" s="27"/>
      <c r="C235" s="28"/>
      <c r="D235" s="31"/>
      <c r="E235" s="29"/>
    </row>
    <row r="236" customFormat="false" ht="15" hidden="false" customHeight="false" outlineLevel="0" collapsed="false">
      <c r="A236" s="26"/>
      <c r="B236" s="27"/>
      <c r="C236" s="28"/>
      <c r="D236" s="31"/>
      <c r="E236" s="29"/>
    </row>
    <row r="237" customFormat="false" ht="15" hidden="false" customHeight="false" outlineLevel="0" collapsed="false">
      <c r="A237" s="26"/>
      <c r="B237" s="27"/>
      <c r="C237" s="28"/>
      <c r="D237" s="31"/>
      <c r="E237" s="29"/>
    </row>
    <row r="238" customFormat="false" ht="15" hidden="false" customHeight="false" outlineLevel="0" collapsed="false">
      <c r="A238" s="26"/>
      <c r="B238" s="27"/>
      <c r="C238" s="28"/>
      <c r="D238" s="31"/>
      <c r="E238" s="29"/>
    </row>
    <row r="239" customFormat="false" ht="15" hidden="false" customHeight="false" outlineLevel="0" collapsed="false">
      <c r="A239" s="26"/>
      <c r="B239" s="27"/>
      <c r="C239" s="28"/>
      <c r="D239" s="31"/>
      <c r="E239" s="29"/>
    </row>
    <row r="240" customFormat="false" ht="15" hidden="false" customHeight="false" outlineLevel="0" collapsed="false">
      <c r="A240" s="26"/>
      <c r="B240" s="27"/>
      <c r="C240" s="28"/>
      <c r="D240" s="31"/>
      <c r="E240" s="29"/>
    </row>
    <row r="241" customFormat="false" ht="15" hidden="false" customHeight="false" outlineLevel="0" collapsed="false">
      <c r="A241" s="26"/>
      <c r="B241" s="27"/>
      <c r="C241" s="28"/>
      <c r="D241" s="31"/>
      <c r="E241" s="29"/>
    </row>
    <row r="242" customFormat="false" ht="15" hidden="false" customHeight="false" outlineLevel="0" collapsed="false">
      <c r="A242" s="26"/>
      <c r="B242" s="27"/>
      <c r="C242" s="28"/>
      <c r="D242" s="31"/>
      <c r="E242" s="29"/>
    </row>
    <row r="243" customFormat="false" ht="15" hidden="false" customHeight="false" outlineLevel="0" collapsed="false">
      <c r="A243" s="26"/>
      <c r="B243" s="27"/>
      <c r="C243" s="28"/>
      <c r="D243" s="31"/>
      <c r="E243" s="29"/>
    </row>
    <row r="244" customFormat="false" ht="15" hidden="false" customHeight="false" outlineLevel="0" collapsed="false">
      <c r="A244" s="26"/>
      <c r="B244" s="27"/>
      <c r="C244" s="28"/>
      <c r="D244" s="31"/>
      <c r="E244" s="29"/>
    </row>
    <row r="245" customFormat="false" ht="15" hidden="false" customHeight="false" outlineLevel="0" collapsed="false">
      <c r="A245" s="26"/>
      <c r="B245" s="27"/>
      <c r="C245" s="28"/>
      <c r="D245" s="31"/>
      <c r="E245" s="29"/>
    </row>
    <row r="246" customFormat="false" ht="15" hidden="false" customHeight="false" outlineLevel="0" collapsed="false">
      <c r="A246" s="26"/>
      <c r="B246" s="27"/>
      <c r="C246" s="28"/>
      <c r="D246" s="31"/>
      <c r="E246" s="29"/>
    </row>
    <row r="247" customFormat="false" ht="15" hidden="false" customHeight="false" outlineLevel="0" collapsed="false">
      <c r="A247" s="26"/>
      <c r="B247" s="27"/>
      <c r="C247" s="28"/>
      <c r="D247" s="31"/>
      <c r="E247" s="29"/>
    </row>
    <row r="248" customFormat="false" ht="15" hidden="false" customHeight="false" outlineLevel="0" collapsed="false">
      <c r="A248" s="26"/>
      <c r="B248" s="27"/>
      <c r="C248" s="28"/>
      <c r="D248" s="31"/>
      <c r="E248" s="29"/>
    </row>
    <row r="249" customFormat="false" ht="15" hidden="false" customHeight="false" outlineLevel="0" collapsed="false">
      <c r="A249" s="26"/>
      <c r="B249" s="27"/>
      <c r="C249" s="28"/>
      <c r="D249" s="31"/>
      <c r="E249" s="29"/>
    </row>
    <row r="250" customFormat="false" ht="15" hidden="false" customHeight="false" outlineLevel="0" collapsed="false">
      <c r="A250" s="26"/>
      <c r="B250" s="27"/>
      <c r="C250" s="28"/>
      <c r="D250" s="31"/>
      <c r="E250" s="29"/>
    </row>
    <row r="251" customFormat="false" ht="15" hidden="false" customHeight="false" outlineLevel="0" collapsed="false">
      <c r="A251" s="26"/>
      <c r="B251" s="27"/>
      <c r="C251" s="28"/>
      <c r="D251" s="31"/>
      <c r="E251" s="29"/>
    </row>
    <row r="252" customFormat="false" ht="15" hidden="false" customHeight="false" outlineLevel="0" collapsed="false">
      <c r="A252" s="26"/>
      <c r="B252" s="27"/>
      <c r="C252" s="28"/>
      <c r="D252" s="31"/>
      <c r="E252" s="29"/>
    </row>
    <row r="253" customFormat="false" ht="15" hidden="false" customHeight="false" outlineLevel="0" collapsed="false">
      <c r="A253" s="26"/>
      <c r="B253" s="27"/>
      <c r="C253" s="28"/>
      <c r="D253" s="31"/>
      <c r="E253" s="29"/>
    </row>
    <row r="254" customFormat="false" ht="15" hidden="false" customHeight="false" outlineLevel="0" collapsed="false">
      <c r="A254" s="26"/>
      <c r="B254" s="27"/>
      <c r="C254" s="28"/>
      <c r="D254" s="31"/>
      <c r="E254" s="29"/>
    </row>
    <row r="255" customFormat="false" ht="15" hidden="false" customHeight="false" outlineLevel="0" collapsed="false">
      <c r="A255" s="26"/>
      <c r="B255" s="27"/>
      <c r="C255" s="28"/>
      <c r="D255" s="31"/>
      <c r="E255" s="29"/>
    </row>
    <row r="256" customFormat="false" ht="15" hidden="false" customHeight="false" outlineLevel="0" collapsed="false">
      <c r="A256" s="26"/>
      <c r="B256" s="27"/>
      <c r="C256" s="28"/>
      <c r="D256" s="31"/>
      <c r="E256" s="29"/>
    </row>
    <row r="257" customFormat="false" ht="15" hidden="false" customHeight="false" outlineLevel="0" collapsed="false">
      <c r="A257" s="26"/>
      <c r="B257" s="27"/>
      <c r="C257" s="28"/>
      <c r="D257" s="31"/>
      <c r="E257" s="29"/>
    </row>
    <row r="258" customFormat="false" ht="15" hidden="false" customHeight="false" outlineLevel="0" collapsed="false">
      <c r="A258" s="26"/>
      <c r="B258" s="27"/>
      <c r="C258" s="28"/>
      <c r="D258" s="31"/>
      <c r="E258" s="29"/>
    </row>
    <row r="259" customFormat="false" ht="15" hidden="false" customHeight="false" outlineLevel="0" collapsed="false">
      <c r="A259" s="26"/>
      <c r="B259" s="27"/>
      <c r="C259" s="28"/>
      <c r="D259" s="31"/>
      <c r="E259" s="29"/>
    </row>
    <row r="260" customFormat="false" ht="15" hidden="false" customHeight="false" outlineLevel="0" collapsed="false">
      <c r="A260" s="26"/>
      <c r="B260" s="27"/>
      <c r="C260" s="28"/>
      <c r="D260" s="31"/>
      <c r="E260" s="29"/>
    </row>
    <row r="261" customFormat="false" ht="15" hidden="false" customHeight="false" outlineLevel="0" collapsed="false">
      <c r="A261" s="26"/>
      <c r="B261" s="27"/>
      <c r="C261" s="28"/>
      <c r="D261" s="31"/>
      <c r="E261" s="29"/>
    </row>
    <row r="262" customFormat="false" ht="15" hidden="false" customHeight="false" outlineLevel="0" collapsed="false">
      <c r="A262" s="26"/>
      <c r="B262" s="27"/>
      <c r="C262" s="28"/>
      <c r="D262" s="31"/>
      <c r="E262" s="29"/>
    </row>
    <row r="263" customFormat="false" ht="15" hidden="false" customHeight="false" outlineLevel="0" collapsed="false">
      <c r="A263" s="26"/>
      <c r="B263" s="27"/>
      <c r="C263" s="28"/>
      <c r="D263" s="31"/>
      <c r="E263" s="29"/>
    </row>
    <row r="264" customFormat="false" ht="15" hidden="false" customHeight="false" outlineLevel="0" collapsed="false">
      <c r="A264" s="26"/>
      <c r="B264" s="27"/>
      <c r="C264" s="28"/>
      <c r="D264" s="31"/>
      <c r="E264" s="29"/>
    </row>
    <row r="265" customFormat="false" ht="15" hidden="false" customHeight="false" outlineLevel="0" collapsed="false">
      <c r="A265" s="26"/>
      <c r="B265" s="27"/>
      <c r="C265" s="28"/>
      <c r="D265" s="31"/>
      <c r="E265" s="29"/>
    </row>
    <row r="266" customFormat="false" ht="15" hidden="false" customHeight="false" outlineLevel="0" collapsed="false">
      <c r="A266" s="26"/>
      <c r="B266" s="27"/>
      <c r="C266" s="28"/>
      <c r="D266" s="31"/>
      <c r="E266" s="29"/>
    </row>
    <row r="267" customFormat="false" ht="15" hidden="false" customHeight="false" outlineLevel="0" collapsed="false">
      <c r="A267" s="26"/>
      <c r="B267" s="27"/>
      <c r="C267" s="28"/>
      <c r="D267" s="31"/>
      <c r="E267" s="29"/>
    </row>
    <row r="268" customFormat="false" ht="15" hidden="false" customHeight="false" outlineLevel="0" collapsed="false">
      <c r="A268" s="26"/>
      <c r="B268" s="27"/>
      <c r="C268" s="28"/>
      <c r="D268" s="31"/>
      <c r="E268" s="29"/>
    </row>
    <row r="269" customFormat="false" ht="15" hidden="false" customHeight="false" outlineLevel="0" collapsed="false">
      <c r="A269" s="26"/>
      <c r="B269" s="27"/>
      <c r="C269" s="28"/>
      <c r="D269" s="31"/>
      <c r="E269" s="29"/>
    </row>
    <row r="270" customFormat="false" ht="15" hidden="false" customHeight="false" outlineLevel="0" collapsed="false">
      <c r="A270" s="26"/>
      <c r="B270" s="27"/>
      <c r="C270" s="28"/>
      <c r="D270" s="31"/>
      <c r="E270" s="29"/>
    </row>
    <row r="271" customFormat="false" ht="15" hidden="false" customHeight="false" outlineLevel="0" collapsed="false">
      <c r="A271" s="26"/>
      <c r="B271" s="27"/>
      <c r="C271" s="28"/>
      <c r="D271" s="31"/>
      <c r="E271" s="29"/>
    </row>
    <row r="272" customFormat="false" ht="15" hidden="false" customHeight="false" outlineLevel="0" collapsed="false">
      <c r="A272" s="26"/>
      <c r="B272" s="27"/>
      <c r="C272" s="28"/>
      <c r="D272" s="31"/>
      <c r="E272" s="29"/>
    </row>
    <row r="273" customFormat="false" ht="15" hidden="false" customHeight="false" outlineLevel="0" collapsed="false">
      <c r="A273" s="26"/>
      <c r="B273" s="27"/>
      <c r="C273" s="28"/>
      <c r="D273" s="31"/>
      <c r="E273" s="29"/>
    </row>
    <row r="274" customFormat="false" ht="15" hidden="false" customHeight="false" outlineLevel="0" collapsed="false">
      <c r="A274" s="26"/>
      <c r="B274" s="27"/>
      <c r="C274" s="28"/>
      <c r="D274" s="31"/>
      <c r="E274" s="29"/>
    </row>
    <row r="275" customFormat="false" ht="15" hidden="false" customHeight="false" outlineLevel="0" collapsed="false">
      <c r="A275" s="26"/>
      <c r="B275" s="27"/>
      <c r="C275" s="28"/>
      <c r="D275" s="31"/>
      <c r="E275" s="29"/>
    </row>
    <row r="276" customFormat="false" ht="15" hidden="false" customHeight="false" outlineLevel="0" collapsed="false">
      <c r="A276" s="26"/>
      <c r="B276" s="27"/>
      <c r="C276" s="28"/>
      <c r="D276" s="31"/>
      <c r="E276" s="29"/>
    </row>
    <row r="277" customFormat="false" ht="15" hidden="false" customHeight="false" outlineLevel="0" collapsed="false">
      <c r="A277" s="26"/>
      <c r="B277" s="27"/>
      <c r="C277" s="28"/>
      <c r="D277" s="31"/>
      <c r="E277" s="29"/>
    </row>
    <row r="278" customFormat="false" ht="15" hidden="false" customHeight="false" outlineLevel="0" collapsed="false">
      <c r="A278" s="26"/>
      <c r="B278" s="27"/>
      <c r="C278" s="28"/>
      <c r="D278" s="31"/>
      <c r="E278" s="29"/>
    </row>
    <row r="279" customFormat="false" ht="15" hidden="false" customHeight="false" outlineLevel="0" collapsed="false">
      <c r="A279" s="26"/>
      <c r="B279" s="27"/>
      <c r="C279" s="28"/>
      <c r="D279" s="31"/>
      <c r="E279" s="29"/>
    </row>
    <row r="280" customFormat="false" ht="15" hidden="false" customHeight="false" outlineLevel="0" collapsed="false">
      <c r="A280" s="26"/>
      <c r="B280" s="27"/>
      <c r="C280" s="28"/>
      <c r="D280" s="31"/>
      <c r="E280" s="29"/>
    </row>
    <row r="281" customFormat="false" ht="15" hidden="false" customHeight="false" outlineLevel="0" collapsed="false">
      <c r="A281" s="26"/>
      <c r="B281" s="27"/>
      <c r="C281" s="28"/>
      <c r="D281" s="31"/>
      <c r="E281" s="29"/>
    </row>
    <row r="282" customFormat="false" ht="15" hidden="false" customHeight="false" outlineLevel="0" collapsed="false">
      <c r="A282" s="26"/>
      <c r="B282" s="27"/>
      <c r="C282" s="28"/>
      <c r="D282" s="31"/>
      <c r="E282" s="29"/>
    </row>
    <row r="283" customFormat="false" ht="15" hidden="false" customHeight="false" outlineLevel="0" collapsed="false">
      <c r="A283" s="26"/>
      <c r="B283" s="27"/>
      <c r="C283" s="28"/>
      <c r="D283" s="31"/>
      <c r="E283" s="29"/>
    </row>
    <row r="284" customFormat="false" ht="15" hidden="false" customHeight="false" outlineLevel="0" collapsed="false">
      <c r="A284" s="26"/>
      <c r="B284" s="27"/>
      <c r="C284" s="28"/>
      <c r="D284" s="31"/>
      <c r="E284" s="29"/>
    </row>
    <row r="285" customFormat="false" ht="15" hidden="false" customHeight="false" outlineLevel="0" collapsed="false">
      <c r="A285" s="26"/>
      <c r="B285" s="27"/>
      <c r="C285" s="28"/>
      <c r="D285" s="31"/>
      <c r="E285" s="29"/>
    </row>
    <row r="286" customFormat="false" ht="15" hidden="false" customHeight="false" outlineLevel="0" collapsed="false">
      <c r="A286" s="26"/>
      <c r="B286" s="27"/>
      <c r="C286" s="28"/>
      <c r="D286" s="31"/>
      <c r="E286" s="29"/>
    </row>
    <row r="287" customFormat="false" ht="15" hidden="false" customHeight="false" outlineLevel="0" collapsed="false">
      <c r="A287" s="26"/>
      <c r="B287" s="27"/>
      <c r="C287" s="28"/>
      <c r="D287" s="31"/>
      <c r="E287" s="29"/>
    </row>
    <row r="288" customFormat="false" ht="15" hidden="false" customHeight="false" outlineLevel="0" collapsed="false">
      <c r="A288" s="26"/>
      <c r="B288" s="27"/>
      <c r="C288" s="28"/>
      <c r="D288" s="31"/>
      <c r="E288" s="29"/>
    </row>
    <row r="289" customFormat="false" ht="15" hidden="false" customHeight="false" outlineLevel="0" collapsed="false">
      <c r="A289" s="26"/>
      <c r="B289" s="27"/>
      <c r="C289" s="28"/>
      <c r="D289" s="31"/>
      <c r="E289" s="29"/>
    </row>
    <row r="290" customFormat="false" ht="15" hidden="false" customHeight="false" outlineLevel="0" collapsed="false">
      <c r="A290" s="26"/>
      <c r="B290" s="27"/>
      <c r="C290" s="28"/>
      <c r="D290" s="31"/>
      <c r="E290" s="29"/>
    </row>
    <row r="291" customFormat="false" ht="15" hidden="false" customHeight="false" outlineLevel="0" collapsed="false">
      <c r="A291" s="26"/>
      <c r="B291" s="27"/>
      <c r="C291" s="28"/>
      <c r="D291" s="31"/>
      <c r="E291" s="29"/>
    </row>
    <row r="292" customFormat="false" ht="15" hidden="false" customHeight="false" outlineLevel="0" collapsed="false">
      <c r="A292" s="26"/>
      <c r="B292" s="27"/>
      <c r="C292" s="28"/>
      <c r="D292" s="31"/>
      <c r="E292" s="29"/>
    </row>
    <row r="293" customFormat="false" ht="15" hidden="false" customHeight="false" outlineLevel="0" collapsed="false">
      <c r="A293" s="26"/>
      <c r="B293" s="27"/>
      <c r="C293" s="28"/>
      <c r="D293" s="31"/>
      <c r="E293" s="29"/>
    </row>
    <row r="294" customFormat="false" ht="15" hidden="false" customHeight="false" outlineLevel="0" collapsed="false">
      <c r="A294" s="26"/>
      <c r="B294" s="27"/>
      <c r="C294" s="28"/>
      <c r="D294" s="31"/>
      <c r="E294" s="29"/>
    </row>
    <row r="295" customFormat="false" ht="15" hidden="false" customHeight="false" outlineLevel="0" collapsed="false">
      <c r="A295" s="26"/>
      <c r="B295" s="27"/>
      <c r="C295" s="28"/>
      <c r="D295" s="31"/>
      <c r="E295" s="29"/>
    </row>
    <row r="296" customFormat="false" ht="15" hidden="false" customHeight="false" outlineLevel="0" collapsed="false">
      <c r="A296" s="26"/>
      <c r="B296" s="27"/>
      <c r="C296" s="28"/>
      <c r="D296" s="31"/>
      <c r="E296" s="29"/>
    </row>
    <row r="297" customFormat="false" ht="15" hidden="false" customHeight="false" outlineLevel="0" collapsed="false">
      <c r="A297" s="26"/>
      <c r="B297" s="27"/>
      <c r="C297" s="28"/>
      <c r="D297" s="31"/>
      <c r="E297" s="29"/>
    </row>
    <row r="298" customFormat="false" ht="15" hidden="false" customHeight="false" outlineLevel="0" collapsed="false">
      <c r="A298" s="26"/>
      <c r="B298" s="27"/>
      <c r="C298" s="28"/>
      <c r="D298" s="31"/>
      <c r="E298" s="29"/>
    </row>
    <row r="299" customFormat="false" ht="15" hidden="false" customHeight="false" outlineLevel="0" collapsed="false">
      <c r="A299" s="26"/>
      <c r="B299" s="27"/>
      <c r="C299" s="28"/>
      <c r="D299" s="31"/>
      <c r="E299" s="29"/>
    </row>
    <row r="300" customFormat="false" ht="15" hidden="false" customHeight="false" outlineLevel="0" collapsed="false">
      <c r="A300" s="26"/>
      <c r="B300" s="27"/>
      <c r="C300" s="28"/>
      <c r="D300" s="31"/>
      <c r="E300" s="29"/>
    </row>
    <row r="301" customFormat="false" ht="15" hidden="false" customHeight="false" outlineLevel="0" collapsed="false">
      <c r="A301" s="26"/>
      <c r="B301" s="27"/>
      <c r="C301" s="28"/>
      <c r="D301" s="31"/>
      <c r="E301" s="29"/>
    </row>
    <row r="302" customFormat="false" ht="15" hidden="false" customHeight="false" outlineLevel="0" collapsed="false">
      <c r="A302" s="26"/>
      <c r="B302" s="27"/>
      <c r="C302" s="28"/>
      <c r="D302" s="31"/>
      <c r="E302" s="29"/>
    </row>
    <row r="303" customFormat="false" ht="15" hidden="false" customHeight="false" outlineLevel="0" collapsed="false">
      <c r="A303" s="26"/>
      <c r="B303" s="27"/>
      <c r="C303" s="28"/>
      <c r="D303" s="31"/>
      <c r="E303" s="29"/>
    </row>
    <row r="304" customFormat="false" ht="15" hidden="false" customHeight="false" outlineLevel="0" collapsed="false">
      <c r="A304" s="26"/>
      <c r="B304" s="27"/>
      <c r="C304" s="28"/>
      <c r="D304" s="31"/>
      <c r="E304" s="29"/>
    </row>
    <row r="305" customFormat="false" ht="15" hidden="false" customHeight="false" outlineLevel="0" collapsed="false">
      <c r="A305" s="26"/>
      <c r="B305" s="27"/>
      <c r="C305" s="28"/>
      <c r="D305" s="31"/>
      <c r="E305" s="29"/>
    </row>
    <row r="306" customFormat="false" ht="15" hidden="false" customHeight="false" outlineLevel="0" collapsed="false">
      <c r="A306" s="26"/>
      <c r="B306" s="27"/>
      <c r="C306" s="28"/>
      <c r="D306" s="31"/>
      <c r="E306" s="29"/>
    </row>
    <row r="307" customFormat="false" ht="15" hidden="false" customHeight="false" outlineLevel="0" collapsed="false">
      <c r="A307" s="26"/>
      <c r="B307" s="27"/>
      <c r="C307" s="28"/>
      <c r="D307" s="31"/>
      <c r="E307" s="29"/>
    </row>
    <row r="308" customFormat="false" ht="15" hidden="false" customHeight="false" outlineLevel="0" collapsed="false">
      <c r="A308" s="26"/>
      <c r="B308" s="27"/>
      <c r="C308" s="28"/>
      <c r="D308" s="31"/>
      <c r="E308" s="29"/>
    </row>
    <row r="309" customFormat="false" ht="15" hidden="false" customHeight="false" outlineLevel="0" collapsed="false">
      <c r="A309" s="26"/>
      <c r="B309" s="27"/>
      <c r="C309" s="28"/>
      <c r="D309" s="31"/>
      <c r="E309" s="29"/>
    </row>
    <row r="310" customFormat="false" ht="15" hidden="false" customHeight="false" outlineLevel="0" collapsed="false">
      <c r="A310" s="26"/>
      <c r="B310" s="27"/>
      <c r="C310" s="28"/>
      <c r="D310" s="31"/>
      <c r="E310" s="29"/>
    </row>
    <row r="311" customFormat="false" ht="15" hidden="false" customHeight="false" outlineLevel="0" collapsed="false">
      <c r="A311" s="26"/>
      <c r="B311" s="27"/>
      <c r="C311" s="28"/>
      <c r="D311" s="31"/>
      <c r="E311" s="29"/>
    </row>
    <row r="312" customFormat="false" ht="15" hidden="false" customHeight="false" outlineLevel="0" collapsed="false">
      <c r="A312" s="26"/>
      <c r="B312" s="27"/>
      <c r="C312" s="28"/>
      <c r="D312" s="31"/>
      <c r="E312" s="29"/>
    </row>
    <row r="313" customFormat="false" ht="15" hidden="false" customHeight="false" outlineLevel="0" collapsed="false">
      <c r="A313" s="26"/>
      <c r="B313" s="27"/>
      <c r="C313" s="28"/>
      <c r="D313" s="31"/>
      <c r="E313" s="29"/>
    </row>
    <row r="314" customFormat="false" ht="15" hidden="false" customHeight="false" outlineLevel="0" collapsed="false">
      <c r="A314" s="26"/>
      <c r="B314" s="27"/>
      <c r="C314" s="28"/>
      <c r="D314" s="31"/>
      <c r="E314" s="29"/>
    </row>
    <row r="315" customFormat="false" ht="15" hidden="false" customHeight="false" outlineLevel="0" collapsed="false">
      <c r="A315" s="26"/>
      <c r="B315" s="27"/>
      <c r="C315" s="28"/>
      <c r="D315" s="31"/>
      <c r="E315" s="29"/>
    </row>
    <row r="316" customFormat="false" ht="15" hidden="false" customHeight="false" outlineLevel="0" collapsed="false">
      <c r="A316" s="26"/>
      <c r="B316" s="27"/>
      <c r="C316" s="28"/>
      <c r="D316" s="31"/>
      <c r="E316" s="29"/>
    </row>
    <row r="317" customFormat="false" ht="15" hidden="false" customHeight="false" outlineLevel="0" collapsed="false">
      <c r="A317" s="26"/>
      <c r="B317" s="27"/>
      <c r="C317" s="28"/>
      <c r="D317" s="31"/>
      <c r="E317" s="29"/>
    </row>
    <row r="318" customFormat="false" ht="15" hidden="false" customHeight="false" outlineLevel="0" collapsed="false">
      <c r="A318" s="26"/>
      <c r="B318" s="27"/>
      <c r="C318" s="28"/>
      <c r="D318" s="31"/>
      <c r="E318" s="29"/>
    </row>
    <row r="319" customFormat="false" ht="15" hidden="false" customHeight="false" outlineLevel="0" collapsed="false">
      <c r="A319" s="26"/>
      <c r="B319" s="27"/>
      <c r="C319" s="28"/>
      <c r="D319" s="31"/>
      <c r="E319" s="29"/>
    </row>
    <row r="320" customFormat="false" ht="15" hidden="false" customHeight="false" outlineLevel="0" collapsed="false">
      <c r="A320" s="26"/>
      <c r="B320" s="27"/>
      <c r="C320" s="28"/>
      <c r="D320" s="31"/>
      <c r="E320" s="29"/>
    </row>
    <row r="321" customFormat="false" ht="15" hidden="false" customHeight="false" outlineLevel="0" collapsed="false">
      <c r="A321" s="26"/>
      <c r="B321" s="27"/>
      <c r="C321" s="28"/>
      <c r="D321" s="31"/>
      <c r="E321" s="29"/>
    </row>
    <row r="322" customFormat="false" ht="15" hidden="false" customHeight="false" outlineLevel="0" collapsed="false">
      <c r="A322" s="26"/>
      <c r="B322" s="27"/>
      <c r="C322" s="28"/>
      <c r="D322" s="31"/>
      <c r="E322" s="29"/>
    </row>
    <row r="323" customFormat="false" ht="15" hidden="false" customHeight="false" outlineLevel="0" collapsed="false">
      <c r="A323" s="26"/>
      <c r="B323" s="27"/>
      <c r="C323" s="28"/>
      <c r="D323" s="31"/>
      <c r="E323" s="29"/>
    </row>
    <row r="324" customFormat="false" ht="15" hidden="false" customHeight="false" outlineLevel="0" collapsed="false">
      <c r="A324" s="26"/>
      <c r="B324" s="27"/>
      <c r="C324" s="28"/>
      <c r="D324" s="31"/>
      <c r="E324" s="29"/>
    </row>
    <row r="325" customFormat="false" ht="15" hidden="false" customHeight="false" outlineLevel="0" collapsed="false">
      <c r="A325" s="26"/>
      <c r="B325" s="27"/>
      <c r="C325" s="28"/>
      <c r="D325" s="31"/>
      <c r="E325" s="29"/>
    </row>
    <row r="326" customFormat="false" ht="15" hidden="false" customHeight="false" outlineLevel="0" collapsed="false">
      <c r="A326" s="26"/>
      <c r="B326" s="27"/>
      <c r="C326" s="28"/>
      <c r="D326" s="31"/>
      <c r="E326" s="29"/>
    </row>
    <row r="327" customFormat="false" ht="15" hidden="false" customHeight="false" outlineLevel="0" collapsed="false">
      <c r="A327" s="26"/>
      <c r="B327" s="27"/>
      <c r="C327" s="28"/>
      <c r="D327" s="31"/>
      <c r="E327" s="29"/>
    </row>
    <row r="328" customFormat="false" ht="15" hidden="false" customHeight="false" outlineLevel="0" collapsed="false">
      <c r="A328" s="26"/>
      <c r="B328" s="27"/>
      <c r="C328" s="28"/>
      <c r="D328" s="31"/>
      <c r="E328" s="29"/>
    </row>
    <row r="329" customFormat="false" ht="15" hidden="false" customHeight="false" outlineLevel="0" collapsed="false">
      <c r="A329" s="26"/>
      <c r="B329" s="27"/>
      <c r="C329" s="28"/>
      <c r="D329" s="31"/>
      <c r="E329" s="29"/>
    </row>
    <row r="330" customFormat="false" ht="15" hidden="false" customHeight="false" outlineLevel="0" collapsed="false">
      <c r="A330" s="26"/>
      <c r="B330" s="27"/>
      <c r="C330" s="28"/>
      <c r="D330" s="31"/>
      <c r="E330" s="29"/>
    </row>
    <row r="331" customFormat="false" ht="15" hidden="false" customHeight="false" outlineLevel="0" collapsed="false">
      <c r="A331" s="26"/>
      <c r="B331" s="27"/>
      <c r="C331" s="28"/>
      <c r="D331" s="31"/>
      <c r="E331" s="29"/>
    </row>
    <row r="332" customFormat="false" ht="15" hidden="false" customHeight="false" outlineLevel="0" collapsed="false">
      <c r="A332" s="26"/>
      <c r="B332" s="27"/>
      <c r="C332" s="28"/>
      <c r="D332" s="31"/>
      <c r="E332" s="29"/>
    </row>
    <row r="333" customFormat="false" ht="15" hidden="false" customHeight="false" outlineLevel="0" collapsed="false">
      <c r="A333" s="26"/>
      <c r="B333" s="27"/>
      <c r="C333" s="28"/>
      <c r="D333" s="31"/>
      <c r="E333" s="29"/>
    </row>
    <row r="334" customFormat="false" ht="15" hidden="false" customHeight="false" outlineLevel="0" collapsed="false">
      <c r="A334" s="26"/>
      <c r="B334" s="27"/>
      <c r="C334" s="28"/>
      <c r="D334" s="31"/>
      <c r="E334" s="29"/>
    </row>
    <row r="335" customFormat="false" ht="15" hidden="false" customHeight="false" outlineLevel="0" collapsed="false">
      <c r="A335" s="26"/>
      <c r="B335" s="27"/>
      <c r="C335" s="28"/>
      <c r="D335" s="31"/>
      <c r="E335" s="29"/>
    </row>
    <row r="336" customFormat="false" ht="15" hidden="false" customHeight="false" outlineLevel="0" collapsed="false">
      <c r="A336" s="26"/>
      <c r="B336" s="27"/>
      <c r="C336" s="28"/>
      <c r="D336" s="31"/>
      <c r="E336" s="29"/>
    </row>
    <row r="337" customFormat="false" ht="15" hidden="false" customHeight="false" outlineLevel="0" collapsed="false">
      <c r="A337" s="26"/>
      <c r="B337" s="27"/>
      <c r="C337" s="28"/>
      <c r="D337" s="31"/>
      <c r="E337" s="29"/>
    </row>
    <row r="338" customFormat="false" ht="15" hidden="false" customHeight="false" outlineLevel="0" collapsed="false">
      <c r="A338" s="26"/>
      <c r="B338" s="27"/>
      <c r="C338" s="28"/>
      <c r="D338" s="31"/>
      <c r="E338" s="29"/>
    </row>
    <row r="339" customFormat="false" ht="15" hidden="false" customHeight="false" outlineLevel="0" collapsed="false">
      <c r="A339" s="26"/>
      <c r="B339" s="27"/>
      <c r="C339" s="28"/>
      <c r="D339" s="31"/>
      <c r="E339" s="29"/>
    </row>
    <row r="340" customFormat="false" ht="15" hidden="false" customHeight="false" outlineLevel="0" collapsed="false">
      <c r="A340" s="26"/>
      <c r="B340" s="27"/>
      <c r="C340" s="28"/>
      <c r="D340" s="31"/>
      <c r="E340" s="29"/>
    </row>
    <row r="341" customFormat="false" ht="15" hidden="false" customHeight="false" outlineLevel="0" collapsed="false">
      <c r="A341" s="26"/>
      <c r="B341" s="27"/>
      <c r="C341" s="28"/>
      <c r="D341" s="31"/>
      <c r="E341" s="29"/>
    </row>
    <row r="342" customFormat="false" ht="15" hidden="false" customHeight="false" outlineLevel="0" collapsed="false">
      <c r="A342" s="26"/>
      <c r="B342" s="27"/>
      <c r="C342" s="28"/>
      <c r="D342" s="31"/>
      <c r="E342" s="29"/>
    </row>
    <row r="343" customFormat="false" ht="15" hidden="false" customHeight="false" outlineLevel="0" collapsed="false">
      <c r="A343" s="26"/>
      <c r="B343" s="27"/>
      <c r="C343" s="28"/>
      <c r="D343" s="31"/>
      <c r="E343" s="29"/>
    </row>
    <row r="344" customFormat="false" ht="15" hidden="false" customHeight="false" outlineLevel="0" collapsed="false">
      <c r="A344" s="26"/>
      <c r="B344" s="27"/>
      <c r="C344" s="28"/>
      <c r="D344" s="31"/>
      <c r="E344" s="29"/>
    </row>
    <row r="345" customFormat="false" ht="15" hidden="false" customHeight="false" outlineLevel="0" collapsed="false">
      <c r="A345" s="26"/>
      <c r="B345" s="27"/>
      <c r="C345" s="28"/>
      <c r="D345" s="31"/>
      <c r="E345" s="29"/>
    </row>
    <row r="346" customFormat="false" ht="15" hidden="false" customHeight="false" outlineLevel="0" collapsed="false">
      <c r="A346" s="26"/>
      <c r="B346" s="27"/>
      <c r="C346" s="28"/>
      <c r="D346" s="31"/>
      <c r="E346" s="29"/>
    </row>
    <row r="347" customFormat="false" ht="15" hidden="false" customHeight="false" outlineLevel="0" collapsed="false">
      <c r="A347" s="26"/>
      <c r="B347" s="27"/>
      <c r="C347" s="28"/>
      <c r="D347" s="31"/>
      <c r="E347" s="29"/>
    </row>
    <row r="348" customFormat="false" ht="15" hidden="false" customHeight="false" outlineLevel="0" collapsed="false">
      <c r="A348" s="26"/>
      <c r="B348" s="27"/>
      <c r="C348" s="28"/>
      <c r="D348" s="31"/>
      <c r="E348" s="29"/>
    </row>
    <row r="349" customFormat="false" ht="15" hidden="false" customHeight="false" outlineLevel="0" collapsed="false">
      <c r="A349" s="26"/>
      <c r="B349" s="27"/>
      <c r="C349" s="28"/>
      <c r="D349" s="31"/>
      <c r="E349" s="29"/>
    </row>
    <row r="350" customFormat="false" ht="15" hidden="false" customHeight="false" outlineLevel="0" collapsed="false">
      <c r="A350" s="26"/>
      <c r="B350" s="27"/>
      <c r="C350" s="28"/>
      <c r="D350" s="31"/>
      <c r="E350" s="29"/>
    </row>
    <row r="351" customFormat="false" ht="15" hidden="false" customHeight="false" outlineLevel="0" collapsed="false">
      <c r="A351" s="26"/>
      <c r="B351" s="27"/>
      <c r="C351" s="28"/>
      <c r="D351" s="31"/>
      <c r="E351" s="29"/>
    </row>
    <row r="352" customFormat="false" ht="15" hidden="false" customHeight="false" outlineLevel="0" collapsed="false">
      <c r="A352" s="26"/>
      <c r="B352" s="27"/>
      <c r="C352" s="28"/>
      <c r="D352" s="31"/>
      <c r="E352" s="29"/>
    </row>
    <row r="353" customFormat="false" ht="15" hidden="false" customHeight="false" outlineLevel="0" collapsed="false">
      <c r="A353" s="26"/>
      <c r="B353" s="27"/>
      <c r="C353" s="28"/>
      <c r="D353" s="31"/>
      <c r="E353" s="29"/>
    </row>
    <row r="354" customFormat="false" ht="15" hidden="false" customHeight="false" outlineLevel="0" collapsed="false">
      <c r="A354" s="26"/>
      <c r="B354" s="27"/>
      <c r="C354" s="28"/>
      <c r="D354" s="31"/>
      <c r="E354" s="29"/>
    </row>
    <row r="355" customFormat="false" ht="15" hidden="false" customHeight="false" outlineLevel="0" collapsed="false">
      <c r="A355" s="26"/>
      <c r="B355" s="27"/>
      <c r="C355" s="28"/>
      <c r="D355" s="31"/>
      <c r="E355" s="29"/>
    </row>
    <row r="356" customFormat="false" ht="15" hidden="false" customHeight="false" outlineLevel="0" collapsed="false">
      <c r="A356" s="26"/>
      <c r="B356" s="27"/>
      <c r="C356" s="28"/>
      <c r="D356" s="31"/>
      <c r="E356" s="29"/>
    </row>
    <row r="357" customFormat="false" ht="15" hidden="false" customHeight="false" outlineLevel="0" collapsed="false">
      <c r="A357" s="26"/>
      <c r="B357" s="27"/>
      <c r="C357" s="28"/>
      <c r="D357" s="31"/>
      <c r="E357" s="29"/>
    </row>
    <row r="358" customFormat="false" ht="15" hidden="false" customHeight="false" outlineLevel="0" collapsed="false">
      <c r="A358" s="26"/>
      <c r="B358" s="27"/>
      <c r="C358" s="28"/>
      <c r="D358" s="31"/>
      <c r="E358" s="29"/>
    </row>
    <row r="359" customFormat="false" ht="15" hidden="false" customHeight="false" outlineLevel="0" collapsed="false">
      <c r="A359" s="26"/>
      <c r="B359" s="27"/>
      <c r="C359" s="28"/>
      <c r="D359" s="31"/>
      <c r="E359" s="29"/>
    </row>
    <row r="360" customFormat="false" ht="15" hidden="false" customHeight="false" outlineLevel="0" collapsed="false">
      <c r="A360" s="26"/>
      <c r="B360" s="27"/>
      <c r="C360" s="28"/>
      <c r="D360" s="31"/>
      <c r="E360" s="29"/>
    </row>
    <row r="361" customFormat="false" ht="15" hidden="false" customHeight="false" outlineLevel="0" collapsed="false">
      <c r="A361" s="26"/>
      <c r="B361" s="27"/>
      <c r="C361" s="28"/>
      <c r="D361" s="31"/>
      <c r="E361" s="29"/>
    </row>
    <row r="362" customFormat="false" ht="15" hidden="false" customHeight="false" outlineLevel="0" collapsed="false">
      <c r="A362" s="26"/>
      <c r="B362" s="27"/>
      <c r="C362" s="28"/>
      <c r="D362" s="31"/>
      <c r="E362" s="29"/>
    </row>
    <row r="363" customFormat="false" ht="15" hidden="false" customHeight="false" outlineLevel="0" collapsed="false">
      <c r="A363" s="26"/>
      <c r="B363" s="27"/>
      <c r="C363" s="28"/>
      <c r="D363" s="31"/>
      <c r="E363" s="29"/>
    </row>
    <row r="364" customFormat="false" ht="15" hidden="false" customHeight="false" outlineLevel="0" collapsed="false">
      <c r="A364" s="26"/>
      <c r="B364" s="27"/>
      <c r="C364" s="28"/>
      <c r="D364" s="31"/>
      <c r="E364" s="29"/>
    </row>
    <row r="365" customFormat="false" ht="15" hidden="false" customHeight="false" outlineLevel="0" collapsed="false">
      <c r="A365" s="26"/>
      <c r="B365" s="27"/>
      <c r="C365" s="28"/>
      <c r="D365" s="31"/>
      <c r="E365" s="29"/>
    </row>
    <row r="366" customFormat="false" ht="15" hidden="false" customHeight="false" outlineLevel="0" collapsed="false">
      <c r="A366" s="26"/>
      <c r="B366" s="27"/>
      <c r="C366" s="28"/>
      <c r="D366" s="31"/>
      <c r="E366" s="29"/>
    </row>
    <row r="367" customFormat="false" ht="15" hidden="false" customHeight="false" outlineLevel="0" collapsed="false">
      <c r="A367" s="26"/>
      <c r="B367" s="27"/>
      <c r="C367" s="28"/>
      <c r="D367" s="31"/>
      <c r="E367" s="29"/>
    </row>
    <row r="368" customFormat="false" ht="15" hidden="false" customHeight="false" outlineLevel="0" collapsed="false">
      <c r="A368" s="26"/>
      <c r="B368" s="27"/>
      <c r="C368" s="28"/>
      <c r="D368" s="31"/>
      <c r="E368" s="29"/>
    </row>
    <row r="369" customFormat="false" ht="15" hidden="false" customHeight="false" outlineLevel="0" collapsed="false">
      <c r="A369" s="26"/>
      <c r="B369" s="27"/>
      <c r="C369" s="28"/>
      <c r="D369" s="31"/>
      <c r="E369" s="29"/>
    </row>
    <row r="370" customFormat="false" ht="15" hidden="false" customHeight="false" outlineLevel="0" collapsed="false">
      <c r="A370" s="26"/>
      <c r="B370" s="27"/>
      <c r="C370" s="28"/>
      <c r="D370" s="31"/>
      <c r="E370" s="29"/>
    </row>
    <row r="371" customFormat="false" ht="15" hidden="false" customHeight="false" outlineLevel="0" collapsed="false">
      <c r="A371" s="26"/>
      <c r="B371" s="27"/>
      <c r="C371" s="28"/>
      <c r="D371" s="31"/>
      <c r="E371" s="29"/>
    </row>
    <row r="372" customFormat="false" ht="15" hidden="false" customHeight="false" outlineLevel="0" collapsed="false">
      <c r="A372" s="26"/>
      <c r="B372" s="27"/>
      <c r="C372" s="28"/>
      <c r="D372" s="31"/>
      <c r="E372" s="29"/>
    </row>
    <row r="373" customFormat="false" ht="15" hidden="false" customHeight="false" outlineLevel="0" collapsed="false">
      <c r="A373" s="26"/>
      <c r="B373" s="27"/>
      <c r="C373" s="28"/>
      <c r="D373" s="31"/>
      <c r="E373" s="29"/>
    </row>
    <row r="374" customFormat="false" ht="15" hidden="false" customHeight="false" outlineLevel="0" collapsed="false">
      <c r="A374" s="26"/>
      <c r="B374" s="27"/>
      <c r="C374" s="28"/>
      <c r="D374" s="31"/>
      <c r="E374" s="29"/>
    </row>
    <row r="375" customFormat="false" ht="15" hidden="false" customHeight="false" outlineLevel="0" collapsed="false">
      <c r="A375" s="26"/>
      <c r="B375" s="27"/>
      <c r="C375" s="28"/>
      <c r="D375" s="31"/>
      <c r="E375" s="29"/>
    </row>
    <row r="376" customFormat="false" ht="15" hidden="false" customHeight="false" outlineLevel="0" collapsed="false">
      <c r="A376" s="26"/>
      <c r="B376" s="27"/>
      <c r="C376" s="28"/>
      <c r="D376" s="31"/>
      <c r="E376" s="29"/>
    </row>
    <row r="377" customFormat="false" ht="15" hidden="false" customHeight="false" outlineLevel="0" collapsed="false">
      <c r="A377" s="26"/>
      <c r="B377" s="27"/>
      <c r="C377" s="28"/>
      <c r="D377" s="31"/>
      <c r="E377" s="29"/>
    </row>
    <row r="378" customFormat="false" ht="15" hidden="false" customHeight="false" outlineLevel="0" collapsed="false">
      <c r="A378" s="26"/>
      <c r="B378" s="27"/>
      <c r="C378" s="28"/>
      <c r="D378" s="31"/>
      <c r="E378" s="29"/>
    </row>
    <row r="379" customFormat="false" ht="15" hidden="false" customHeight="false" outlineLevel="0" collapsed="false">
      <c r="A379" s="26"/>
      <c r="B379" s="27"/>
      <c r="C379" s="28"/>
      <c r="D379" s="31"/>
      <c r="E379" s="29"/>
    </row>
    <row r="380" customFormat="false" ht="15" hidden="false" customHeight="false" outlineLevel="0" collapsed="false">
      <c r="A380" s="26"/>
      <c r="B380" s="27"/>
      <c r="C380" s="28"/>
      <c r="D380" s="31"/>
      <c r="E380" s="29"/>
    </row>
    <row r="381" customFormat="false" ht="15" hidden="false" customHeight="false" outlineLevel="0" collapsed="false">
      <c r="A381" s="26"/>
      <c r="B381" s="27"/>
      <c r="C381" s="28"/>
      <c r="D381" s="31"/>
      <c r="E381" s="29"/>
    </row>
    <row r="382" customFormat="false" ht="15" hidden="false" customHeight="false" outlineLevel="0" collapsed="false">
      <c r="A382" s="26"/>
      <c r="B382" s="27"/>
      <c r="C382" s="28"/>
      <c r="D382" s="31"/>
      <c r="E382" s="29"/>
    </row>
    <row r="383" customFormat="false" ht="15" hidden="false" customHeight="false" outlineLevel="0" collapsed="false">
      <c r="A383" s="26"/>
      <c r="B383" s="27"/>
      <c r="C383" s="28"/>
      <c r="D383" s="31"/>
      <c r="E383" s="29"/>
    </row>
    <row r="384" customFormat="false" ht="15" hidden="false" customHeight="false" outlineLevel="0" collapsed="false">
      <c r="A384" s="26"/>
      <c r="B384" s="27"/>
      <c r="C384" s="28"/>
      <c r="D384" s="31"/>
      <c r="E384" s="29"/>
    </row>
    <row r="385" customFormat="false" ht="15" hidden="false" customHeight="false" outlineLevel="0" collapsed="false">
      <c r="A385" s="26"/>
      <c r="B385" s="27"/>
      <c r="C385" s="28"/>
      <c r="D385" s="31"/>
      <c r="E385" s="29"/>
    </row>
    <row r="386" customFormat="false" ht="15" hidden="false" customHeight="false" outlineLevel="0" collapsed="false">
      <c r="A386" s="26"/>
      <c r="B386" s="27"/>
      <c r="C386" s="28"/>
      <c r="D386" s="31"/>
      <c r="E386" s="29"/>
    </row>
    <row r="387" customFormat="false" ht="15" hidden="false" customHeight="false" outlineLevel="0" collapsed="false">
      <c r="A387" s="26"/>
      <c r="B387" s="27"/>
      <c r="C387" s="28"/>
      <c r="D387" s="31"/>
      <c r="E387" s="29"/>
    </row>
    <row r="388" customFormat="false" ht="15" hidden="false" customHeight="false" outlineLevel="0" collapsed="false">
      <c r="A388" s="26"/>
      <c r="B388" s="27"/>
      <c r="C388" s="28"/>
      <c r="D388" s="31"/>
      <c r="E388" s="29"/>
    </row>
    <row r="389" customFormat="false" ht="15" hidden="false" customHeight="false" outlineLevel="0" collapsed="false">
      <c r="A389" s="26"/>
      <c r="B389" s="27"/>
      <c r="C389" s="28"/>
      <c r="D389" s="31"/>
      <c r="E389" s="29"/>
    </row>
    <row r="390" customFormat="false" ht="15" hidden="false" customHeight="false" outlineLevel="0" collapsed="false">
      <c r="A390" s="26"/>
      <c r="B390" s="27"/>
      <c r="C390" s="28"/>
      <c r="D390" s="31"/>
      <c r="E390" s="29"/>
    </row>
    <row r="391" customFormat="false" ht="15" hidden="false" customHeight="false" outlineLevel="0" collapsed="false">
      <c r="A391" s="26"/>
      <c r="B391" s="27"/>
      <c r="C391" s="28"/>
      <c r="D391" s="31"/>
      <c r="E391" s="29"/>
    </row>
    <row r="392" customFormat="false" ht="15" hidden="false" customHeight="false" outlineLevel="0" collapsed="false">
      <c r="A392" s="26"/>
      <c r="B392" s="27"/>
      <c r="C392" s="28"/>
      <c r="D392" s="31"/>
      <c r="E392" s="29"/>
    </row>
    <row r="393" customFormat="false" ht="15" hidden="false" customHeight="false" outlineLevel="0" collapsed="false">
      <c r="A393" s="26"/>
      <c r="B393" s="27"/>
      <c r="C393" s="28"/>
      <c r="D393" s="31"/>
      <c r="E393" s="29"/>
    </row>
    <row r="394" customFormat="false" ht="15" hidden="false" customHeight="false" outlineLevel="0" collapsed="false">
      <c r="A394" s="26"/>
      <c r="B394" s="27"/>
      <c r="C394" s="28"/>
      <c r="D394" s="31"/>
      <c r="E394" s="29"/>
    </row>
    <row r="395" customFormat="false" ht="15" hidden="false" customHeight="false" outlineLevel="0" collapsed="false">
      <c r="A395" s="26"/>
      <c r="B395" s="27"/>
      <c r="C395" s="28"/>
      <c r="D395" s="31"/>
      <c r="E395" s="29"/>
    </row>
    <row r="396" customFormat="false" ht="15" hidden="false" customHeight="false" outlineLevel="0" collapsed="false">
      <c r="A396" s="26"/>
      <c r="B396" s="27"/>
      <c r="C396" s="28"/>
      <c r="D396" s="31"/>
      <c r="E396" s="29"/>
    </row>
    <row r="397" customFormat="false" ht="15" hidden="false" customHeight="false" outlineLevel="0" collapsed="false">
      <c r="A397" s="26"/>
      <c r="B397" s="27"/>
      <c r="C397" s="28"/>
      <c r="D397" s="31"/>
      <c r="E397" s="29"/>
    </row>
    <row r="398" customFormat="false" ht="15" hidden="false" customHeight="false" outlineLevel="0" collapsed="false">
      <c r="A398" s="26"/>
      <c r="B398" s="27"/>
      <c r="C398" s="28"/>
      <c r="D398" s="31"/>
      <c r="E398" s="29"/>
    </row>
    <row r="399" customFormat="false" ht="15" hidden="false" customHeight="false" outlineLevel="0" collapsed="false">
      <c r="A399" s="26"/>
      <c r="B399" s="27"/>
      <c r="C399" s="28"/>
      <c r="D399" s="31"/>
      <c r="E399" s="29"/>
    </row>
    <row r="400" customFormat="false" ht="15" hidden="false" customHeight="false" outlineLevel="0" collapsed="false">
      <c r="A400" s="26"/>
      <c r="B400" s="27"/>
      <c r="C400" s="28"/>
      <c r="D400" s="31"/>
      <c r="E400" s="29"/>
    </row>
    <row r="401" customFormat="false" ht="15" hidden="false" customHeight="false" outlineLevel="0" collapsed="false">
      <c r="A401" s="26"/>
      <c r="B401" s="27"/>
      <c r="C401" s="28"/>
      <c r="D401" s="31"/>
      <c r="E401" s="29"/>
    </row>
    <row r="402" customFormat="false" ht="15" hidden="false" customHeight="false" outlineLevel="0" collapsed="false">
      <c r="A402" s="26"/>
      <c r="B402" s="27"/>
      <c r="C402" s="28"/>
      <c r="D402" s="31"/>
      <c r="E402" s="29"/>
    </row>
    <row r="403" customFormat="false" ht="15" hidden="false" customHeight="false" outlineLevel="0" collapsed="false">
      <c r="A403" s="26"/>
      <c r="B403" s="27"/>
      <c r="C403" s="28"/>
      <c r="D403" s="31"/>
      <c r="E403" s="29"/>
    </row>
    <row r="404" customFormat="false" ht="15" hidden="false" customHeight="false" outlineLevel="0" collapsed="false">
      <c r="A404" s="26"/>
      <c r="B404" s="27"/>
      <c r="C404" s="28"/>
      <c r="D404" s="31"/>
      <c r="E404" s="29"/>
    </row>
    <row r="405" customFormat="false" ht="15" hidden="false" customHeight="false" outlineLevel="0" collapsed="false">
      <c r="A405" s="26"/>
      <c r="B405" s="27"/>
      <c r="C405" s="28"/>
      <c r="D405" s="31"/>
      <c r="E405" s="29"/>
    </row>
    <row r="406" customFormat="false" ht="15" hidden="false" customHeight="false" outlineLevel="0" collapsed="false">
      <c r="A406" s="26"/>
      <c r="B406" s="27"/>
      <c r="C406" s="28"/>
      <c r="D406" s="31"/>
      <c r="E406" s="29"/>
    </row>
    <row r="407" customFormat="false" ht="15" hidden="false" customHeight="false" outlineLevel="0" collapsed="false">
      <c r="A407" s="26"/>
      <c r="B407" s="27"/>
      <c r="C407" s="28"/>
      <c r="D407" s="31"/>
      <c r="E407" s="29"/>
    </row>
    <row r="408" customFormat="false" ht="15" hidden="false" customHeight="false" outlineLevel="0" collapsed="false">
      <c r="A408" s="26"/>
      <c r="B408" s="27"/>
      <c r="C408" s="28"/>
      <c r="D408" s="31"/>
      <c r="E408" s="29"/>
    </row>
    <row r="409" customFormat="false" ht="15" hidden="false" customHeight="false" outlineLevel="0" collapsed="false">
      <c r="A409" s="26"/>
      <c r="B409" s="27"/>
      <c r="C409" s="28"/>
      <c r="D409" s="31"/>
      <c r="E409" s="29"/>
    </row>
    <row r="410" customFormat="false" ht="15" hidden="false" customHeight="false" outlineLevel="0" collapsed="false">
      <c r="A410" s="26"/>
      <c r="B410" s="27"/>
      <c r="C410" s="28"/>
      <c r="D410" s="31"/>
      <c r="E410" s="29"/>
    </row>
    <row r="411" customFormat="false" ht="15" hidden="false" customHeight="false" outlineLevel="0" collapsed="false">
      <c r="A411" s="26"/>
      <c r="B411" s="27"/>
      <c r="C411" s="28"/>
      <c r="D411" s="31"/>
      <c r="E411" s="29"/>
    </row>
    <row r="412" customFormat="false" ht="15" hidden="false" customHeight="false" outlineLevel="0" collapsed="false">
      <c r="A412" s="26"/>
      <c r="B412" s="27"/>
      <c r="C412" s="28"/>
      <c r="D412" s="31"/>
      <c r="E412" s="29"/>
    </row>
    <row r="413" customFormat="false" ht="15" hidden="false" customHeight="false" outlineLevel="0" collapsed="false">
      <c r="A413" s="26"/>
      <c r="B413" s="27"/>
      <c r="C413" s="28"/>
      <c r="D413" s="31"/>
      <c r="E413" s="29"/>
    </row>
    <row r="414" customFormat="false" ht="15" hidden="false" customHeight="false" outlineLevel="0" collapsed="false">
      <c r="A414" s="26"/>
      <c r="B414" s="27"/>
      <c r="C414" s="28"/>
      <c r="D414" s="31"/>
      <c r="E414" s="29"/>
    </row>
    <row r="415" customFormat="false" ht="15" hidden="false" customHeight="false" outlineLevel="0" collapsed="false">
      <c r="A415" s="26"/>
      <c r="B415" s="27"/>
      <c r="C415" s="28"/>
      <c r="D415" s="31"/>
      <c r="E415" s="29"/>
    </row>
    <row r="416" customFormat="false" ht="15" hidden="false" customHeight="false" outlineLevel="0" collapsed="false">
      <c r="A416" s="26"/>
      <c r="B416" s="27"/>
      <c r="C416" s="28"/>
      <c r="D416" s="31"/>
      <c r="E416" s="29"/>
    </row>
    <row r="417" customFormat="false" ht="15" hidden="false" customHeight="false" outlineLevel="0" collapsed="false">
      <c r="A417" s="26"/>
      <c r="B417" s="27"/>
      <c r="C417" s="28"/>
      <c r="D417" s="31"/>
      <c r="E417" s="29"/>
    </row>
    <row r="418" customFormat="false" ht="15" hidden="false" customHeight="false" outlineLevel="0" collapsed="false">
      <c r="A418" s="26"/>
      <c r="B418" s="27"/>
      <c r="C418" s="28"/>
      <c r="D418" s="31"/>
      <c r="E418" s="29"/>
    </row>
    <row r="419" customFormat="false" ht="15" hidden="false" customHeight="false" outlineLevel="0" collapsed="false">
      <c r="A419" s="26"/>
      <c r="B419" s="27"/>
      <c r="C419" s="28"/>
      <c r="D419" s="31"/>
      <c r="E419" s="29"/>
    </row>
    <row r="420" customFormat="false" ht="15" hidden="false" customHeight="false" outlineLevel="0" collapsed="false">
      <c r="A420" s="26"/>
      <c r="B420" s="27"/>
      <c r="C420" s="28"/>
      <c r="D420" s="31"/>
      <c r="E420" s="29"/>
    </row>
    <row r="421" customFormat="false" ht="15" hidden="false" customHeight="false" outlineLevel="0" collapsed="false">
      <c r="A421" s="26"/>
      <c r="B421" s="27"/>
      <c r="C421" s="28"/>
      <c r="D421" s="31"/>
      <c r="E421" s="29"/>
    </row>
    <row r="422" customFormat="false" ht="15" hidden="false" customHeight="false" outlineLevel="0" collapsed="false">
      <c r="A422" s="26"/>
      <c r="B422" s="27"/>
      <c r="C422" s="28"/>
      <c r="D422" s="31"/>
      <c r="E422" s="29"/>
    </row>
    <row r="423" customFormat="false" ht="15" hidden="false" customHeight="false" outlineLevel="0" collapsed="false">
      <c r="A423" s="26"/>
      <c r="B423" s="27"/>
      <c r="C423" s="28"/>
      <c r="D423" s="31"/>
      <c r="E423" s="29"/>
    </row>
    <row r="424" customFormat="false" ht="15" hidden="false" customHeight="false" outlineLevel="0" collapsed="false">
      <c r="A424" s="26"/>
      <c r="B424" s="27"/>
      <c r="C424" s="28"/>
      <c r="D424" s="31"/>
      <c r="E424" s="29"/>
    </row>
    <row r="425" customFormat="false" ht="15" hidden="false" customHeight="false" outlineLevel="0" collapsed="false">
      <c r="A425" s="26"/>
      <c r="B425" s="27"/>
      <c r="C425" s="28"/>
      <c r="D425" s="31"/>
      <c r="E425" s="29"/>
    </row>
    <row r="426" customFormat="false" ht="15" hidden="false" customHeight="false" outlineLevel="0" collapsed="false">
      <c r="A426" s="26"/>
      <c r="B426" s="27"/>
      <c r="C426" s="28"/>
      <c r="D426" s="31"/>
      <c r="E426" s="29"/>
    </row>
    <row r="427" customFormat="false" ht="15" hidden="false" customHeight="false" outlineLevel="0" collapsed="false">
      <c r="A427" s="26"/>
      <c r="B427" s="27"/>
      <c r="C427" s="28"/>
      <c r="D427" s="31"/>
      <c r="E427" s="29"/>
    </row>
    <row r="428" customFormat="false" ht="15" hidden="false" customHeight="false" outlineLevel="0" collapsed="false">
      <c r="A428" s="26"/>
      <c r="B428" s="27"/>
      <c r="C428" s="28"/>
      <c r="D428" s="31"/>
      <c r="E428" s="29"/>
    </row>
    <row r="429" customFormat="false" ht="15" hidden="false" customHeight="false" outlineLevel="0" collapsed="false">
      <c r="A429" s="26"/>
      <c r="B429" s="27"/>
      <c r="C429" s="28"/>
      <c r="D429" s="31"/>
      <c r="E429" s="29"/>
    </row>
    <row r="430" customFormat="false" ht="15" hidden="false" customHeight="false" outlineLevel="0" collapsed="false">
      <c r="A430" s="26"/>
      <c r="B430" s="27"/>
      <c r="C430" s="28"/>
      <c r="D430" s="31"/>
      <c r="E430" s="29"/>
    </row>
    <row r="431" customFormat="false" ht="15" hidden="false" customHeight="false" outlineLevel="0" collapsed="false">
      <c r="A431" s="26"/>
      <c r="B431" s="27"/>
      <c r="C431" s="28"/>
      <c r="D431" s="31"/>
      <c r="E431" s="29"/>
    </row>
    <row r="432" customFormat="false" ht="15" hidden="false" customHeight="false" outlineLevel="0" collapsed="false">
      <c r="A432" s="26"/>
      <c r="B432" s="27"/>
      <c r="C432" s="28"/>
      <c r="D432" s="31"/>
      <c r="E432" s="29"/>
    </row>
    <row r="433" customFormat="false" ht="15" hidden="false" customHeight="false" outlineLevel="0" collapsed="false">
      <c r="A433" s="26"/>
      <c r="B433" s="27"/>
      <c r="C433" s="28"/>
      <c r="D433" s="31"/>
      <c r="E433" s="29"/>
    </row>
    <row r="434" customFormat="false" ht="15" hidden="false" customHeight="false" outlineLevel="0" collapsed="false">
      <c r="A434" s="26"/>
      <c r="B434" s="27"/>
      <c r="C434" s="28"/>
      <c r="D434" s="31"/>
      <c r="E434" s="29"/>
    </row>
    <row r="435" customFormat="false" ht="15" hidden="false" customHeight="false" outlineLevel="0" collapsed="false">
      <c r="A435" s="26"/>
      <c r="B435" s="27"/>
      <c r="C435" s="28"/>
      <c r="D435" s="31"/>
      <c r="E435" s="29"/>
    </row>
    <row r="436" customFormat="false" ht="15" hidden="false" customHeight="false" outlineLevel="0" collapsed="false">
      <c r="A436" s="26"/>
      <c r="B436" s="27"/>
      <c r="C436" s="28"/>
      <c r="D436" s="31"/>
      <c r="E436" s="29"/>
    </row>
    <row r="437" customFormat="false" ht="15" hidden="false" customHeight="false" outlineLevel="0" collapsed="false">
      <c r="A437" s="26"/>
      <c r="B437" s="27"/>
      <c r="C437" s="28"/>
      <c r="D437" s="31"/>
      <c r="E437" s="29"/>
    </row>
    <row r="438" customFormat="false" ht="15" hidden="false" customHeight="false" outlineLevel="0" collapsed="false">
      <c r="A438" s="26"/>
      <c r="B438" s="27"/>
      <c r="C438" s="28"/>
      <c r="D438" s="31"/>
      <c r="E438" s="29"/>
    </row>
    <row r="439" customFormat="false" ht="15" hidden="false" customHeight="false" outlineLevel="0" collapsed="false">
      <c r="A439" s="26"/>
      <c r="B439" s="27"/>
      <c r="C439" s="28"/>
      <c r="D439" s="31"/>
      <c r="E439" s="29"/>
    </row>
    <row r="440" customFormat="false" ht="15" hidden="false" customHeight="false" outlineLevel="0" collapsed="false">
      <c r="A440" s="26"/>
      <c r="B440" s="27"/>
      <c r="C440" s="28"/>
      <c r="D440" s="31"/>
      <c r="E440" s="29"/>
    </row>
    <row r="441" customFormat="false" ht="15" hidden="false" customHeight="false" outlineLevel="0" collapsed="false">
      <c r="A441" s="26"/>
      <c r="B441" s="27"/>
      <c r="C441" s="28"/>
      <c r="D441" s="31"/>
      <c r="E441" s="29"/>
    </row>
    <row r="442" customFormat="false" ht="15" hidden="false" customHeight="false" outlineLevel="0" collapsed="false">
      <c r="A442" s="26"/>
      <c r="B442" s="27"/>
      <c r="C442" s="28"/>
      <c r="D442" s="31"/>
      <c r="E442" s="29"/>
    </row>
    <row r="443" customFormat="false" ht="15" hidden="false" customHeight="false" outlineLevel="0" collapsed="false">
      <c r="A443" s="26"/>
      <c r="B443" s="27"/>
      <c r="C443" s="28"/>
      <c r="D443" s="31"/>
      <c r="E443" s="29"/>
    </row>
    <row r="444" customFormat="false" ht="15" hidden="false" customHeight="false" outlineLevel="0" collapsed="false">
      <c r="A444" s="26"/>
      <c r="B444" s="27"/>
      <c r="C444" s="28"/>
      <c r="D444" s="31"/>
      <c r="E444" s="29"/>
    </row>
    <row r="445" customFormat="false" ht="15" hidden="false" customHeight="false" outlineLevel="0" collapsed="false">
      <c r="A445" s="26"/>
      <c r="B445" s="27"/>
      <c r="C445" s="28"/>
      <c r="D445" s="31"/>
      <c r="E445" s="29"/>
    </row>
    <row r="446" customFormat="false" ht="15" hidden="false" customHeight="false" outlineLevel="0" collapsed="false">
      <c r="A446" s="26"/>
      <c r="B446" s="27"/>
      <c r="C446" s="28"/>
      <c r="D446" s="31"/>
      <c r="E446" s="29"/>
    </row>
    <row r="447" customFormat="false" ht="15" hidden="false" customHeight="false" outlineLevel="0" collapsed="false">
      <c r="A447" s="26"/>
      <c r="B447" s="27"/>
      <c r="C447" s="28"/>
      <c r="D447" s="31"/>
      <c r="E447" s="29"/>
    </row>
    <row r="448" customFormat="false" ht="15" hidden="false" customHeight="false" outlineLevel="0" collapsed="false">
      <c r="A448" s="26"/>
      <c r="B448" s="27"/>
      <c r="C448" s="28"/>
      <c r="D448" s="31"/>
      <c r="E448" s="29"/>
    </row>
    <row r="449" customFormat="false" ht="15" hidden="false" customHeight="false" outlineLevel="0" collapsed="false">
      <c r="A449" s="26"/>
      <c r="B449" s="27"/>
      <c r="C449" s="28"/>
      <c r="D449" s="31"/>
      <c r="E449" s="29"/>
    </row>
    <row r="450" customFormat="false" ht="15" hidden="false" customHeight="false" outlineLevel="0" collapsed="false">
      <c r="A450" s="26"/>
      <c r="B450" s="27"/>
      <c r="C450" s="28"/>
      <c r="D450" s="31"/>
      <c r="E450" s="29"/>
    </row>
    <row r="451" customFormat="false" ht="15" hidden="false" customHeight="false" outlineLevel="0" collapsed="false">
      <c r="A451" s="26"/>
      <c r="B451" s="27"/>
      <c r="C451" s="28"/>
      <c r="D451" s="31"/>
      <c r="E451" s="29"/>
    </row>
    <row r="452" customFormat="false" ht="15" hidden="false" customHeight="false" outlineLevel="0" collapsed="false">
      <c r="A452" s="26"/>
      <c r="B452" s="27"/>
      <c r="C452" s="28"/>
      <c r="D452" s="31"/>
      <c r="E452" s="29"/>
    </row>
    <row r="453" customFormat="false" ht="15" hidden="false" customHeight="false" outlineLevel="0" collapsed="false">
      <c r="A453" s="26"/>
      <c r="B453" s="27"/>
      <c r="C453" s="28"/>
      <c r="D453" s="31"/>
      <c r="E453" s="29"/>
    </row>
    <row r="454" customFormat="false" ht="15" hidden="false" customHeight="false" outlineLevel="0" collapsed="false">
      <c r="A454" s="26"/>
      <c r="B454" s="27"/>
      <c r="C454" s="28"/>
      <c r="D454" s="31"/>
      <c r="E454" s="29"/>
    </row>
    <row r="455" customFormat="false" ht="15" hidden="false" customHeight="false" outlineLevel="0" collapsed="false">
      <c r="A455" s="26"/>
      <c r="B455" s="27"/>
      <c r="C455" s="28"/>
      <c r="D455" s="31"/>
      <c r="E455" s="29"/>
    </row>
    <row r="456" customFormat="false" ht="15" hidden="false" customHeight="false" outlineLevel="0" collapsed="false">
      <c r="A456" s="26"/>
      <c r="B456" s="27"/>
      <c r="C456" s="28"/>
      <c r="D456" s="31"/>
      <c r="E456" s="29"/>
    </row>
    <row r="457" customFormat="false" ht="15" hidden="false" customHeight="false" outlineLevel="0" collapsed="false">
      <c r="A457" s="26"/>
      <c r="B457" s="27"/>
      <c r="C457" s="28"/>
      <c r="D457" s="31"/>
      <c r="E457" s="29"/>
    </row>
    <row r="458" customFormat="false" ht="15" hidden="false" customHeight="false" outlineLevel="0" collapsed="false">
      <c r="A458" s="26"/>
      <c r="B458" s="27"/>
      <c r="C458" s="28"/>
      <c r="D458" s="31"/>
      <c r="E458" s="29"/>
    </row>
    <row r="459" customFormat="false" ht="15" hidden="false" customHeight="false" outlineLevel="0" collapsed="false">
      <c r="A459" s="26"/>
      <c r="B459" s="27"/>
      <c r="C459" s="28"/>
      <c r="D459" s="31"/>
      <c r="E459" s="29"/>
    </row>
    <row r="460" customFormat="false" ht="15" hidden="false" customHeight="false" outlineLevel="0" collapsed="false">
      <c r="A460" s="26"/>
      <c r="B460" s="27"/>
      <c r="C460" s="28"/>
      <c r="D460" s="31"/>
      <c r="E460" s="29"/>
    </row>
    <row r="461" customFormat="false" ht="15" hidden="false" customHeight="false" outlineLevel="0" collapsed="false">
      <c r="A461" s="26"/>
      <c r="B461" s="27"/>
      <c r="C461" s="28"/>
      <c r="D461" s="31"/>
      <c r="E461" s="29"/>
    </row>
    <row r="462" customFormat="false" ht="15" hidden="false" customHeight="false" outlineLevel="0" collapsed="false">
      <c r="A462" s="26"/>
      <c r="B462" s="27"/>
      <c r="C462" s="28"/>
      <c r="D462" s="31"/>
      <c r="E462" s="29"/>
    </row>
    <row r="463" customFormat="false" ht="15" hidden="false" customHeight="false" outlineLevel="0" collapsed="false">
      <c r="A463" s="26"/>
      <c r="B463" s="27"/>
      <c r="C463" s="28"/>
      <c r="D463" s="31"/>
      <c r="E463" s="29"/>
    </row>
    <row r="464" customFormat="false" ht="15" hidden="false" customHeight="false" outlineLevel="0" collapsed="false">
      <c r="A464" s="26"/>
      <c r="B464" s="27"/>
      <c r="C464" s="28"/>
      <c r="D464" s="31"/>
      <c r="E464" s="29"/>
    </row>
    <row r="465" customFormat="false" ht="15" hidden="false" customHeight="false" outlineLevel="0" collapsed="false">
      <c r="A465" s="26"/>
      <c r="B465" s="27"/>
      <c r="C465" s="28"/>
      <c r="D465" s="31"/>
      <c r="E465" s="29"/>
    </row>
    <row r="466" customFormat="false" ht="15" hidden="false" customHeight="false" outlineLevel="0" collapsed="false">
      <c r="A466" s="26"/>
      <c r="B466" s="27"/>
      <c r="C466" s="28"/>
      <c r="D466" s="31"/>
      <c r="E466" s="29"/>
    </row>
    <row r="467" customFormat="false" ht="15" hidden="false" customHeight="false" outlineLevel="0" collapsed="false">
      <c r="A467" s="26"/>
      <c r="B467" s="27"/>
      <c r="C467" s="28"/>
      <c r="D467" s="31"/>
      <c r="E467" s="29"/>
    </row>
    <row r="468" customFormat="false" ht="15" hidden="false" customHeight="false" outlineLevel="0" collapsed="false">
      <c r="A468" s="26"/>
      <c r="B468" s="27"/>
      <c r="C468" s="28"/>
      <c r="D468" s="31"/>
      <c r="E468" s="29"/>
    </row>
    <row r="469" customFormat="false" ht="15" hidden="false" customHeight="false" outlineLevel="0" collapsed="false">
      <c r="A469" s="26"/>
      <c r="B469" s="27"/>
      <c r="C469" s="28"/>
      <c r="D469" s="31"/>
      <c r="E469" s="29"/>
    </row>
    <row r="470" customFormat="false" ht="15" hidden="false" customHeight="false" outlineLevel="0" collapsed="false">
      <c r="A470" s="26"/>
      <c r="B470" s="27"/>
      <c r="C470" s="28"/>
      <c r="D470" s="31"/>
      <c r="E470" s="29"/>
    </row>
    <row r="471" customFormat="false" ht="15" hidden="false" customHeight="false" outlineLevel="0" collapsed="false">
      <c r="A471" s="26"/>
      <c r="B471" s="27"/>
      <c r="C471" s="28"/>
      <c r="D471" s="31"/>
      <c r="E471" s="29"/>
    </row>
    <row r="472" customFormat="false" ht="15" hidden="false" customHeight="false" outlineLevel="0" collapsed="false">
      <c r="A472" s="26"/>
      <c r="B472" s="27"/>
      <c r="C472" s="28"/>
      <c r="D472" s="31"/>
      <c r="E472" s="29"/>
    </row>
    <row r="473" customFormat="false" ht="15" hidden="false" customHeight="false" outlineLevel="0" collapsed="false">
      <c r="A473" s="26"/>
      <c r="B473" s="27"/>
      <c r="C473" s="28"/>
      <c r="D473" s="31"/>
      <c r="E473" s="29"/>
    </row>
    <row r="474" customFormat="false" ht="15" hidden="false" customHeight="false" outlineLevel="0" collapsed="false">
      <c r="A474" s="26"/>
      <c r="B474" s="27"/>
      <c r="C474" s="28"/>
      <c r="D474" s="31"/>
      <c r="E474" s="29"/>
    </row>
    <row r="475" customFormat="false" ht="15" hidden="false" customHeight="false" outlineLevel="0" collapsed="false">
      <c r="A475" s="26"/>
      <c r="B475" s="27"/>
      <c r="C475" s="28"/>
      <c r="D475" s="31"/>
      <c r="E475" s="29"/>
    </row>
    <row r="476" customFormat="false" ht="15" hidden="false" customHeight="false" outlineLevel="0" collapsed="false">
      <c r="A476" s="26"/>
      <c r="B476" s="27"/>
      <c r="C476" s="28"/>
      <c r="D476" s="31"/>
      <c r="E476" s="29"/>
    </row>
    <row r="477" customFormat="false" ht="15" hidden="false" customHeight="false" outlineLevel="0" collapsed="false">
      <c r="A477" s="26"/>
      <c r="B477" s="27"/>
      <c r="C477" s="28"/>
      <c r="D477" s="31"/>
      <c r="E477" s="29"/>
    </row>
    <row r="478" customFormat="false" ht="15" hidden="false" customHeight="false" outlineLevel="0" collapsed="false">
      <c r="A478" s="26"/>
      <c r="B478" s="27"/>
      <c r="C478" s="28"/>
      <c r="D478" s="31"/>
      <c r="E478" s="29"/>
    </row>
    <row r="479" customFormat="false" ht="15" hidden="false" customHeight="false" outlineLevel="0" collapsed="false">
      <c r="A479" s="26"/>
      <c r="B479" s="27"/>
      <c r="C479" s="28"/>
      <c r="D479" s="31"/>
      <c r="E479" s="29"/>
    </row>
    <row r="480" customFormat="false" ht="15" hidden="false" customHeight="false" outlineLevel="0" collapsed="false">
      <c r="A480" s="26"/>
      <c r="B480" s="27"/>
      <c r="C480" s="28"/>
      <c r="D480" s="31"/>
      <c r="E480" s="29"/>
    </row>
    <row r="481" customFormat="false" ht="15" hidden="false" customHeight="false" outlineLevel="0" collapsed="false">
      <c r="A481" s="26"/>
      <c r="B481" s="27"/>
      <c r="C481" s="28"/>
      <c r="D481" s="31"/>
      <c r="E481" s="29"/>
    </row>
    <row r="482" customFormat="false" ht="15" hidden="false" customHeight="false" outlineLevel="0" collapsed="false">
      <c r="A482" s="26"/>
      <c r="B482" s="27"/>
      <c r="C482" s="28"/>
      <c r="D482" s="31"/>
      <c r="E482" s="29"/>
    </row>
    <row r="483" customFormat="false" ht="15" hidden="false" customHeight="false" outlineLevel="0" collapsed="false">
      <c r="A483" s="26"/>
      <c r="B483" s="27"/>
      <c r="C483" s="28"/>
      <c r="D483" s="31"/>
      <c r="E483" s="29"/>
    </row>
    <row r="484" customFormat="false" ht="15" hidden="false" customHeight="false" outlineLevel="0" collapsed="false">
      <c r="A484" s="26"/>
      <c r="B484" s="27"/>
      <c r="C484" s="28"/>
      <c r="D484" s="31"/>
      <c r="E484" s="29"/>
    </row>
    <row r="485" customFormat="false" ht="15" hidden="false" customHeight="false" outlineLevel="0" collapsed="false">
      <c r="A485" s="26"/>
      <c r="B485" s="27"/>
      <c r="C485" s="28"/>
      <c r="D485" s="31"/>
      <c r="E485" s="29"/>
    </row>
    <row r="486" customFormat="false" ht="15" hidden="false" customHeight="false" outlineLevel="0" collapsed="false">
      <c r="A486" s="26"/>
      <c r="B486" s="27"/>
      <c r="C486" s="28"/>
      <c r="D486" s="31"/>
      <c r="E486" s="29"/>
    </row>
    <row r="487" customFormat="false" ht="15" hidden="false" customHeight="false" outlineLevel="0" collapsed="false">
      <c r="A487" s="26"/>
      <c r="B487" s="27"/>
      <c r="C487" s="28"/>
      <c r="D487" s="31"/>
      <c r="E487" s="29"/>
    </row>
    <row r="488" customFormat="false" ht="15" hidden="false" customHeight="false" outlineLevel="0" collapsed="false">
      <c r="A488" s="26"/>
      <c r="B488" s="27"/>
      <c r="C488" s="28"/>
      <c r="D488" s="31"/>
      <c r="E488" s="29"/>
    </row>
    <row r="489" customFormat="false" ht="15" hidden="false" customHeight="false" outlineLevel="0" collapsed="false">
      <c r="A489" s="26"/>
      <c r="B489" s="27"/>
      <c r="C489" s="28"/>
      <c r="D489" s="31"/>
      <c r="E489" s="29"/>
    </row>
    <row r="490" customFormat="false" ht="15" hidden="false" customHeight="false" outlineLevel="0" collapsed="false">
      <c r="A490" s="26"/>
      <c r="B490" s="27"/>
      <c r="C490" s="28"/>
      <c r="D490" s="31"/>
      <c r="E490" s="29"/>
    </row>
    <row r="491" customFormat="false" ht="15" hidden="false" customHeight="false" outlineLevel="0" collapsed="false">
      <c r="A491" s="26"/>
      <c r="B491" s="27"/>
      <c r="C491" s="28"/>
      <c r="D491" s="31"/>
      <c r="E491" s="29"/>
    </row>
    <row r="492" customFormat="false" ht="15" hidden="false" customHeight="false" outlineLevel="0" collapsed="false">
      <c r="A492" s="26"/>
      <c r="B492" s="27"/>
      <c r="C492" s="28"/>
      <c r="D492" s="31"/>
      <c r="E492" s="29"/>
    </row>
    <row r="493" customFormat="false" ht="15" hidden="false" customHeight="false" outlineLevel="0" collapsed="false">
      <c r="A493" s="26"/>
      <c r="B493" s="27"/>
      <c r="C493" s="28"/>
      <c r="D493" s="31"/>
      <c r="E493" s="29"/>
    </row>
    <row r="494" customFormat="false" ht="15" hidden="false" customHeight="false" outlineLevel="0" collapsed="false">
      <c r="A494" s="26"/>
      <c r="B494" s="27"/>
      <c r="C494" s="28"/>
      <c r="D494" s="31"/>
      <c r="E494" s="29"/>
    </row>
    <row r="495" customFormat="false" ht="15" hidden="false" customHeight="false" outlineLevel="0" collapsed="false">
      <c r="A495" s="26"/>
      <c r="B495" s="27"/>
      <c r="C495" s="28"/>
      <c r="D495" s="31"/>
      <c r="E495" s="29"/>
    </row>
    <row r="496" customFormat="false" ht="15" hidden="false" customHeight="false" outlineLevel="0" collapsed="false">
      <c r="A496" s="26"/>
      <c r="B496" s="27"/>
      <c r="C496" s="28"/>
      <c r="D496" s="31"/>
      <c r="E496" s="29"/>
    </row>
    <row r="497" customFormat="false" ht="15" hidden="false" customHeight="false" outlineLevel="0" collapsed="false">
      <c r="A497" s="26"/>
      <c r="B497" s="27"/>
      <c r="C497" s="28"/>
      <c r="D497" s="31"/>
      <c r="E497" s="29"/>
    </row>
    <row r="498" customFormat="false" ht="15" hidden="false" customHeight="false" outlineLevel="0" collapsed="false">
      <c r="A498" s="26"/>
      <c r="B498" s="27"/>
      <c r="C498" s="28"/>
      <c r="D498" s="31"/>
      <c r="E498" s="29"/>
    </row>
    <row r="499" customFormat="false" ht="15" hidden="false" customHeight="false" outlineLevel="0" collapsed="false">
      <c r="A499" s="26"/>
      <c r="B499" s="27"/>
      <c r="C499" s="28"/>
      <c r="D499" s="31"/>
      <c r="E499" s="29"/>
    </row>
    <row r="500" customFormat="false" ht="15" hidden="false" customHeight="false" outlineLevel="0" collapsed="false">
      <c r="A500" s="26"/>
      <c r="B500" s="27"/>
      <c r="C500" s="28"/>
      <c r="D500" s="31"/>
      <c r="E500" s="29"/>
    </row>
    <row r="501" customFormat="false" ht="15" hidden="false" customHeight="false" outlineLevel="0" collapsed="false">
      <c r="A501" s="26"/>
      <c r="B501" s="27"/>
      <c r="C501" s="28"/>
      <c r="D501" s="31"/>
      <c r="E501" s="29"/>
    </row>
    <row r="502" customFormat="false" ht="15" hidden="false" customHeight="false" outlineLevel="0" collapsed="false">
      <c r="A502" s="26"/>
      <c r="B502" s="27"/>
      <c r="C502" s="28"/>
      <c r="D502" s="31"/>
      <c r="E502" s="29"/>
    </row>
    <row r="503" customFormat="false" ht="15" hidden="false" customHeight="false" outlineLevel="0" collapsed="false">
      <c r="A503" s="26"/>
      <c r="B503" s="27"/>
      <c r="C503" s="28"/>
      <c r="D503" s="31"/>
      <c r="E503" s="29"/>
    </row>
    <row r="504" customFormat="false" ht="15" hidden="false" customHeight="false" outlineLevel="0" collapsed="false">
      <c r="A504" s="26"/>
      <c r="B504" s="27"/>
      <c r="C504" s="28"/>
      <c r="D504" s="31"/>
      <c r="E504" s="29"/>
    </row>
    <row r="505" customFormat="false" ht="15" hidden="false" customHeight="false" outlineLevel="0" collapsed="false">
      <c r="A505" s="26"/>
      <c r="B505" s="27"/>
      <c r="C505" s="28"/>
      <c r="D505" s="31"/>
      <c r="E505" s="29"/>
    </row>
    <row r="506" customFormat="false" ht="15" hidden="false" customHeight="false" outlineLevel="0" collapsed="false">
      <c r="A506" s="26"/>
      <c r="B506" s="27"/>
      <c r="C506" s="28"/>
      <c r="D506" s="31"/>
      <c r="E506" s="29"/>
    </row>
    <row r="507" customFormat="false" ht="15" hidden="false" customHeight="false" outlineLevel="0" collapsed="false">
      <c r="A507" s="26"/>
      <c r="B507" s="27"/>
      <c r="C507" s="28"/>
      <c r="D507" s="31"/>
      <c r="E507" s="29"/>
    </row>
    <row r="508" customFormat="false" ht="15" hidden="false" customHeight="false" outlineLevel="0" collapsed="false">
      <c r="A508" s="26"/>
      <c r="B508" s="27"/>
      <c r="C508" s="28"/>
      <c r="D508" s="31"/>
      <c r="E508" s="29"/>
    </row>
    <row r="509" customFormat="false" ht="15" hidden="false" customHeight="false" outlineLevel="0" collapsed="false">
      <c r="A509" s="26"/>
      <c r="B509" s="27"/>
      <c r="C509" s="28"/>
      <c r="D509" s="31"/>
      <c r="E509" s="29"/>
    </row>
    <row r="510" customFormat="false" ht="15" hidden="false" customHeight="false" outlineLevel="0" collapsed="false">
      <c r="A510" s="26"/>
      <c r="B510" s="27"/>
      <c r="C510" s="28"/>
      <c r="D510" s="31"/>
      <c r="E510" s="29"/>
    </row>
    <row r="511" customFormat="false" ht="15" hidden="false" customHeight="false" outlineLevel="0" collapsed="false">
      <c r="A511" s="26"/>
      <c r="B511" s="27"/>
      <c r="C511" s="28"/>
      <c r="D511" s="31"/>
      <c r="E511" s="29"/>
    </row>
    <row r="512" customFormat="false" ht="15" hidden="false" customHeight="false" outlineLevel="0" collapsed="false">
      <c r="A512" s="26"/>
      <c r="B512" s="27"/>
      <c r="C512" s="28"/>
      <c r="D512" s="31"/>
      <c r="E512" s="29"/>
    </row>
    <row r="513" customFormat="false" ht="15" hidden="false" customHeight="false" outlineLevel="0" collapsed="false">
      <c r="A513" s="26"/>
      <c r="B513" s="27"/>
      <c r="C513" s="28"/>
      <c r="D513" s="31"/>
      <c r="E513" s="29"/>
    </row>
    <row r="514" customFormat="false" ht="15" hidden="false" customHeight="false" outlineLevel="0" collapsed="false">
      <c r="A514" s="26"/>
      <c r="B514" s="27"/>
      <c r="C514" s="28"/>
      <c r="D514" s="31"/>
      <c r="E514" s="29"/>
    </row>
    <row r="515" customFormat="false" ht="15" hidden="false" customHeight="false" outlineLevel="0" collapsed="false">
      <c r="A515" s="26"/>
      <c r="B515" s="27"/>
      <c r="C515" s="28"/>
      <c r="D515" s="31"/>
      <c r="E515" s="29"/>
    </row>
    <row r="516" customFormat="false" ht="15" hidden="false" customHeight="false" outlineLevel="0" collapsed="false">
      <c r="A516" s="26"/>
      <c r="B516" s="27"/>
      <c r="C516" s="28"/>
      <c r="D516" s="31"/>
      <c r="E516" s="29"/>
    </row>
    <row r="517" customFormat="false" ht="15" hidden="false" customHeight="false" outlineLevel="0" collapsed="false">
      <c r="A517" s="26"/>
      <c r="B517" s="27"/>
      <c r="C517" s="28"/>
      <c r="D517" s="31"/>
      <c r="E517" s="29"/>
    </row>
    <row r="518" customFormat="false" ht="15" hidden="false" customHeight="false" outlineLevel="0" collapsed="false">
      <c r="A518" s="26"/>
      <c r="B518" s="27"/>
      <c r="C518" s="28"/>
      <c r="D518" s="31"/>
      <c r="E518" s="29"/>
    </row>
    <row r="519" customFormat="false" ht="15" hidden="false" customHeight="false" outlineLevel="0" collapsed="false">
      <c r="A519" s="26"/>
      <c r="B519" s="27"/>
      <c r="C519" s="28"/>
      <c r="D519" s="31"/>
      <c r="E519" s="29"/>
    </row>
    <row r="520" customFormat="false" ht="15" hidden="false" customHeight="false" outlineLevel="0" collapsed="false">
      <c r="A520" s="26"/>
      <c r="B520" s="27"/>
      <c r="C520" s="28"/>
      <c r="D520" s="31"/>
      <c r="E520" s="29"/>
    </row>
    <row r="521" customFormat="false" ht="15" hidden="false" customHeight="false" outlineLevel="0" collapsed="false">
      <c r="A521" s="26"/>
      <c r="B521" s="27"/>
      <c r="C521" s="28"/>
      <c r="D521" s="31"/>
      <c r="E521" s="29"/>
    </row>
    <row r="522" customFormat="false" ht="15" hidden="false" customHeight="false" outlineLevel="0" collapsed="false">
      <c r="A522" s="26"/>
      <c r="B522" s="27"/>
      <c r="C522" s="28"/>
      <c r="D522" s="31"/>
      <c r="E522" s="29"/>
    </row>
    <row r="523" customFormat="false" ht="15" hidden="false" customHeight="false" outlineLevel="0" collapsed="false">
      <c r="A523" s="26"/>
      <c r="B523" s="27"/>
      <c r="C523" s="28"/>
      <c r="D523" s="31"/>
      <c r="E523" s="29"/>
    </row>
    <row r="524" customFormat="false" ht="15" hidden="false" customHeight="false" outlineLevel="0" collapsed="false">
      <c r="A524" s="26"/>
      <c r="B524" s="27"/>
      <c r="C524" s="28"/>
      <c r="D524" s="31"/>
      <c r="E524" s="29"/>
    </row>
    <row r="525" customFormat="false" ht="15" hidden="false" customHeight="false" outlineLevel="0" collapsed="false">
      <c r="A525" s="26"/>
      <c r="B525" s="27"/>
      <c r="C525" s="28"/>
      <c r="D525" s="31"/>
      <c r="E525" s="29"/>
    </row>
    <row r="526" customFormat="false" ht="15" hidden="false" customHeight="false" outlineLevel="0" collapsed="false">
      <c r="A526" s="26"/>
      <c r="B526" s="27"/>
      <c r="C526" s="28"/>
      <c r="D526" s="31"/>
      <c r="E526" s="29"/>
    </row>
    <row r="527" customFormat="false" ht="15" hidden="false" customHeight="false" outlineLevel="0" collapsed="false">
      <c r="A527" s="26"/>
      <c r="B527" s="27"/>
      <c r="C527" s="28"/>
      <c r="D527" s="31"/>
      <c r="E527" s="29"/>
    </row>
    <row r="528" customFormat="false" ht="15" hidden="false" customHeight="false" outlineLevel="0" collapsed="false">
      <c r="A528" s="26"/>
      <c r="B528" s="27"/>
      <c r="C528" s="28"/>
      <c r="D528" s="31"/>
      <c r="E528" s="29"/>
    </row>
    <row r="529" customFormat="false" ht="15" hidden="false" customHeight="false" outlineLevel="0" collapsed="false">
      <c r="A529" s="26"/>
      <c r="B529" s="27"/>
      <c r="C529" s="28"/>
      <c r="D529" s="31"/>
      <c r="E529" s="29"/>
    </row>
    <row r="530" customFormat="false" ht="15" hidden="false" customHeight="false" outlineLevel="0" collapsed="false">
      <c r="A530" s="26"/>
      <c r="B530" s="27"/>
      <c r="C530" s="28"/>
      <c r="D530" s="31"/>
      <c r="E530" s="29"/>
    </row>
    <row r="531" customFormat="false" ht="15" hidden="false" customHeight="false" outlineLevel="0" collapsed="false">
      <c r="A531" s="26"/>
      <c r="B531" s="27"/>
      <c r="C531" s="28"/>
      <c r="D531" s="31"/>
      <c r="E531" s="29"/>
    </row>
    <row r="532" customFormat="false" ht="15" hidden="false" customHeight="false" outlineLevel="0" collapsed="false">
      <c r="A532" s="26"/>
      <c r="B532" s="27"/>
      <c r="C532" s="28"/>
      <c r="D532" s="31"/>
      <c r="E532" s="29"/>
    </row>
    <row r="533" customFormat="false" ht="15" hidden="false" customHeight="false" outlineLevel="0" collapsed="false">
      <c r="A533" s="26"/>
      <c r="B533" s="27"/>
      <c r="C533" s="28"/>
      <c r="D533" s="31"/>
      <c r="E533" s="29"/>
    </row>
    <row r="534" customFormat="false" ht="15" hidden="false" customHeight="false" outlineLevel="0" collapsed="false">
      <c r="A534" s="26"/>
      <c r="B534" s="27"/>
      <c r="C534" s="28"/>
      <c r="D534" s="31"/>
      <c r="E534" s="29"/>
    </row>
    <row r="535" customFormat="false" ht="15" hidden="false" customHeight="false" outlineLevel="0" collapsed="false">
      <c r="A535" s="26"/>
      <c r="B535" s="27"/>
      <c r="C535" s="28"/>
      <c r="D535" s="31"/>
      <c r="E535" s="29"/>
    </row>
    <row r="536" customFormat="false" ht="15" hidden="false" customHeight="false" outlineLevel="0" collapsed="false">
      <c r="A536" s="26"/>
      <c r="B536" s="27"/>
      <c r="C536" s="28"/>
      <c r="D536" s="31"/>
      <c r="E536" s="29"/>
    </row>
    <row r="537" customFormat="false" ht="15" hidden="false" customHeight="false" outlineLevel="0" collapsed="false">
      <c r="A537" s="26"/>
      <c r="B537" s="27"/>
      <c r="C537" s="28"/>
      <c r="D537" s="31"/>
      <c r="E537" s="29"/>
    </row>
    <row r="538" customFormat="false" ht="15" hidden="false" customHeight="false" outlineLevel="0" collapsed="false">
      <c r="A538" s="26"/>
      <c r="B538" s="27"/>
      <c r="C538" s="28"/>
      <c r="D538" s="31"/>
      <c r="E538" s="29"/>
    </row>
    <row r="539" customFormat="false" ht="15" hidden="false" customHeight="false" outlineLevel="0" collapsed="false">
      <c r="A539" s="26"/>
      <c r="B539" s="27"/>
      <c r="C539" s="28"/>
      <c r="D539" s="31"/>
      <c r="E539" s="29"/>
    </row>
    <row r="540" customFormat="false" ht="15" hidden="false" customHeight="false" outlineLevel="0" collapsed="false">
      <c r="A540" s="26"/>
      <c r="B540" s="27"/>
      <c r="C540" s="28"/>
      <c r="D540" s="31"/>
      <c r="E540" s="29"/>
    </row>
    <row r="541" customFormat="false" ht="15" hidden="false" customHeight="false" outlineLevel="0" collapsed="false">
      <c r="A541" s="26"/>
      <c r="B541" s="27"/>
      <c r="C541" s="28"/>
      <c r="D541" s="31"/>
      <c r="E541" s="29"/>
    </row>
    <row r="542" customFormat="false" ht="15" hidden="false" customHeight="false" outlineLevel="0" collapsed="false">
      <c r="A542" s="26"/>
      <c r="B542" s="27"/>
      <c r="C542" s="28"/>
      <c r="D542" s="31"/>
      <c r="E542" s="29"/>
    </row>
    <row r="543" customFormat="false" ht="15" hidden="false" customHeight="false" outlineLevel="0" collapsed="false">
      <c r="A543" s="26"/>
      <c r="B543" s="27"/>
      <c r="C543" s="28"/>
      <c r="D543" s="31"/>
      <c r="E543" s="29"/>
    </row>
    <row r="544" customFormat="false" ht="15" hidden="false" customHeight="false" outlineLevel="0" collapsed="false">
      <c r="A544" s="26"/>
      <c r="B544" s="27"/>
      <c r="C544" s="28"/>
      <c r="D544" s="31"/>
      <c r="E544" s="29"/>
    </row>
    <row r="545" customFormat="false" ht="15" hidden="false" customHeight="false" outlineLevel="0" collapsed="false">
      <c r="A545" s="26"/>
      <c r="B545" s="27"/>
      <c r="C545" s="28"/>
      <c r="D545" s="31"/>
      <c r="E545" s="29"/>
    </row>
    <row r="546" customFormat="false" ht="15" hidden="false" customHeight="false" outlineLevel="0" collapsed="false">
      <c r="A546" s="26"/>
      <c r="B546" s="27"/>
      <c r="C546" s="28"/>
      <c r="D546" s="31"/>
      <c r="E546" s="29"/>
    </row>
    <row r="547" customFormat="false" ht="15" hidden="false" customHeight="false" outlineLevel="0" collapsed="false">
      <c r="A547" s="26"/>
      <c r="B547" s="27"/>
      <c r="C547" s="28"/>
      <c r="D547" s="31"/>
      <c r="E547" s="29"/>
    </row>
    <row r="548" customFormat="false" ht="15" hidden="false" customHeight="false" outlineLevel="0" collapsed="false">
      <c r="A548" s="26"/>
      <c r="B548" s="27"/>
      <c r="C548" s="28"/>
      <c r="D548" s="31"/>
      <c r="E548" s="29"/>
    </row>
    <row r="549" customFormat="false" ht="15" hidden="false" customHeight="false" outlineLevel="0" collapsed="false">
      <c r="A549" s="26"/>
      <c r="B549" s="27"/>
      <c r="C549" s="28"/>
      <c r="D549" s="31"/>
      <c r="E549" s="29"/>
    </row>
    <row r="550" customFormat="false" ht="15" hidden="false" customHeight="false" outlineLevel="0" collapsed="false">
      <c r="A550" s="26"/>
      <c r="B550" s="27"/>
      <c r="C550" s="28"/>
      <c r="D550" s="31"/>
      <c r="E550" s="29"/>
    </row>
    <row r="551" customFormat="false" ht="15" hidden="false" customHeight="false" outlineLevel="0" collapsed="false">
      <c r="A551" s="26"/>
      <c r="B551" s="27"/>
      <c r="C551" s="28"/>
      <c r="D551" s="31"/>
      <c r="E551" s="29"/>
    </row>
    <row r="552" customFormat="false" ht="15" hidden="false" customHeight="false" outlineLevel="0" collapsed="false">
      <c r="A552" s="26"/>
      <c r="B552" s="27"/>
      <c r="C552" s="28"/>
      <c r="D552" s="31"/>
      <c r="E552" s="29"/>
    </row>
    <row r="553" customFormat="false" ht="15" hidden="false" customHeight="false" outlineLevel="0" collapsed="false">
      <c r="A553" s="26"/>
      <c r="B553" s="27"/>
      <c r="C553" s="28"/>
      <c r="D553" s="31"/>
      <c r="E553" s="29"/>
    </row>
    <row r="554" customFormat="false" ht="15" hidden="false" customHeight="false" outlineLevel="0" collapsed="false">
      <c r="A554" s="26"/>
      <c r="B554" s="27"/>
      <c r="C554" s="28"/>
      <c r="D554" s="31"/>
      <c r="E554" s="29"/>
    </row>
    <row r="555" customFormat="false" ht="15" hidden="false" customHeight="false" outlineLevel="0" collapsed="false">
      <c r="A555" s="26"/>
      <c r="B555" s="27"/>
      <c r="C555" s="28"/>
      <c r="D555" s="31"/>
      <c r="E555" s="29"/>
    </row>
    <row r="556" customFormat="false" ht="15" hidden="false" customHeight="false" outlineLevel="0" collapsed="false">
      <c r="A556" s="26"/>
      <c r="B556" s="27"/>
      <c r="C556" s="28"/>
      <c r="D556" s="31"/>
      <c r="E556" s="29"/>
    </row>
    <row r="557" customFormat="false" ht="15" hidden="false" customHeight="false" outlineLevel="0" collapsed="false">
      <c r="A557" s="26"/>
      <c r="B557" s="27"/>
      <c r="C557" s="28"/>
      <c r="D557" s="31"/>
      <c r="E557" s="29"/>
    </row>
    <row r="558" customFormat="false" ht="15" hidden="false" customHeight="false" outlineLevel="0" collapsed="false">
      <c r="A558" s="26"/>
      <c r="B558" s="27"/>
      <c r="C558" s="28"/>
      <c r="D558" s="31"/>
      <c r="E558" s="29"/>
    </row>
    <row r="559" customFormat="false" ht="15" hidden="false" customHeight="false" outlineLevel="0" collapsed="false">
      <c r="A559" s="26"/>
      <c r="B559" s="27"/>
      <c r="C559" s="28"/>
      <c r="D559" s="31"/>
      <c r="E559" s="29"/>
    </row>
    <row r="560" customFormat="false" ht="15" hidden="false" customHeight="false" outlineLevel="0" collapsed="false">
      <c r="A560" s="26"/>
      <c r="B560" s="27"/>
      <c r="C560" s="28"/>
      <c r="D560" s="31"/>
      <c r="E560" s="29"/>
    </row>
    <row r="561" customFormat="false" ht="15" hidden="false" customHeight="false" outlineLevel="0" collapsed="false">
      <c r="A561" s="26"/>
      <c r="B561" s="27"/>
      <c r="C561" s="28"/>
      <c r="D561" s="31"/>
      <c r="E561" s="29"/>
    </row>
    <row r="562" customFormat="false" ht="15" hidden="false" customHeight="false" outlineLevel="0" collapsed="false">
      <c r="A562" s="26"/>
      <c r="B562" s="27"/>
      <c r="C562" s="28"/>
      <c r="D562" s="31"/>
      <c r="E562" s="29"/>
    </row>
    <row r="563" customFormat="false" ht="15" hidden="false" customHeight="false" outlineLevel="0" collapsed="false">
      <c r="A563" s="26"/>
      <c r="B563" s="27"/>
      <c r="C563" s="28"/>
      <c r="D563" s="31"/>
      <c r="E563" s="29"/>
    </row>
    <row r="564" customFormat="false" ht="15" hidden="false" customHeight="false" outlineLevel="0" collapsed="false">
      <c r="A564" s="26"/>
      <c r="B564" s="27"/>
      <c r="C564" s="28"/>
      <c r="D564" s="31"/>
      <c r="E564" s="29"/>
    </row>
    <row r="565" customFormat="false" ht="15" hidden="false" customHeight="false" outlineLevel="0" collapsed="false">
      <c r="A565" s="26"/>
      <c r="B565" s="27"/>
      <c r="C565" s="28"/>
      <c r="D565" s="31"/>
      <c r="E565" s="29"/>
    </row>
    <row r="566" customFormat="false" ht="15" hidden="false" customHeight="false" outlineLevel="0" collapsed="false">
      <c r="A566" s="26"/>
      <c r="B566" s="27"/>
      <c r="C566" s="28"/>
      <c r="D566" s="31"/>
      <c r="E566" s="29"/>
    </row>
    <row r="567" customFormat="false" ht="15" hidden="false" customHeight="false" outlineLevel="0" collapsed="false">
      <c r="A567" s="26"/>
      <c r="B567" s="27"/>
      <c r="C567" s="28"/>
      <c r="D567" s="31"/>
      <c r="E567" s="29"/>
    </row>
    <row r="568" customFormat="false" ht="15" hidden="false" customHeight="false" outlineLevel="0" collapsed="false">
      <c r="A568" s="26"/>
      <c r="B568" s="27"/>
      <c r="C568" s="28"/>
      <c r="D568" s="31"/>
      <c r="E568" s="29"/>
    </row>
    <row r="569" customFormat="false" ht="15" hidden="false" customHeight="false" outlineLevel="0" collapsed="false">
      <c r="A569" s="26"/>
      <c r="B569" s="27"/>
      <c r="C569" s="28"/>
      <c r="D569" s="31"/>
      <c r="E569" s="29"/>
    </row>
    <row r="570" customFormat="false" ht="15" hidden="false" customHeight="false" outlineLevel="0" collapsed="false">
      <c r="A570" s="26"/>
      <c r="B570" s="27"/>
      <c r="C570" s="28"/>
      <c r="D570" s="31"/>
      <c r="E570" s="29"/>
    </row>
    <row r="571" customFormat="false" ht="15" hidden="false" customHeight="false" outlineLevel="0" collapsed="false">
      <c r="A571" s="26"/>
      <c r="B571" s="27"/>
      <c r="C571" s="28"/>
      <c r="D571" s="31"/>
      <c r="E571" s="29"/>
    </row>
    <row r="572" customFormat="false" ht="15" hidden="false" customHeight="false" outlineLevel="0" collapsed="false">
      <c r="A572" s="26"/>
      <c r="B572" s="27"/>
      <c r="C572" s="28"/>
      <c r="D572" s="31"/>
      <c r="E572" s="29"/>
    </row>
    <row r="573" customFormat="false" ht="15" hidden="false" customHeight="false" outlineLevel="0" collapsed="false">
      <c r="A573" s="26"/>
      <c r="B573" s="27"/>
      <c r="C573" s="28"/>
      <c r="D573" s="31"/>
      <c r="E573" s="29"/>
    </row>
    <row r="574" customFormat="false" ht="15" hidden="false" customHeight="false" outlineLevel="0" collapsed="false">
      <c r="A574" s="26"/>
      <c r="B574" s="27"/>
      <c r="C574" s="28"/>
      <c r="D574" s="31"/>
      <c r="E574" s="29"/>
    </row>
    <row r="575" customFormat="false" ht="15" hidden="false" customHeight="false" outlineLevel="0" collapsed="false">
      <c r="A575" s="26"/>
      <c r="B575" s="27"/>
      <c r="C575" s="28"/>
      <c r="D575" s="31"/>
      <c r="E575" s="29"/>
    </row>
    <row r="576" customFormat="false" ht="15" hidden="false" customHeight="false" outlineLevel="0" collapsed="false">
      <c r="A576" s="26"/>
      <c r="B576" s="27"/>
      <c r="C576" s="28"/>
      <c r="D576" s="31"/>
      <c r="E576" s="29"/>
    </row>
    <row r="577" customFormat="false" ht="15" hidden="false" customHeight="false" outlineLevel="0" collapsed="false">
      <c r="A577" s="26"/>
      <c r="B577" s="27"/>
      <c r="C577" s="28"/>
      <c r="D577" s="31"/>
      <c r="E577" s="29"/>
    </row>
    <row r="578" customFormat="false" ht="15" hidden="false" customHeight="false" outlineLevel="0" collapsed="false">
      <c r="A578" s="26"/>
      <c r="B578" s="27"/>
      <c r="C578" s="28"/>
      <c r="D578" s="31"/>
      <c r="E578" s="29"/>
    </row>
    <row r="579" customFormat="false" ht="15" hidden="false" customHeight="false" outlineLevel="0" collapsed="false">
      <c r="A579" s="26"/>
      <c r="B579" s="27"/>
      <c r="C579" s="28"/>
      <c r="D579" s="31"/>
      <c r="E579" s="29"/>
    </row>
    <row r="580" customFormat="false" ht="15" hidden="false" customHeight="false" outlineLevel="0" collapsed="false">
      <c r="A580" s="26"/>
      <c r="B580" s="27"/>
      <c r="C580" s="28"/>
      <c r="D580" s="31"/>
      <c r="E580" s="29"/>
    </row>
    <row r="581" customFormat="false" ht="15" hidden="false" customHeight="false" outlineLevel="0" collapsed="false">
      <c r="A581" s="26"/>
      <c r="B581" s="27"/>
      <c r="C581" s="28"/>
      <c r="D581" s="31"/>
      <c r="E581" s="29"/>
    </row>
    <row r="582" customFormat="false" ht="15" hidden="false" customHeight="false" outlineLevel="0" collapsed="false">
      <c r="A582" s="26"/>
      <c r="B582" s="27"/>
      <c r="C582" s="28"/>
      <c r="D582" s="31"/>
      <c r="E582" s="29"/>
    </row>
    <row r="583" customFormat="false" ht="15" hidden="false" customHeight="false" outlineLevel="0" collapsed="false">
      <c r="A583" s="26"/>
      <c r="B583" s="27"/>
      <c r="C583" s="28"/>
      <c r="D583" s="31"/>
      <c r="E583" s="29"/>
    </row>
    <row r="584" customFormat="false" ht="15" hidden="false" customHeight="false" outlineLevel="0" collapsed="false">
      <c r="A584" s="26"/>
      <c r="B584" s="27"/>
      <c r="C584" s="28"/>
      <c r="D584" s="31"/>
      <c r="E584" s="29"/>
    </row>
    <row r="585" customFormat="false" ht="15" hidden="false" customHeight="false" outlineLevel="0" collapsed="false">
      <c r="A585" s="26"/>
      <c r="B585" s="27"/>
      <c r="C585" s="28"/>
      <c r="D585" s="31"/>
      <c r="E585" s="29"/>
    </row>
    <row r="586" customFormat="false" ht="15" hidden="false" customHeight="false" outlineLevel="0" collapsed="false">
      <c r="A586" s="26"/>
      <c r="B586" s="27"/>
      <c r="C586" s="28"/>
      <c r="D586" s="31"/>
      <c r="E586" s="29"/>
    </row>
    <row r="587" customFormat="false" ht="15" hidden="false" customHeight="false" outlineLevel="0" collapsed="false">
      <c r="A587" s="26"/>
      <c r="B587" s="27"/>
      <c r="C587" s="28"/>
      <c r="D587" s="31"/>
      <c r="E587" s="29"/>
    </row>
    <row r="588" customFormat="false" ht="15" hidden="false" customHeight="false" outlineLevel="0" collapsed="false">
      <c r="A588" s="26"/>
      <c r="B588" s="27"/>
      <c r="C588" s="28"/>
      <c r="D588" s="31"/>
      <c r="E588" s="29"/>
    </row>
    <row r="589" customFormat="false" ht="15" hidden="false" customHeight="false" outlineLevel="0" collapsed="false">
      <c r="A589" s="26"/>
      <c r="B589" s="27"/>
      <c r="C589" s="28"/>
      <c r="D589" s="31"/>
      <c r="E589" s="29"/>
    </row>
    <row r="590" customFormat="false" ht="15" hidden="false" customHeight="false" outlineLevel="0" collapsed="false">
      <c r="A590" s="26"/>
      <c r="B590" s="27"/>
      <c r="C590" s="28"/>
      <c r="D590" s="31"/>
      <c r="E590" s="29"/>
    </row>
    <row r="591" customFormat="false" ht="15" hidden="false" customHeight="false" outlineLevel="0" collapsed="false">
      <c r="A591" s="26"/>
      <c r="B591" s="27"/>
      <c r="C591" s="28"/>
      <c r="D591" s="31"/>
      <c r="E591" s="29"/>
    </row>
    <row r="592" customFormat="false" ht="15" hidden="false" customHeight="false" outlineLevel="0" collapsed="false">
      <c r="A592" s="26"/>
      <c r="B592" s="27"/>
      <c r="C592" s="28"/>
      <c r="D592" s="31"/>
      <c r="E592" s="29"/>
    </row>
    <row r="593" customFormat="false" ht="15" hidden="false" customHeight="false" outlineLevel="0" collapsed="false">
      <c r="A593" s="26"/>
      <c r="B593" s="27"/>
      <c r="C593" s="28"/>
      <c r="D593" s="31"/>
      <c r="E593" s="29"/>
    </row>
    <row r="594" customFormat="false" ht="15" hidden="false" customHeight="false" outlineLevel="0" collapsed="false">
      <c r="A594" s="26"/>
      <c r="B594" s="27"/>
      <c r="C594" s="28"/>
      <c r="D594" s="31"/>
      <c r="E594" s="29"/>
    </row>
    <row r="595" customFormat="false" ht="15" hidden="false" customHeight="false" outlineLevel="0" collapsed="false">
      <c r="A595" s="26"/>
      <c r="B595" s="27"/>
      <c r="C595" s="28"/>
      <c r="D595" s="31"/>
      <c r="E595" s="29"/>
    </row>
    <row r="596" customFormat="false" ht="15" hidden="false" customHeight="false" outlineLevel="0" collapsed="false">
      <c r="A596" s="26"/>
      <c r="B596" s="27"/>
      <c r="C596" s="28"/>
      <c r="D596" s="31"/>
      <c r="E596" s="29"/>
    </row>
    <row r="597" customFormat="false" ht="15" hidden="false" customHeight="false" outlineLevel="0" collapsed="false">
      <c r="A597" s="26"/>
      <c r="B597" s="27"/>
      <c r="C597" s="28"/>
      <c r="D597" s="31"/>
      <c r="E597" s="29"/>
    </row>
    <row r="598" customFormat="false" ht="15" hidden="false" customHeight="false" outlineLevel="0" collapsed="false">
      <c r="A598" s="26"/>
      <c r="B598" s="27"/>
      <c r="C598" s="28"/>
      <c r="D598" s="31"/>
      <c r="E598" s="29"/>
    </row>
    <row r="599" customFormat="false" ht="15" hidden="false" customHeight="false" outlineLevel="0" collapsed="false">
      <c r="A599" s="26"/>
      <c r="B599" s="27"/>
      <c r="C599" s="28"/>
      <c r="D599" s="31"/>
      <c r="E599" s="29"/>
    </row>
    <row r="600" customFormat="false" ht="15" hidden="false" customHeight="false" outlineLevel="0" collapsed="false">
      <c r="A600" s="26"/>
      <c r="B600" s="27"/>
      <c r="C600" s="28"/>
      <c r="D600" s="31"/>
      <c r="E600" s="29"/>
    </row>
    <row r="601" customFormat="false" ht="15" hidden="false" customHeight="false" outlineLevel="0" collapsed="false">
      <c r="A601" s="26"/>
      <c r="B601" s="27"/>
      <c r="C601" s="28"/>
      <c r="D601" s="31"/>
      <c r="E601" s="29"/>
    </row>
    <row r="602" customFormat="false" ht="15" hidden="false" customHeight="false" outlineLevel="0" collapsed="false">
      <c r="A602" s="26"/>
      <c r="B602" s="27"/>
      <c r="C602" s="28"/>
      <c r="D602" s="31"/>
      <c r="E602" s="29"/>
    </row>
    <row r="603" customFormat="false" ht="15" hidden="false" customHeight="false" outlineLevel="0" collapsed="false">
      <c r="A603" s="26"/>
      <c r="B603" s="27"/>
      <c r="C603" s="28"/>
      <c r="D603" s="31"/>
      <c r="E603" s="29"/>
    </row>
    <row r="604" customFormat="false" ht="15" hidden="false" customHeight="false" outlineLevel="0" collapsed="false">
      <c r="A604" s="26"/>
      <c r="B604" s="27"/>
      <c r="C604" s="28"/>
      <c r="D604" s="31"/>
      <c r="E604" s="29"/>
    </row>
    <row r="605" customFormat="false" ht="15" hidden="false" customHeight="false" outlineLevel="0" collapsed="false">
      <c r="A605" s="26"/>
      <c r="B605" s="27"/>
      <c r="C605" s="28"/>
      <c r="D605" s="31"/>
      <c r="E605" s="29"/>
    </row>
    <row r="606" customFormat="false" ht="15" hidden="false" customHeight="false" outlineLevel="0" collapsed="false">
      <c r="A606" s="26"/>
      <c r="B606" s="27"/>
      <c r="C606" s="28"/>
      <c r="D606" s="31"/>
      <c r="E606" s="29"/>
    </row>
    <row r="607" customFormat="false" ht="15" hidden="false" customHeight="false" outlineLevel="0" collapsed="false">
      <c r="A607" s="26"/>
      <c r="B607" s="27"/>
      <c r="C607" s="28"/>
      <c r="D607" s="31"/>
      <c r="E607" s="29"/>
    </row>
    <row r="608" customFormat="false" ht="15" hidden="false" customHeight="false" outlineLevel="0" collapsed="false">
      <c r="A608" s="26"/>
      <c r="B608" s="27"/>
      <c r="C608" s="28"/>
      <c r="D608" s="31"/>
      <c r="E608" s="29"/>
    </row>
    <row r="609" customFormat="false" ht="15" hidden="false" customHeight="false" outlineLevel="0" collapsed="false">
      <c r="A609" s="26"/>
      <c r="B609" s="27"/>
      <c r="C609" s="28"/>
      <c r="D609" s="31"/>
      <c r="E609" s="29"/>
    </row>
    <row r="610" customFormat="false" ht="15" hidden="false" customHeight="false" outlineLevel="0" collapsed="false">
      <c r="A610" s="26"/>
      <c r="B610" s="27"/>
      <c r="C610" s="28"/>
      <c r="D610" s="31"/>
      <c r="E610" s="29"/>
    </row>
    <row r="611" customFormat="false" ht="15" hidden="false" customHeight="false" outlineLevel="0" collapsed="false">
      <c r="A611" s="26"/>
      <c r="B611" s="27"/>
      <c r="C611" s="28"/>
      <c r="D611" s="31"/>
      <c r="E611" s="29"/>
    </row>
    <row r="612" customFormat="false" ht="15" hidden="false" customHeight="false" outlineLevel="0" collapsed="false">
      <c r="A612" s="26"/>
      <c r="B612" s="27"/>
      <c r="C612" s="28"/>
      <c r="D612" s="31"/>
      <c r="E612" s="29"/>
    </row>
    <row r="613" customFormat="false" ht="15" hidden="false" customHeight="false" outlineLevel="0" collapsed="false">
      <c r="A613" s="26"/>
      <c r="B613" s="27"/>
      <c r="C613" s="28"/>
      <c r="D613" s="31"/>
      <c r="E613" s="29"/>
    </row>
    <row r="614" customFormat="false" ht="15" hidden="false" customHeight="false" outlineLevel="0" collapsed="false">
      <c r="A614" s="26"/>
      <c r="B614" s="27"/>
      <c r="C614" s="28"/>
      <c r="D614" s="31"/>
      <c r="E614" s="29"/>
    </row>
    <row r="615" customFormat="false" ht="15" hidden="false" customHeight="false" outlineLevel="0" collapsed="false">
      <c r="A615" s="26"/>
      <c r="B615" s="27"/>
      <c r="C615" s="28"/>
      <c r="D615" s="31"/>
      <c r="E615" s="29"/>
    </row>
    <row r="616" customFormat="false" ht="15" hidden="false" customHeight="false" outlineLevel="0" collapsed="false">
      <c r="A616" s="26"/>
      <c r="B616" s="27"/>
      <c r="C616" s="28"/>
      <c r="D616" s="31"/>
      <c r="E616" s="29"/>
    </row>
    <row r="617" customFormat="false" ht="15" hidden="false" customHeight="false" outlineLevel="0" collapsed="false">
      <c r="A617" s="26"/>
      <c r="B617" s="27"/>
      <c r="C617" s="28"/>
      <c r="D617" s="31"/>
      <c r="E617" s="29"/>
    </row>
    <row r="618" customFormat="false" ht="15" hidden="false" customHeight="false" outlineLevel="0" collapsed="false">
      <c r="A618" s="26"/>
      <c r="B618" s="27"/>
      <c r="C618" s="28"/>
      <c r="D618" s="31"/>
      <c r="E618" s="29"/>
    </row>
    <row r="619" customFormat="false" ht="15" hidden="false" customHeight="false" outlineLevel="0" collapsed="false">
      <c r="A619" s="26"/>
      <c r="B619" s="27"/>
      <c r="C619" s="28"/>
      <c r="D619" s="31"/>
      <c r="E619" s="29"/>
    </row>
    <row r="620" customFormat="false" ht="15" hidden="false" customHeight="false" outlineLevel="0" collapsed="false">
      <c r="A620" s="26"/>
      <c r="B620" s="27"/>
      <c r="C620" s="28"/>
      <c r="D620" s="31"/>
      <c r="E620" s="29"/>
    </row>
    <row r="621" customFormat="false" ht="15" hidden="false" customHeight="false" outlineLevel="0" collapsed="false">
      <c r="A621" s="26"/>
      <c r="B621" s="27"/>
      <c r="C621" s="28"/>
      <c r="D621" s="31"/>
      <c r="E621" s="29"/>
    </row>
    <row r="622" customFormat="false" ht="15" hidden="false" customHeight="false" outlineLevel="0" collapsed="false">
      <c r="A622" s="26"/>
      <c r="B622" s="27"/>
      <c r="C622" s="28"/>
      <c r="D622" s="31"/>
      <c r="E622" s="29"/>
    </row>
    <row r="623" customFormat="false" ht="15" hidden="false" customHeight="false" outlineLevel="0" collapsed="false">
      <c r="A623" s="26"/>
      <c r="B623" s="27"/>
      <c r="C623" s="28"/>
      <c r="D623" s="31"/>
      <c r="E623" s="29"/>
    </row>
    <row r="624" customFormat="false" ht="15" hidden="false" customHeight="false" outlineLevel="0" collapsed="false">
      <c r="A624" s="26"/>
      <c r="B624" s="27"/>
      <c r="C624" s="28"/>
      <c r="D624" s="31"/>
      <c r="E624" s="29"/>
    </row>
    <row r="625" customFormat="false" ht="15" hidden="false" customHeight="false" outlineLevel="0" collapsed="false">
      <c r="A625" s="26"/>
      <c r="B625" s="27"/>
      <c r="C625" s="28"/>
      <c r="D625" s="31"/>
      <c r="E625" s="29"/>
    </row>
    <row r="626" customFormat="false" ht="15" hidden="false" customHeight="false" outlineLevel="0" collapsed="false">
      <c r="A626" s="26"/>
      <c r="B626" s="27"/>
      <c r="C626" s="28"/>
      <c r="D626" s="31"/>
      <c r="E626" s="29"/>
    </row>
    <row r="627" customFormat="false" ht="15" hidden="false" customHeight="false" outlineLevel="0" collapsed="false">
      <c r="A627" s="26"/>
      <c r="B627" s="27"/>
      <c r="C627" s="28"/>
      <c r="D627" s="31"/>
      <c r="E627" s="29"/>
    </row>
    <row r="628" customFormat="false" ht="15" hidden="false" customHeight="false" outlineLevel="0" collapsed="false">
      <c r="A628" s="26"/>
      <c r="B628" s="27"/>
      <c r="C628" s="28"/>
      <c r="D628" s="31"/>
      <c r="E628" s="29"/>
    </row>
    <row r="629" customFormat="false" ht="15" hidden="false" customHeight="false" outlineLevel="0" collapsed="false">
      <c r="A629" s="26"/>
      <c r="B629" s="27"/>
      <c r="C629" s="28"/>
      <c r="D629" s="31"/>
      <c r="E629" s="29"/>
    </row>
    <row r="630" customFormat="false" ht="15" hidden="false" customHeight="false" outlineLevel="0" collapsed="false">
      <c r="A630" s="26"/>
      <c r="B630" s="27"/>
      <c r="C630" s="28"/>
      <c r="D630" s="31"/>
      <c r="E630" s="29"/>
    </row>
    <row r="631" customFormat="false" ht="15" hidden="false" customHeight="false" outlineLevel="0" collapsed="false">
      <c r="A631" s="26"/>
      <c r="B631" s="27"/>
      <c r="C631" s="28"/>
      <c r="D631" s="31"/>
      <c r="E631" s="29"/>
    </row>
    <row r="632" customFormat="false" ht="15" hidden="false" customHeight="false" outlineLevel="0" collapsed="false">
      <c r="A632" s="26"/>
      <c r="B632" s="27"/>
      <c r="C632" s="28"/>
      <c r="D632" s="31"/>
      <c r="E632" s="29"/>
    </row>
    <row r="633" customFormat="false" ht="15" hidden="false" customHeight="false" outlineLevel="0" collapsed="false">
      <c r="A633" s="26"/>
      <c r="B633" s="27"/>
      <c r="C633" s="28"/>
      <c r="D633" s="31"/>
      <c r="E633" s="29"/>
    </row>
    <row r="634" customFormat="false" ht="15" hidden="false" customHeight="false" outlineLevel="0" collapsed="false">
      <c r="A634" s="26"/>
      <c r="B634" s="27"/>
      <c r="C634" s="28"/>
      <c r="D634" s="31"/>
      <c r="E634" s="29"/>
    </row>
    <row r="635" customFormat="false" ht="15" hidden="false" customHeight="false" outlineLevel="0" collapsed="false">
      <c r="A635" s="26"/>
      <c r="B635" s="27"/>
      <c r="C635" s="28"/>
      <c r="D635" s="31"/>
      <c r="E635" s="29"/>
    </row>
    <row r="636" customFormat="false" ht="15" hidden="false" customHeight="false" outlineLevel="0" collapsed="false">
      <c r="A636" s="26"/>
      <c r="B636" s="27"/>
      <c r="C636" s="28"/>
      <c r="D636" s="31"/>
      <c r="E636" s="29"/>
    </row>
    <row r="637" customFormat="false" ht="15" hidden="false" customHeight="false" outlineLevel="0" collapsed="false">
      <c r="A637" s="26"/>
      <c r="B637" s="27"/>
      <c r="C637" s="28"/>
      <c r="D637" s="31"/>
      <c r="E637" s="29"/>
    </row>
    <row r="638" customFormat="false" ht="15" hidden="false" customHeight="false" outlineLevel="0" collapsed="false">
      <c r="A638" s="26"/>
      <c r="B638" s="27"/>
      <c r="C638" s="28"/>
      <c r="D638" s="31"/>
      <c r="E638" s="29"/>
    </row>
    <row r="639" customFormat="false" ht="15" hidden="false" customHeight="false" outlineLevel="0" collapsed="false">
      <c r="A639" s="26"/>
      <c r="B639" s="27"/>
      <c r="C639" s="28"/>
      <c r="D639" s="31"/>
      <c r="E639" s="29"/>
    </row>
    <row r="640" customFormat="false" ht="15" hidden="false" customHeight="false" outlineLevel="0" collapsed="false">
      <c r="A640" s="26"/>
      <c r="B640" s="27"/>
      <c r="C640" s="28"/>
      <c r="D640" s="31"/>
      <c r="E640" s="29"/>
    </row>
    <row r="641" customFormat="false" ht="15" hidden="false" customHeight="false" outlineLevel="0" collapsed="false">
      <c r="A641" s="26"/>
      <c r="B641" s="27"/>
      <c r="C641" s="28"/>
      <c r="D641" s="31"/>
      <c r="E641" s="29"/>
    </row>
    <row r="642" customFormat="false" ht="15" hidden="false" customHeight="false" outlineLevel="0" collapsed="false">
      <c r="A642" s="26"/>
      <c r="B642" s="27"/>
      <c r="C642" s="28"/>
      <c r="D642" s="31"/>
      <c r="E642" s="29"/>
    </row>
    <row r="643" customFormat="false" ht="15" hidden="false" customHeight="false" outlineLevel="0" collapsed="false">
      <c r="A643" s="26"/>
      <c r="B643" s="27"/>
      <c r="C643" s="28"/>
      <c r="D643" s="31"/>
      <c r="E643" s="29"/>
    </row>
    <row r="644" customFormat="false" ht="15" hidden="false" customHeight="false" outlineLevel="0" collapsed="false">
      <c r="A644" s="26"/>
      <c r="B644" s="27"/>
      <c r="C644" s="28"/>
      <c r="D644" s="31"/>
      <c r="E644" s="29"/>
    </row>
    <row r="645" customFormat="false" ht="15" hidden="false" customHeight="false" outlineLevel="0" collapsed="false">
      <c r="A645" s="26"/>
      <c r="B645" s="27"/>
      <c r="C645" s="28"/>
      <c r="D645" s="31"/>
      <c r="E645" s="29"/>
    </row>
    <row r="646" customFormat="false" ht="15" hidden="false" customHeight="false" outlineLevel="0" collapsed="false">
      <c r="A646" s="26"/>
      <c r="B646" s="27"/>
      <c r="C646" s="28"/>
      <c r="D646" s="31"/>
      <c r="E646" s="29"/>
    </row>
    <row r="647" customFormat="false" ht="15" hidden="false" customHeight="false" outlineLevel="0" collapsed="false">
      <c r="A647" s="26"/>
      <c r="B647" s="27"/>
      <c r="C647" s="28"/>
      <c r="D647" s="31"/>
      <c r="E647" s="29"/>
    </row>
    <row r="648" customFormat="false" ht="15" hidden="false" customHeight="false" outlineLevel="0" collapsed="false">
      <c r="A648" s="26"/>
      <c r="B648" s="27"/>
      <c r="C648" s="28"/>
      <c r="D648" s="31"/>
      <c r="E648" s="29"/>
    </row>
    <row r="649" customFormat="false" ht="15" hidden="false" customHeight="false" outlineLevel="0" collapsed="false">
      <c r="A649" s="26"/>
      <c r="B649" s="27"/>
      <c r="C649" s="28"/>
      <c r="D649" s="31"/>
      <c r="E649" s="29"/>
    </row>
    <row r="650" customFormat="false" ht="15" hidden="false" customHeight="false" outlineLevel="0" collapsed="false">
      <c r="A650" s="26"/>
      <c r="B650" s="27"/>
      <c r="C650" s="28"/>
      <c r="D650" s="31"/>
      <c r="E650" s="29"/>
    </row>
    <row r="651" customFormat="false" ht="15" hidden="false" customHeight="false" outlineLevel="0" collapsed="false">
      <c r="A651" s="26"/>
      <c r="B651" s="27"/>
      <c r="C651" s="28"/>
      <c r="D651" s="31"/>
      <c r="E651" s="29"/>
    </row>
    <row r="652" customFormat="false" ht="15" hidden="false" customHeight="false" outlineLevel="0" collapsed="false">
      <c r="A652" s="26"/>
      <c r="B652" s="27"/>
      <c r="C652" s="28"/>
      <c r="D652" s="31"/>
      <c r="E652" s="29"/>
    </row>
    <row r="653" customFormat="false" ht="15" hidden="false" customHeight="false" outlineLevel="0" collapsed="false">
      <c r="A653" s="26"/>
      <c r="B653" s="27"/>
      <c r="C653" s="28"/>
      <c r="D653" s="31"/>
      <c r="E653" s="29"/>
    </row>
    <row r="654" customFormat="false" ht="15" hidden="false" customHeight="false" outlineLevel="0" collapsed="false">
      <c r="A654" s="26"/>
      <c r="B654" s="27"/>
      <c r="C654" s="28"/>
      <c r="D654" s="31"/>
      <c r="E654" s="29"/>
    </row>
    <row r="655" customFormat="false" ht="15" hidden="false" customHeight="false" outlineLevel="0" collapsed="false">
      <c r="A655" s="26"/>
      <c r="B655" s="27"/>
      <c r="C655" s="28"/>
      <c r="D655" s="31"/>
      <c r="E655" s="29"/>
    </row>
    <row r="656" customFormat="false" ht="15" hidden="false" customHeight="false" outlineLevel="0" collapsed="false">
      <c r="A656" s="26"/>
      <c r="B656" s="27"/>
      <c r="C656" s="28"/>
      <c r="D656" s="31"/>
      <c r="E656" s="29"/>
    </row>
    <row r="657" customFormat="false" ht="15" hidden="false" customHeight="false" outlineLevel="0" collapsed="false">
      <c r="A657" s="26"/>
      <c r="B657" s="27"/>
      <c r="C657" s="28"/>
      <c r="D657" s="31"/>
      <c r="E657" s="29"/>
    </row>
    <row r="658" customFormat="false" ht="15" hidden="false" customHeight="false" outlineLevel="0" collapsed="false">
      <c r="A658" s="26"/>
      <c r="B658" s="27"/>
      <c r="C658" s="28"/>
      <c r="D658" s="31"/>
      <c r="E658" s="29"/>
    </row>
    <row r="659" customFormat="false" ht="15" hidden="false" customHeight="false" outlineLevel="0" collapsed="false">
      <c r="A659" s="26"/>
      <c r="B659" s="27"/>
      <c r="C659" s="28"/>
      <c r="D659" s="31"/>
      <c r="E659" s="29"/>
    </row>
    <row r="660" customFormat="false" ht="15" hidden="false" customHeight="false" outlineLevel="0" collapsed="false">
      <c r="A660" s="26"/>
      <c r="B660" s="27"/>
      <c r="C660" s="28"/>
      <c r="D660" s="31"/>
      <c r="E660" s="29"/>
    </row>
    <row r="661" customFormat="false" ht="15" hidden="false" customHeight="false" outlineLevel="0" collapsed="false">
      <c r="A661" s="26"/>
      <c r="B661" s="27"/>
      <c r="C661" s="28"/>
      <c r="D661" s="31"/>
      <c r="E661" s="29"/>
    </row>
    <row r="662" customFormat="false" ht="15" hidden="false" customHeight="false" outlineLevel="0" collapsed="false">
      <c r="A662" s="26"/>
      <c r="B662" s="27"/>
      <c r="C662" s="28"/>
      <c r="D662" s="31"/>
      <c r="E662" s="29"/>
    </row>
    <row r="663" customFormat="false" ht="15" hidden="false" customHeight="false" outlineLevel="0" collapsed="false">
      <c r="A663" s="26"/>
      <c r="B663" s="27"/>
      <c r="C663" s="28"/>
      <c r="D663" s="31"/>
      <c r="E663" s="29"/>
    </row>
    <row r="664" customFormat="false" ht="15" hidden="false" customHeight="false" outlineLevel="0" collapsed="false">
      <c r="A664" s="26"/>
      <c r="B664" s="27"/>
      <c r="C664" s="28"/>
      <c r="D664" s="31"/>
      <c r="E664" s="29"/>
    </row>
    <row r="665" customFormat="false" ht="15" hidden="false" customHeight="false" outlineLevel="0" collapsed="false">
      <c r="A665" s="26"/>
      <c r="B665" s="27"/>
      <c r="C665" s="28"/>
      <c r="D665" s="31"/>
      <c r="E665" s="29"/>
    </row>
    <row r="666" customFormat="false" ht="15" hidden="false" customHeight="false" outlineLevel="0" collapsed="false">
      <c r="A666" s="26"/>
      <c r="B666" s="27"/>
      <c r="C666" s="28"/>
      <c r="D666" s="31"/>
      <c r="E666" s="29"/>
    </row>
    <row r="667" customFormat="false" ht="15" hidden="false" customHeight="false" outlineLevel="0" collapsed="false">
      <c r="A667" s="26"/>
      <c r="B667" s="27"/>
      <c r="C667" s="28"/>
      <c r="D667" s="31"/>
      <c r="E667" s="29"/>
    </row>
    <row r="668" customFormat="false" ht="15" hidden="false" customHeight="false" outlineLevel="0" collapsed="false">
      <c r="A668" s="26"/>
      <c r="B668" s="27"/>
      <c r="C668" s="28"/>
      <c r="D668" s="31"/>
      <c r="E668" s="29"/>
    </row>
    <row r="669" customFormat="false" ht="15" hidden="false" customHeight="false" outlineLevel="0" collapsed="false">
      <c r="A669" s="26"/>
      <c r="B669" s="27"/>
      <c r="C669" s="28"/>
      <c r="D669" s="31"/>
      <c r="E669" s="29"/>
    </row>
    <row r="670" customFormat="false" ht="15" hidden="false" customHeight="false" outlineLevel="0" collapsed="false">
      <c r="A670" s="26"/>
      <c r="B670" s="27"/>
      <c r="C670" s="28"/>
      <c r="D670" s="31"/>
      <c r="E670" s="29"/>
    </row>
    <row r="671" customFormat="false" ht="15" hidden="false" customHeight="false" outlineLevel="0" collapsed="false">
      <c r="A671" s="26"/>
      <c r="B671" s="27"/>
      <c r="C671" s="28"/>
      <c r="D671" s="31"/>
      <c r="E671" s="29"/>
    </row>
    <row r="672" customFormat="false" ht="15" hidden="false" customHeight="false" outlineLevel="0" collapsed="false">
      <c r="A672" s="26"/>
      <c r="B672" s="27"/>
      <c r="C672" s="28"/>
      <c r="D672" s="31"/>
      <c r="E672" s="29"/>
    </row>
    <row r="673" customFormat="false" ht="15" hidden="false" customHeight="false" outlineLevel="0" collapsed="false">
      <c r="A673" s="26"/>
      <c r="B673" s="27"/>
      <c r="C673" s="28"/>
      <c r="D673" s="31"/>
      <c r="E673" s="29"/>
    </row>
    <row r="674" customFormat="false" ht="15" hidden="false" customHeight="false" outlineLevel="0" collapsed="false">
      <c r="A674" s="26"/>
      <c r="B674" s="27"/>
      <c r="C674" s="28"/>
      <c r="D674" s="31"/>
      <c r="E674" s="29"/>
    </row>
    <row r="675" customFormat="false" ht="15" hidden="false" customHeight="false" outlineLevel="0" collapsed="false">
      <c r="A675" s="26"/>
      <c r="B675" s="27"/>
      <c r="C675" s="28"/>
      <c r="D675" s="31"/>
      <c r="E675" s="29"/>
    </row>
    <row r="676" customFormat="false" ht="15" hidden="false" customHeight="false" outlineLevel="0" collapsed="false">
      <c r="A676" s="26"/>
      <c r="B676" s="27"/>
      <c r="C676" s="28"/>
      <c r="D676" s="31"/>
      <c r="E676" s="29"/>
    </row>
    <row r="677" customFormat="false" ht="15" hidden="false" customHeight="false" outlineLevel="0" collapsed="false">
      <c r="A677" s="26"/>
      <c r="B677" s="27"/>
      <c r="C677" s="28"/>
      <c r="D677" s="31"/>
      <c r="E677" s="29"/>
    </row>
    <row r="678" customFormat="false" ht="15" hidden="false" customHeight="false" outlineLevel="0" collapsed="false">
      <c r="A678" s="26"/>
      <c r="B678" s="27"/>
      <c r="C678" s="28"/>
      <c r="D678" s="31"/>
      <c r="E678" s="29"/>
    </row>
    <row r="679" customFormat="false" ht="15" hidden="false" customHeight="false" outlineLevel="0" collapsed="false">
      <c r="A679" s="26"/>
      <c r="B679" s="27"/>
      <c r="C679" s="28"/>
      <c r="D679" s="31"/>
      <c r="E679" s="29"/>
    </row>
    <row r="680" customFormat="false" ht="15" hidden="false" customHeight="false" outlineLevel="0" collapsed="false">
      <c r="A680" s="26"/>
      <c r="B680" s="27"/>
      <c r="C680" s="28"/>
      <c r="D680" s="31"/>
      <c r="E680" s="29"/>
    </row>
    <row r="681" customFormat="false" ht="15" hidden="false" customHeight="false" outlineLevel="0" collapsed="false">
      <c r="A681" s="26"/>
      <c r="B681" s="27"/>
      <c r="C681" s="28"/>
      <c r="D681" s="31"/>
      <c r="E681" s="29"/>
    </row>
    <row r="682" customFormat="false" ht="15" hidden="false" customHeight="false" outlineLevel="0" collapsed="false">
      <c r="A682" s="26"/>
      <c r="B682" s="27"/>
      <c r="C682" s="28"/>
      <c r="D682" s="31"/>
      <c r="E682" s="29"/>
    </row>
    <row r="683" customFormat="false" ht="15" hidden="false" customHeight="false" outlineLevel="0" collapsed="false">
      <c r="A683" s="26"/>
      <c r="B683" s="27"/>
      <c r="C683" s="28"/>
      <c r="D683" s="31"/>
      <c r="E683" s="29"/>
    </row>
    <row r="684" customFormat="false" ht="15" hidden="false" customHeight="false" outlineLevel="0" collapsed="false">
      <c r="A684" s="26"/>
      <c r="B684" s="27"/>
      <c r="C684" s="28"/>
      <c r="D684" s="31"/>
      <c r="E684" s="29"/>
    </row>
    <row r="685" customFormat="false" ht="15" hidden="false" customHeight="false" outlineLevel="0" collapsed="false">
      <c r="A685" s="26"/>
      <c r="B685" s="27"/>
      <c r="C685" s="28"/>
      <c r="D685" s="31"/>
      <c r="E685" s="29"/>
    </row>
    <row r="686" customFormat="false" ht="15" hidden="false" customHeight="false" outlineLevel="0" collapsed="false">
      <c r="A686" s="26"/>
      <c r="B686" s="27"/>
      <c r="C686" s="28"/>
      <c r="D686" s="31"/>
      <c r="E686" s="29"/>
    </row>
    <row r="687" customFormat="false" ht="15" hidden="false" customHeight="false" outlineLevel="0" collapsed="false">
      <c r="A687" s="26"/>
      <c r="B687" s="27"/>
      <c r="C687" s="28"/>
      <c r="D687" s="31"/>
      <c r="E687" s="29"/>
    </row>
    <row r="688" customFormat="false" ht="15" hidden="false" customHeight="false" outlineLevel="0" collapsed="false">
      <c r="A688" s="26"/>
      <c r="B688" s="27"/>
      <c r="C688" s="28"/>
      <c r="D688" s="31"/>
      <c r="E688" s="29"/>
    </row>
    <row r="689" customFormat="false" ht="15" hidden="false" customHeight="false" outlineLevel="0" collapsed="false">
      <c r="A689" s="26"/>
      <c r="B689" s="27"/>
      <c r="C689" s="28"/>
      <c r="D689" s="31"/>
      <c r="E689" s="29"/>
    </row>
    <row r="690" customFormat="false" ht="15" hidden="false" customHeight="false" outlineLevel="0" collapsed="false">
      <c r="A690" s="26"/>
      <c r="B690" s="27"/>
      <c r="C690" s="28"/>
      <c r="D690" s="31"/>
      <c r="E690" s="29"/>
    </row>
    <row r="691" customFormat="false" ht="15" hidden="false" customHeight="false" outlineLevel="0" collapsed="false">
      <c r="A691" s="26"/>
      <c r="B691" s="27"/>
      <c r="C691" s="28"/>
      <c r="D691" s="31"/>
      <c r="E691" s="29"/>
    </row>
    <row r="692" customFormat="false" ht="15" hidden="false" customHeight="false" outlineLevel="0" collapsed="false">
      <c r="A692" s="26"/>
      <c r="B692" s="27"/>
      <c r="C692" s="28"/>
      <c r="D692" s="31"/>
      <c r="E692" s="29"/>
    </row>
    <row r="693" customFormat="false" ht="15" hidden="false" customHeight="false" outlineLevel="0" collapsed="false">
      <c r="A693" s="26"/>
      <c r="B693" s="27"/>
      <c r="C693" s="28"/>
      <c r="D693" s="31"/>
      <c r="E693" s="29"/>
    </row>
    <row r="694" customFormat="false" ht="15" hidden="false" customHeight="false" outlineLevel="0" collapsed="false">
      <c r="A694" s="26"/>
      <c r="B694" s="27"/>
      <c r="C694" s="28"/>
      <c r="D694" s="31"/>
      <c r="E694" s="29"/>
    </row>
    <row r="695" customFormat="false" ht="15" hidden="false" customHeight="false" outlineLevel="0" collapsed="false">
      <c r="A695" s="26"/>
      <c r="B695" s="27"/>
      <c r="C695" s="28"/>
      <c r="D695" s="31"/>
      <c r="E695" s="29"/>
    </row>
    <row r="696" customFormat="false" ht="15" hidden="false" customHeight="false" outlineLevel="0" collapsed="false">
      <c r="A696" s="26"/>
      <c r="B696" s="27"/>
      <c r="C696" s="28"/>
      <c r="D696" s="31"/>
      <c r="E696" s="29"/>
    </row>
    <row r="697" customFormat="false" ht="15" hidden="false" customHeight="false" outlineLevel="0" collapsed="false">
      <c r="A697" s="26"/>
      <c r="B697" s="27"/>
      <c r="C697" s="28"/>
      <c r="D697" s="31"/>
      <c r="E697" s="29"/>
    </row>
    <row r="698" customFormat="false" ht="15" hidden="false" customHeight="false" outlineLevel="0" collapsed="false">
      <c r="A698" s="26"/>
      <c r="B698" s="27"/>
      <c r="C698" s="28"/>
      <c r="D698" s="31"/>
      <c r="E698" s="29"/>
    </row>
    <row r="699" customFormat="false" ht="15" hidden="false" customHeight="false" outlineLevel="0" collapsed="false">
      <c r="A699" s="26"/>
      <c r="B699" s="27"/>
      <c r="C699" s="28"/>
      <c r="D699" s="31"/>
      <c r="E699" s="29"/>
    </row>
    <row r="700" customFormat="false" ht="15" hidden="false" customHeight="false" outlineLevel="0" collapsed="false">
      <c r="A700" s="26"/>
      <c r="B700" s="27"/>
      <c r="C700" s="28"/>
      <c r="D700" s="31"/>
      <c r="E700" s="29"/>
    </row>
    <row r="701" customFormat="false" ht="15" hidden="false" customHeight="false" outlineLevel="0" collapsed="false">
      <c r="A701" s="26"/>
      <c r="B701" s="27"/>
      <c r="C701" s="28"/>
      <c r="D701" s="31"/>
      <c r="E701" s="29"/>
    </row>
    <row r="702" customFormat="false" ht="15" hidden="false" customHeight="false" outlineLevel="0" collapsed="false">
      <c r="A702" s="26"/>
      <c r="B702" s="27"/>
      <c r="C702" s="28"/>
      <c r="D702" s="31"/>
      <c r="E702" s="29"/>
    </row>
    <row r="703" customFormat="false" ht="15" hidden="false" customHeight="false" outlineLevel="0" collapsed="false">
      <c r="A703" s="26"/>
      <c r="B703" s="27"/>
      <c r="C703" s="28"/>
      <c r="D703" s="31"/>
      <c r="E703" s="29"/>
    </row>
    <row r="704" customFormat="false" ht="15" hidden="false" customHeight="false" outlineLevel="0" collapsed="false">
      <c r="A704" s="26"/>
      <c r="B704" s="27"/>
      <c r="C704" s="28"/>
      <c r="D704" s="31"/>
      <c r="E704" s="29"/>
    </row>
    <row r="705" customFormat="false" ht="15" hidden="false" customHeight="false" outlineLevel="0" collapsed="false">
      <c r="A705" s="26"/>
      <c r="B705" s="27"/>
      <c r="C705" s="28"/>
      <c r="D705" s="31"/>
      <c r="E705" s="29"/>
    </row>
    <row r="706" customFormat="false" ht="15" hidden="false" customHeight="false" outlineLevel="0" collapsed="false">
      <c r="A706" s="26"/>
      <c r="B706" s="27"/>
      <c r="C706" s="28"/>
      <c r="D706" s="31"/>
      <c r="E706" s="29"/>
    </row>
    <row r="707" customFormat="false" ht="15" hidden="false" customHeight="false" outlineLevel="0" collapsed="false">
      <c r="A707" s="26"/>
      <c r="B707" s="27"/>
      <c r="C707" s="28"/>
      <c r="D707" s="31"/>
      <c r="E707" s="29"/>
    </row>
    <row r="708" customFormat="false" ht="15" hidden="false" customHeight="false" outlineLevel="0" collapsed="false">
      <c r="A708" s="26"/>
      <c r="B708" s="27"/>
      <c r="C708" s="28"/>
      <c r="D708" s="31"/>
      <c r="E708" s="29"/>
    </row>
    <row r="709" customFormat="false" ht="15" hidden="false" customHeight="false" outlineLevel="0" collapsed="false">
      <c r="A709" s="26"/>
      <c r="B709" s="27"/>
      <c r="C709" s="28"/>
      <c r="D709" s="31"/>
      <c r="E709" s="29"/>
    </row>
    <row r="710" customFormat="false" ht="15" hidden="false" customHeight="false" outlineLevel="0" collapsed="false">
      <c r="A710" s="26"/>
      <c r="B710" s="27"/>
      <c r="C710" s="28"/>
      <c r="D710" s="31"/>
      <c r="E710" s="29"/>
    </row>
    <row r="711" customFormat="false" ht="15" hidden="false" customHeight="false" outlineLevel="0" collapsed="false">
      <c r="A711" s="26"/>
      <c r="B711" s="27"/>
      <c r="C711" s="28"/>
      <c r="D711" s="31"/>
      <c r="E711" s="29"/>
    </row>
    <row r="712" customFormat="false" ht="15" hidden="false" customHeight="false" outlineLevel="0" collapsed="false">
      <c r="A712" s="26"/>
      <c r="B712" s="27"/>
      <c r="C712" s="28"/>
      <c r="D712" s="31"/>
      <c r="E712" s="29"/>
    </row>
    <row r="713" customFormat="false" ht="15" hidden="false" customHeight="false" outlineLevel="0" collapsed="false">
      <c r="A713" s="26"/>
      <c r="B713" s="27"/>
      <c r="C713" s="28"/>
      <c r="D713" s="31"/>
      <c r="E713" s="29"/>
    </row>
    <row r="714" customFormat="false" ht="15" hidden="false" customHeight="false" outlineLevel="0" collapsed="false">
      <c r="A714" s="26"/>
      <c r="B714" s="27"/>
      <c r="C714" s="28"/>
      <c r="D714" s="31"/>
      <c r="E714" s="29"/>
    </row>
    <row r="715" customFormat="false" ht="15" hidden="false" customHeight="false" outlineLevel="0" collapsed="false">
      <c r="A715" s="26"/>
      <c r="B715" s="27"/>
      <c r="C715" s="28"/>
      <c r="D715" s="31"/>
      <c r="E715" s="29"/>
    </row>
    <row r="716" customFormat="false" ht="15" hidden="false" customHeight="false" outlineLevel="0" collapsed="false">
      <c r="A716" s="26"/>
      <c r="B716" s="27"/>
      <c r="C716" s="28"/>
      <c r="D716" s="31"/>
      <c r="E716" s="29"/>
    </row>
    <row r="717" customFormat="false" ht="15" hidden="false" customHeight="false" outlineLevel="0" collapsed="false">
      <c r="A717" s="26"/>
      <c r="B717" s="27"/>
      <c r="C717" s="28"/>
      <c r="D717" s="31"/>
      <c r="E717" s="29"/>
    </row>
    <row r="718" customFormat="false" ht="15" hidden="false" customHeight="false" outlineLevel="0" collapsed="false">
      <c r="A718" s="26"/>
      <c r="B718" s="27"/>
      <c r="C718" s="28"/>
      <c r="D718" s="31"/>
      <c r="E718" s="29"/>
    </row>
    <row r="719" customFormat="false" ht="15" hidden="false" customHeight="false" outlineLevel="0" collapsed="false">
      <c r="A719" s="26"/>
      <c r="B719" s="27"/>
      <c r="C719" s="28"/>
      <c r="D719" s="31"/>
      <c r="E719" s="29"/>
    </row>
    <row r="720" customFormat="false" ht="15" hidden="false" customHeight="false" outlineLevel="0" collapsed="false">
      <c r="A720" s="26"/>
      <c r="B720" s="27"/>
      <c r="C720" s="28"/>
      <c r="D720" s="31"/>
      <c r="E720" s="29"/>
    </row>
    <row r="721" customFormat="false" ht="15" hidden="false" customHeight="false" outlineLevel="0" collapsed="false">
      <c r="A721" s="26"/>
      <c r="B721" s="27"/>
      <c r="C721" s="28"/>
      <c r="D721" s="31"/>
      <c r="E721" s="29"/>
    </row>
    <row r="722" customFormat="false" ht="15" hidden="false" customHeight="false" outlineLevel="0" collapsed="false">
      <c r="A722" s="26"/>
      <c r="B722" s="27"/>
      <c r="C722" s="28"/>
      <c r="D722" s="31"/>
      <c r="E722" s="29"/>
    </row>
    <row r="723" customFormat="false" ht="15" hidden="false" customHeight="false" outlineLevel="0" collapsed="false">
      <c r="A723" s="26"/>
      <c r="B723" s="27"/>
      <c r="C723" s="28"/>
      <c r="D723" s="31"/>
      <c r="E723" s="29"/>
    </row>
    <row r="724" customFormat="false" ht="15" hidden="false" customHeight="false" outlineLevel="0" collapsed="false">
      <c r="A724" s="26"/>
      <c r="B724" s="27"/>
      <c r="C724" s="28"/>
      <c r="D724" s="31"/>
      <c r="E724" s="29"/>
    </row>
    <row r="725" customFormat="false" ht="15" hidden="false" customHeight="false" outlineLevel="0" collapsed="false">
      <c r="A725" s="26"/>
      <c r="B725" s="27"/>
      <c r="C725" s="28"/>
      <c r="D725" s="31"/>
      <c r="E725" s="29"/>
    </row>
    <row r="726" customFormat="false" ht="15" hidden="false" customHeight="false" outlineLevel="0" collapsed="false">
      <c r="A726" s="26"/>
      <c r="B726" s="27"/>
      <c r="C726" s="28"/>
      <c r="D726" s="31"/>
      <c r="E726" s="29"/>
    </row>
    <row r="727" customFormat="false" ht="15" hidden="false" customHeight="false" outlineLevel="0" collapsed="false">
      <c r="A727" s="26"/>
      <c r="B727" s="27"/>
      <c r="C727" s="28"/>
      <c r="D727" s="31"/>
      <c r="E727" s="29"/>
    </row>
    <row r="728" customFormat="false" ht="15" hidden="false" customHeight="false" outlineLevel="0" collapsed="false">
      <c r="A728" s="26"/>
      <c r="B728" s="27"/>
      <c r="C728" s="28"/>
      <c r="D728" s="31"/>
      <c r="E728" s="29"/>
    </row>
    <row r="729" customFormat="false" ht="15" hidden="false" customHeight="false" outlineLevel="0" collapsed="false">
      <c r="A729" s="26"/>
      <c r="B729" s="27"/>
      <c r="C729" s="28"/>
      <c r="D729" s="31"/>
      <c r="E729" s="29"/>
    </row>
    <row r="730" customFormat="false" ht="15" hidden="false" customHeight="false" outlineLevel="0" collapsed="false">
      <c r="A730" s="26"/>
      <c r="B730" s="27"/>
      <c r="C730" s="28"/>
      <c r="D730" s="31"/>
      <c r="E730" s="29"/>
    </row>
    <row r="731" customFormat="false" ht="15" hidden="false" customHeight="false" outlineLevel="0" collapsed="false">
      <c r="A731" s="26"/>
      <c r="B731" s="27"/>
      <c r="C731" s="28"/>
      <c r="D731" s="31"/>
      <c r="E731" s="29"/>
    </row>
    <row r="732" customFormat="false" ht="15" hidden="false" customHeight="false" outlineLevel="0" collapsed="false">
      <c r="A732" s="26"/>
      <c r="B732" s="27"/>
      <c r="C732" s="28"/>
      <c r="D732" s="31"/>
      <c r="E732" s="29"/>
    </row>
    <row r="733" customFormat="false" ht="15" hidden="false" customHeight="false" outlineLevel="0" collapsed="false">
      <c r="A733" s="26"/>
      <c r="B733" s="27"/>
      <c r="C733" s="28"/>
      <c r="D733" s="31"/>
      <c r="E733" s="29"/>
    </row>
    <row r="734" customFormat="false" ht="15" hidden="false" customHeight="false" outlineLevel="0" collapsed="false">
      <c r="A734" s="26"/>
      <c r="B734" s="27"/>
      <c r="C734" s="28"/>
      <c r="D734" s="31"/>
      <c r="E734" s="29"/>
    </row>
    <row r="735" customFormat="false" ht="15" hidden="false" customHeight="false" outlineLevel="0" collapsed="false">
      <c r="A735" s="26"/>
      <c r="B735" s="27"/>
      <c r="C735" s="28"/>
      <c r="D735" s="31"/>
      <c r="E735" s="29"/>
    </row>
    <row r="736" customFormat="false" ht="15" hidden="false" customHeight="false" outlineLevel="0" collapsed="false">
      <c r="A736" s="26"/>
      <c r="B736" s="27"/>
      <c r="C736" s="28"/>
      <c r="D736" s="31"/>
      <c r="E736" s="29"/>
    </row>
    <row r="737" customFormat="false" ht="15" hidden="false" customHeight="false" outlineLevel="0" collapsed="false">
      <c r="A737" s="26"/>
      <c r="B737" s="27"/>
      <c r="C737" s="28"/>
      <c r="D737" s="31"/>
      <c r="E737" s="29"/>
    </row>
    <row r="738" customFormat="false" ht="15" hidden="false" customHeight="false" outlineLevel="0" collapsed="false">
      <c r="A738" s="26"/>
      <c r="B738" s="27"/>
      <c r="C738" s="28"/>
      <c r="D738" s="31"/>
      <c r="E738" s="29"/>
    </row>
    <row r="739" customFormat="false" ht="15" hidden="false" customHeight="false" outlineLevel="0" collapsed="false">
      <c r="A739" s="26"/>
      <c r="B739" s="27"/>
      <c r="C739" s="28"/>
      <c r="D739" s="31"/>
      <c r="E739" s="29"/>
    </row>
    <row r="740" customFormat="false" ht="15" hidden="false" customHeight="false" outlineLevel="0" collapsed="false">
      <c r="A740" s="26"/>
      <c r="B740" s="27"/>
      <c r="C740" s="28"/>
      <c r="D740" s="31"/>
      <c r="E740" s="29"/>
    </row>
    <row r="741" customFormat="false" ht="15" hidden="false" customHeight="false" outlineLevel="0" collapsed="false">
      <c r="A741" s="26"/>
      <c r="B741" s="27"/>
      <c r="C741" s="28"/>
      <c r="D741" s="31"/>
      <c r="E741" s="29"/>
    </row>
    <row r="742" customFormat="false" ht="15" hidden="false" customHeight="false" outlineLevel="0" collapsed="false">
      <c r="A742" s="26"/>
      <c r="B742" s="27"/>
      <c r="C742" s="28"/>
      <c r="D742" s="31"/>
      <c r="E742" s="29"/>
    </row>
    <row r="743" customFormat="false" ht="15" hidden="false" customHeight="false" outlineLevel="0" collapsed="false">
      <c r="A743" s="26"/>
      <c r="B743" s="27"/>
      <c r="C743" s="28"/>
      <c r="D743" s="31"/>
      <c r="E743" s="29"/>
    </row>
    <row r="744" customFormat="false" ht="15" hidden="false" customHeight="false" outlineLevel="0" collapsed="false">
      <c r="A744" s="26"/>
      <c r="B744" s="27"/>
      <c r="C744" s="28"/>
      <c r="D744" s="31"/>
      <c r="E744" s="29"/>
    </row>
    <row r="745" customFormat="false" ht="15" hidden="false" customHeight="false" outlineLevel="0" collapsed="false">
      <c r="A745" s="26"/>
      <c r="B745" s="27"/>
      <c r="C745" s="28"/>
      <c r="D745" s="31"/>
      <c r="E745" s="29"/>
    </row>
    <row r="746" customFormat="false" ht="15" hidden="false" customHeight="false" outlineLevel="0" collapsed="false">
      <c r="A746" s="26"/>
      <c r="B746" s="27"/>
      <c r="C746" s="28"/>
      <c r="D746" s="31"/>
      <c r="E746" s="29"/>
    </row>
    <row r="747" customFormat="false" ht="15" hidden="false" customHeight="false" outlineLevel="0" collapsed="false">
      <c r="A747" s="26"/>
      <c r="B747" s="27"/>
      <c r="C747" s="28"/>
      <c r="D747" s="31"/>
      <c r="E747" s="29"/>
    </row>
    <row r="748" customFormat="false" ht="15" hidden="false" customHeight="false" outlineLevel="0" collapsed="false">
      <c r="A748" s="26"/>
      <c r="B748" s="27"/>
      <c r="C748" s="28"/>
      <c r="D748" s="31"/>
      <c r="E748" s="29"/>
    </row>
    <row r="749" customFormat="false" ht="15" hidden="false" customHeight="false" outlineLevel="0" collapsed="false">
      <c r="A749" s="26"/>
      <c r="B749" s="27"/>
      <c r="C749" s="28"/>
      <c r="D749" s="31"/>
      <c r="E749" s="29"/>
    </row>
    <row r="750" customFormat="false" ht="15" hidden="false" customHeight="false" outlineLevel="0" collapsed="false">
      <c r="A750" s="26"/>
      <c r="B750" s="27"/>
      <c r="C750" s="28"/>
      <c r="D750" s="31"/>
      <c r="E750" s="29"/>
    </row>
    <row r="751" customFormat="false" ht="15" hidden="false" customHeight="false" outlineLevel="0" collapsed="false">
      <c r="A751" s="26"/>
      <c r="B751" s="27"/>
      <c r="C751" s="28"/>
      <c r="D751" s="31"/>
      <c r="E751" s="29"/>
    </row>
    <row r="752" customFormat="false" ht="15" hidden="false" customHeight="false" outlineLevel="0" collapsed="false">
      <c r="A752" s="26"/>
      <c r="B752" s="27"/>
      <c r="C752" s="28"/>
      <c r="D752" s="31"/>
      <c r="E752" s="29"/>
    </row>
    <row r="753" customFormat="false" ht="15" hidden="false" customHeight="false" outlineLevel="0" collapsed="false">
      <c r="A753" s="26"/>
      <c r="B753" s="27"/>
      <c r="C753" s="28"/>
      <c r="D753" s="31"/>
      <c r="E753" s="29"/>
    </row>
    <row r="754" customFormat="false" ht="15" hidden="false" customHeight="false" outlineLevel="0" collapsed="false">
      <c r="A754" s="26"/>
      <c r="B754" s="27"/>
      <c r="C754" s="28"/>
      <c r="D754" s="31"/>
      <c r="E754" s="29"/>
    </row>
    <row r="755" customFormat="false" ht="15" hidden="false" customHeight="false" outlineLevel="0" collapsed="false">
      <c r="A755" s="26"/>
      <c r="B755" s="27"/>
      <c r="C755" s="28"/>
      <c r="D755" s="31"/>
      <c r="E755" s="29"/>
    </row>
    <row r="756" customFormat="false" ht="15" hidden="false" customHeight="false" outlineLevel="0" collapsed="false">
      <c r="A756" s="26"/>
      <c r="B756" s="27"/>
      <c r="C756" s="28"/>
      <c r="D756" s="31"/>
      <c r="E756" s="29"/>
    </row>
    <row r="757" customFormat="false" ht="15" hidden="false" customHeight="false" outlineLevel="0" collapsed="false">
      <c r="A757" s="26"/>
      <c r="B757" s="27"/>
      <c r="C757" s="28"/>
      <c r="D757" s="31"/>
      <c r="E757" s="29"/>
    </row>
    <row r="758" customFormat="false" ht="15" hidden="false" customHeight="false" outlineLevel="0" collapsed="false">
      <c r="A758" s="26"/>
      <c r="B758" s="27"/>
      <c r="C758" s="28"/>
      <c r="D758" s="31"/>
      <c r="E758" s="29"/>
    </row>
    <row r="759" customFormat="false" ht="15" hidden="false" customHeight="false" outlineLevel="0" collapsed="false">
      <c r="A759" s="26"/>
      <c r="B759" s="27"/>
      <c r="C759" s="28"/>
      <c r="D759" s="31"/>
      <c r="E759" s="29"/>
    </row>
    <row r="760" customFormat="false" ht="15" hidden="false" customHeight="false" outlineLevel="0" collapsed="false">
      <c r="A760" s="26"/>
      <c r="B760" s="27"/>
      <c r="C760" s="28"/>
      <c r="D760" s="31"/>
      <c r="E760" s="29"/>
    </row>
    <row r="761" customFormat="false" ht="15" hidden="false" customHeight="false" outlineLevel="0" collapsed="false">
      <c r="A761" s="26"/>
      <c r="B761" s="27"/>
      <c r="C761" s="28"/>
      <c r="D761" s="31"/>
      <c r="E761" s="29"/>
    </row>
    <row r="762" customFormat="false" ht="15" hidden="false" customHeight="false" outlineLevel="0" collapsed="false">
      <c r="A762" s="26"/>
      <c r="B762" s="27"/>
      <c r="C762" s="28"/>
      <c r="D762" s="31"/>
      <c r="E762" s="29"/>
    </row>
    <row r="763" customFormat="false" ht="15" hidden="false" customHeight="false" outlineLevel="0" collapsed="false">
      <c r="A763" s="26"/>
      <c r="B763" s="27"/>
      <c r="C763" s="28"/>
      <c r="D763" s="31"/>
      <c r="E763" s="29"/>
    </row>
    <row r="764" customFormat="false" ht="15" hidden="false" customHeight="false" outlineLevel="0" collapsed="false">
      <c r="A764" s="26"/>
      <c r="B764" s="27"/>
      <c r="C764" s="28"/>
      <c r="D764" s="31"/>
      <c r="E764" s="29"/>
    </row>
    <row r="765" customFormat="false" ht="15" hidden="false" customHeight="false" outlineLevel="0" collapsed="false">
      <c r="A765" s="26"/>
      <c r="B765" s="27"/>
      <c r="C765" s="28"/>
      <c r="D765" s="31"/>
      <c r="E765" s="29"/>
    </row>
    <row r="766" customFormat="false" ht="15" hidden="false" customHeight="false" outlineLevel="0" collapsed="false">
      <c r="A766" s="26"/>
      <c r="B766" s="27"/>
      <c r="C766" s="28"/>
      <c r="D766" s="31"/>
      <c r="E766" s="29"/>
    </row>
    <row r="767" customFormat="false" ht="15" hidden="false" customHeight="false" outlineLevel="0" collapsed="false">
      <c r="A767" s="26"/>
      <c r="B767" s="27"/>
      <c r="C767" s="28"/>
      <c r="D767" s="31"/>
      <c r="E767" s="29"/>
    </row>
    <row r="768" customFormat="false" ht="15" hidden="false" customHeight="false" outlineLevel="0" collapsed="false">
      <c r="A768" s="26"/>
      <c r="B768" s="27"/>
      <c r="C768" s="28"/>
      <c r="D768" s="31"/>
      <c r="E768" s="29"/>
    </row>
    <row r="769" customFormat="false" ht="15" hidden="false" customHeight="false" outlineLevel="0" collapsed="false">
      <c r="A769" s="26"/>
      <c r="B769" s="27"/>
      <c r="C769" s="28"/>
      <c r="D769" s="31"/>
      <c r="E769" s="29"/>
    </row>
    <row r="770" customFormat="false" ht="15" hidden="false" customHeight="false" outlineLevel="0" collapsed="false">
      <c r="A770" s="26"/>
      <c r="B770" s="27"/>
      <c r="C770" s="28"/>
      <c r="D770" s="31"/>
      <c r="E770" s="29"/>
    </row>
    <row r="771" customFormat="false" ht="15" hidden="false" customHeight="false" outlineLevel="0" collapsed="false">
      <c r="A771" s="26"/>
      <c r="B771" s="27"/>
      <c r="C771" s="28"/>
      <c r="D771" s="31"/>
      <c r="E771" s="29"/>
    </row>
    <row r="772" customFormat="false" ht="15" hidden="false" customHeight="false" outlineLevel="0" collapsed="false">
      <c r="A772" s="26"/>
      <c r="B772" s="27"/>
      <c r="C772" s="28"/>
      <c r="D772" s="31"/>
      <c r="E772" s="29"/>
    </row>
    <row r="773" customFormat="false" ht="15" hidden="false" customHeight="false" outlineLevel="0" collapsed="false">
      <c r="A773" s="26"/>
      <c r="B773" s="27"/>
      <c r="C773" s="28"/>
      <c r="D773" s="31"/>
      <c r="E773" s="29"/>
    </row>
    <row r="774" customFormat="false" ht="15" hidden="false" customHeight="false" outlineLevel="0" collapsed="false">
      <c r="A774" s="26"/>
      <c r="B774" s="27"/>
      <c r="C774" s="28"/>
      <c r="D774" s="31"/>
      <c r="E774" s="29"/>
    </row>
    <row r="775" customFormat="false" ht="15" hidden="false" customHeight="false" outlineLevel="0" collapsed="false">
      <c r="A775" s="26"/>
      <c r="B775" s="27"/>
      <c r="C775" s="28"/>
      <c r="D775" s="31"/>
      <c r="E775" s="29"/>
    </row>
    <row r="776" customFormat="false" ht="15" hidden="false" customHeight="false" outlineLevel="0" collapsed="false">
      <c r="A776" s="26"/>
      <c r="B776" s="27"/>
      <c r="C776" s="28"/>
      <c r="D776" s="31"/>
      <c r="E776" s="29"/>
    </row>
    <row r="777" customFormat="false" ht="15" hidden="false" customHeight="false" outlineLevel="0" collapsed="false">
      <c r="A777" s="26"/>
      <c r="B777" s="27"/>
      <c r="C777" s="28"/>
      <c r="D777" s="31"/>
      <c r="E777" s="29"/>
    </row>
    <row r="778" customFormat="false" ht="15" hidden="false" customHeight="false" outlineLevel="0" collapsed="false">
      <c r="A778" s="26"/>
      <c r="B778" s="27"/>
      <c r="C778" s="28"/>
      <c r="D778" s="31"/>
      <c r="E778" s="29"/>
    </row>
    <row r="779" customFormat="false" ht="15" hidden="false" customHeight="false" outlineLevel="0" collapsed="false">
      <c r="A779" s="26"/>
      <c r="B779" s="27"/>
      <c r="C779" s="28"/>
      <c r="D779" s="31"/>
      <c r="E779" s="29"/>
    </row>
    <row r="780" customFormat="false" ht="15" hidden="false" customHeight="false" outlineLevel="0" collapsed="false">
      <c r="A780" s="26"/>
      <c r="B780" s="27"/>
      <c r="C780" s="28"/>
      <c r="D780" s="31"/>
      <c r="E780" s="29"/>
    </row>
    <row r="781" customFormat="false" ht="15" hidden="false" customHeight="false" outlineLevel="0" collapsed="false">
      <c r="A781" s="26"/>
      <c r="B781" s="27"/>
      <c r="C781" s="28"/>
      <c r="D781" s="31"/>
      <c r="E781" s="29"/>
    </row>
    <row r="782" customFormat="false" ht="15" hidden="false" customHeight="false" outlineLevel="0" collapsed="false">
      <c r="A782" s="26"/>
      <c r="B782" s="27"/>
      <c r="C782" s="28"/>
      <c r="D782" s="31"/>
      <c r="E782" s="29"/>
    </row>
    <row r="783" customFormat="false" ht="15" hidden="false" customHeight="false" outlineLevel="0" collapsed="false">
      <c r="A783" s="26"/>
      <c r="B783" s="27"/>
      <c r="C783" s="28"/>
      <c r="D783" s="31"/>
      <c r="E783" s="29"/>
    </row>
    <row r="784" customFormat="false" ht="15" hidden="false" customHeight="false" outlineLevel="0" collapsed="false">
      <c r="A784" s="26"/>
      <c r="B784" s="27"/>
      <c r="C784" s="28"/>
      <c r="D784" s="31"/>
      <c r="E784" s="29"/>
    </row>
    <row r="785" customFormat="false" ht="15" hidden="false" customHeight="false" outlineLevel="0" collapsed="false">
      <c r="A785" s="26"/>
      <c r="B785" s="27"/>
      <c r="C785" s="28"/>
      <c r="D785" s="31"/>
      <c r="E785" s="29"/>
    </row>
    <row r="786" customFormat="false" ht="15" hidden="false" customHeight="false" outlineLevel="0" collapsed="false">
      <c r="A786" s="26"/>
      <c r="B786" s="27"/>
      <c r="C786" s="28"/>
      <c r="D786" s="31"/>
      <c r="E786" s="29"/>
    </row>
    <row r="787" customFormat="false" ht="15" hidden="false" customHeight="false" outlineLevel="0" collapsed="false">
      <c r="A787" s="26"/>
      <c r="B787" s="27"/>
      <c r="C787" s="28"/>
      <c r="D787" s="31"/>
      <c r="E787" s="29"/>
    </row>
    <row r="788" customFormat="false" ht="15" hidden="false" customHeight="false" outlineLevel="0" collapsed="false">
      <c r="A788" s="26"/>
      <c r="B788" s="27"/>
      <c r="C788" s="28"/>
      <c r="D788" s="31"/>
      <c r="E788" s="29"/>
    </row>
    <row r="789" customFormat="false" ht="15" hidden="false" customHeight="false" outlineLevel="0" collapsed="false">
      <c r="A789" s="26"/>
      <c r="B789" s="27"/>
      <c r="C789" s="28"/>
      <c r="D789" s="31"/>
      <c r="E789" s="29"/>
    </row>
    <row r="790" customFormat="false" ht="15" hidden="false" customHeight="false" outlineLevel="0" collapsed="false">
      <c r="A790" s="26"/>
      <c r="B790" s="27"/>
      <c r="C790" s="28"/>
      <c r="D790" s="31"/>
      <c r="E790" s="29"/>
    </row>
    <row r="791" customFormat="false" ht="15" hidden="false" customHeight="false" outlineLevel="0" collapsed="false">
      <c r="A791" s="26"/>
      <c r="B791" s="27"/>
      <c r="C791" s="28"/>
      <c r="D791" s="31"/>
      <c r="E791" s="29"/>
    </row>
    <row r="792" customFormat="false" ht="15" hidden="false" customHeight="false" outlineLevel="0" collapsed="false">
      <c r="A792" s="26"/>
      <c r="B792" s="27"/>
      <c r="C792" s="28"/>
      <c r="D792" s="31"/>
      <c r="E792" s="29"/>
    </row>
    <row r="793" customFormat="false" ht="15" hidden="false" customHeight="false" outlineLevel="0" collapsed="false">
      <c r="A793" s="26"/>
      <c r="B793" s="27"/>
      <c r="C793" s="28"/>
      <c r="D793" s="31"/>
      <c r="E793" s="29"/>
    </row>
    <row r="794" customFormat="false" ht="15" hidden="false" customHeight="false" outlineLevel="0" collapsed="false">
      <c r="A794" s="26"/>
      <c r="B794" s="27"/>
      <c r="C794" s="28"/>
      <c r="D794" s="31"/>
      <c r="E794" s="29"/>
    </row>
    <row r="795" customFormat="false" ht="15" hidden="false" customHeight="false" outlineLevel="0" collapsed="false">
      <c r="A795" s="26"/>
      <c r="B795" s="27"/>
      <c r="C795" s="28"/>
      <c r="D795" s="31"/>
      <c r="E795" s="29"/>
    </row>
    <row r="796" customFormat="false" ht="15" hidden="false" customHeight="false" outlineLevel="0" collapsed="false">
      <c r="A796" s="26"/>
      <c r="B796" s="27"/>
      <c r="C796" s="28"/>
      <c r="D796" s="31"/>
      <c r="E796" s="29"/>
    </row>
    <row r="797" customFormat="false" ht="15" hidden="false" customHeight="false" outlineLevel="0" collapsed="false">
      <c r="A797" s="26"/>
      <c r="B797" s="27"/>
      <c r="C797" s="28"/>
      <c r="D797" s="31"/>
      <c r="E797" s="29"/>
    </row>
    <row r="798" customFormat="false" ht="15" hidden="false" customHeight="false" outlineLevel="0" collapsed="false">
      <c r="A798" s="26"/>
      <c r="B798" s="27"/>
      <c r="C798" s="28"/>
      <c r="D798" s="31"/>
      <c r="E798" s="29"/>
    </row>
    <row r="799" customFormat="false" ht="15" hidden="false" customHeight="false" outlineLevel="0" collapsed="false">
      <c r="A799" s="26"/>
      <c r="B799" s="27"/>
      <c r="C799" s="28"/>
      <c r="D799" s="31"/>
      <c r="E799" s="29"/>
    </row>
    <row r="800" customFormat="false" ht="15" hidden="false" customHeight="false" outlineLevel="0" collapsed="false">
      <c r="A800" s="26"/>
      <c r="B800" s="27"/>
      <c r="C800" s="28"/>
      <c r="D800" s="31"/>
      <c r="E800" s="29"/>
    </row>
    <row r="801" customFormat="false" ht="15" hidden="false" customHeight="false" outlineLevel="0" collapsed="false">
      <c r="A801" s="26"/>
      <c r="B801" s="27"/>
      <c r="C801" s="28"/>
      <c r="D801" s="31"/>
      <c r="E801" s="29"/>
    </row>
    <row r="802" customFormat="false" ht="15" hidden="false" customHeight="false" outlineLevel="0" collapsed="false">
      <c r="A802" s="26"/>
      <c r="B802" s="27"/>
      <c r="C802" s="28"/>
      <c r="D802" s="31"/>
      <c r="E802" s="29"/>
    </row>
    <row r="803" customFormat="false" ht="15" hidden="false" customHeight="false" outlineLevel="0" collapsed="false">
      <c r="A803" s="26"/>
      <c r="B803" s="27"/>
      <c r="C803" s="28"/>
      <c r="D803" s="31"/>
      <c r="E803" s="29"/>
    </row>
    <row r="804" customFormat="false" ht="15" hidden="false" customHeight="false" outlineLevel="0" collapsed="false">
      <c r="A804" s="26"/>
      <c r="B804" s="27"/>
      <c r="C804" s="28"/>
      <c r="D804" s="31"/>
      <c r="E804" s="29"/>
    </row>
    <row r="805" customFormat="false" ht="15" hidden="false" customHeight="false" outlineLevel="0" collapsed="false">
      <c r="A805" s="26"/>
      <c r="B805" s="27"/>
      <c r="C805" s="28"/>
      <c r="D805" s="31"/>
      <c r="E805" s="29"/>
    </row>
    <row r="806" customFormat="false" ht="15" hidden="false" customHeight="false" outlineLevel="0" collapsed="false">
      <c r="A806" s="26"/>
      <c r="B806" s="27"/>
      <c r="C806" s="28"/>
      <c r="D806" s="31"/>
      <c r="E806" s="29"/>
    </row>
    <row r="807" customFormat="false" ht="15" hidden="false" customHeight="false" outlineLevel="0" collapsed="false">
      <c r="A807" s="26"/>
      <c r="B807" s="27"/>
      <c r="C807" s="28"/>
      <c r="D807" s="31"/>
      <c r="E807" s="29"/>
    </row>
    <row r="808" customFormat="false" ht="15" hidden="false" customHeight="false" outlineLevel="0" collapsed="false">
      <c r="A808" s="26"/>
      <c r="B808" s="27"/>
      <c r="C808" s="28"/>
      <c r="D808" s="31"/>
      <c r="E808" s="29"/>
    </row>
    <row r="809" customFormat="false" ht="15" hidden="false" customHeight="false" outlineLevel="0" collapsed="false">
      <c r="A809" s="26"/>
      <c r="B809" s="27"/>
      <c r="C809" s="28"/>
      <c r="D809" s="31"/>
      <c r="E809" s="29"/>
    </row>
    <row r="810" customFormat="false" ht="15" hidden="false" customHeight="false" outlineLevel="0" collapsed="false">
      <c r="A810" s="26"/>
      <c r="B810" s="27"/>
      <c r="C810" s="28"/>
      <c r="D810" s="31"/>
      <c r="E810" s="29"/>
    </row>
    <row r="811" customFormat="false" ht="15" hidden="false" customHeight="false" outlineLevel="0" collapsed="false">
      <c r="A811" s="26"/>
      <c r="B811" s="27"/>
      <c r="C811" s="28"/>
      <c r="D811" s="31"/>
      <c r="E811" s="29"/>
    </row>
    <row r="812" customFormat="false" ht="15" hidden="false" customHeight="false" outlineLevel="0" collapsed="false">
      <c r="A812" s="26"/>
      <c r="B812" s="27"/>
      <c r="C812" s="28"/>
      <c r="D812" s="31"/>
      <c r="E812" s="29"/>
    </row>
    <row r="813" customFormat="false" ht="15" hidden="false" customHeight="false" outlineLevel="0" collapsed="false">
      <c r="A813" s="26"/>
      <c r="B813" s="27"/>
      <c r="C813" s="28"/>
      <c r="D813" s="31"/>
      <c r="E813" s="29"/>
    </row>
    <row r="814" customFormat="false" ht="15" hidden="false" customHeight="false" outlineLevel="0" collapsed="false">
      <c r="A814" s="26"/>
      <c r="B814" s="27"/>
      <c r="C814" s="28"/>
      <c r="D814" s="31"/>
      <c r="E814" s="29"/>
    </row>
    <row r="815" customFormat="false" ht="15" hidden="false" customHeight="false" outlineLevel="0" collapsed="false">
      <c r="A815" s="26"/>
      <c r="B815" s="27"/>
      <c r="C815" s="28"/>
      <c r="D815" s="31"/>
      <c r="E815" s="29"/>
    </row>
    <row r="816" customFormat="false" ht="15" hidden="false" customHeight="false" outlineLevel="0" collapsed="false">
      <c r="A816" s="26"/>
      <c r="B816" s="27"/>
      <c r="C816" s="28"/>
      <c r="D816" s="31"/>
      <c r="E816" s="29"/>
    </row>
    <row r="817" customFormat="false" ht="15" hidden="false" customHeight="false" outlineLevel="0" collapsed="false">
      <c r="A817" s="26"/>
      <c r="B817" s="27"/>
      <c r="C817" s="28"/>
      <c r="D817" s="31"/>
      <c r="E817" s="29"/>
    </row>
    <row r="818" customFormat="false" ht="15" hidden="false" customHeight="false" outlineLevel="0" collapsed="false">
      <c r="A818" s="26"/>
      <c r="B818" s="27"/>
      <c r="C818" s="28"/>
      <c r="D818" s="31"/>
      <c r="E818" s="29"/>
    </row>
    <row r="819" customFormat="false" ht="15" hidden="false" customHeight="false" outlineLevel="0" collapsed="false">
      <c r="A819" s="26"/>
      <c r="B819" s="27"/>
      <c r="C819" s="28"/>
      <c r="D819" s="31"/>
      <c r="E819" s="29"/>
    </row>
    <row r="820" customFormat="false" ht="15" hidden="false" customHeight="false" outlineLevel="0" collapsed="false">
      <c r="A820" s="26"/>
      <c r="B820" s="27"/>
      <c r="C820" s="28"/>
      <c r="D820" s="31"/>
      <c r="E820" s="29"/>
    </row>
    <row r="821" customFormat="false" ht="15" hidden="false" customHeight="false" outlineLevel="0" collapsed="false">
      <c r="A821" s="26"/>
      <c r="B821" s="27"/>
      <c r="C821" s="28"/>
      <c r="D821" s="31"/>
      <c r="E821" s="29"/>
    </row>
    <row r="822" customFormat="false" ht="15" hidden="false" customHeight="false" outlineLevel="0" collapsed="false">
      <c r="A822" s="26"/>
      <c r="B822" s="27"/>
      <c r="C822" s="28"/>
      <c r="D822" s="31"/>
      <c r="E822" s="29"/>
    </row>
    <row r="823" customFormat="false" ht="15" hidden="false" customHeight="false" outlineLevel="0" collapsed="false">
      <c r="A823" s="26"/>
      <c r="B823" s="27"/>
      <c r="C823" s="28"/>
      <c r="D823" s="31"/>
      <c r="E823" s="29"/>
    </row>
    <row r="824" customFormat="false" ht="15" hidden="false" customHeight="false" outlineLevel="0" collapsed="false">
      <c r="A824" s="26"/>
      <c r="B824" s="27"/>
      <c r="C824" s="28"/>
      <c r="D824" s="31"/>
      <c r="E824" s="29"/>
    </row>
    <row r="825" customFormat="false" ht="15" hidden="false" customHeight="false" outlineLevel="0" collapsed="false">
      <c r="A825" s="26"/>
      <c r="B825" s="27"/>
      <c r="C825" s="28"/>
      <c r="D825" s="31"/>
      <c r="E825" s="29"/>
    </row>
    <row r="826" customFormat="false" ht="15" hidden="false" customHeight="false" outlineLevel="0" collapsed="false">
      <c r="A826" s="26"/>
      <c r="B826" s="27"/>
      <c r="C826" s="28"/>
      <c r="D826" s="31"/>
      <c r="E826" s="29"/>
    </row>
    <row r="827" customFormat="false" ht="15" hidden="false" customHeight="false" outlineLevel="0" collapsed="false">
      <c r="A827" s="26"/>
      <c r="B827" s="27"/>
      <c r="C827" s="28"/>
      <c r="D827" s="31"/>
      <c r="E827" s="29"/>
    </row>
    <row r="828" customFormat="false" ht="15" hidden="false" customHeight="false" outlineLevel="0" collapsed="false">
      <c r="A828" s="26"/>
      <c r="B828" s="27"/>
      <c r="C828" s="28"/>
      <c r="D828" s="31"/>
      <c r="E828" s="29"/>
    </row>
    <row r="829" customFormat="false" ht="15" hidden="false" customHeight="false" outlineLevel="0" collapsed="false">
      <c r="A829" s="26"/>
      <c r="B829" s="27"/>
      <c r="C829" s="28"/>
      <c r="D829" s="31"/>
      <c r="E829" s="29"/>
    </row>
    <row r="830" customFormat="false" ht="15" hidden="false" customHeight="false" outlineLevel="0" collapsed="false">
      <c r="A830" s="26"/>
      <c r="B830" s="27"/>
      <c r="C830" s="28"/>
      <c r="D830" s="31"/>
      <c r="E830" s="29"/>
    </row>
    <row r="831" customFormat="false" ht="15" hidden="false" customHeight="false" outlineLevel="0" collapsed="false">
      <c r="A831" s="26"/>
      <c r="B831" s="27"/>
      <c r="C831" s="28"/>
      <c r="D831" s="31"/>
      <c r="E831" s="29"/>
    </row>
    <row r="832" customFormat="false" ht="15" hidden="false" customHeight="false" outlineLevel="0" collapsed="false">
      <c r="A832" s="26"/>
      <c r="B832" s="27"/>
      <c r="C832" s="28"/>
      <c r="D832" s="31"/>
      <c r="E832" s="29"/>
    </row>
    <row r="833" customFormat="false" ht="15" hidden="false" customHeight="false" outlineLevel="0" collapsed="false">
      <c r="A833" s="26"/>
      <c r="B833" s="27"/>
      <c r="C833" s="28"/>
      <c r="D833" s="31"/>
      <c r="E833" s="29"/>
    </row>
    <row r="834" customFormat="false" ht="15" hidden="false" customHeight="false" outlineLevel="0" collapsed="false">
      <c r="A834" s="26"/>
      <c r="B834" s="27"/>
      <c r="C834" s="28"/>
      <c r="D834" s="31"/>
      <c r="E834" s="29"/>
    </row>
    <row r="835" customFormat="false" ht="15" hidden="false" customHeight="false" outlineLevel="0" collapsed="false">
      <c r="A835" s="26"/>
      <c r="B835" s="27"/>
      <c r="C835" s="28"/>
      <c r="D835" s="31"/>
      <c r="E835" s="29"/>
    </row>
    <row r="836" customFormat="false" ht="15" hidden="false" customHeight="false" outlineLevel="0" collapsed="false">
      <c r="A836" s="26"/>
      <c r="B836" s="27"/>
      <c r="C836" s="28"/>
      <c r="D836" s="31"/>
      <c r="E836" s="29"/>
    </row>
    <row r="837" customFormat="false" ht="15" hidden="false" customHeight="false" outlineLevel="0" collapsed="false">
      <c r="A837" s="26"/>
      <c r="B837" s="27"/>
      <c r="C837" s="28"/>
      <c r="D837" s="31"/>
      <c r="E837" s="29"/>
    </row>
    <row r="838" customFormat="false" ht="15" hidden="false" customHeight="false" outlineLevel="0" collapsed="false">
      <c r="A838" s="26"/>
      <c r="B838" s="27"/>
      <c r="C838" s="28"/>
      <c r="D838" s="31"/>
      <c r="E838" s="29"/>
    </row>
    <row r="839" customFormat="false" ht="15" hidden="false" customHeight="false" outlineLevel="0" collapsed="false">
      <c r="A839" s="26"/>
      <c r="B839" s="27"/>
      <c r="C839" s="28"/>
      <c r="D839" s="31"/>
      <c r="E839" s="29"/>
    </row>
    <row r="840" customFormat="false" ht="15" hidden="false" customHeight="false" outlineLevel="0" collapsed="false">
      <c r="A840" s="26"/>
      <c r="B840" s="27"/>
      <c r="C840" s="28"/>
      <c r="D840" s="31"/>
      <c r="E840" s="29"/>
    </row>
    <row r="841" customFormat="false" ht="15" hidden="false" customHeight="false" outlineLevel="0" collapsed="false">
      <c r="A841" s="26"/>
      <c r="B841" s="27"/>
      <c r="C841" s="28"/>
      <c r="D841" s="31"/>
      <c r="E841" s="29"/>
    </row>
    <row r="842" customFormat="false" ht="15" hidden="false" customHeight="false" outlineLevel="0" collapsed="false">
      <c r="A842" s="26"/>
      <c r="B842" s="27"/>
      <c r="C842" s="28"/>
      <c r="D842" s="31"/>
      <c r="E842" s="29"/>
    </row>
    <row r="843" customFormat="false" ht="15" hidden="false" customHeight="false" outlineLevel="0" collapsed="false">
      <c r="A843" s="26"/>
      <c r="B843" s="27"/>
      <c r="C843" s="28"/>
      <c r="D843" s="31"/>
      <c r="E843" s="29"/>
    </row>
    <row r="844" customFormat="false" ht="15" hidden="false" customHeight="false" outlineLevel="0" collapsed="false">
      <c r="A844" s="26"/>
      <c r="B844" s="27"/>
      <c r="C844" s="28"/>
      <c r="D844" s="31"/>
      <c r="E844" s="29"/>
    </row>
    <row r="845" customFormat="false" ht="15" hidden="false" customHeight="false" outlineLevel="0" collapsed="false">
      <c r="A845" s="26"/>
      <c r="B845" s="27"/>
      <c r="C845" s="28"/>
      <c r="D845" s="31"/>
      <c r="E845" s="29"/>
    </row>
    <row r="846" customFormat="false" ht="15" hidden="false" customHeight="false" outlineLevel="0" collapsed="false">
      <c r="A846" s="26"/>
      <c r="B846" s="27"/>
      <c r="C846" s="28"/>
      <c r="D846" s="31"/>
      <c r="E846" s="29"/>
    </row>
    <row r="847" customFormat="false" ht="15" hidden="false" customHeight="false" outlineLevel="0" collapsed="false">
      <c r="A847" s="26"/>
      <c r="B847" s="27"/>
      <c r="C847" s="28"/>
      <c r="D847" s="31"/>
      <c r="E847" s="29"/>
    </row>
    <row r="848" customFormat="false" ht="15" hidden="false" customHeight="false" outlineLevel="0" collapsed="false">
      <c r="A848" s="26"/>
      <c r="B848" s="27"/>
      <c r="C848" s="28"/>
      <c r="D848" s="31"/>
      <c r="E848" s="29"/>
    </row>
    <row r="849" customFormat="false" ht="15" hidden="false" customHeight="false" outlineLevel="0" collapsed="false">
      <c r="A849" s="26"/>
      <c r="B849" s="27"/>
      <c r="C849" s="28"/>
      <c r="D849" s="31"/>
      <c r="E849" s="29"/>
    </row>
    <row r="850" customFormat="false" ht="15" hidden="false" customHeight="false" outlineLevel="0" collapsed="false">
      <c r="A850" s="26"/>
      <c r="B850" s="27"/>
      <c r="C850" s="28"/>
      <c r="D850" s="31"/>
      <c r="E850" s="29"/>
    </row>
    <row r="851" customFormat="false" ht="15" hidden="false" customHeight="false" outlineLevel="0" collapsed="false">
      <c r="A851" s="26"/>
      <c r="B851" s="27"/>
      <c r="C851" s="28"/>
      <c r="D851" s="31"/>
      <c r="E851" s="29"/>
    </row>
    <row r="852" customFormat="false" ht="15" hidden="false" customHeight="false" outlineLevel="0" collapsed="false">
      <c r="A852" s="26"/>
      <c r="B852" s="27"/>
      <c r="C852" s="28"/>
      <c r="D852" s="31"/>
      <c r="E852" s="29"/>
    </row>
    <row r="853" customFormat="false" ht="15" hidden="false" customHeight="false" outlineLevel="0" collapsed="false">
      <c r="A853" s="26"/>
      <c r="B853" s="27"/>
      <c r="C853" s="28"/>
      <c r="D853" s="31"/>
      <c r="E853" s="29"/>
    </row>
    <row r="854" customFormat="false" ht="15" hidden="false" customHeight="false" outlineLevel="0" collapsed="false">
      <c r="A854" s="26"/>
      <c r="B854" s="27"/>
      <c r="C854" s="28"/>
      <c r="D854" s="31"/>
      <c r="E854" s="29"/>
    </row>
    <row r="855" customFormat="false" ht="15" hidden="false" customHeight="false" outlineLevel="0" collapsed="false">
      <c r="A855" s="26"/>
      <c r="B855" s="27"/>
      <c r="C855" s="28"/>
      <c r="D855" s="31"/>
      <c r="E855" s="29"/>
    </row>
    <row r="856" customFormat="false" ht="15" hidden="false" customHeight="false" outlineLevel="0" collapsed="false">
      <c r="A856" s="26"/>
      <c r="B856" s="27"/>
      <c r="C856" s="28"/>
      <c r="D856" s="31"/>
      <c r="E856" s="29"/>
    </row>
    <row r="857" customFormat="false" ht="15" hidden="false" customHeight="false" outlineLevel="0" collapsed="false">
      <c r="A857" s="26"/>
      <c r="B857" s="27"/>
      <c r="C857" s="28"/>
      <c r="D857" s="31"/>
      <c r="E857" s="29"/>
    </row>
    <row r="858" customFormat="false" ht="15" hidden="false" customHeight="false" outlineLevel="0" collapsed="false">
      <c r="A858" s="26"/>
      <c r="B858" s="27"/>
      <c r="C858" s="28"/>
      <c r="D858" s="31"/>
      <c r="E858" s="29"/>
    </row>
    <row r="859" customFormat="false" ht="15" hidden="false" customHeight="false" outlineLevel="0" collapsed="false">
      <c r="A859" s="26"/>
      <c r="B859" s="27"/>
      <c r="C859" s="28"/>
      <c r="D859" s="31"/>
      <c r="E859" s="29"/>
    </row>
    <row r="860" customFormat="false" ht="15" hidden="false" customHeight="false" outlineLevel="0" collapsed="false">
      <c r="A860" s="26"/>
      <c r="B860" s="27"/>
      <c r="C860" s="28"/>
      <c r="D860" s="31"/>
      <c r="E860" s="29"/>
    </row>
    <row r="861" customFormat="false" ht="15" hidden="false" customHeight="false" outlineLevel="0" collapsed="false">
      <c r="A861" s="26"/>
      <c r="B861" s="27"/>
      <c r="C861" s="28"/>
      <c r="D861" s="31"/>
      <c r="E861" s="29"/>
    </row>
    <row r="862" customFormat="false" ht="15" hidden="false" customHeight="false" outlineLevel="0" collapsed="false">
      <c r="A862" s="26"/>
      <c r="B862" s="27"/>
      <c r="C862" s="28"/>
      <c r="D862" s="31"/>
      <c r="E862" s="29"/>
    </row>
    <row r="863" customFormat="false" ht="15" hidden="false" customHeight="false" outlineLevel="0" collapsed="false">
      <c r="A863" s="26"/>
      <c r="B863" s="27"/>
      <c r="C863" s="28"/>
      <c r="D863" s="31"/>
      <c r="E863" s="29"/>
    </row>
    <row r="864" customFormat="false" ht="15" hidden="false" customHeight="false" outlineLevel="0" collapsed="false">
      <c r="A864" s="26"/>
      <c r="B864" s="27"/>
      <c r="C864" s="28"/>
      <c r="D864" s="31"/>
      <c r="E864" s="29"/>
    </row>
    <row r="865" customFormat="false" ht="15" hidden="false" customHeight="false" outlineLevel="0" collapsed="false">
      <c r="A865" s="26"/>
      <c r="B865" s="27"/>
      <c r="C865" s="28"/>
      <c r="D865" s="31"/>
      <c r="E865" s="29"/>
    </row>
    <row r="866" customFormat="false" ht="15" hidden="false" customHeight="false" outlineLevel="0" collapsed="false">
      <c r="A866" s="26"/>
      <c r="B866" s="27"/>
      <c r="C866" s="28"/>
      <c r="D866" s="31"/>
      <c r="E866" s="29"/>
    </row>
    <row r="867" customFormat="false" ht="15" hidden="false" customHeight="false" outlineLevel="0" collapsed="false">
      <c r="A867" s="26"/>
      <c r="B867" s="27"/>
      <c r="C867" s="28"/>
      <c r="D867" s="31"/>
      <c r="E867" s="29"/>
    </row>
    <row r="868" customFormat="false" ht="15" hidden="false" customHeight="false" outlineLevel="0" collapsed="false">
      <c r="A868" s="26"/>
      <c r="B868" s="27"/>
      <c r="C868" s="28"/>
      <c r="D868" s="31"/>
      <c r="E868" s="29"/>
    </row>
    <row r="869" customFormat="false" ht="15" hidden="false" customHeight="false" outlineLevel="0" collapsed="false">
      <c r="A869" s="26"/>
      <c r="B869" s="27"/>
      <c r="C869" s="28"/>
      <c r="D869" s="31"/>
      <c r="E869" s="29"/>
    </row>
    <row r="870" customFormat="false" ht="15" hidden="false" customHeight="false" outlineLevel="0" collapsed="false">
      <c r="A870" s="26"/>
      <c r="B870" s="27"/>
      <c r="C870" s="28"/>
      <c r="D870" s="31"/>
      <c r="E870" s="29"/>
    </row>
    <row r="871" customFormat="false" ht="15" hidden="false" customHeight="false" outlineLevel="0" collapsed="false">
      <c r="A871" s="26"/>
      <c r="B871" s="27"/>
      <c r="C871" s="28"/>
      <c r="D871" s="31"/>
      <c r="E871" s="29"/>
    </row>
    <row r="872" customFormat="false" ht="15" hidden="false" customHeight="false" outlineLevel="0" collapsed="false">
      <c r="A872" s="26"/>
      <c r="B872" s="27"/>
      <c r="C872" s="28"/>
      <c r="D872" s="31"/>
      <c r="E872" s="29"/>
    </row>
    <row r="873" customFormat="false" ht="15" hidden="false" customHeight="false" outlineLevel="0" collapsed="false">
      <c r="A873" s="26"/>
      <c r="B873" s="27"/>
      <c r="C873" s="28"/>
      <c r="D873" s="31"/>
      <c r="E873" s="29"/>
    </row>
    <row r="874" customFormat="false" ht="15" hidden="false" customHeight="false" outlineLevel="0" collapsed="false">
      <c r="A874" s="26"/>
      <c r="B874" s="27"/>
      <c r="C874" s="28"/>
      <c r="D874" s="31"/>
      <c r="E874" s="29"/>
    </row>
    <row r="875" customFormat="false" ht="15" hidden="false" customHeight="false" outlineLevel="0" collapsed="false">
      <c r="A875" s="26"/>
      <c r="B875" s="27"/>
      <c r="C875" s="28"/>
      <c r="D875" s="31"/>
      <c r="E875" s="29"/>
    </row>
    <row r="876" customFormat="false" ht="15" hidden="false" customHeight="false" outlineLevel="0" collapsed="false">
      <c r="A876" s="26"/>
      <c r="B876" s="27"/>
      <c r="C876" s="28"/>
      <c r="D876" s="31"/>
      <c r="E876" s="29"/>
    </row>
    <row r="877" customFormat="false" ht="15" hidden="false" customHeight="false" outlineLevel="0" collapsed="false">
      <c r="A877" s="26"/>
      <c r="B877" s="27"/>
      <c r="C877" s="28"/>
      <c r="D877" s="31"/>
      <c r="E877" s="29"/>
    </row>
    <row r="878" customFormat="false" ht="15" hidden="false" customHeight="false" outlineLevel="0" collapsed="false">
      <c r="A878" s="26"/>
      <c r="B878" s="27"/>
      <c r="C878" s="28"/>
      <c r="D878" s="31"/>
      <c r="E878" s="29"/>
    </row>
    <row r="879" customFormat="false" ht="15" hidden="false" customHeight="false" outlineLevel="0" collapsed="false">
      <c r="A879" s="26"/>
      <c r="B879" s="27"/>
      <c r="C879" s="28"/>
      <c r="D879" s="31"/>
      <c r="E879" s="29"/>
    </row>
    <row r="880" customFormat="false" ht="15" hidden="false" customHeight="false" outlineLevel="0" collapsed="false">
      <c r="A880" s="26"/>
      <c r="B880" s="27"/>
      <c r="C880" s="28"/>
      <c r="D880" s="31"/>
      <c r="E880" s="29"/>
    </row>
    <row r="881" customFormat="false" ht="15" hidden="false" customHeight="false" outlineLevel="0" collapsed="false">
      <c r="A881" s="26"/>
      <c r="B881" s="27"/>
      <c r="C881" s="28"/>
      <c r="D881" s="31"/>
      <c r="E881" s="29"/>
    </row>
    <row r="882" customFormat="false" ht="15" hidden="false" customHeight="false" outlineLevel="0" collapsed="false">
      <c r="A882" s="26"/>
      <c r="B882" s="27"/>
      <c r="C882" s="28"/>
      <c r="D882" s="31"/>
      <c r="E882" s="29"/>
    </row>
    <row r="883" customFormat="false" ht="15" hidden="false" customHeight="false" outlineLevel="0" collapsed="false">
      <c r="A883" s="26"/>
      <c r="B883" s="27"/>
      <c r="C883" s="28"/>
      <c r="D883" s="31"/>
      <c r="E883" s="29"/>
    </row>
    <row r="884" customFormat="false" ht="15" hidden="false" customHeight="false" outlineLevel="0" collapsed="false">
      <c r="A884" s="26"/>
      <c r="B884" s="27"/>
      <c r="C884" s="28"/>
      <c r="D884" s="31"/>
      <c r="E884" s="29"/>
    </row>
    <row r="885" customFormat="false" ht="15" hidden="false" customHeight="false" outlineLevel="0" collapsed="false">
      <c r="A885" s="26"/>
      <c r="B885" s="27"/>
      <c r="C885" s="28"/>
      <c r="D885" s="31"/>
      <c r="E885" s="29"/>
    </row>
    <row r="886" customFormat="false" ht="15" hidden="false" customHeight="false" outlineLevel="0" collapsed="false">
      <c r="A886" s="26"/>
      <c r="B886" s="27"/>
      <c r="C886" s="28"/>
      <c r="D886" s="31"/>
      <c r="E886" s="29"/>
    </row>
    <row r="887" customFormat="false" ht="15" hidden="false" customHeight="false" outlineLevel="0" collapsed="false">
      <c r="A887" s="26"/>
      <c r="B887" s="27"/>
      <c r="C887" s="28"/>
      <c r="D887" s="31"/>
      <c r="E887" s="29"/>
    </row>
    <row r="888" customFormat="false" ht="15" hidden="false" customHeight="false" outlineLevel="0" collapsed="false">
      <c r="A888" s="26"/>
      <c r="B888" s="27"/>
      <c r="C888" s="28"/>
      <c r="D888" s="31"/>
      <c r="E888" s="29"/>
    </row>
    <row r="889" customFormat="false" ht="15" hidden="false" customHeight="false" outlineLevel="0" collapsed="false">
      <c r="A889" s="26"/>
      <c r="B889" s="27"/>
      <c r="C889" s="28"/>
      <c r="D889" s="31"/>
      <c r="E889" s="29"/>
    </row>
    <row r="890" customFormat="false" ht="15" hidden="false" customHeight="false" outlineLevel="0" collapsed="false">
      <c r="A890" s="26"/>
      <c r="B890" s="27"/>
      <c r="C890" s="28"/>
      <c r="D890" s="31"/>
      <c r="E890" s="29"/>
    </row>
    <row r="891" customFormat="false" ht="15" hidden="false" customHeight="false" outlineLevel="0" collapsed="false">
      <c r="A891" s="26"/>
      <c r="B891" s="27"/>
      <c r="C891" s="28"/>
      <c r="D891" s="31"/>
      <c r="E891" s="29"/>
    </row>
    <row r="892" customFormat="false" ht="15" hidden="false" customHeight="false" outlineLevel="0" collapsed="false">
      <c r="A892" s="26"/>
      <c r="B892" s="27"/>
      <c r="C892" s="28"/>
      <c r="D892" s="31"/>
      <c r="E892" s="29"/>
    </row>
    <row r="893" customFormat="false" ht="15" hidden="false" customHeight="false" outlineLevel="0" collapsed="false">
      <c r="A893" s="26"/>
      <c r="B893" s="27"/>
      <c r="C893" s="28"/>
      <c r="D893" s="31"/>
      <c r="E893" s="29"/>
    </row>
    <row r="894" customFormat="false" ht="15" hidden="false" customHeight="false" outlineLevel="0" collapsed="false">
      <c r="A894" s="26"/>
      <c r="B894" s="27"/>
      <c r="C894" s="28"/>
      <c r="D894" s="31"/>
      <c r="E894" s="29"/>
    </row>
    <row r="895" customFormat="false" ht="15" hidden="false" customHeight="false" outlineLevel="0" collapsed="false">
      <c r="A895" s="26"/>
      <c r="B895" s="27"/>
      <c r="C895" s="28"/>
      <c r="D895" s="31"/>
      <c r="E895" s="29"/>
    </row>
    <row r="896" customFormat="false" ht="15" hidden="false" customHeight="false" outlineLevel="0" collapsed="false">
      <c r="A896" s="26"/>
      <c r="B896" s="27"/>
      <c r="C896" s="28"/>
      <c r="D896" s="31"/>
      <c r="E896" s="29"/>
    </row>
    <row r="897" customFormat="false" ht="15" hidden="false" customHeight="false" outlineLevel="0" collapsed="false">
      <c r="A897" s="26"/>
      <c r="B897" s="27"/>
      <c r="C897" s="28"/>
      <c r="D897" s="31"/>
      <c r="E897" s="29"/>
    </row>
    <row r="898" customFormat="false" ht="15" hidden="false" customHeight="false" outlineLevel="0" collapsed="false">
      <c r="A898" s="26"/>
      <c r="B898" s="27"/>
      <c r="C898" s="28"/>
      <c r="D898" s="31"/>
      <c r="E898" s="29"/>
    </row>
    <row r="899" customFormat="false" ht="15" hidden="false" customHeight="false" outlineLevel="0" collapsed="false">
      <c r="A899" s="26"/>
      <c r="B899" s="27"/>
      <c r="C899" s="28"/>
      <c r="D899" s="31"/>
      <c r="E899" s="29"/>
    </row>
    <row r="900" customFormat="false" ht="15" hidden="false" customHeight="false" outlineLevel="0" collapsed="false">
      <c r="A900" s="26"/>
      <c r="B900" s="27"/>
      <c r="C900" s="28"/>
      <c r="D900" s="31"/>
      <c r="E900" s="29"/>
    </row>
    <row r="901" customFormat="false" ht="15" hidden="false" customHeight="false" outlineLevel="0" collapsed="false">
      <c r="A901" s="26"/>
      <c r="B901" s="27"/>
      <c r="C901" s="28"/>
      <c r="D901" s="31"/>
      <c r="E901" s="29"/>
    </row>
    <row r="902" customFormat="false" ht="15" hidden="false" customHeight="false" outlineLevel="0" collapsed="false">
      <c r="A902" s="26"/>
      <c r="B902" s="27"/>
      <c r="C902" s="28"/>
      <c r="D902" s="31"/>
      <c r="E902" s="29"/>
    </row>
    <row r="903" customFormat="false" ht="15" hidden="false" customHeight="false" outlineLevel="0" collapsed="false">
      <c r="A903" s="26"/>
      <c r="B903" s="27"/>
      <c r="C903" s="28"/>
      <c r="D903" s="31"/>
      <c r="E903" s="29"/>
    </row>
    <row r="904" customFormat="false" ht="15" hidden="false" customHeight="false" outlineLevel="0" collapsed="false">
      <c r="A904" s="26"/>
      <c r="B904" s="27"/>
      <c r="C904" s="28"/>
      <c r="D904" s="31"/>
      <c r="E904" s="29"/>
    </row>
    <row r="905" customFormat="false" ht="15" hidden="false" customHeight="false" outlineLevel="0" collapsed="false">
      <c r="A905" s="26"/>
      <c r="B905" s="27"/>
      <c r="C905" s="28"/>
      <c r="D905" s="31"/>
      <c r="E905" s="29"/>
    </row>
    <row r="906" customFormat="false" ht="15" hidden="false" customHeight="false" outlineLevel="0" collapsed="false">
      <c r="A906" s="26"/>
      <c r="B906" s="27"/>
      <c r="C906" s="28"/>
      <c r="D906" s="31"/>
      <c r="E906" s="29"/>
    </row>
    <row r="907" customFormat="false" ht="15" hidden="false" customHeight="false" outlineLevel="0" collapsed="false">
      <c r="A907" s="26"/>
      <c r="B907" s="27"/>
      <c r="C907" s="28"/>
      <c r="D907" s="31"/>
      <c r="E907" s="29"/>
    </row>
    <row r="908" customFormat="false" ht="15" hidden="false" customHeight="false" outlineLevel="0" collapsed="false">
      <c r="A908" s="26"/>
      <c r="B908" s="27"/>
      <c r="C908" s="28"/>
      <c r="D908" s="31"/>
      <c r="E908" s="29"/>
    </row>
    <row r="909" customFormat="false" ht="15" hidden="false" customHeight="false" outlineLevel="0" collapsed="false">
      <c r="A909" s="26"/>
      <c r="B909" s="27"/>
      <c r="C909" s="28"/>
      <c r="D909" s="31"/>
      <c r="E909" s="29"/>
    </row>
    <row r="910" customFormat="false" ht="15" hidden="false" customHeight="false" outlineLevel="0" collapsed="false">
      <c r="A910" s="26"/>
      <c r="B910" s="27"/>
      <c r="C910" s="28"/>
      <c r="D910" s="31"/>
      <c r="E910" s="29"/>
    </row>
    <row r="911" customFormat="false" ht="15" hidden="false" customHeight="false" outlineLevel="0" collapsed="false">
      <c r="A911" s="26"/>
      <c r="B911" s="27"/>
      <c r="C911" s="28"/>
      <c r="D911" s="31"/>
      <c r="E911" s="29"/>
    </row>
    <row r="912" customFormat="false" ht="15" hidden="false" customHeight="false" outlineLevel="0" collapsed="false">
      <c r="A912" s="26"/>
      <c r="B912" s="27"/>
      <c r="C912" s="28"/>
      <c r="D912" s="31"/>
      <c r="E912" s="29"/>
    </row>
    <row r="913" customFormat="false" ht="15" hidden="false" customHeight="false" outlineLevel="0" collapsed="false">
      <c r="A913" s="26"/>
      <c r="B913" s="27"/>
      <c r="C913" s="28"/>
      <c r="D913" s="31"/>
      <c r="E913" s="29"/>
    </row>
    <row r="914" customFormat="false" ht="15" hidden="false" customHeight="false" outlineLevel="0" collapsed="false">
      <c r="A914" s="26"/>
      <c r="B914" s="27"/>
      <c r="C914" s="28"/>
      <c r="D914" s="31"/>
      <c r="E914" s="29"/>
    </row>
    <row r="915" customFormat="false" ht="15" hidden="false" customHeight="false" outlineLevel="0" collapsed="false">
      <c r="A915" s="26"/>
      <c r="B915" s="27"/>
      <c r="C915" s="28"/>
      <c r="D915" s="31"/>
      <c r="E915" s="29"/>
    </row>
    <row r="916" customFormat="false" ht="15" hidden="false" customHeight="false" outlineLevel="0" collapsed="false">
      <c r="A916" s="26"/>
      <c r="B916" s="27"/>
      <c r="C916" s="28"/>
      <c r="D916" s="31"/>
      <c r="E916" s="29"/>
    </row>
    <row r="917" customFormat="false" ht="15" hidden="false" customHeight="false" outlineLevel="0" collapsed="false">
      <c r="A917" s="26"/>
      <c r="B917" s="27"/>
      <c r="C917" s="28"/>
      <c r="D917" s="31"/>
      <c r="E917" s="29"/>
    </row>
    <row r="918" customFormat="false" ht="15" hidden="false" customHeight="false" outlineLevel="0" collapsed="false">
      <c r="A918" s="26"/>
      <c r="B918" s="27"/>
      <c r="C918" s="28"/>
      <c r="D918" s="31"/>
      <c r="E918" s="29"/>
    </row>
    <row r="919" customFormat="false" ht="15" hidden="false" customHeight="false" outlineLevel="0" collapsed="false">
      <c r="A919" s="26"/>
      <c r="B919" s="27"/>
      <c r="C919" s="28"/>
      <c r="D919" s="31"/>
      <c r="E919" s="29"/>
    </row>
    <row r="920" customFormat="false" ht="15" hidden="false" customHeight="false" outlineLevel="0" collapsed="false">
      <c r="A920" s="26"/>
      <c r="B920" s="27"/>
      <c r="C920" s="28"/>
      <c r="D920" s="31"/>
      <c r="E920" s="29"/>
    </row>
    <row r="921" customFormat="false" ht="15" hidden="false" customHeight="false" outlineLevel="0" collapsed="false">
      <c r="A921" s="26"/>
      <c r="B921" s="27"/>
      <c r="C921" s="28"/>
      <c r="D921" s="31"/>
      <c r="E921" s="29"/>
    </row>
    <row r="922" customFormat="false" ht="15" hidden="false" customHeight="false" outlineLevel="0" collapsed="false">
      <c r="A922" s="26"/>
      <c r="B922" s="27"/>
      <c r="C922" s="28"/>
      <c r="D922" s="31"/>
      <c r="E922" s="29"/>
    </row>
    <row r="923" customFormat="false" ht="15" hidden="false" customHeight="false" outlineLevel="0" collapsed="false">
      <c r="A923" s="26"/>
      <c r="B923" s="27"/>
      <c r="C923" s="28"/>
      <c r="D923" s="31"/>
      <c r="E923" s="29"/>
    </row>
    <row r="924" customFormat="false" ht="15" hidden="false" customHeight="false" outlineLevel="0" collapsed="false">
      <c r="A924" s="26"/>
      <c r="B924" s="27"/>
      <c r="C924" s="28"/>
      <c r="D924" s="31"/>
      <c r="E924" s="29"/>
    </row>
    <row r="925" customFormat="false" ht="15" hidden="false" customHeight="false" outlineLevel="0" collapsed="false">
      <c r="A925" s="26"/>
      <c r="B925" s="27"/>
      <c r="C925" s="28"/>
      <c r="D925" s="31"/>
      <c r="E925" s="29"/>
    </row>
    <row r="926" customFormat="false" ht="15" hidden="false" customHeight="false" outlineLevel="0" collapsed="false">
      <c r="A926" s="26"/>
      <c r="B926" s="27"/>
      <c r="C926" s="28"/>
      <c r="D926" s="31"/>
      <c r="E926" s="29"/>
    </row>
    <row r="927" customFormat="false" ht="15" hidden="false" customHeight="false" outlineLevel="0" collapsed="false">
      <c r="A927" s="26"/>
      <c r="B927" s="27"/>
      <c r="C927" s="28"/>
      <c r="D927" s="31"/>
      <c r="E927" s="29"/>
    </row>
    <row r="928" customFormat="false" ht="15" hidden="false" customHeight="false" outlineLevel="0" collapsed="false">
      <c r="A928" s="26"/>
      <c r="B928" s="27"/>
      <c r="C928" s="28"/>
      <c r="D928" s="31"/>
      <c r="E928" s="29"/>
    </row>
    <row r="929" customFormat="false" ht="15" hidden="false" customHeight="false" outlineLevel="0" collapsed="false">
      <c r="A929" s="26"/>
      <c r="B929" s="27"/>
      <c r="C929" s="28"/>
      <c r="D929" s="31"/>
      <c r="E929" s="29"/>
    </row>
    <row r="930" customFormat="false" ht="15" hidden="false" customHeight="false" outlineLevel="0" collapsed="false">
      <c r="A930" s="26"/>
      <c r="B930" s="27"/>
      <c r="C930" s="28"/>
      <c r="D930" s="31"/>
      <c r="E930" s="29"/>
    </row>
    <row r="931" customFormat="false" ht="15" hidden="false" customHeight="false" outlineLevel="0" collapsed="false">
      <c r="A931" s="26"/>
      <c r="B931" s="27"/>
      <c r="C931" s="28"/>
      <c r="D931" s="31"/>
      <c r="E931" s="29"/>
    </row>
    <row r="932" customFormat="false" ht="15" hidden="false" customHeight="false" outlineLevel="0" collapsed="false">
      <c r="A932" s="26"/>
      <c r="B932" s="27"/>
      <c r="C932" s="28"/>
      <c r="D932" s="31"/>
      <c r="E932" s="29"/>
    </row>
    <row r="933" customFormat="false" ht="15" hidden="false" customHeight="false" outlineLevel="0" collapsed="false">
      <c r="A933" s="26"/>
      <c r="B933" s="27"/>
      <c r="C933" s="28"/>
      <c r="D933" s="31"/>
      <c r="E933" s="29"/>
    </row>
    <row r="934" customFormat="false" ht="15" hidden="false" customHeight="false" outlineLevel="0" collapsed="false">
      <c r="A934" s="26"/>
      <c r="B934" s="27"/>
      <c r="C934" s="28"/>
      <c r="D934" s="31"/>
      <c r="E934" s="29"/>
    </row>
    <row r="935" customFormat="false" ht="15" hidden="false" customHeight="false" outlineLevel="0" collapsed="false">
      <c r="A935" s="26"/>
      <c r="B935" s="27"/>
      <c r="C935" s="28"/>
      <c r="D935" s="31"/>
      <c r="E935" s="29"/>
    </row>
    <row r="936" customFormat="false" ht="15" hidden="false" customHeight="false" outlineLevel="0" collapsed="false">
      <c r="A936" s="26"/>
      <c r="B936" s="27"/>
      <c r="C936" s="28"/>
      <c r="D936" s="31"/>
      <c r="E936" s="29"/>
    </row>
    <row r="937" customFormat="false" ht="15" hidden="false" customHeight="false" outlineLevel="0" collapsed="false">
      <c r="A937" s="26"/>
      <c r="B937" s="27"/>
      <c r="C937" s="28"/>
      <c r="D937" s="31"/>
      <c r="E937" s="29"/>
    </row>
    <row r="938" customFormat="false" ht="15" hidden="false" customHeight="false" outlineLevel="0" collapsed="false">
      <c r="A938" s="26"/>
      <c r="B938" s="27"/>
      <c r="C938" s="28"/>
      <c r="D938" s="31"/>
      <c r="E938" s="29"/>
    </row>
    <row r="939" customFormat="false" ht="15" hidden="false" customHeight="false" outlineLevel="0" collapsed="false">
      <c r="A939" s="26"/>
      <c r="B939" s="27"/>
      <c r="C939" s="28"/>
      <c r="D939" s="31"/>
      <c r="E939" s="29"/>
    </row>
    <row r="940" customFormat="false" ht="15" hidden="false" customHeight="false" outlineLevel="0" collapsed="false">
      <c r="A940" s="26"/>
      <c r="B940" s="27"/>
      <c r="C940" s="28"/>
      <c r="D940" s="31"/>
      <c r="E940" s="29"/>
    </row>
    <row r="941" customFormat="false" ht="15" hidden="false" customHeight="false" outlineLevel="0" collapsed="false">
      <c r="A941" s="26"/>
      <c r="B941" s="27"/>
      <c r="C941" s="28"/>
      <c r="D941" s="31"/>
      <c r="E941" s="29"/>
    </row>
    <row r="942" customFormat="false" ht="15" hidden="false" customHeight="false" outlineLevel="0" collapsed="false">
      <c r="A942" s="26"/>
      <c r="B942" s="27"/>
      <c r="C942" s="28"/>
      <c r="D942" s="31"/>
      <c r="E942" s="29"/>
    </row>
    <row r="943" customFormat="false" ht="15" hidden="false" customHeight="false" outlineLevel="0" collapsed="false">
      <c r="A943" s="26"/>
      <c r="B943" s="27"/>
      <c r="C943" s="28"/>
      <c r="D943" s="31"/>
      <c r="E943" s="29"/>
    </row>
    <row r="944" customFormat="false" ht="15" hidden="false" customHeight="false" outlineLevel="0" collapsed="false">
      <c r="A944" s="26"/>
      <c r="B944" s="27"/>
      <c r="C944" s="28"/>
      <c r="D944" s="31"/>
      <c r="E944" s="29"/>
    </row>
    <row r="945" customFormat="false" ht="15" hidden="false" customHeight="false" outlineLevel="0" collapsed="false">
      <c r="A945" s="26"/>
      <c r="B945" s="27"/>
      <c r="C945" s="28"/>
      <c r="D945" s="31"/>
      <c r="E945" s="29"/>
    </row>
    <row r="946" customFormat="false" ht="15" hidden="false" customHeight="false" outlineLevel="0" collapsed="false">
      <c r="A946" s="26"/>
      <c r="B946" s="27"/>
      <c r="C946" s="28"/>
      <c r="D946" s="31"/>
      <c r="E946" s="29"/>
    </row>
    <row r="947" customFormat="false" ht="15" hidden="false" customHeight="false" outlineLevel="0" collapsed="false">
      <c r="A947" s="26"/>
      <c r="B947" s="27"/>
      <c r="C947" s="28"/>
      <c r="D947" s="31"/>
      <c r="E947" s="29"/>
    </row>
    <row r="948" customFormat="false" ht="15" hidden="false" customHeight="false" outlineLevel="0" collapsed="false">
      <c r="A948" s="26"/>
      <c r="B948" s="27"/>
      <c r="C948" s="28"/>
      <c r="D948" s="31"/>
      <c r="E948" s="29"/>
    </row>
    <row r="949" customFormat="false" ht="15" hidden="false" customHeight="false" outlineLevel="0" collapsed="false">
      <c r="A949" s="26"/>
      <c r="B949" s="27"/>
      <c r="C949" s="28"/>
      <c r="D949" s="31"/>
      <c r="E949" s="29"/>
    </row>
    <row r="950" customFormat="false" ht="15" hidden="false" customHeight="false" outlineLevel="0" collapsed="false">
      <c r="A950" s="26"/>
      <c r="B950" s="27"/>
      <c r="C950" s="28"/>
      <c r="D950" s="31"/>
      <c r="E950" s="29"/>
    </row>
    <row r="951" customFormat="false" ht="15" hidden="false" customHeight="false" outlineLevel="0" collapsed="false">
      <c r="A951" s="26"/>
      <c r="B951" s="27"/>
      <c r="C951" s="28"/>
      <c r="D951" s="31"/>
      <c r="E951" s="29"/>
    </row>
    <row r="952" customFormat="false" ht="15" hidden="false" customHeight="false" outlineLevel="0" collapsed="false">
      <c r="A952" s="26"/>
      <c r="B952" s="27"/>
      <c r="C952" s="28"/>
      <c r="D952" s="31"/>
      <c r="E952" s="29"/>
    </row>
    <row r="953" customFormat="false" ht="15" hidden="false" customHeight="false" outlineLevel="0" collapsed="false">
      <c r="A953" s="26"/>
      <c r="B953" s="27"/>
      <c r="C953" s="28"/>
      <c r="D953" s="31"/>
      <c r="E953" s="29"/>
    </row>
    <row r="954" customFormat="false" ht="15" hidden="false" customHeight="false" outlineLevel="0" collapsed="false">
      <c r="A954" s="26"/>
      <c r="B954" s="27"/>
      <c r="C954" s="28"/>
      <c r="D954" s="31"/>
      <c r="E954" s="29"/>
    </row>
    <row r="955" customFormat="false" ht="15" hidden="false" customHeight="false" outlineLevel="0" collapsed="false">
      <c r="A955" s="26"/>
      <c r="B955" s="27"/>
      <c r="C955" s="28"/>
      <c r="D955" s="31"/>
      <c r="E955" s="29"/>
    </row>
    <row r="956" customFormat="false" ht="15" hidden="false" customHeight="false" outlineLevel="0" collapsed="false">
      <c r="A956" s="26"/>
      <c r="B956" s="27"/>
      <c r="C956" s="28"/>
      <c r="D956" s="31"/>
      <c r="E956" s="29"/>
    </row>
    <row r="957" customFormat="false" ht="15" hidden="false" customHeight="false" outlineLevel="0" collapsed="false">
      <c r="A957" s="26"/>
      <c r="B957" s="27"/>
      <c r="C957" s="28"/>
      <c r="D957" s="31"/>
      <c r="E957" s="29"/>
    </row>
    <row r="958" customFormat="false" ht="15" hidden="false" customHeight="false" outlineLevel="0" collapsed="false">
      <c r="A958" s="26"/>
      <c r="B958" s="27"/>
      <c r="C958" s="28"/>
      <c r="D958" s="31"/>
      <c r="E958" s="29"/>
    </row>
    <row r="959" customFormat="false" ht="15" hidden="false" customHeight="false" outlineLevel="0" collapsed="false">
      <c r="A959" s="26"/>
      <c r="B959" s="27"/>
      <c r="C959" s="28"/>
      <c r="D959" s="31"/>
      <c r="E959" s="29"/>
    </row>
    <row r="960" customFormat="false" ht="15" hidden="false" customHeight="false" outlineLevel="0" collapsed="false">
      <c r="A960" s="26"/>
      <c r="B960" s="27"/>
      <c r="C960" s="28"/>
      <c r="D960" s="31"/>
      <c r="E960" s="29"/>
    </row>
    <row r="961" customFormat="false" ht="15" hidden="false" customHeight="false" outlineLevel="0" collapsed="false">
      <c r="A961" s="26"/>
      <c r="B961" s="27"/>
      <c r="C961" s="28"/>
      <c r="D961" s="31"/>
      <c r="E961" s="29"/>
    </row>
    <row r="962" customFormat="false" ht="15" hidden="false" customHeight="false" outlineLevel="0" collapsed="false">
      <c r="A962" s="26"/>
      <c r="B962" s="27"/>
      <c r="C962" s="28"/>
      <c r="D962" s="31"/>
      <c r="E962" s="29"/>
    </row>
    <row r="963" customFormat="false" ht="15" hidden="false" customHeight="false" outlineLevel="0" collapsed="false">
      <c r="A963" s="26"/>
      <c r="B963" s="27"/>
      <c r="C963" s="28"/>
      <c r="D963" s="31"/>
      <c r="E963" s="29"/>
    </row>
    <row r="964" customFormat="false" ht="15" hidden="false" customHeight="false" outlineLevel="0" collapsed="false">
      <c r="A964" s="26"/>
      <c r="B964" s="27"/>
      <c r="C964" s="28"/>
      <c r="D964" s="31"/>
      <c r="E964" s="29"/>
    </row>
    <row r="965" customFormat="false" ht="15" hidden="false" customHeight="false" outlineLevel="0" collapsed="false">
      <c r="A965" s="26"/>
      <c r="B965" s="27"/>
      <c r="C965" s="28"/>
      <c r="D965" s="31"/>
      <c r="E965" s="29"/>
    </row>
    <row r="966" customFormat="false" ht="15" hidden="false" customHeight="false" outlineLevel="0" collapsed="false">
      <c r="A966" s="26"/>
      <c r="B966" s="27"/>
      <c r="C966" s="28"/>
      <c r="D966" s="31"/>
      <c r="E966" s="29"/>
    </row>
    <row r="967" customFormat="false" ht="15" hidden="false" customHeight="false" outlineLevel="0" collapsed="false">
      <c r="A967" s="26"/>
      <c r="B967" s="27"/>
      <c r="C967" s="28"/>
      <c r="D967" s="31"/>
      <c r="E967" s="29"/>
    </row>
    <row r="968" customFormat="false" ht="15" hidden="false" customHeight="false" outlineLevel="0" collapsed="false">
      <c r="A968" s="26"/>
      <c r="B968" s="27"/>
      <c r="C968" s="28"/>
      <c r="D968" s="31"/>
      <c r="E968" s="29"/>
    </row>
    <row r="969" customFormat="false" ht="15" hidden="false" customHeight="false" outlineLevel="0" collapsed="false">
      <c r="A969" s="26"/>
      <c r="B969" s="27"/>
      <c r="C969" s="28"/>
      <c r="D969" s="31"/>
      <c r="E969" s="29"/>
    </row>
    <row r="970" customFormat="false" ht="15" hidden="false" customHeight="false" outlineLevel="0" collapsed="false">
      <c r="A970" s="26"/>
      <c r="B970" s="27"/>
      <c r="C970" s="28"/>
      <c r="D970" s="31"/>
      <c r="E970" s="29"/>
    </row>
    <row r="971" customFormat="false" ht="15" hidden="false" customHeight="false" outlineLevel="0" collapsed="false">
      <c r="A971" s="26"/>
      <c r="B971" s="27"/>
      <c r="C971" s="28"/>
      <c r="D971" s="31"/>
      <c r="E971" s="29"/>
    </row>
    <row r="972" customFormat="false" ht="15" hidden="false" customHeight="false" outlineLevel="0" collapsed="false">
      <c r="A972" s="26"/>
      <c r="B972" s="27"/>
      <c r="C972" s="28"/>
      <c r="D972" s="31"/>
      <c r="E972" s="29"/>
    </row>
    <row r="973" customFormat="false" ht="15" hidden="false" customHeight="false" outlineLevel="0" collapsed="false">
      <c r="A973" s="26"/>
      <c r="B973" s="27"/>
      <c r="C973" s="28"/>
      <c r="D973" s="31"/>
      <c r="E973" s="29"/>
    </row>
    <row r="974" customFormat="false" ht="15" hidden="false" customHeight="false" outlineLevel="0" collapsed="false">
      <c r="A974" s="26"/>
      <c r="B974" s="27"/>
      <c r="C974" s="28"/>
      <c r="D974" s="31"/>
      <c r="E974" s="29"/>
    </row>
    <row r="975" customFormat="false" ht="15" hidden="false" customHeight="false" outlineLevel="0" collapsed="false">
      <c r="A975" s="26"/>
      <c r="B975" s="27"/>
      <c r="C975" s="28"/>
      <c r="D975" s="31"/>
      <c r="E975" s="29"/>
    </row>
    <row r="976" customFormat="false" ht="15" hidden="false" customHeight="false" outlineLevel="0" collapsed="false">
      <c r="A976" s="26"/>
      <c r="B976" s="27"/>
      <c r="C976" s="28"/>
      <c r="D976" s="31"/>
      <c r="E976" s="29"/>
    </row>
    <row r="977" customFormat="false" ht="15" hidden="false" customHeight="false" outlineLevel="0" collapsed="false">
      <c r="A977" s="26"/>
      <c r="B977" s="27"/>
      <c r="C977" s="28"/>
      <c r="D977" s="31"/>
      <c r="E977" s="29"/>
    </row>
    <row r="978" customFormat="false" ht="15" hidden="false" customHeight="false" outlineLevel="0" collapsed="false">
      <c r="A978" s="26"/>
      <c r="B978" s="27"/>
      <c r="C978" s="28"/>
      <c r="D978" s="31"/>
      <c r="E978" s="29"/>
    </row>
    <row r="979" customFormat="false" ht="15" hidden="false" customHeight="false" outlineLevel="0" collapsed="false">
      <c r="A979" s="26"/>
      <c r="B979" s="27"/>
      <c r="C979" s="28"/>
      <c r="D979" s="31"/>
      <c r="E979" s="29"/>
    </row>
    <row r="980" customFormat="false" ht="15" hidden="false" customHeight="false" outlineLevel="0" collapsed="false">
      <c r="A980" s="26"/>
      <c r="B980" s="27"/>
      <c r="C980" s="28"/>
      <c r="D980" s="31"/>
      <c r="E980" s="29"/>
    </row>
    <row r="981" customFormat="false" ht="15" hidden="false" customHeight="false" outlineLevel="0" collapsed="false">
      <c r="A981" s="26"/>
      <c r="B981" s="27"/>
      <c r="C981" s="28"/>
      <c r="D981" s="31"/>
      <c r="E981" s="29"/>
    </row>
    <row r="982" customFormat="false" ht="15" hidden="false" customHeight="false" outlineLevel="0" collapsed="false">
      <c r="A982" s="26"/>
      <c r="B982" s="27"/>
      <c r="C982" s="28"/>
      <c r="D982" s="31"/>
      <c r="E982" s="29"/>
    </row>
    <row r="983" customFormat="false" ht="15" hidden="false" customHeight="false" outlineLevel="0" collapsed="false">
      <c r="A983" s="26"/>
      <c r="B983" s="27"/>
      <c r="C983" s="28"/>
      <c r="D983" s="31"/>
      <c r="E983" s="29"/>
    </row>
    <row r="984" customFormat="false" ht="15" hidden="false" customHeight="false" outlineLevel="0" collapsed="false">
      <c r="A984" s="26"/>
      <c r="B984" s="27"/>
      <c r="C984" s="28"/>
      <c r="D984" s="31"/>
      <c r="E984" s="29"/>
    </row>
    <row r="985" customFormat="false" ht="15" hidden="false" customHeight="false" outlineLevel="0" collapsed="false">
      <c r="A985" s="26"/>
      <c r="B985" s="27"/>
      <c r="C985" s="28"/>
      <c r="D985" s="31"/>
      <c r="E985" s="29"/>
    </row>
    <row r="986" customFormat="false" ht="15" hidden="false" customHeight="false" outlineLevel="0" collapsed="false">
      <c r="A986" s="26"/>
      <c r="B986" s="27"/>
      <c r="C986" s="28"/>
      <c r="D986" s="31"/>
      <c r="E986" s="29"/>
    </row>
    <row r="987" customFormat="false" ht="15" hidden="false" customHeight="false" outlineLevel="0" collapsed="false">
      <c r="A987" s="26"/>
      <c r="B987" s="27"/>
      <c r="C987" s="28"/>
      <c r="D987" s="31"/>
      <c r="E987" s="29"/>
    </row>
    <row r="988" customFormat="false" ht="15" hidden="false" customHeight="false" outlineLevel="0" collapsed="false">
      <c r="A988" s="26"/>
      <c r="B988" s="27"/>
      <c r="C988" s="28"/>
      <c r="D988" s="31"/>
      <c r="E988" s="29"/>
    </row>
    <row r="989" customFormat="false" ht="15" hidden="false" customHeight="false" outlineLevel="0" collapsed="false">
      <c r="A989" s="26"/>
      <c r="B989" s="27"/>
      <c r="C989" s="28"/>
      <c r="D989" s="31"/>
      <c r="E989" s="29"/>
    </row>
    <row r="990" customFormat="false" ht="15" hidden="false" customHeight="false" outlineLevel="0" collapsed="false">
      <c r="A990" s="26"/>
      <c r="B990" s="27"/>
      <c r="C990" s="28"/>
      <c r="D990" s="31"/>
      <c r="E990" s="29"/>
    </row>
    <row r="991" customFormat="false" ht="15" hidden="false" customHeight="false" outlineLevel="0" collapsed="false">
      <c r="A991" s="26"/>
      <c r="B991" s="27"/>
      <c r="C991" s="28"/>
      <c r="D991" s="31"/>
      <c r="E991" s="29"/>
    </row>
    <row r="992" customFormat="false" ht="15" hidden="false" customHeight="false" outlineLevel="0" collapsed="false">
      <c r="A992" s="26"/>
      <c r="B992" s="27"/>
      <c r="C992" s="28"/>
      <c r="D992" s="31"/>
      <c r="E992" s="29"/>
    </row>
    <row r="993" customFormat="false" ht="15" hidden="false" customHeight="false" outlineLevel="0" collapsed="false">
      <c r="A993" s="26"/>
      <c r="B993" s="27"/>
      <c r="C993" s="28"/>
      <c r="D993" s="31"/>
      <c r="E993" s="29"/>
    </row>
    <row r="994" customFormat="false" ht="15" hidden="false" customHeight="false" outlineLevel="0" collapsed="false">
      <c r="A994" s="26"/>
      <c r="B994" s="27"/>
      <c r="C994" s="28"/>
      <c r="D994" s="31"/>
      <c r="E994" s="29"/>
    </row>
    <row r="995" customFormat="false" ht="15" hidden="false" customHeight="false" outlineLevel="0" collapsed="false">
      <c r="A995" s="26"/>
      <c r="B995" s="27"/>
      <c r="C995" s="28"/>
      <c r="D995" s="31"/>
      <c r="E995" s="29"/>
    </row>
    <row r="996" customFormat="false" ht="15" hidden="false" customHeight="false" outlineLevel="0" collapsed="false">
      <c r="A996" s="26"/>
      <c r="B996" s="27"/>
      <c r="C996" s="28"/>
      <c r="D996" s="31"/>
      <c r="E996" s="29"/>
    </row>
    <row r="997" customFormat="false" ht="15" hidden="false" customHeight="false" outlineLevel="0" collapsed="false">
      <c r="A997" s="26"/>
      <c r="B997" s="27"/>
      <c r="C997" s="28"/>
      <c r="D997" s="31"/>
      <c r="E997" s="29"/>
    </row>
    <row r="998" customFormat="false" ht="15" hidden="false" customHeight="false" outlineLevel="0" collapsed="false">
      <c r="A998" s="26"/>
      <c r="B998" s="27"/>
      <c r="C998" s="28"/>
      <c r="D998" s="31"/>
      <c r="E998" s="29"/>
    </row>
    <row r="999" customFormat="false" ht="15" hidden="false" customHeight="false" outlineLevel="0" collapsed="false">
      <c r="A999" s="26"/>
      <c r="B999" s="27"/>
      <c r="C999" s="28"/>
      <c r="D999" s="31"/>
      <c r="E999" s="29"/>
    </row>
    <row r="1000" customFormat="false" ht="15" hidden="false" customHeight="false" outlineLevel="0" collapsed="false">
      <c r="A1000" s="26"/>
      <c r="B1000" s="27"/>
      <c r="C1000" s="28"/>
      <c r="D1000" s="31"/>
      <c r="E1000" s="29"/>
    </row>
    <row r="1001" customFormat="false" ht="15" hidden="false" customHeight="false" outlineLevel="0" collapsed="false">
      <c r="A1001" s="26"/>
      <c r="B1001" s="27"/>
      <c r="C1001" s="28"/>
      <c r="D1001" s="31"/>
      <c r="E1001" s="29"/>
    </row>
    <row r="1002" customFormat="false" ht="15" hidden="false" customHeight="false" outlineLevel="0" collapsed="false">
      <c r="A1002" s="26"/>
      <c r="B1002" s="27"/>
      <c r="C1002" s="28"/>
      <c r="D1002" s="31"/>
      <c r="E1002" s="29"/>
    </row>
    <row r="1003" customFormat="false" ht="15" hidden="false" customHeight="false" outlineLevel="0" collapsed="false">
      <c r="A1003" s="26"/>
      <c r="B1003" s="27"/>
      <c r="C1003" s="28"/>
      <c r="D1003" s="31"/>
      <c r="E1003" s="29"/>
    </row>
    <row r="1004" customFormat="false" ht="15" hidden="false" customHeight="false" outlineLevel="0" collapsed="false">
      <c r="A1004" s="26"/>
      <c r="B1004" s="26"/>
      <c r="C1004" s="26"/>
    </row>
    <row r="1006" customFormat="false" ht="19.5" hidden="false" customHeight="true" outlineLevel="0" collapsed="false">
      <c r="A1006" s="11" t="s">
        <v>71</v>
      </c>
      <c r="B1006" s="11"/>
      <c r="C1006" s="11"/>
      <c r="D1006" s="11"/>
      <c r="E1006" s="11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/>
      <c r="V1006" s="11"/>
      <c r="W1006" s="11"/>
      <c r="X1006" s="11"/>
      <c r="Y1006" s="11"/>
      <c r="Z1006" s="11"/>
      <c r="AA1006" s="11"/>
      <c r="AB1006" s="11"/>
      <c r="AC1006" s="11"/>
      <c r="AD1006" s="11"/>
      <c r="AE1006" s="11"/>
      <c r="AF1006" s="11"/>
      <c r="AG1006" s="11"/>
      <c r="AH1006" s="11"/>
      <c r="AI1006" s="11"/>
      <c r="AJ1006" s="11"/>
      <c r="AK1006" s="11"/>
      <c r="AL1006" s="11"/>
      <c r="AM1006" s="11"/>
      <c r="AN1006" s="11"/>
    </row>
  </sheetData>
  <sheetProtection sheet="true" password="cc3d" objects="true" scenarios="true" deleteColumns="false" deleteRows="false"/>
  <mergeCells count="3">
    <mergeCell ref="A1:AD1"/>
    <mergeCell ref="A3:F3"/>
    <mergeCell ref="A1006:AN1006"/>
  </mergeCells>
  <conditionalFormatting sqref="D6">
    <cfRule type="cellIs" priority="2" operator="greaterThan" aboveAverage="0" equalAverage="0" bottom="0" percent="0" rank="0" text="" dxfId="10">
      <formula>GecOdemeEsik</formula>
    </cfRule>
  </conditionalFormatting>
  <conditionalFormatting sqref="E6">
    <cfRule type="cellIs" priority="3" operator="greaterThan" aboveAverage="0" equalAverage="0" bottom="0" percent="0" rank="0" text="" dxfId="8">
      <formula>0</formula>
    </cfRule>
  </conditionalFormatting>
  <conditionalFormatting sqref="D7">
    <cfRule type="cellIs" priority="4" operator="greaterThan" aboveAverage="0" equalAverage="0" bottom="0" percent="0" rank="0" text="" dxfId="10">
      <formula>GecOdemeEsik</formula>
    </cfRule>
  </conditionalFormatting>
  <conditionalFormatting sqref="E7">
    <cfRule type="cellIs" priority="5" operator="greaterThan" aboveAverage="0" equalAverage="0" bottom="0" percent="0" rank="0" text="" dxfId="8">
      <formula>0</formula>
    </cfRule>
  </conditionalFormatting>
  <conditionalFormatting sqref="D8">
    <cfRule type="cellIs" priority="6" operator="greaterThan" aboveAverage="0" equalAverage="0" bottom="0" percent="0" rank="0" text="" dxfId="10">
      <formula>GecOdemeEsik</formula>
    </cfRule>
  </conditionalFormatting>
  <conditionalFormatting sqref="E8">
    <cfRule type="cellIs" priority="7" operator="greaterThan" aboveAverage="0" equalAverage="0" bottom="0" percent="0" rank="0" text="" dxfId="8">
      <formula>0</formula>
    </cfRule>
  </conditionalFormatting>
  <conditionalFormatting sqref="D9">
    <cfRule type="cellIs" priority="8" operator="greaterThan" aboveAverage="0" equalAverage="0" bottom="0" percent="0" rank="0" text="" dxfId="10">
      <formula>GecOdemeEsik</formula>
    </cfRule>
  </conditionalFormatting>
  <conditionalFormatting sqref="E9">
    <cfRule type="cellIs" priority="9" operator="greaterThan" aboveAverage="0" equalAverage="0" bottom="0" percent="0" rank="0" text="" dxfId="8">
      <formula>0</formula>
    </cfRule>
  </conditionalFormatting>
  <conditionalFormatting sqref="D10">
    <cfRule type="cellIs" priority="10" operator="greaterThan" aboveAverage="0" equalAverage="0" bottom="0" percent="0" rank="0" text="" dxfId="10">
      <formula>GecOdemeEsik</formula>
    </cfRule>
  </conditionalFormatting>
  <conditionalFormatting sqref="E10">
    <cfRule type="cellIs" priority="11" operator="greaterThan" aboveAverage="0" equalAverage="0" bottom="0" percent="0" rank="0" text="" dxfId="8">
      <formula>0</formula>
    </cfRule>
  </conditionalFormatting>
  <conditionalFormatting sqref="D11">
    <cfRule type="cellIs" priority="12" operator="greaterThan" aboveAverage="0" equalAverage="0" bottom="0" percent="0" rank="0" text="" dxfId="10">
      <formula>GecOdemeEsik</formula>
    </cfRule>
  </conditionalFormatting>
  <conditionalFormatting sqref="E11">
    <cfRule type="cellIs" priority="13" operator="greaterThan" aboveAverage="0" equalAverage="0" bottom="0" percent="0" rank="0" text="" dxfId="8">
      <formula>0</formula>
    </cfRule>
  </conditionalFormatting>
  <conditionalFormatting sqref="D12">
    <cfRule type="cellIs" priority="14" operator="greaterThan" aboveAverage="0" equalAverage="0" bottom="0" percent="0" rank="0" text="" dxfId="10">
      <formula>GecOdemeEsik</formula>
    </cfRule>
  </conditionalFormatting>
  <conditionalFormatting sqref="E12">
    <cfRule type="cellIs" priority="15" operator="greaterThan" aboveAverage="0" equalAverage="0" bottom="0" percent="0" rank="0" text="" dxfId="8">
      <formula>0</formula>
    </cfRule>
  </conditionalFormatting>
  <conditionalFormatting sqref="D13">
    <cfRule type="cellIs" priority="16" operator="greaterThan" aboveAverage="0" equalAverage="0" bottom="0" percent="0" rank="0" text="" dxfId="10">
      <formula>GecOdemeEsik</formula>
    </cfRule>
  </conditionalFormatting>
  <conditionalFormatting sqref="E13">
    <cfRule type="cellIs" priority="17" operator="greaterThan" aboveAverage="0" equalAverage="0" bottom="0" percent="0" rank="0" text="" dxfId="8">
      <formula>0</formula>
    </cfRule>
  </conditionalFormatting>
  <conditionalFormatting sqref="D14">
    <cfRule type="cellIs" priority="18" operator="greaterThan" aboveAverage="0" equalAverage="0" bottom="0" percent="0" rank="0" text="" dxfId="10">
      <formula>GecOdemeEsik</formula>
    </cfRule>
  </conditionalFormatting>
  <conditionalFormatting sqref="E14">
    <cfRule type="cellIs" priority="19" operator="greaterThan" aboveAverage="0" equalAverage="0" bottom="0" percent="0" rank="0" text="" dxfId="8">
      <formula>0</formula>
    </cfRule>
  </conditionalFormatting>
  <conditionalFormatting sqref="D15">
    <cfRule type="cellIs" priority="20" operator="greaterThan" aboveAverage="0" equalAverage="0" bottom="0" percent="0" rank="0" text="" dxfId="10">
      <formula>GecOdemeEsik</formula>
    </cfRule>
  </conditionalFormatting>
  <conditionalFormatting sqref="E15">
    <cfRule type="cellIs" priority="21" operator="greaterThan" aboveAverage="0" equalAverage="0" bottom="0" percent="0" rank="0" text="" dxfId="8">
      <formula>0</formula>
    </cfRule>
  </conditionalFormatting>
  <conditionalFormatting sqref="D16">
    <cfRule type="cellIs" priority="22" operator="greaterThan" aboveAverage="0" equalAverage="0" bottom="0" percent="0" rank="0" text="" dxfId="10">
      <formula>GecOdemeEsik</formula>
    </cfRule>
  </conditionalFormatting>
  <conditionalFormatting sqref="E16">
    <cfRule type="cellIs" priority="23" operator="greaterThan" aboveAverage="0" equalAverage="0" bottom="0" percent="0" rank="0" text="" dxfId="8">
      <formula>0</formula>
    </cfRule>
  </conditionalFormatting>
  <conditionalFormatting sqref="D17">
    <cfRule type="cellIs" priority="24" operator="greaterThan" aboveAverage="0" equalAverage="0" bottom="0" percent="0" rank="0" text="" dxfId="10">
      <formula>GecOdemeEsik</formula>
    </cfRule>
  </conditionalFormatting>
  <conditionalFormatting sqref="E17">
    <cfRule type="cellIs" priority="25" operator="greaterThan" aboveAverage="0" equalAverage="0" bottom="0" percent="0" rank="0" text="" dxfId="8">
      <formula>0</formula>
    </cfRule>
  </conditionalFormatting>
  <conditionalFormatting sqref="D18">
    <cfRule type="cellIs" priority="26" operator="greaterThan" aboveAverage="0" equalAverage="0" bottom="0" percent="0" rank="0" text="" dxfId="10">
      <formula>GecOdemeEsik</formula>
    </cfRule>
  </conditionalFormatting>
  <conditionalFormatting sqref="E18">
    <cfRule type="cellIs" priority="27" operator="greaterThan" aboveAverage="0" equalAverage="0" bottom="0" percent="0" rank="0" text="" dxfId="8">
      <formula>0</formula>
    </cfRule>
  </conditionalFormatting>
  <conditionalFormatting sqref="D19">
    <cfRule type="cellIs" priority="28" operator="greaterThan" aboveAverage="0" equalAverage="0" bottom="0" percent="0" rank="0" text="" dxfId="10">
      <formula>GecOdemeEsik</formula>
    </cfRule>
  </conditionalFormatting>
  <conditionalFormatting sqref="E19">
    <cfRule type="cellIs" priority="29" operator="greaterThan" aboveAverage="0" equalAverage="0" bottom="0" percent="0" rank="0" text="" dxfId="8">
      <formula>0</formula>
    </cfRule>
  </conditionalFormatting>
  <conditionalFormatting sqref="D20">
    <cfRule type="cellIs" priority="30" operator="greaterThan" aboveAverage="0" equalAverage="0" bottom="0" percent="0" rank="0" text="" dxfId="10">
      <formula>GecOdemeEsik</formula>
    </cfRule>
  </conditionalFormatting>
  <conditionalFormatting sqref="E20">
    <cfRule type="cellIs" priority="31" operator="greaterThan" aboveAverage="0" equalAverage="0" bottom="0" percent="0" rank="0" text="" dxfId="8">
      <formula>0</formula>
    </cfRule>
  </conditionalFormatting>
  <conditionalFormatting sqref="D21">
    <cfRule type="cellIs" priority="32" operator="greaterThan" aboveAverage="0" equalAverage="0" bottom="0" percent="0" rank="0" text="" dxfId="10">
      <formula>GecOdemeEsik</formula>
    </cfRule>
  </conditionalFormatting>
  <conditionalFormatting sqref="E21">
    <cfRule type="cellIs" priority="33" operator="greaterThan" aboveAverage="0" equalAverage="0" bottom="0" percent="0" rank="0" text="" dxfId="8">
      <formula>0</formula>
    </cfRule>
  </conditionalFormatting>
  <conditionalFormatting sqref="D22">
    <cfRule type="cellIs" priority="34" operator="greaterThan" aboveAverage="0" equalAverage="0" bottom="0" percent="0" rank="0" text="" dxfId="10">
      <formula>GecOdemeEsik</formula>
    </cfRule>
  </conditionalFormatting>
  <conditionalFormatting sqref="E22">
    <cfRule type="cellIs" priority="35" operator="greaterThan" aboveAverage="0" equalAverage="0" bottom="0" percent="0" rank="0" text="" dxfId="8">
      <formula>0</formula>
    </cfRule>
  </conditionalFormatting>
  <conditionalFormatting sqref="D23">
    <cfRule type="cellIs" priority="36" operator="greaterThan" aboveAverage="0" equalAverage="0" bottom="0" percent="0" rank="0" text="" dxfId="10">
      <formula>GecOdemeEsik</formula>
    </cfRule>
  </conditionalFormatting>
  <conditionalFormatting sqref="E23">
    <cfRule type="cellIs" priority="37" operator="greaterThan" aboveAverage="0" equalAverage="0" bottom="0" percent="0" rank="0" text="" dxfId="8">
      <formula>0</formula>
    </cfRule>
  </conditionalFormatting>
  <conditionalFormatting sqref="D24">
    <cfRule type="cellIs" priority="38" operator="greaterThan" aboveAverage="0" equalAverage="0" bottom="0" percent="0" rank="0" text="" dxfId="10">
      <formula>GecOdemeEsik</formula>
    </cfRule>
  </conditionalFormatting>
  <conditionalFormatting sqref="E24">
    <cfRule type="cellIs" priority="39" operator="greaterThan" aboveAverage="0" equalAverage="0" bottom="0" percent="0" rank="0" text="" dxfId="8">
      <formula>0</formula>
    </cfRule>
  </conditionalFormatting>
  <conditionalFormatting sqref="D25">
    <cfRule type="cellIs" priority="40" operator="greaterThan" aboveAverage="0" equalAverage="0" bottom="0" percent="0" rank="0" text="" dxfId="10">
      <formula>GecOdemeEsik</formula>
    </cfRule>
  </conditionalFormatting>
  <conditionalFormatting sqref="E25">
    <cfRule type="cellIs" priority="41" operator="greaterThan" aboveAverage="0" equalAverage="0" bottom="0" percent="0" rank="0" text="" dxfId="8">
      <formula>0</formula>
    </cfRule>
  </conditionalFormatting>
  <conditionalFormatting sqref="D26">
    <cfRule type="cellIs" priority="42" operator="greaterThan" aboveAverage="0" equalAverage="0" bottom="0" percent="0" rank="0" text="" dxfId="10">
      <formula>GecOdemeEsik</formula>
    </cfRule>
  </conditionalFormatting>
  <conditionalFormatting sqref="E26">
    <cfRule type="cellIs" priority="43" operator="greaterThan" aboveAverage="0" equalAverage="0" bottom="0" percent="0" rank="0" text="" dxfId="8">
      <formula>0</formula>
    </cfRule>
  </conditionalFormatting>
  <conditionalFormatting sqref="D27">
    <cfRule type="cellIs" priority="44" operator="greaterThan" aboveAverage="0" equalAverage="0" bottom="0" percent="0" rank="0" text="" dxfId="10">
      <formula>GecOdemeEsik</formula>
    </cfRule>
  </conditionalFormatting>
  <conditionalFormatting sqref="E27">
    <cfRule type="cellIs" priority="45" operator="greaterThan" aboveAverage="0" equalAverage="0" bottom="0" percent="0" rank="0" text="" dxfId="8">
      <formula>0</formula>
    </cfRule>
  </conditionalFormatting>
  <conditionalFormatting sqref="D28">
    <cfRule type="cellIs" priority="46" operator="greaterThan" aboveAverage="0" equalAverage="0" bottom="0" percent="0" rank="0" text="" dxfId="10">
      <formula>GecOdemeEsik</formula>
    </cfRule>
  </conditionalFormatting>
  <conditionalFormatting sqref="E28">
    <cfRule type="cellIs" priority="47" operator="greaterThan" aboveAverage="0" equalAverage="0" bottom="0" percent="0" rank="0" text="" dxfId="8">
      <formula>0</formula>
    </cfRule>
  </conditionalFormatting>
  <conditionalFormatting sqref="D29">
    <cfRule type="cellIs" priority="48" operator="greaterThan" aboveAverage="0" equalAverage="0" bottom="0" percent="0" rank="0" text="" dxfId="10">
      <formula>GecOdemeEsik</formula>
    </cfRule>
  </conditionalFormatting>
  <conditionalFormatting sqref="E29">
    <cfRule type="cellIs" priority="49" operator="greaterThan" aboveAverage="0" equalAverage="0" bottom="0" percent="0" rank="0" text="" dxfId="8">
      <formula>0</formula>
    </cfRule>
  </conditionalFormatting>
  <conditionalFormatting sqref="D30">
    <cfRule type="cellIs" priority="50" operator="greaterThan" aboveAverage="0" equalAverage="0" bottom="0" percent="0" rank="0" text="" dxfId="10">
      <formula>GecOdemeEsik</formula>
    </cfRule>
  </conditionalFormatting>
  <conditionalFormatting sqref="E30">
    <cfRule type="cellIs" priority="51" operator="greaterThan" aboveAverage="0" equalAverage="0" bottom="0" percent="0" rank="0" text="" dxfId="8">
      <formula>0</formula>
    </cfRule>
  </conditionalFormatting>
  <conditionalFormatting sqref="D31">
    <cfRule type="cellIs" priority="52" operator="greaterThan" aboveAverage="0" equalAverage="0" bottom="0" percent="0" rank="0" text="" dxfId="10">
      <formula>GecOdemeEsik</formula>
    </cfRule>
  </conditionalFormatting>
  <conditionalFormatting sqref="E31">
    <cfRule type="cellIs" priority="53" operator="greaterThan" aboveAverage="0" equalAverage="0" bottom="0" percent="0" rank="0" text="" dxfId="8">
      <formula>0</formula>
    </cfRule>
  </conditionalFormatting>
  <conditionalFormatting sqref="D32">
    <cfRule type="cellIs" priority="54" operator="greaterThan" aboveAverage="0" equalAverage="0" bottom="0" percent="0" rank="0" text="" dxfId="10">
      <formula>GecOdemeEsik</formula>
    </cfRule>
  </conditionalFormatting>
  <conditionalFormatting sqref="E32">
    <cfRule type="cellIs" priority="55" operator="greaterThan" aboveAverage="0" equalAverage="0" bottom="0" percent="0" rank="0" text="" dxfId="8">
      <formula>0</formula>
    </cfRule>
  </conditionalFormatting>
  <conditionalFormatting sqref="D33">
    <cfRule type="cellIs" priority="56" operator="greaterThan" aboveAverage="0" equalAverage="0" bottom="0" percent="0" rank="0" text="" dxfId="10">
      <formula>GecOdemeEsik</formula>
    </cfRule>
  </conditionalFormatting>
  <conditionalFormatting sqref="E33">
    <cfRule type="cellIs" priority="57" operator="greaterThan" aboveAverage="0" equalAverage="0" bottom="0" percent="0" rank="0" text="" dxfId="8">
      <formula>0</formula>
    </cfRule>
  </conditionalFormatting>
  <conditionalFormatting sqref="D34">
    <cfRule type="cellIs" priority="58" operator="greaterThan" aboveAverage="0" equalAverage="0" bottom="0" percent="0" rank="0" text="" dxfId="10">
      <formula>GecOdemeEsik</formula>
    </cfRule>
  </conditionalFormatting>
  <conditionalFormatting sqref="E34">
    <cfRule type="cellIs" priority="59" operator="greaterThan" aboveAverage="0" equalAverage="0" bottom="0" percent="0" rank="0" text="" dxfId="8">
      <formula>0</formula>
    </cfRule>
  </conditionalFormatting>
  <conditionalFormatting sqref="D35">
    <cfRule type="cellIs" priority="60" operator="greaterThan" aboveAverage="0" equalAverage="0" bottom="0" percent="0" rank="0" text="" dxfId="10">
      <formula>GecOdemeEsik</formula>
    </cfRule>
  </conditionalFormatting>
  <conditionalFormatting sqref="E35">
    <cfRule type="cellIs" priority="61" operator="greaterThan" aboveAverage="0" equalAverage="0" bottom="0" percent="0" rank="0" text="" dxfId="8">
      <formula>0</formula>
    </cfRule>
  </conditionalFormatting>
  <conditionalFormatting sqref="D36">
    <cfRule type="cellIs" priority="62" operator="greaterThan" aboveAverage="0" equalAverage="0" bottom="0" percent="0" rank="0" text="" dxfId="10">
      <formula>GecOdemeEsik</formula>
    </cfRule>
  </conditionalFormatting>
  <conditionalFormatting sqref="E36">
    <cfRule type="cellIs" priority="63" operator="greaterThan" aboveAverage="0" equalAverage="0" bottom="0" percent="0" rank="0" text="" dxfId="8">
      <formula>0</formula>
    </cfRule>
  </conditionalFormatting>
  <conditionalFormatting sqref="D37">
    <cfRule type="cellIs" priority="64" operator="greaterThan" aboveAverage="0" equalAverage="0" bottom="0" percent="0" rank="0" text="" dxfId="10">
      <formula>GecOdemeEsik</formula>
    </cfRule>
  </conditionalFormatting>
  <conditionalFormatting sqref="E37">
    <cfRule type="cellIs" priority="65" operator="greaterThan" aboveAverage="0" equalAverage="0" bottom="0" percent="0" rank="0" text="" dxfId="8">
      <formula>0</formula>
    </cfRule>
  </conditionalFormatting>
  <conditionalFormatting sqref="D38">
    <cfRule type="cellIs" priority="66" operator="greaterThan" aboveAverage="0" equalAverage="0" bottom="0" percent="0" rank="0" text="" dxfId="10">
      <formula>GecOdemeEsik</formula>
    </cfRule>
  </conditionalFormatting>
  <conditionalFormatting sqref="E38">
    <cfRule type="cellIs" priority="67" operator="greaterThan" aboveAverage="0" equalAverage="0" bottom="0" percent="0" rank="0" text="" dxfId="8">
      <formula>0</formula>
    </cfRule>
  </conditionalFormatting>
  <conditionalFormatting sqref="D39">
    <cfRule type="cellIs" priority="68" operator="greaterThan" aboveAverage="0" equalAverage="0" bottom="0" percent="0" rank="0" text="" dxfId="10">
      <formula>GecOdemeEsik</formula>
    </cfRule>
  </conditionalFormatting>
  <conditionalFormatting sqref="E39">
    <cfRule type="cellIs" priority="69" operator="greaterThan" aboveAverage="0" equalAverage="0" bottom="0" percent="0" rank="0" text="" dxfId="8">
      <formula>0</formula>
    </cfRule>
  </conditionalFormatting>
  <conditionalFormatting sqref="D40">
    <cfRule type="cellIs" priority="70" operator="greaterThan" aboveAverage="0" equalAverage="0" bottom="0" percent="0" rank="0" text="" dxfId="10">
      <formula>GecOdemeEsik</formula>
    </cfRule>
  </conditionalFormatting>
  <conditionalFormatting sqref="E40">
    <cfRule type="cellIs" priority="71" operator="greaterThan" aboveAverage="0" equalAverage="0" bottom="0" percent="0" rank="0" text="" dxfId="8">
      <formula>0</formula>
    </cfRule>
  </conditionalFormatting>
  <conditionalFormatting sqref="D41">
    <cfRule type="cellIs" priority="72" operator="greaterThan" aboveAverage="0" equalAverage="0" bottom="0" percent="0" rank="0" text="" dxfId="10">
      <formula>GecOdemeEsik</formula>
    </cfRule>
  </conditionalFormatting>
  <conditionalFormatting sqref="E41">
    <cfRule type="cellIs" priority="73" operator="greaterThan" aboveAverage="0" equalAverage="0" bottom="0" percent="0" rank="0" text="" dxfId="8">
      <formula>0</formula>
    </cfRule>
  </conditionalFormatting>
  <conditionalFormatting sqref="D42">
    <cfRule type="cellIs" priority="74" operator="greaterThan" aboveAverage="0" equalAverage="0" bottom="0" percent="0" rank="0" text="" dxfId="10">
      <formula>GecOdemeEsik</formula>
    </cfRule>
  </conditionalFormatting>
  <conditionalFormatting sqref="E42">
    <cfRule type="cellIs" priority="75" operator="greaterThan" aboveAverage="0" equalAverage="0" bottom="0" percent="0" rank="0" text="" dxfId="8">
      <formula>0</formula>
    </cfRule>
  </conditionalFormatting>
  <conditionalFormatting sqref="D43">
    <cfRule type="cellIs" priority="76" operator="greaterThan" aboveAverage="0" equalAverage="0" bottom="0" percent="0" rank="0" text="" dxfId="10">
      <formula>GecOdemeEsik</formula>
    </cfRule>
  </conditionalFormatting>
  <conditionalFormatting sqref="E43">
    <cfRule type="cellIs" priority="77" operator="greaterThan" aboveAverage="0" equalAverage="0" bottom="0" percent="0" rank="0" text="" dxfId="8">
      <formula>0</formula>
    </cfRule>
  </conditionalFormatting>
  <conditionalFormatting sqref="D44">
    <cfRule type="cellIs" priority="78" operator="greaterThan" aboveAverage="0" equalAverage="0" bottom="0" percent="0" rank="0" text="" dxfId="10">
      <formula>GecOdemeEsik</formula>
    </cfRule>
  </conditionalFormatting>
  <conditionalFormatting sqref="E44">
    <cfRule type="cellIs" priority="79" operator="greaterThan" aboveAverage="0" equalAverage="0" bottom="0" percent="0" rank="0" text="" dxfId="8">
      <formula>0</formula>
    </cfRule>
  </conditionalFormatting>
  <conditionalFormatting sqref="D45">
    <cfRule type="cellIs" priority="80" operator="greaterThan" aboveAverage="0" equalAverage="0" bottom="0" percent="0" rank="0" text="" dxfId="10">
      <formula>GecOdemeEsik</formula>
    </cfRule>
  </conditionalFormatting>
  <conditionalFormatting sqref="E45">
    <cfRule type="cellIs" priority="81" operator="greaterThan" aboveAverage="0" equalAverage="0" bottom="0" percent="0" rank="0" text="" dxfId="8">
      <formula>0</formula>
    </cfRule>
  </conditionalFormatting>
  <conditionalFormatting sqref="D46">
    <cfRule type="cellIs" priority="82" operator="greaterThan" aboveAverage="0" equalAverage="0" bottom="0" percent="0" rank="0" text="" dxfId="10">
      <formula>GecOdemeEsik</formula>
    </cfRule>
  </conditionalFormatting>
  <conditionalFormatting sqref="E46">
    <cfRule type="cellIs" priority="83" operator="greaterThan" aboveAverage="0" equalAverage="0" bottom="0" percent="0" rank="0" text="" dxfId="8">
      <formula>0</formula>
    </cfRule>
  </conditionalFormatting>
  <conditionalFormatting sqref="D47">
    <cfRule type="cellIs" priority="84" operator="greaterThan" aboveAverage="0" equalAverage="0" bottom="0" percent="0" rank="0" text="" dxfId="10">
      <formula>GecOdemeEsik</formula>
    </cfRule>
  </conditionalFormatting>
  <conditionalFormatting sqref="E47">
    <cfRule type="cellIs" priority="85" operator="greaterThan" aboveAverage="0" equalAverage="0" bottom="0" percent="0" rank="0" text="" dxfId="8">
      <formula>0</formula>
    </cfRule>
  </conditionalFormatting>
  <conditionalFormatting sqref="D48">
    <cfRule type="cellIs" priority="86" operator="greaterThan" aboveAverage="0" equalAverage="0" bottom="0" percent="0" rank="0" text="" dxfId="10">
      <formula>GecOdemeEsik</formula>
    </cfRule>
  </conditionalFormatting>
  <conditionalFormatting sqref="E48">
    <cfRule type="cellIs" priority="87" operator="greaterThan" aboveAverage="0" equalAverage="0" bottom="0" percent="0" rank="0" text="" dxfId="8">
      <formula>0</formula>
    </cfRule>
  </conditionalFormatting>
  <conditionalFormatting sqref="D49">
    <cfRule type="cellIs" priority="88" operator="greaterThan" aboveAverage="0" equalAverage="0" bottom="0" percent="0" rank="0" text="" dxfId="10">
      <formula>GecOdemeEsik</formula>
    </cfRule>
  </conditionalFormatting>
  <conditionalFormatting sqref="E49">
    <cfRule type="cellIs" priority="89" operator="greaterThan" aboveAverage="0" equalAverage="0" bottom="0" percent="0" rank="0" text="" dxfId="8">
      <formula>0</formula>
    </cfRule>
  </conditionalFormatting>
  <conditionalFormatting sqref="D50">
    <cfRule type="cellIs" priority="90" operator="greaterThan" aboveAverage="0" equalAverage="0" bottom="0" percent="0" rank="0" text="" dxfId="10">
      <formula>GecOdemeEsik</formula>
    </cfRule>
  </conditionalFormatting>
  <conditionalFormatting sqref="E50">
    <cfRule type="cellIs" priority="91" operator="greaterThan" aboveAverage="0" equalAverage="0" bottom="0" percent="0" rank="0" text="" dxfId="8">
      <formula>0</formula>
    </cfRule>
  </conditionalFormatting>
  <conditionalFormatting sqref="D51">
    <cfRule type="cellIs" priority="92" operator="greaterThan" aboveAverage="0" equalAverage="0" bottom="0" percent="0" rank="0" text="" dxfId="10">
      <formula>GecOdemeEsik</formula>
    </cfRule>
  </conditionalFormatting>
  <conditionalFormatting sqref="E51">
    <cfRule type="cellIs" priority="93" operator="greaterThan" aboveAverage="0" equalAverage="0" bottom="0" percent="0" rank="0" text="" dxfId="8">
      <formula>0</formula>
    </cfRule>
  </conditionalFormatting>
  <conditionalFormatting sqref="D52">
    <cfRule type="cellIs" priority="94" operator="greaterThan" aboveAverage="0" equalAverage="0" bottom="0" percent="0" rank="0" text="" dxfId="10">
      <formula>GecOdemeEsik</formula>
    </cfRule>
  </conditionalFormatting>
  <conditionalFormatting sqref="E52">
    <cfRule type="cellIs" priority="95" operator="greaterThan" aboveAverage="0" equalAverage="0" bottom="0" percent="0" rank="0" text="" dxfId="8">
      <formula>0</formula>
    </cfRule>
  </conditionalFormatting>
  <conditionalFormatting sqref="D53">
    <cfRule type="cellIs" priority="96" operator="greaterThan" aboveAverage="0" equalAverage="0" bottom="0" percent="0" rank="0" text="" dxfId="10">
      <formula>GecOdemeEsik</formula>
    </cfRule>
  </conditionalFormatting>
  <conditionalFormatting sqref="E53">
    <cfRule type="cellIs" priority="97" operator="greaterThan" aboveAverage="0" equalAverage="0" bottom="0" percent="0" rank="0" text="" dxfId="8">
      <formula>0</formula>
    </cfRule>
  </conditionalFormatting>
  <conditionalFormatting sqref="D54">
    <cfRule type="cellIs" priority="98" operator="greaterThan" aboveAverage="0" equalAverage="0" bottom="0" percent="0" rank="0" text="" dxfId="10">
      <formula>GecOdemeEsik</formula>
    </cfRule>
  </conditionalFormatting>
  <conditionalFormatting sqref="E54">
    <cfRule type="cellIs" priority="99" operator="greaterThan" aboveAverage="0" equalAverage="0" bottom="0" percent="0" rank="0" text="" dxfId="8">
      <formula>0</formula>
    </cfRule>
  </conditionalFormatting>
  <conditionalFormatting sqref="D55">
    <cfRule type="cellIs" priority="100" operator="greaterThan" aboveAverage="0" equalAverage="0" bottom="0" percent="0" rank="0" text="" dxfId="10">
      <formula>GecOdemeEsik</formula>
    </cfRule>
  </conditionalFormatting>
  <conditionalFormatting sqref="E55">
    <cfRule type="cellIs" priority="101" operator="greaterThan" aboveAverage="0" equalAverage="0" bottom="0" percent="0" rank="0" text="" dxfId="8">
      <formula>0</formula>
    </cfRule>
  </conditionalFormatting>
  <conditionalFormatting sqref="D56">
    <cfRule type="cellIs" priority="102" operator="greaterThan" aboveAverage="0" equalAverage="0" bottom="0" percent="0" rank="0" text="" dxfId="10">
      <formula>GecOdemeEsik</formula>
    </cfRule>
  </conditionalFormatting>
  <conditionalFormatting sqref="E56">
    <cfRule type="cellIs" priority="103" operator="greaterThan" aboveAverage="0" equalAverage="0" bottom="0" percent="0" rank="0" text="" dxfId="8">
      <formula>0</formula>
    </cfRule>
  </conditionalFormatting>
  <conditionalFormatting sqref="D57">
    <cfRule type="cellIs" priority="104" operator="greaterThan" aboveAverage="0" equalAverage="0" bottom="0" percent="0" rank="0" text="" dxfId="10">
      <formula>GecOdemeEsik</formula>
    </cfRule>
  </conditionalFormatting>
  <conditionalFormatting sqref="E57">
    <cfRule type="cellIs" priority="105" operator="greaterThan" aboveAverage="0" equalAverage="0" bottom="0" percent="0" rank="0" text="" dxfId="8">
      <formula>0</formula>
    </cfRule>
  </conditionalFormatting>
  <conditionalFormatting sqref="D58">
    <cfRule type="cellIs" priority="106" operator="greaterThan" aboveAverage="0" equalAverage="0" bottom="0" percent="0" rank="0" text="" dxfId="10">
      <formula>GecOdemeEsik</formula>
    </cfRule>
  </conditionalFormatting>
  <conditionalFormatting sqref="E58">
    <cfRule type="cellIs" priority="107" operator="greaterThan" aboveAverage="0" equalAverage="0" bottom="0" percent="0" rank="0" text="" dxfId="8">
      <formula>0</formula>
    </cfRule>
  </conditionalFormatting>
  <conditionalFormatting sqref="D59">
    <cfRule type="cellIs" priority="108" operator="greaterThan" aboveAverage="0" equalAverage="0" bottom="0" percent="0" rank="0" text="" dxfId="10">
      <formula>GecOdemeEsik</formula>
    </cfRule>
  </conditionalFormatting>
  <conditionalFormatting sqref="E59">
    <cfRule type="cellIs" priority="109" operator="greaterThan" aboveAverage="0" equalAverage="0" bottom="0" percent="0" rank="0" text="" dxfId="8">
      <formula>0</formula>
    </cfRule>
  </conditionalFormatting>
  <conditionalFormatting sqref="D60">
    <cfRule type="cellIs" priority="110" operator="greaterThan" aboveAverage="0" equalAverage="0" bottom="0" percent="0" rank="0" text="" dxfId="10">
      <formula>GecOdemeEsik</formula>
    </cfRule>
  </conditionalFormatting>
  <conditionalFormatting sqref="E60">
    <cfRule type="cellIs" priority="111" operator="greaterThan" aboveAverage="0" equalAverage="0" bottom="0" percent="0" rank="0" text="" dxfId="8">
      <formula>0</formula>
    </cfRule>
  </conditionalFormatting>
  <conditionalFormatting sqref="D61">
    <cfRule type="cellIs" priority="112" operator="greaterThan" aboveAverage="0" equalAverage="0" bottom="0" percent="0" rank="0" text="" dxfId="10">
      <formula>GecOdemeEsik</formula>
    </cfRule>
  </conditionalFormatting>
  <conditionalFormatting sqref="E61">
    <cfRule type="cellIs" priority="113" operator="greaterThan" aboveAverage="0" equalAverage="0" bottom="0" percent="0" rank="0" text="" dxfId="8">
      <formula>0</formula>
    </cfRule>
  </conditionalFormatting>
  <conditionalFormatting sqref="D62">
    <cfRule type="cellIs" priority="114" operator="greaterThan" aboveAverage="0" equalAverage="0" bottom="0" percent="0" rank="0" text="" dxfId="10">
      <formula>GecOdemeEsik</formula>
    </cfRule>
  </conditionalFormatting>
  <conditionalFormatting sqref="E62">
    <cfRule type="cellIs" priority="115" operator="greaterThan" aboveAverage="0" equalAverage="0" bottom="0" percent="0" rank="0" text="" dxfId="8">
      <formula>0</formula>
    </cfRule>
  </conditionalFormatting>
  <conditionalFormatting sqref="D63">
    <cfRule type="cellIs" priority="116" operator="greaterThan" aboveAverage="0" equalAverage="0" bottom="0" percent="0" rank="0" text="" dxfId="10">
      <formula>GecOdemeEsik</formula>
    </cfRule>
  </conditionalFormatting>
  <conditionalFormatting sqref="E63">
    <cfRule type="cellIs" priority="117" operator="greaterThan" aboveAverage="0" equalAverage="0" bottom="0" percent="0" rank="0" text="" dxfId="8">
      <formula>0</formula>
    </cfRule>
  </conditionalFormatting>
  <conditionalFormatting sqref="D64">
    <cfRule type="cellIs" priority="118" operator="greaterThan" aboveAverage="0" equalAverage="0" bottom="0" percent="0" rank="0" text="" dxfId="10">
      <formula>GecOdemeEsik</formula>
    </cfRule>
  </conditionalFormatting>
  <conditionalFormatting sqref="E64">
    <cfRule type="cellIs" priority="119" operator="greaterThan" aboveAverage="0" equalAverage="0" bottom="0" percent="0" rank="0" text="" dxfId="8">
      <formula>0</formula>
    </cfRule>
  </conditionalFormatting>
  <conditionalFormatting sqref="D65">
    <cfRule type="cellIs" priority="120" operator="greaterThan" aboveAverage="0" equalAverage="0" bottom="0" percent="0" rank="0" text="" dxfId="10">
      <formula>GecOdemeEsik</formula>
    </cfRule>
  </conditionalFormatting>
  <conditionalFormatting sqref="E65">
    <cfRule type="cellIs" priority="121" operator="greaterThan" aboveAverage="0" equalAverage="0" bottom="0" percent="0" rank="0" text="" dxfId="8">
      <formula>0</formula>
    </cfRule>
  </conditionalFormatting>
  <conditionalFormatting sqref="D66">
    <cfRule type="cellIs" priority="122" operator="greaterThan" aboveAverage="0" equalAverage="0" bottom="0" percent="0" rank="0" text="" dxfId="10">
      <formula>GecOdemeEsik</formula>
    </cfRule>
  </conditionalFormatting>
  <conditionalFormatting sqref="E66">
    <cfRule type="cellIs" priority="123" operator="greaterThan" aboveAverage="0" equalAverage="0" bottom="0" percent="0" rank="0" text="" dxfId="8">
      <formula>0</formula>
    </cfRule>
  </conditionalFormatting>
  <conditionalFormatting sqref="D67">
    <cfRule type="cellIs" priority="124" operator="greaterThan" aboveAverage="0" equalAverage="0" bottom="0" percent="0" rank="0" text="" dxfId="10">
      <formula>GecOdemeEsik</formula>
    </cfRule>
  </conditionalFormatting>
  <conditionalFormatting sqref="E67">
    <cfRule type="cellIs" priority="125" operator="greaterThan" aboveAverage="0" equalAverage="0" bottom="0" percent="0" rank="0" text="" dxfId="8">
      <formula>0</formula>
    </cfRule>
  </conditionalFormatting>
  <conditionalFormatting sqref="D68">
    <cfRule type="cellIs" priority="126" operator="greaterThan" aboveAverage="0" equalAverage="0" bottom="0" percent="0" rank="0" text="" dxfId="10">
      <formula>GecOdemeEsik</formula>
    </cfRule>
  </conditionalFormatting>
  <conditionalFormatting sqref="E68">
    <cfRule type="cellIs" priority="127" operator="greaterThan" aboveAverage="0" equalAverage="0" bottom="0" percent="0" rank="0" text="" dxfId="8">
      <formula>0</formula>
    </cfRule>
  </conditionalFormatting>
  <conditionalFormatting sqref="D69">
    <cfRule type="cellIs" priority="128" operator="greaterThan" aboveAverage="0" equalAverage="0" bottom="0" percent="0" rank="0" text="" dxfId="10">
      <formula>GecOdemeEsik</formula>
    </cfRule>
  </conditionalFormatting>
  <conditionalFormatting sqref="E69">
    <cfRule type="cellIs" priority="129" operator="greaterThan" aboveAverage="0" equalAverage="0" bottom="0" percent="0" rank="0" text="" dxfId="8">
      <formula>0</formula>
    </cfRule>
  </conditionalFormatting>
  <conditionalFormatting sqref="D70">
    <cfRule type="cellIs" priority="130" operator="greaterThan" aboveAverage="0" equalAverage="0" bottom="0" percent="0" rank="0" text="" dxfId="10">
      <formula>GecOdemeEsik</formula>
    </cfRule>
  </conditionalFormatting>
  <conditionalFormatting sqref="E70">
    <cfRule type="cellIs" priority="131" operator="greaterThan" aboveAverage="0" equalAverage="0" bottom="0" percent="0" rank="0" text="" dxfId="8">
      <formula>0</formula>
    </cfRule>
  </conditionalFormatting>
  <conditionalFormatting sqref="D71">
    <cfRule type="cellIs" priority="132" operator="greaterThan" aboveAverage="0" equalAverage="0" bottom="0" percent="0" rank="0" text="" dxfId="10">
      <formula>GecOdemeEsik</formula>
    </cfRule>
  </conditionalFormatting>
  <conditionalFormatting sqref="E71">
    <cfRule type="cellIs" priority="133" operator="greaterThan" aboveAverage="0" equalAverage="0" bottom="0" percent="0" rank="0" text="" dxfId="8">
      <formula>0</formula>
    </cfRule>
  </conditionalFormatting>
  <conditionalFormatting sqref="D72">
    <cfRule type="cellIs" priority="134" operator="greaterThan" aboveAverage="0" equalAverage="0" bottom="0" percent="0" rank="0" text="" dxfId="10">
      <formula>GecOdemeEsik</formula>
    </cfRule>
  </conditionalFormatting>
  <conditionalFormatting sqref="E72">
    <cfRule type="cellIs" priority="135" operator="greaterThan" aboveAverage="0" equalAverage="0" bottom="0" percent="0" rank="0" text="" dxfId="8">
      <formula>0</formula>
    </cfRule>
  </conditionalFormatting>
  <conditionalFormatting sqref="D73">
    <cfRule type="cellIs" priority="136" operator="greaterThan" aboveAverage="0" equalAverage="0" bottom="0" percent="0" rank="0" text="" dxfId="10">
      <formula>GecOdemeEsik</formula>
    </cfRule>
  </conditionalFormatting>
  <conditionalFormatting sqref="E73">
    <cfRule type="cellIs" priority="137" operator="greaterThan" aboveAverage="0" equalAverage="0" bottom="0" percent="0" rank="0" text="" dxfId="8">
      <formula>0</formula>
    </cfRule>
  </conditionalFormatting>
  <conditionalFormatting sqref="D74">
    <cfRule type="cellIs" priority="138" operator="greaterThan" aboveAverage="0" equalAverage="0" bottom="0" percent="0" rank="0" text="" dxfId="10">
      <formula>GecOdemeEsik</formula>
    </cfRule>
  </conditionalFormatting>
  <conditionalFormatting sqref="E74">
    <cfRule type="cellIs" priority="139" operator="greaterThan" aboveAverage="0" equalAverage="0" bottom="0" percent="0" rank="0" text="" dxfId="8">
      <formula>0</formula>
    </cfRule>
  </conditionalFormatting>
  <conditionalFormatting sqref="D75">
    <cfRule type="cellIs" priority="140" operator="greaterThan" aboveAverage="0" equalAverage="0" bottom="0" percent="0" rank="0" text="" dxfId="10">
      <formula>GecOdemeEsik</formula>
    </cfRule>
  </conditionalFormatting>
  <conditionalFormatting sqref="E75">
    <cfRule type="cellIs" priority="141" operator="greaterThan" aboveAverage="0" equalAverage="0" bottom="0" percent="0" rank="0" text="" dxfId="8">
      <formula>0</formula>
    </cfRule>
  </conditionalFormatting>
  <conditionalFormatting sqref="D76">
    <cfRule type="cellIs" priority="142" operator="greaterThan" aboveAverage="0" equalAverage="0" bottom="0" percent="0" rank="0" text="" dxfId="10">
      <formula>GecOdemeEsik</formula>
    </cfRule>
  </conditionalFormatting>
  <conditionalFormatting sqref="E76">
    <cfRule type="cellIs" priority="143" operator="greaterThan" aboveAverage="0" equalAverage="0" bottom="0" percent="0" rank="0" text="" dxfId="8">
      <formula>0</formula>
    </cfRule>
  </conditionalFormatting>
  <conditionalFormatting sqref="D77">
    <cfRule type="cellIs" priority="144" operator="greaterThan" aboveAverage="0" equalAverage="0" bottom="0" percent="0" rank="0" text="" dxfId="10">
      <formula>GecOdemeEsik</formula>
    </cfRule>
  </conditionalFormatting>
  <conditionalFormatting sqref="E77">
    <cfRule type="cellIs" priority="145" operator="greaterThan" aboveAverage="0" equalAverage="0" bottom="0" percent="0" rank="0" text="" dxfId="8">
      <formula>0</formula>
    </cfRule>
  </conditionalFormatting>
  <conditionalFormatting sqref="D78">
    <cfRule type="cellIs" priority="146" operator="greaterThan" aboveAverage="0" equalAverage="0" bottom="0" percent="0" rank="0" text="" dxfId="10">
      <formula>GecOdemeEsik</formula>
    </cfRule>
  </conditionalFormatting>
  <conditionalFormatting sqref="E78">
    <cfRule type="cellIs" priority="147" operator="greaterThan" aboveAverage="0" equalAverage="0" bottom="0" percent="0" rank="0" text="" dxfId="8">
      <formula>0</formula>
    </cfRule>
  </conditionalFormatting>
  <conditionalFormatting sqref="D79">
    <cfRule type="cellIs" priority="148" operator="greaterThan" aboveAverage="0" equalAverage="0" bottom="0" percent="0" rank="0" text="" dxfId="10">
      <formula>GecOdemeEsik</formula>
    </cfRule>
  </conditionalFormatting>
  <conditionalFormatting sqref="E79">
    <cfRule type="cellIs" priority="149" operator="greaterThan" aboveAverage="0" equalAverage="0" bottom="0" percent="0" rank="0" text="" dxfId="8">
      <formula>0</formula>
    </cfRule>
  </conditionalFormatting>
  <conditionalFormatting sqref="D80">
    <cfRule type="cellIs" priority="150" operator="greaterThan" aboveAverage="0" equalAverage="0" bottom="0" percent="0" rank="0" text="" dxfId="10">
      <formula>GecOdemeEsik</formula>
    </cfRule>
  </conditionalFormatting>
  <conditionalFormatting sqref="E80">
    <cfRule type="cellIs" priority="151" operator="greaterThan" aboveAverage="0" equalAverage="0" bottom="0" percent="0" rank="0" text="" dxfId="8">
      <formula>0</formula>
    </cfRule>
  </conditionalFormatting>
  <conditionalFormatting sqref="D81">
    <cfRule type="cellIs" priority="152" operator="greaterThan" aboveAverage="0" equalAverage="0" bottom="0" percent="0" rank="0" text="" dxfId="10">
      <formula>GecOdemeEsik</formula>
    </cfRule>
  </conditionalFormatting>
  <conditionalFormatting sqref="E81">
    <cfRule type="cellIs" priority="153" operator="greaterThan" aboveAverage="0" equalAverage="0" bottom="0" percent="0" rank="0" text="" dxfId="8">
      <formula>0</formula>
    </cfRule>
  </conditionalFormatting>
  <conditionalFormatting sqref="D82">
    <cfRule type="cellIs" priority="154" operator="greaterThan" aboveAverage="0" equalAverage="0" bottom="0" percent="0" rank="0" text="" dxfId="10">
      <formula>GecOdemeEsik</formula>
    </cfRule>
  </conditionalFormatting>
  <conditionalFormatting sqref="E82">
    <cfRule type="cellIs" priority="155" operator="greaterThan" aboveAverage="0" equalAverage="0" bottom="0" percent="0" rank="0" text="" dxfId="8">
      <formula>0</formula>
    </cfRule>
  </conditionalFormatting>
  <conditionalFormatting sqref="D83">
    <cfRule type="cellIs" priority="156" operator="greaterThan" aboveAverage="0" equalAverage="0" bottom="0" percent="0" rank="0" text="" dxfId="10">
      <formula>GecOdemeEsik</formula>
    </cfRule>
  </conditionalFormatting>
  <conditionalFormatting sqref="E83">
    <cfRule type="cellIs" priority="157" operator="greaterThan" aboveAverage="0" equalAverage="0" bottom="0" percent="0" rank="0" text="" dxfId="8">
      <formula>0</formula>
    </cfRule>
  </conditionalFormatting>
  <conditionalFormatting sqref="D84">
    <cfRule type="cellIs" priority="158" operator="greaterThan" aboveAverage="0" equalAverage="0" bottom="0" percent="0" rank="0" text="" dxfId="10">
      <formula>GecOdemeEsik</formula>
    </cfRule>
  </conditionalFormatting>
  <conditionalFormatting sqref="E84">
    <cfRule type="cellIs" priority="159" operator="greaterThan" aboveAverage="0" equalAverage="0" bottom="0" percent="0" rank="0" text="" dxfId="8">
      <formula>0</formula>
    </cfRule>
  </conditionalFormatting>
  <conditionalFormatting sqref="D85">
    <cfRule type="cellIs" priority="160" operator="greaterThan" aboveAverage="0" equalAverage="0" bottom="0" percent="0" rank="0" text="" dxfId="10">
      <formula>GecOdemeEsik</formula>
    </cfRule>
  </conditionalFormatting>
  <conditionalFormatting sqref="E85">
    <cfRule type="cellIs" priority="161" operator="greaterThan" aboveAverage="0" equalAverage="0" bottom="0" percent="0" rank="0" text="" dxfId="8">
      <formula>0</formula>
    </cfRule>
  </conditionalFormatting>
  <conditionalFormatting sqref="D86">
    <cfRule type="cellIs" priority="162" operator="greaterThan" aboveAverage="0" equalAverage="0" bottom="0" percent="0" rank="0" text="" dxfId="10">
      <formula>GecOdemeEsik</formula>
    </cfRule>
  </conditionalFormatting>
  <conditionalFormatting sqref="E86">
    <cfRule type="cellIs" priority="163" operator="greaterThan" aboveAverage="0" equalAverage="0" bottom="0" percent="0" rank="0" text="" dxfId="8">
      <formula>0</formula>
    </cfRule>
  </conditionalFormatting>
  <conditionalFormatting sqref="D87">
    <cfRule type="cellIs" priority="164" operator="greaterThan" aboveAverage="0" equalAverage="0" bottom="0" percent="0" rank="0" text="" dxfId="10">
      <formula>GecOdemeEsik</formula>
    </cfRule>
  </conditionalFormatting>
  <conditionalFormatting sqref="E87">
    <cfRule type="cellIs" priority="165" operator="greaterThan" aboveAverage="0" equalAverage="0" bottom="0" percent="0" rank="0" text="" dxfId="8">
      <formula>0</formula>
    </cfRule>
  </conditionalFormatting>
  <conditionalFormatting sqref="D88">
    <cfRule type="cellIs" priority="166" operator="greaterThan" aboveAverage="0" equalAverage="0" bottom="0" percent="0" rank="0" text="" dxfId="10">
      <formula>GecOdemeEsik</formula>
    </cfRule>
  </conditionalFormatting>
  <conditionalFormatting sqref="E88">
    <cfRule type="cellIs" priority="167" operator="greaterThan" aboveAverage="0" equalAverage="0" bottom="0" percent="0" rank="0" text="" dxfId="8">
      <formula>0</formula>
    </cfRule>
  </conditionalFormatting>
  <conditionalFormatting sqref="D89">
    <cfRule type="cellIs" priority="168" operator="greaterThan" aboveAverage="0" equalAverage="0" bottom="0" percent="0" rank="0" text="" dxfId="10">
      <formula>GecOdemeEsik</formula>
    </cfRule>
  </conditionalFormatting>
  <conditionalFormatting sqref="E89">
    <cfRule type="cellIs" priority="169" operator="greaterThan" aboveAverage="0" equalAverage="0" bottom="0" percent="0" rank="0" text="" dxfId="8">
      <formula>0</formula>
    </cfRule>
  </conditionalFormatting>
  <conditionalFormatting sqref="D90">
    <cfRule type="cellIs" priority="170" operator="greaterThan" aboveAverage="0" equalAverage="0" bottom="0" percent="0" rank="0" text="" dxfId="10">
      <formula>GecOdemeEsik</formula>
    </cfRule>
  </conditionalFormatting>
  <conditionalFormatting sqref="E90">
    <cfRule type="cellIs" priority="171" operator="greaterThan" aboveAverage="0" equalAverage="0" bottom="0" percent="0" rank="0" text="" dxfId="8">
      <formula>0</formula>
    </cfRule>
  </conditionalFormatting>
  <conditionalFormatting sqref="D91">
    <cfRule type="cellIs" priority="172" operator="greaterThan" aboveAverage="0" equalAverage="0" bottom="0" percent="0" rank="0" text="" dxfId="10">
      <formula>GecOdemeEsik</formula>
    </cfRule>
  </conditionalFormatting>
  <conditionalFormatting sqref="E91">
    <cfRule type="cellIs" priority="173" operator="greaterThan" aboveAverage="0" equalAverage="0" bottom="0" percent="0" rank="0" text="" dxfId="8">
      <formula>0</formula>
    </cfRule>
  </conditionalFormatting>
  <conditionalFormatting sqref="D92">
    <cfRule type="cellIs" priority="174" operator="greaterThan" aboveAverage="0" equalAverage="0" bottom="0" percent="0" rank="0" text="" dxfId="10">
      <formula>GecOdemeEsik</formula>
    </cfRule>
  </conditionalFormatting>
  <conditionalFormatting sqref="E92">
    <cfRule type="cellIs" priority="175" operator="greaterThan" aboveAverage="0" equalAverage="0" bottom="0" percent="0" rank="0" text="" dxfId="8">
      <formula>0</formula>
    </cfRule>
  </conditionalFormatting>
  <conditionalFormatting sqref="D93">
    <cfRule type="cellIs" priority="176" operator="greaterThan" aboveAverage="0" equalAverage="0" bottom="0" percent="0" rank="0" text="" dxfId="10">
      <formula>GecOdemeEsik</formula>
    </cfRule>
  </conditionalFormatting>
  <conditionalFormatting sqref="E93">
    <cfRule type="cellIs" priority="177" operator="greaterThan" aboveAverage="0" equalAverage="0" bottom="0" percent="0" rank="0" text="" dxfId="8">
      <formula>0</formula>
    </cfRule>
  </conditionalFormatting>
  <conditionalFormatting sqref="D94">
    <cfRule type="cellIs" priority="178" operator="greaterThan" aboveAverage="0" equalAverage="0" bottom="0" percent="0" rank="0" text="" dxfId="10">
      <formula>GecOdemeEsik</formula>
    </cfRule>
  </conditionalFormatting>
  <conditionalFormatting sqref="E94">
    <cfRule type="cellIs" priority="179" operator="greaterThan" aboveAverage="0" equalAverage="0" bottom="0" percent="0" rank="0" text="" dxfId="8">
      <formula>0</formula>
    </cfRule>
  </conditionalFormatting>
  <conditionalFormatting sqref="D95">
    <cfRule type="cellIs" priority="180" operator="greaterThan" aboveAverage="0" equalAverage="0" bottom="0" percent="0" rank="0" text="" dxfId="10">
      <formula>GecOdemeEsik</formula>
    </cfRule>
  </conditionalFormatting>
  <conditionalFormatting sqref="E95">
    <cfRule type="cellIs" priority="181" operator="greaterThan" aboveAverage="0" equalAverage="0" bottom="0" percent="0" rank="0" text="" dxfId="8">
      <formula>0</formula>
    </cfRule>
  </conditionalFormatting>
  <conditionalFormatting sqref="D96">
    <cfRule type="cellIs" priority="182" operator="greaterThan" aboveAverage="0" equalAverage="0" bottom="0" percent="0" rank="0" text="" dxfId="10">
      <formula>GecOdemeEsik</formula>
    </cfRule>
  </conditionalFormatting>
  <conditionalFormatting sqref="E96">
    <cfRule type="cellIs" priority="183" operator="greaterThan" aboveAverage="0" equalAverage="0" bottom="0" percent="0" rank="0" text="" dxfId="8">
      <formula>0</formula>
    </cfRule>
  </conditionalFormatting>
  <conditionalFormatting sqref="D97">
    <cfRule type="cellIs" priority="184" operator="greaterThan" aboveAverage="0" equalAverage="0" bottom="0" percent="0" rank="0" text="" dxfId="10">
      <formula>GecOdemeEsik</formula>
    </cfRule>
  </conditionalFormatting>
  <conditionalFormatting sqref="E97">
    <cfRule type="cellIs" priority="185" operator="greaterThan" aboveAverage="0" equalAverage="0" bottom="0" percent="0" rank="0" text="" dxfId="8">
      <formula>0</formula>
    </cfRule>
  </conditionalFormatting>
  <conditionalFormatting sqref="D98">
    <cfRule type="cellIs" priority="186" operator="greaterThan" aboveAverage="0" equalAverage="0" bottom="0" percent="0" rank="0" text="" dxfId="10">
      <formula>GecOdemeEsik</formula>
    </cfRule>
  </conditionalFormatting>
  <conditionalFormatting sqref="E98">
    <cfRule type="cellIs" priority="187" operator="greaterThan" aboveAverage="0" equalAverage="0" bottom="0" percent="0" rank="0" text="" dxfId="8">
      <formula>0</formula>
    </cfRule>
  </conditionalFormatting>
  <conditionalFormatting sqref="D99">
    <cfRule type="cellIs" priority="188" operator="greaterThan" aboveAverage="0" equalAverage="0" bottom="0" percent="0" rank="0" text="" dxfId="10">
      <formula>GecOdemeEsik</formula>
    </cfRule>
  </conditionalFormatting>
  <conditionalFormatting sqref="E99">
    <cfRule type="cellIs" priority="189" operator="greaterThan" aboveAverage="0" equalAverage="0" bottom="0" percent="0" rank="0" text="" dxfId="8">
      <formula>0</formula>
    </cfRule>
  </conditionalFormatting>
  <conditionalFormatting sqref="D100">
    <cfRule type="cellIs" priority="190" operator="greaterThan" aboveAverage="0" equalAverage="0" bottom="0" percent="0" rank="0" text="" dxfId="10">
      <formula>GecOdemeEsik</formula>
    </cfRule>
  </conditionalFormatting>
  <conditionalFormatting sqref="E100">
    <cfRule type="cellIs" priority="191" operator="greaterThan" aboveAverage="0" equalAverage="0" bottom="0" percent="0" rank="0" text="" dxfId="8">
      <formula>0</formula>
    </cfRule>
  </conditionalFormatting>
  <conditionalFormatting sqref="D101">
    <cfRule type="cellIs" priority="192" operator="greaterThan" aboveAverage="0" equalAverage="0" bottom="0" percent="0" rank="0" text="" dxfId="10">
      <formula>GecOdemeEsik</formula>
    </cfRule>
  </conditionalFormatting>
  <conditionalFormatting sqref="E101">
    <cfRule type="cellIs" priority="193" operator="greaterThan" aboveAverage="0" equalAverage="0" bottom="0" percent="0" rank="0" text="" dxfId="8">
      <formula>0</formula>
    </cfRule>
  </conditionalFormatting>
  <conditionalFormatting sqref="D102">
    <cfRule type="cellIs" priority="194" operator="greaterThan" aboveAverage="0" equalAverage="0" bottom="0" percent="0" rank="0" text="" dxfId="10">
      <formula>GecOdemeEsik</formula>
    </cfRule>
  </conditionalFormatting>
  <conditionalFormatting sqref="E102">
    <cfRule type="cellIs" priority="195" operator="greaterThan" aboveAverage="0" equalAverage="0" bottom="0" percent="0" rank="0" text="" dxfId="8">
      <formula>0</formula>
    </cfRule>
  </conditionalFormatting>
  <conditionalFormatting sqref="D103">
    <cfRule type="cellIs" priority="196" operator="greaterThan" aboveAverage="0" equalAverage="0" bottom="0" percent="0" rank="0" text="" dxfId="10">
      <formula>GecOdemeEsik</formula>
    </cfRule>
  </conditionalFormatting>
  <conditionalFormatting sqref="E103">
    <cfRule type="cellIs" priority="197" operator="greaterThan" aboveAverage="0" equalAverage="0" bottom="0" percent="0" rank="0" text="" dxfId="8">
      <formula>0</formula>
    </cfRule>
  </conditionalFormatting>
  <conditionalFormatting sqref="D104">
    <cfRule type="cellIs" priority="198" operator="greaterThan" aboveAverage="0" equalAverage="0" bottom="0" percent="0" rank="0" text="" dxfId="10">
      <formula>GecOdemeEsik</formula>
    </cfRule>
  </conditionalFormatting>
  <conditionalFormatting sqref="E104">
    <cfRule type="cellIs" priority="199" operator="greaterThan" aboveAverage="0" equalAverage="0" bottom="0" percent="0" rank="0" text="" dxfId="8">
      <formula>0</formula>
    </cfRule>
  </conditionalFormatting>
  <conditionalFormatting sqref="D105">
    <cfRule type="cellIs" priority="200" operator="greaterThan" aboveAverage="0" equalAverage="0" bottom="0" percent="0" rank="0" text="" dxfId="10">
      <formula>GecOdemeEsik</formula>
    </cfRule>
  </conditionalFormatting>
  <conditionalFormatting sqref="E105">
    <cfRule type="cellIs" priority="201" operator="greaterThan" aboveAverage="0" equalAverage="0" bottom="0" percent="0" rank="0" text="" dxfId="8">
      <formula>0</formula>
    </cfRule>
  </conditionalFormatting>
  <conditionalFormatting sqref="D106">
    <cfRule type="cellIs" priority="202" operator="greaterThan" aboveAverage="0" equalAverage="0" bottom="0" percent="0" rank="0" text="" dxfId="10">
      <formula>GecOdemeEsik</formula>
    </cfRule>
  </conditionalFormatting>
  <conditionalFormatting sqref="E106">
    <cfRule type="cellIs" priority="203" operator="greaterThan" aboveAverage="0" equalAverage="0" bottom="0" percent="0" rank="0" text="" dxfId="8">
      <formula>0</formula>
    </cfRule>
  </conditionalFormatting>
  <conditionalFormatting sqref="D107">
    <cfRule type="cellIs" priority="204" operator="greaterThan" aboveAverage="0" equalAverage="0" bottom="0" percent="0" rank="0" text="" dxfId="10">
      <formula>GecOdemeEsik</formula>
    </cfRule>
  </conditionalFormatting>
  <conditionalFormatting sqref="E107">
    <cfRule type="cellIs" priority="205" operator="greaterThan" aboveAverage="0" equalAverage="0" bottom="0" percent="0" rank="0" text="" dxfId="8">
      <formula>0</formula>
    </cfRule>
  </conditionalFormatting>
  <conditionalFormatting sqref="D108">
    <cfRule type="cellIs" priority="206" operator="greaterThan" aboveAverage="0" equalAverage="0" bottom="0" percent="0" rank="0" text="" dxfId="10">
      <formula>GecOdemeEsik</formula>
    </cfRule>
  </conditionalFormatting>
  <conditionalFormatting sqref="E108">
    <cfRule type="cellIs" priority="207" operator="greaterThan" aboveAverage="0" equalAverage="0" bottom="0" percent="0" rank="0" text="" dxfId="8">
      <formula>0</formula>
    </cfRule>
  </conditionalFormatting>
  <conditionalFormatting sqref="D109">
    <cfRule type="cellIs" priority="208" operator="greaterThan" aboveAverage="0" equalAverage="0" bottom="0" percent="0" rank="0" text="" dxfId="10">
      <formula>GecOdemeEsik</formula>
    </cfRule>
  </conditionalFormatting>
  <conditionalFormatting sqref="E109">
    <cfRule type="cellIs" priority="209" operator="greaterThan" aboveAverage="0" equalAverage="0" bottom="0" percent="0" rank="0" text="" dxfId="8">
      <formula>0</formula>
    </cfRule>
  </conditionalFormatting>
  <conditionalFormatting sqref="D110">
    <cfRule type="cellIs" priority="210" operator="greaterThan" aboveAverage="0" equalAverage="0" bottom="0" percent="0" rank="0" text="" dxfId="10">
      <formula>GecOdemeEsik</formula>
    </cfRule>
  </conditionalFormatting>
  <conditionalFormatting sqref="E110">
    <cfRule type="cellIs" priority="211" operator="greaterThan" aboveAverage="0" equalAverage="0" bottom="0" percent="0" rank="0" text="" dxfId="8">
      <formula>0</formula>
    </cfRule>
  </conditionalFormatting>
  <conditionalFormatting sqref="D111">
    <cfRule type="cellIs" priority="212" operator="greaterThan" aboveAverage="0" equalAverage="0" bottom="0" percent="0" rank="0" text="" dxfId="10">
      <formula>GecOdemeEsik</formula>
    </cfRule>
  </conditionalFormatting>
  <conditionalFormatting sqref="E111">
    <cfRule type="cellIs" priority="213" operator="greaterThan" aboveAverage="0" equalAverage="0" bottom="0" percent="0" rank="0" text="" dxfId="8">
      <formula>0</formula>
    </cfRule>
  </conditionalFormatting>
  <conditionalFormatting sqref="D112">
    <cfRule type="cellIs" priority="214" operator="greaterThan" aboveAverage="0" equalAverage="0" bottom="0" percent="0" rank="0" text="" dxfId="10">
      <formula>GecOdemeEsik</formula>
    </cfRule>
  </conditionalFormatting>
  <conditionalFormatting sqref="E112">
    <cfRule type="cellIs" priority="215" operator="greaterThan" aboveAverage="0" equalAverage="0" bottom="0" percent="0" rank="0" text="" dxfId="8">
      <formula>0</formula>
    </cfRule>
  </conditionalFormatting>
  <conditionalFormatting sqref="D113">
    <cfRule type="cellIs" priority="216" operator="greaterThan" aboveAverage="0" equalAverage="0" bottom="0" percent="0" rank="0" text="" dxfId="10">
      <formula>GecOdemeEsik</formula>
    </cfRule>
  </conditionalFormatting>
  <conditionalFormatting sqref="E113">
    <cfRule type="cellIs" priority="217" operator="greaterThan" aboveAverage="0" equalAverage="0" bottom="0" percent="0" rank="0" text="" dxfId="8">
      <formula>0</formula>
    </cfRule>
  </conditionalFormatting>
  <conditionalFormatting sqref="D114">
    <cfRule type="cellIs" priority="218" operator="greaterThan" aboveAverage="0" equalAverage="0" bottom="0" percent="0" rank="0" text="" dxfId="10">
      <formula>GecOdemeEsik</formula>
    </cfRule>
  </conditionalFormatting>
  <conditionalFormatting sqref="E114">
    <cfRule type="cellIs" priority="219" operator="greaterThan" aboveAverage="0" equalAverage="0" bottom="0" percent="0" rank="0" text="" dxfId="8">
      <formula>0</formula>
    </cfRule>
  </conditionalFormatting>
  <conditionalFormatting sqref="D115">
    <cfRule type="cellIs" priority="220" operator="greaterThan" aboveAverage="0" equalAverage="0" bottom="0" percent="0" rank="0" text="" dxfId="10">
      <formula>GecOdemeEsik</formula>
    </cfRule>
  </conditionalFormatting>
  <conditionalFormatting sqref="E115">
    <cfRule type="cellIs" priority="221" operator="greaterThan" aboveAverage="0" equalAverage="0" bottom="0" percent="0" rank="0" text="" dxfId="8">
      <formula>0</formula>
    </cfRule>
  </conditionalFormatting>
  <conditionalFormatting sqref="D116">
    <cfRule type="cellIs" priority="222" operator="greaterThan" aboveAverage="0" equalAverage="0" bottom="0" percent="0" rank="0" text="" dxfId="10">
      <formula>GecOdemeEsik</formula>
    </cfRule>
  </conditionalFormatting>
  <conditionalFormatting sqref="E116">
    <cfRule type="cellIs" priority="223" operator="greaterThan" aboveAverage="0" equalAverage="0" bottom="0" percent="0" rank="0" text="" dxfId="8">
      <formula>0</formula>
    </cfRule>
  </conditionalFormatting>
  <conditionalFormatting sqref="D117">
    <cfRule type="cellIs" priority="224" operator="greaterThan" aboveAverage="0" equalAverage="0" bottom="0" percent="0" rank="0" text="" dxfId="10">
      <formula>GecOdemeEsik</formula>
    </cfRule>
  </conditionalFormatting>
  <conditionalFormatting sqref="E117">
    <cfRule type="cellIs" priority="225" operator="greaterThan" aboveAverage="0" equalAverage="0" bottom="0" percent="0" rank="0" text="" dxfId="8">
      <formula>0</formula>
    </cfRule>
  </conditionalFormatting>
  <conditionalFormatting sqref="D118">
    <cfRule type="cellIs" priority="226" operator="greaterThan" aboveAverage="0" equalAverage="0" bottom="0" percent="0" rank="0" text="" dxfId="10">
      <formula>GecOdemeEsik</formula>
    </cfRule>
  </conditionalFormatting>
  <conditionalFormatting sqref="E118">
    <cfRule type="cellIs" priority="227" operator="greaterThan" aboveAverage="0" equalAverage="0" bottom="0" percent="0" rank="0" text="" dxfId="8">
      <formula>0</formula>
    </cfRule>
  </conditionalFormatting>
  <conditionalFormatting sqref="D119">
    <cfRule type="cellIs" priority="228" operator="greaterThan" aboveAverage="0" equalAverage="0" bottom="0" percent="0" rank="0" text="" dxfId="10">
      <formula>GecOdemeEsik</formula>
    </cfRule>
  </conditionalFormatting>
  <conditionalFormatting sqref="E119">
    <cfRule type="cellIs" priority="229" operator="greaterThan" aboveAverage="0" equalAverage="0" bottom="0" percent="0" rank="0" text="" dxfId="8">
      <formula>0</formula>
    </cfRule>
  </conditionalFormatting>
  <conditionalFormatting sqref="D120">
    <cfRule type="cellIs" priority="230" operator="greaterThan" aboveAverage="0" equalAverage="0" bottom="0" percent="0" rank="0" text="" dxfId="10">
      <formula>GecOdemeEsik</formula>
    </cfRule>
  </conditionalFormatting>
  <conditionalFormatting sqref="E120">
    <cfRule type="cellIs" priority="231" operator="greaterThan" aboveAverage="0" equalAverage="0" bottom="0" percent="0" rank="0" text="" dxfId="8">
      <formula>0</formula>
    </cfRule>
  </conditionalFormatting>
  <conditionalFormatting sqref="D121">
    <cfRule type="cellIs" priority="232" operator="greaterThan" aboveAverage="0" equalAverage="0" bottom="0" percent="0" rank="0" text="" dxfId="10">
      <formula>GecOdemeEsik</formula>
    </cfRule>
  </conditionalFormatting>
  <conditionalFormatting sqref="E121">
    <cfRule type="cellIs" priority="233" operator="greaterThan" aboveAverage="0" equalAverage="0" bottom="0" percent="0" rank="0" text="" dxfId="8">
      <formula>0</formula>
    </cfRule>
  </conditionalFormatting>
  <conditionalFormatting sqref="D122">
    <cfRule type="cellIs" priority="234" operator="greaterThan" aboveAverage="0" equalAverage="0" bottom="0" percent="0" rank="0" text="" dxfId="10">
      <formula>GecOdemeEsik</formula>
    </cfRule>
  </conditionalFormatting>
  <conditionalFormatting sqref="E122">
    <cfRule type="cellIs" priority="235" operator="greaterThan" aboveAverage="0" equalAverage="0" bottom="0" percent="0" rank="0" text="" dxfId="8">
      <formula>0</formula>
    </cfRule>
  </conditionalFormatting>
  <conditionalFormatting sqref="D123">
    <cfRule type="cellIs" priority="236" operator="greaterThan" aboveAverage="0" equalAverage="0" bottom="0" percent="0" rank="0" text="" dxfId="10">
      <formula>GecOdemeEsik</formula>
    </cfRule>
  </conditionalFormatting>
  <conditionalFormatting sqref="E123">
    <cfRule type="cellIs" priority="237" operator="greaterThan" aboveAverage="0" equalAverage="0" bottom="0" percent="0" rank="0" text="" dxfId="8">
      <formula>0</formula>
    </cfRule>
  </conditionalFormatting>
  <conditionalFormatting sqref="D124">
    <cfRule type="cellIs" priority="238" operator="greaterThan" aboveAverage="0" equalAverage="0" bottom="0" percent="0" rank="0" text="" dxfId="10">
      <formula>GecOdemeEsik</formula>
    </cfRule>
  </conditionalFormatting>
  <conditionalFormatting sqref="E124">
    <cfRule type="cellIs" priority="239" operator="greaterThan" aboveAverage="0" equalAverage="0" bottom="0" percent="0" rank="0" text="" dxfId="8">
      <formula>0</formula>
    </cfRule>
  </conditionalFormatting>
  <conditionalFormatting sqref="D125">
    <cfRule type="cellIs" priority="240" operator="greaterThan" aboveAverage="0" equalAverage="0" bottom="0" percent="0" rank="0" text="" dxfId="10">
      <formula>GecOdemeEsik</formula>
    </cfRule>
  </conditionalFormatting>
  <conditionalFormatting sqref="E125">
    <cfRule type="cellIs" priority="241" operator="greaterThan" aboveAverage="0" equalAverage="0" bottom="0" percent="0" rank="0" text="" dxfId="8">
      <formula>0</formula>
    </cfRule>
  </conditionalFormatting>
  <conditionalFormatting sqref="D126">
    <cfRule type="cellIs" priority="242" operator="greaterThan" aboveAverage="0" equalAverage="0" bottom="0" percent="0" rank="0" text="" dxfId="10">
      <formula>GecOdemeEsik</formula>
    </cfRule>
  </conditionalFormatting>
  <conditionalFormatting sqref="E126">
    <cfRule type="cellIs" priority="243" operator="greaterThan" aboveAverage="0" equalAverage="0" bottom="0" percent="0" rank="0" text="" dxfId="8">
      <formula>0</formula>
    </cfRule>
  </conditionalFormatting>
  <conditionalFormatting sqref="D127">
    <cfRule type="cellIs" priority="244" operator="greaterThan" aboveAverage="0" equalAverage="0" bottom="0" percent="0" rank="0" text="" dxfId="10">
      <formula>GecOdemeEsik</formula>
    </cfRule>
  </conditionalFormatting>
  <conditionalFormatting sqref="E127">
    <cfRule type="cellIs" priority="245" operator="greaterThan" aboveAverage="0" equalAverage="0" bottom="0" percent="0" rank="0" text="" dxfId="8">
      <formula>0</formula>
    </cfRule>
  </conditionalFormatting>
  <conditionalFormatting sqref="D128">
    <cfRule type="cellIs" priority="246" operator="greaterThan" aboveAverage="0" equalAverage="0" bottom="0" percent="0" rank="0" text="" dxfId="10">
      <formula>GecOdemeEsik</formula>
    </cfRule>
  </conditionalFormatting>
  <conditionalFormatting sqref="E128">
    <cfRule type="cellIs" priority="247" operator="greaterThan" aboveAverage="0" equalAverage="0" bottom="0" percent="0" rank="0" text="" dxfId="8">
      <formula>0</formula>
    </cfRule>
  </conditionalFormatting>
  <conditionalFormatting sqref="D129">
    <cfRule type="cellIs" priority="248" operator="greaterThan" aboveAverage="0" equalAverage="0" bottom="0" percent="0" rank="0" text="" dxfId="10">
      <formula>GecOdemeEsik</formula>
    </cfRule>
  </conditionalFormatting>
  <conditionalFormatting sqref="E129">
    <cfRule type="cellIs" priority="249" operator="greaterThan" aboveAverage="0" equalAverage="0" bottom="0" percent="0" rank="0" text="" dxfId="8">
      <formula>0</formula>
    </cfRule>
  </conditionalFormatting>
  <conditionalFormatting sqref="D130">
    <cfRule type="cellIs" priority="250" operator="greaterThan" aboveAverage="0" equalAverage="0" bottom="0" percent="0" rank="0" text="" dxfId="10">
      <formula>GecOdemeEsik</formula>
    </cfRule>
  </conditionalFormatting>
  <conditionalFormatting sqref="E130">
    <cfRule type="cellIs" priority="251" operator="greaterThan" aboveAverage="0" equalAverage="0" bottom="0" percent="0" rank="0" text="" dxfId="8">
      <formula>0</formula>
    </cfRule>
  </conditionalFormatting>
  <conditionalFormatting sqref="D131">
    <cfRule type="cellIs" priority="252" operator="greaterThan" aboveAverage="0" equalAverage="0" bottom="0" percent="0" rank="0" text="" dxfId="10">
      <formula>GecOdemeEsik</formula>
    </cfRule>
  </conditionalFormatting>
  <conditionalFormatting sqref="E131">
    <cfRule type="cellIs" priority="253" operator="greaterThan" aboveAverage="0" equalAverage="0" bottom="0" percent="0" rank="0" text="" dxfId="8">
      <formula>0</formula>
    </cfRule>
  </conditionalFormatting>
  <conditionalFormatting sqref="D132">
    <cfRule type="cellIs" priority="254" operator="greaterThan" aboveAverage="0" equalAverage="0" bottom="0" percent="0" rank="0" text="" dxfId="10">
      <formula>GecOdemeEsik</formula>
    </cfRule>
  </conditionalFormatting>
  <conditionalFormatting sqref="E132">
    <cfRule type="cellIs" priority="255" operator="greaterThan" aboveAverage="0" equalAverage="0" bottom="0" percent="0" rank="0" text="" dxfId="8">
      <formula>0</formula>
    </cfRule>
  </conditionalFormatting>
  <conditionalFormatting sqref="D133">
    <cfRule type="cellIs" priority="256" operator="greaterThan" aboveAverage="0" equalAverage="0" bottom="0" percent="0" rank="0" text="" dxfId="10">
      <formula>GecOdemeEsik</formula>
    </cfRule>
  </conditionalFormatting>
  <conditionalFormatting sqref="E133">
    <cfRule type="cellIs" priority="257" operator="greaterThan" aboveAverage="0" equalAverage="0" bottom="0" percent="0" rank="0" text="" dxfId="8">
      <formula>0</formula>
    </cfRule>
  </conditionalFormatting>
  <conditionalFormatting sqref="D134">
    <cfRule type="cellIs" priority="258" operator="greaterThan" aboveAverage="0" equalAverage="0" bottom="0" percent="0" rank="0" text="" dxfId="10">
      <formula>GecOdemeEsik</formula>
    </cfRule>
  </conditionalFormatting>
  <conditionalFormatting sqref="E134">
    <cfRule type="cellIs" priority="259" operator="greaterThan" aboveAverage="0" equalAverage="0" bottom="0" percent="0" rank="0" text="" dxfId="8">
      <formula>0</formula>
    </cfRule>
  </conditionalFormatting>
  <conditionalFormatting sqref="D135">
    <cfRule type="cellIs" priority="260" operator="greaterThan" aboveAverage="0" equalAverage="0" bottom="0" percent="0" rank="0" text="" dxfId="10">
      <formula>GecOdemeEsik</formula>
    </cfRule>
  </conditionalFormatting>
  <conditionalFormatting sqref="E135">
    <cfRule type="cellIs" priority="261" operator="greaterThan" aboveAverage="0" equalAverage="0" bottom="0" percent="0" rank="0" text="" dxfId="8">
      <formula>0</formula>
    </cfRule>
  </conditionalFormatting>
  <conditionalFormatting sqref="D136">
    <cfRule type="cellIs" priority="262" operator="greaterThan" aboveAverage="0" equalAverage="0" bottom="0" percent="0" rank="0" text="" dxfId="10">
      <formula>GecOdemeEsik</formula>
    </cfRule>
  </conditionalFormatting>
  <conditionalFormatting sqref="E136">
    <cfRule type="cellIs" priority="263" operator="greaterThan" aboveAverage="0" equalAverage="0" bottom="0" percent="0" rank="0" text="" dxfId="8">
      <formula>0</formula>
    </cfRule>
  </conditionalFormatting>
  <conditionalFormatting sqref="D137">
    <cfRule type="cellIs" priority="264" operator="greaterThan" aboveAverage="0" equalAverage="0" bottom="0" percent="0" rank="0" text="" dxfId="10">
      <formula>GecOdemeEsik</formula>
    </cfRule>
  </conditionalFormatting>
  <conditionalFormatting sqref="E137">
    <cfRule type="cellIs" priority="265" operator="greaterThan" aboveAverage="0" equalAverage="0" bottom="0" percent="0" rank="0" text="" dxfId="8">
      <formula>0</formula>
    </cfRule>
  </conditionalFormatting>
  <conditionalFormatting sqref="D138">
    <cfRule type="cellIs" priority="266" operator="greaterThan" aboveAverage="0" equalAverage="0" bottom="0" percent="0" rank="0" text="" dxfId="10">
      <formula>GecOdemeEsik</formula>
    </cfRule>
  </conditionalFormatting>
  <conditionalFormatting sqref="E138">
    <cfRule type="cellIs" priority="267" operator="greaterThan" aboveAverage="0" equalAverage="0" bottom="0" percent="0" rank="0" text="" dxfId="8">
      <formula>0</formula>
    </cfRule>
  </conditionalFormatting>
  <conditionalFormatting sqref="D139">
    <cfRule type="cellIs" priority="268" operator="greaterThan" aboveAverage="0" equalAverage="0" bottom="0" percent="0" rank="0" text="" dxfId="10">
      <formula>GecOdemeEsik</formula>
    </cfRule>
  </conditionalFormatting>
  <conditionalFormatting sqref="E139">
    <cfRule type="cellIs" priority="269" operator="greaterThan" aboveAverage="0" equalAverage="0" bottom="0" percent="0" rank="0" text="" dxfId="8">
      <formula>0</formula>
    </cfRule>
  </conditionalFormatting>
  <conditionalFormatting sqref="D140">
    <cfRule type="cellIs" priority="270" operator="greaterThan" aboveAverage="0" equalAverage="0" bottom="0" percent="0" rank="0" text="" dxfId="10">
      <formula>GecOdemeEsik</formula>
    </cfRule>
  </conditionalFormatting>
  <conditionalFormatting sqref="E140">
    <cfRule type="cellIs" priority="271" operator="greaterThan" aboveAverage="0" equalAverage="0" bottom="0" percent="0" rank="0" text="" dxfId="8">
      <formula>0</formula>
    </cfRule>
  </conditionalFormatting>
  <conditionalFormatting sqref="D141">
    <cfRule type="cellIs" priority="272" operator="greaterThan" aboveAverage="0" equalAverage="0" bottom="0" percent="0" rank="0" text="" dxfId="10">
      <formula>GecOdemeEsik</formula>
    </cfRule>
  </conditionalFormatting>
  <conditionalFormatting sqref="E141">
    <cfRule type="cellIs" priority="273" operator="greaterThan" aboveAverage="0" equalAverage="0" bottom="0" percent="0" rank="0" text="" dxfId="8">
      <formula>0</formula>
    </cfRule>
  </conditionalFormatting>
  <conditionalFormatting sqref="D142">
    <cfRule type="cellIs" priority="274" operator="greaterThan" aboveAverage="0" equalAverage="0" bottom="0" percent="0" rank="0" text="" dxfId="10">
      <formula>GecOdemeEsik</formula>
    </cfRule>
  </conditionalFormatting>
  <conditionalFormatting sqref="E142">
    <cfRule type="cellIs" priority="275" operator="greaterThan" aboveAverage="0" equalAverage="0" bottom="0" percent="0" rank="0" text="" dxfId="8">
      <formula>0</formula>
    </cfRule>
  </conditionalFormatting>
  <conditionalFormatting sqref="D143">
    <cfRule type="cellIs" priority="276" operator="greaterThan" aboveAverage="0" equalAverage="0" bottom="0" percent="0" rank="0" text="" dxfId="10">
      <formula>GecOdemeEsik</formula>
    </cfRule>
  </conditionalFormatting>
  <conditionalFormatting sqref="E143">
    <cfRule type="cellIs" priority="277" operator="greaterThan" aboveAverage="0" equalAverage="0" bottom="0" percent="0" rank="0" text="" dxfId="8">
      <formula>0</formula>
    </cfRule>
  </conditionalFormatting>
  <conditionalFormatting sqref="D144">
    <cfRule type="cellIs" priority="278" operator="greaterThan" aboveAverage="0" equalAverage="0" bottom="0" percent="0" rank="0" text="" dxfId="10">
      <formula>GecOdemeEsik</formula>
    </cfRule>
  </conditionalFormatting>
  <conditionalFormatting sqref="E144">
    <cfRule type="cellIs" priority="279" operator="greaterThan" aboveAverage="0" equalAverage="0" bottom="0" percent="0" rank="0" text="" dxfId="8">
      <formula>0</formula>
    </cfRule>
  </conditionalFormatting>
  <conditionalFormatting sqref="D145">
    <cfRule type="cellIs" priority="280" operator="greaterThan" aboveAverage="0" equalAverage="0" bottom="0" percent="0" rank="0" text="" dxfId="10">
      <formula>GecOdemeEsik</formula>
    </cfRule>
  </conditionalFormatting>
  <conditionalFormatting sqref="E145">
    <cfRule type="cellIs" priority="281" operator="greaterThan" aboveAverage="0" equalAverage="0" bottom="0" percent="0" rank="0" text="" dxfId="8">
      <formula>0</formula>
    </cfRule>
  </conditionalFormatting>
  <conditionalFormatting sqref="D146">
    <cfRule type="cellIs" priority="282" operator="greaterThan" aboveAverage="0" equalAverage="0" bottom="0" percent="0" rank="0" text="" dxfId="10">
      <formula>GecOdemeEsik</formula>
    </cfRule>
  </conditionalFormatting>
  <conditionalFormatting sqref="E146">
    <cfRule type="cellIs" priority="283" operator="greaterThan" aboveAverage="0" equalAverage="0" bottom="0" percent="0" rank="0" text="" dxfId="8">
      <formula>0</formula>
    </cfRule>
  </conditionalFormatting>
  <conditionalFormatting sqref="D147">
    <cfRule type="cellIs" priority="284" operator="greaterThan" aboveAverage="0" equalAverage="0" bottom="0" percent="0" rank="0" text="" dxfId="10">
      <formula>GecOdemeEsik</formula>
    </cfRule>
  </conditionalFormatting>
  <conditionalFormatting sqref="E147">
    <cfRule type="cellIs" priority="285" operator="greaterThan" aboveAverage="0" equalAverage="0" bottom="0" percent="0" rank="0" text="" dxfId="8">
      <formula>0</formula>
    </cfRule>
  </conditionalFormatting>
  <conditionalFormatting sqref="D148">
    <cfRule type="cellIs" priority="286" operator="greaterThan" aboveAverage="0" equalAverage="0" bottom="0" percent="0" rank="0" text="" dxfId="10">
      <formula>GecOdemeEsik</formula>
    </cfRule>
  </conditionalFormatting>
  <conditionalFormatting sqref="E148">
    <cfRule type="cellIs" priority="287" operator="greaterThan" aboveAverage="0" equalAverage="0" bottom="0" percent="0" rank="0" text="" dxfId="8">
      <formula>0</formula>
    </cfRule>
  </conditionalFormatting>
  <conditionalFormatting sqref="D149">
    <cfRule type="cellIs" priority="288" operator="greaterThan" aboveAverage="0" equalAverage="0" bottom="0" percent="0" rank="0" text="" dxfId="10">
      <formula>GecOdemeEsik</formula>
    </cfRule>
  </conditionalFormatting>
  <conditionalFormatting sqref="E149">
    <cfRule type="cellIs" priority="289" operator="greaterThan" aboveAverage="0" equalAverage="0" bottom="0" percent="0" rank="0" text="" dxfId="8">
      <formula>0</formula>
    </cfRule>
  </conditionalFormatting>
  <conditionalFormatting sqref="D150">
    <cfRule type="cellIs" priority="290" operator="greaterThan" aboveAverage="0" equalAverage="0" bottom="0" percent="0" rank="0" text="" dxfId="10">
      <formula>GecOdemeEsik</formula>
    </cfRule>
  </conditionalFormatting>
  <conditionalFormatting sqref="E150">
    <cfRule type="cellIs" priority="291" operator="greaterThan" aboveAverage="0" equalAverage="0" bottom="0" percent="0" rank="0" text="" dxfId="8">
      <formula>0</formula>
    </cfRule>
  </conditionalFormatting>
  <conditionalFormatting sqref="D151">
    <cfRule type="cellIs" priority="292" operator="greaterThan" aboveAverage="0" equalAverage="0" bottom="0" percent="0" rank="0" text="" dxfId="10">
      <formula>GecOdemeEsik</formula>
    </cfRule>
  </conditionalFormatting>
  <conditionalFormatting sqref="E151">
    <cfRule type="cellIs" priority="293" operator="greaterThan" aboveAverage="0" equalAverage="0" bottom="0" percent="0" rank="0" text="" dxfId="8">
      <formula>0</formula>
    </cfRule>
  </conditionalFormatting>
  <conditionalFormatting sqref="D152">
    <cfRule type="cellIs" priority="294" operator="greaterThan" aboveAverage="0" equalAverage="0" bottom="0" percent="0" rank="0" text="" dxfId="10">
      <formula>GecOdemeEsik</formula>
    </cfRule>
  </conditionalFormatting>
  <conditionalFormatting sqref="E152">
    <cfRule type="cellIs" priority="295" operator="greaterThan" aboveAverage="0" equalAverage="0" bottom="0" percent="0" rank="0" text="" dxfId="8">
      <formula>0</formula>
    </cfRule>
  </conditionalFormatting>
  <conditionalFormatting sqref="D153">
    <cfRule type="cellIs" priority="296" operator="greaterThan" aboveAverage="0" equalAverage="0" bottom="0" percent="0" rank="0" text="" dxfId="10">
      <formula>GecOdemeEsik</formula>
    </cfRule>
  </conditionalFormatting>
  <conditionalFormatting sqref="E153">
    <cfRule type="cellIs" priority="297" operator="greaterThan" aboveAverage="0" equalAverage="0" bottom="0" percent="0" rank="0" text="" dxfId="8">
      <formula>0</formula>
    </cfRule>
  </conditionalFormatting>
  <conditionalFormatting sqref="D154">
    <cfRule type="cellIs" priority="298" operator="greaterThan" aboveAverage="0" equalAverage="0" bottom="0" percent="0" rank="0" text="" dxfId="10">
      <formula>GecOdemeEsik</formula>
    </cfRule>
  </conditionalFormatting>
  <conditionalFormatting sqref="E154">
    <cfRule type="cellIs" priority="299" operator="greaterThan" aboveAverage="0" equalAverage="0" bottom="0" percent="0" rank="0" text="" dxfId="8">
      <formula>0</formula>
    </cfRule>
  </conditionalFormatting>
  <conditionalFormatting sqref="D155">
    <cfRule type="cellIs" priority="300" operator="greaterThan" aboveAverage="0" equalAverage="0" bottom="0" percent="0" rank="0" text="" dxfId="10">
      <formula>GecOdemeEsik</formula>
    </cfRule>
  </conditionalFormatting>
  <conditionalFormatting sqref="E155">
    <cfRule type="cellIs" priority="301" operator="greaterThan" aboveAverage="0" equalAverage="0" bottom="0" percent="0" rank="0" text="" dxfId="8">
      <formula>0</formula>
    </cfRule>
  </conditionalFormatting>
  <conditionalFormatting sqref="D156">
    <cfRule type="cellIs" priority="302" operator="greaterThan" aboveAverage="0" equalAverage="0" bottom="0" percent="0" rank="0" text="" dxfId="10">
      <formula>GecOdemeEsik</formula>
    </cfRule>
  </conditionalFormatting>
  <conditionalFormatting sqref="E156">
    <cfRule type="cellIs" priority="303" operator="greaterThan" aboveAverage="0" equalAverage="0" bottom="0" percent="0" rank="0" text="" dxfId="8">
      <formula>0</formula>
    </cfRule>
  </conditionalFormatting>
  <conditionalFormatting sqref="D157">
    <cfRule type="cellIs" priority="304" operator="greaterThan" aboveAverage="0" equalAverage="0" bottom="0" percent="0" rank="0" text="" dxfId="10">
      <formula>GecOdemeEsik</formula>
    </cfRule>
  </conditionalFormatting>
  <conditionalFormatting sqref="E157">
    <cfRule type="cellIs" priority="305" operator="greaterThan" aboveAverage="0" equalAverage="0" bottom="0" percent="0" rank="0" text="" dxfId="8">
      <formula>0</formula>
    </cfRule>
  </conditionalFormatting>
  <conditionalFormatting sqref="D158">
    <cfRule type="cellIs" priority="306" operator="greaterThan" aboveAverage="0" equalAverage="0" bottom="0" percent="0" rank="0" text="" dxfId="10">
      <formula>GecOdemeEsik</formula>
    </cfRule>
  </conditionalFormatting>
  <conditionalFormatting sqref="E158">
    <cfRule type="cellIs" priority="307" operator="greaterThan" aboveAverage="0" equalAverage="0" bottom="0" percent="0" rank="0" text="" dxfId="8">
      <formula>0</formula>
    </cfRule>
  </conditionalFormatting>
  <conditionalFormatting sqref="D159">
    <cfRule type="cellIs" priority="308" operator="greaterThan" aboveAverage="0" equalAverage="0" bottom="0" percent="0" rank="0" text="" dxfId="10">
      <formula>GecOdemeEsik</formula>
    </cfRule>
  </conditionalFormatting>
  <conditionalFormatting sqref="E159">
    <cfRule type="cellIs" priority="309" operator="greaterThan" aboveAverage="0" equalAverage="0" bottom="0" percent="0" rank="0" text="" dxfId="8">
      <formula>0</formula>
    </cfRule>
  </conditionalFormatting>
  <conditionalFormatting sqref="D160">
    <cfRule type="cellIs" priority="310" operator="greaterThan" aboveAverage="0" equalAverage="0" bottom="0" percent="0" rank="0" text="" dxfId="10">
      <formula>GecOdemeEsik</formula>
    </cfRule>
  </conditionalFormatting>
  <conditionalFormatting sqref="E160">
    <cfRule type="cellIs" priority="311" operator="greaterThan" aboveAverage="0" equalAverage="0" bottom="0" percent="0" rank="0" text="" dxfId="8">
      <formula>0</formula>
    </cfRule>
  </conditionalFormatting>
  <conditionalFormatting sqref="D161">
    <cfRule type="cellIs" priority="312" operator="greaterThan" aboveAverage="0" equalAverage="0" bottom="0" percent="0" rank="0" text="" dxfId="10">
      <formula>GecOdemeEsik</formula>
    </cfRule>
  </conditionalFormatting>
  <conditionalFormatting sqref="E161">
    <cfRule type="cellIs" priority="313" operator="greaterThan" aboveAverage="0" equalAverage="0" bottom="0" percent="0" rank="0" text="" dxfId="8">
      <formula>0</formula>
    </cfRule>
  </conditionalFormatting>
  <conditionalFormatting sqref="D162">
    <cfRule type="cellIs" priority="314" operator="greaterThan" aboveAverage="0" equalAverage="0" bottom="0" percent="0" rank="0" text="" dxfId="10">
      <formula>GecOdemeEsik</formula>
    </cfRule>
  </conditionalFormatting>
  <conditionalFormatting sqref="E162">
    <cfRule type="cellIs" priority="315" operator="greaterThan" aboveAverage="0" equalAverage="0" bottom="0" percent="0" rank="0" text="" dxfId="8">
      <formula>0</formula>
    </cfRule>
  </conditionalFormatting>
  <conditionalFormatting sqref="D163">
    <cfRule type="cellIs" priority="316" operator="greaterThan" aboveAverage="0" equalAverage="0" bottom="0" percent="0" rank="0" text="" dxfId="10">
      <formula>GecOdemeEsik</formula>
    </cfRule>
  </conditionalFormatting>
  <conditionalFormatting sqref="E163">
    <cfRule type="cellIs" priority="317" operator="greaterThan" aboveAverage="0" equalAverage="0" bottom="0" percent="0" rank="0" text="" dxfId="8">
      <formula>0</formula>
    </cfRule>
  </conditionalFormatting>
  <conditionalFormatting sqref="D164">
    <cfRule type="cellIs" priority="318" operator="greaterThan" aboveAverage="0" equalAverage="0" bottom="0" percent="0" rank="0" text="" dxfId="10">
      <formula>GecOdemeEsik</formula>
    </cfRule>
  </conditionalFormatting>
  <conditionalFormatting sqref="E164">
    <cfRule type="cellIs" priority="319" operator="greaterThan" aboveAverage="0" equalAverage="0" bottom="0" percent="0" rank="0" text="" dxfId="8">
      <formula>0</formula>
    </cfRule>
  </conditionalFormatting>
  <conditionalFormatting sqref="D165">
    <cfRule type="cellIs" priority="320" operator="greaterThan" aboveAverage="0" equalAverage="0" bottom="0" percent="0" rank="0" text="" dxfId="10">
      <formula>GecOdemeEsik</formula>
    </cfRule>
  </conditionalFormatting>
  <conditionalFormatting sqref="E165">
    <cfRule type="cellIs" priority="321" operator="greaterThan" aboveAverage="0" equalAverage="0" bottom="0" percent="0" rank="0" text="" dxfId="8">
      <formula>0</formula>
    </cfRule>
  </conditionalFormatting>
  <conditionalFormatting sqref="D166">
    <cfRule type="cellIs" priority="322" operator="greaterThan" aboveAverage="0" equalAverage="0" bottom="0" percent="0" rank="0" text="" dxfId="10">
      <formula>GecOdemeEsik</formula>
    </cfRule>
  </conditionalFormatting>
  <conditionalFormatting sqref="E166">
    <cfRule type="cellIs" priority="323" operator="greaterThan" aboveAverage="0" equalAverage="0" bottom="0" percent="0" rank="0" text="" dxfId="8">
      <formula>0</formula>
    </cfRule>
  </conditionalFormatting>
  <conditionalFormatting sqref="D167">
    <cfRule type="cellIs" priority="324" operator="greaterThan" aboveAverage="0" equalAverage="0" bottom="0" percent="0" rank="0" text="" dxfId="10">
      <formula>GecOdemeEsik</formula>
    </cfRule>
  </conditionalFormatting>
  <conditionalFormatting sqref="E167">
    <cfRule type="cellIs" priority="325" operator="greaterThan" aboveAverage="0" equalAverage="0" bottom="0" percent="0" rank="0" text="" dxfId="8">
      <formula>0</formula>
    </cfRule>
  </conditionalFormatting>
  <conditionalFormatting sqref="D168">
    <cfRule type="cellIs" priority="326" operator="greaterThan" aboveAverage="0" equalAverage="0" bottom="0" percent="0" rank="0" text="" dxfId="10">
      <formula>GecOdemeEsik</formula>
    </cfRule>
  </conditionalFormatting>
  <conditionalFormatting sqref="E168">
    <cfRule type="cellIs" priority="327" operator="greaterThan" aboveAverage="0" equalAverage="0" bottom="0" percent="0" rank="0" text="" dxfId="8">
      <formula>0</formula>
    </cfRule>
  </conditionalFormatting>
  <conditionalFormatting sqref="D169">
    <cfRule type="cellIs" priority="328" operator="greaterThan" aboveAverage="0" equalAverage="0" bottom="0" percent="0" rank="0" text="" dxfId="10">
      <formula>GecOdemeEsik</formula>
    </cfRule>
  </conditionalFormatting>
  <conditionalFormatting sqref="E169">
    <cfRule type="cellIs" priority="329" operator="greaterThan" aboveAverage="0" equalAverage="0" bottom="0" percent="0" rank="0" text="" dxfId="8">
      <formula>0</formula>
    </cfRule>
  </conditionalFormatting>
  <conditionalFormatting sqref="D170">
    <cfRule type="cellIs" priority="330" operator="greaterThan" aboveAverage="0" equalAverage="0" bottom="0" percent="0" rank="0" text="" dxfId="10">
      <formula>GecOdemeEsik</formula>
    </cfRule>
  </conditionalFormatting>
  <conditionalFormatting sqref="E170">
    <cfRule type="cellIs" priority="331" operator="greaterThan" aboveAverage="0" equalAverage="0" bottom="0" percent="0" rank="0" text="" dxfId="8">
      <formula>0</formula>
    </cfRule>
  </conditionalFormatting>
  <conditionalFormatting sqref="D171">
    <cfRule type="cellIs" priority="332" operator="greaterThan" aboveAverage="0" equalAverage="0" bottom="0" percent="0" rank="0" text="" dxfId="10">
      <formula>GecOdemeEsik</formula>
    </cfRule>
  </conditionalFormatting>
  <conditionalFormatting sqref="E171">
    <cfRule type="cellIs" priority="333" operator="greaterThan" aboveAverage="0" equalAverage="0" bottom="0" percent="0" rank="0" text="" dxfId="8">
      <formula>0</formula>
    </cfRule>
  </conditionalFormatting>
  <conditionalFormatting sqref="D172">
    <cfRule type="cellIs" priority="334" operator="greaterThan" aboveAverage="0" equalAverage="0" bottom="0" percent="0" rank="0" text="" dxfId="10">
      <formula>GecOdemeEsik</formula>
    </cfRule>
  </conditionalFormatting>
  <conditionalFormatting sqref="E172">
    <cfRule type="cellIs" priority="335" operator="greaterThan" aboveAverage="0" equalAverage="0" bottom="0" percent="0" rank="0" text="" dxfId="8">
      <formula>0</formula>
    </cfRule>
  </conditionalFormatting>
  <conditionalFormatting sqref="D173">
    <cfRule type="cellIs" priority="336" operator="greaterThan" aboveAverage="0" equalAverage="0" bottom="0" percent="0" rank="0" text="" dxfId="10">
      <formula>GecOdemeEsik</formula>
    </cfRule>
  </conditionalFormatting>
  <conditionalFormatting sqref="E173">
    <cfRule type="cellIs" priority="337" operator="greaterThan" aboveAverage="0" equalAverage="0" bottom="0" percent="0" rank="0" text="" dxfId="8">
      <formula>0</formula>
    </cfRule>
  </conditionalFormatting>
  <conditionalFormatting sqref="D174">
    <cfRule type="cellIs" priority="338" operator="greaterThan" aboveAverage="0" equalAverage="0" bottom="0" percent="0" rank="0" text="" dxfId="10">
      <formula>GecOdemeEsik</formula>
    </cfRule>
  </conditionalFormatting>
  <conditionalFormatting sqref="E174">
    <cfRule type="cellIs" priority="339" operator="greaterThan" aboveAverage="0" equalAverage="0" bottom="0" percent="0" rank="0" text="" dxfId="8">
      <formula>0</formula>
    </cfRule>
  </conditionalFormatting>
  <conditionalFormatting sqref="D175">
    <cfRule type="cellIs" priority="340" operator="greaterThan" aboveAverage="0" equalAverage="0" bottom="0" percent="0" rank="0" text="" dxfId="10">
      <formula>GecOdemeEsik</formula>
    </cfRule>
  </conditionalFormatting>
  <conditionalFormatting sqref="E175">
    <cfRule type="cellIs" priority="341" operator="greaterThan" aboveAverage="0" equalAverage="0" bottom="0" percent="0" rank="0" text="" dxfId="8">
      <formula>0</formula>
    </cfRule>
  </conditionalFormatting>
  <conditionalFormatting sqref="D176">
    <cfRule type="cellIs" priority="342" operator="greaterThan" aboveAverage="0" equalAverage="0" bottom="0" percent="0" rank="0" text="" dxfId="10">
      <formula>GecOdemeEsik</formula>
    </cfRule>
  </conditionalFormatting>
  <conditionalFormatting sqref="E176">
    <cfRule type="cellIs" priority="343" operator="greaterThan" aboveAverage="0" equalAverage="0" bottom="0" percent="0" rank="0" text="" dxfId="8">
      <formula>0</formula>
    </cfRule>
  </conditionalFormatting>
  <conditionalFormatting sqref="D177">
    <cfRule type="cellIs" priority="344" operator="greaterThan" aboveAverage="0" equalAverage="0" bottom="0" percent="0" rank="0" text="" dxfId="10">
      <formula>GecOdemeEsik</formula>
    </cfRule>
  </conditionalFormatting>
  <conditionalFormatting sqref="E177">
    <cfRule type="cellIs" priority="345" operator="greaterThan" aboveAverage="0" equalAverage="0" bottom="0" percent="0" rank="0" text="" dxfId="8">
      <formula>0</formula>
    </cfRule>
  </conditionalFormatting>
  <conditionalFormatting sqref="D178">
    <cfRule type="cellIs" priority="346" operator="greaterThan" aboveAverage="0" equalAverage="0" bottom="0" percent="0" rank="0" text="" dxfId="10">
      <formula>GecOdemeEsik</formula>
    </cfRule>
  </conditionalFormatting>
  <conditionalFormatting sqref="E178">
    <cfRule type="cellIs" priority="347" operator="greaterThan" aboveAverage="0" equalAverage="0" bottom="0" percent="0" rank="0" text="" dxfId="8">
      <formula>0</formula>
    </cfRule>
  </conditionalFormatting>
  <conditionalFormatting sqref="D179">
    <cfRule type="cellIs" priority="348" operator="greaterThan" aboveAverage="0" equalAverage="0" bottom="0" percent="0" rank="0" text="" dxfId="10">
      <formula>GecOdemeEsik</formula>
    </cfRule>
  </conditionalFormatting>
  <conditionalFormatting sqref="E179">
    <cfRule type="cellIs" priority="349" operator="greaterThan" aboveAverage="0" equalAverage="0" bottom="0" percent="0" rank="0" text="" dxfId="8">
      <formula>0</formula>
    </cfRule>
  </conditionalFormatting>
  <conditionalFormatting sqref="D180">
    <cfRule type="cellIs" priority="350" operator="greaterThan" aboveAverage="0" equalAverage="0" bottom="0" percent="0" rank="0" text="" dxfId="10">
      <formula>GecOdemeEsik</formula>
    </cfRule>
  </conditionalFormatting>
  <conditionalFormatting sqref="E180">
    <cfRule type="cellIs" priority="351" operator="greaterThan" aboveAverage="0" equalAverage="0" bottom="0" percent="0" rank="0" text="" dxfId="8">
      <formula>0</formula>
    </cfRule>
  </conditionalFormatting>
  <conditionalFormatting sqref="D181">
    <cfRule type="cellIs" priority="352" operator="greaterThan" aboveAverage="0" equalAverage="0" bottom="0" percent="0" rank="0" text="" dxfId="10">
      <formula>GecOdemeEsik</formula>
    </cfRule>
  </conditionalFormatting>
  <conditionalFormatting sqref="E181">
    <cfRule type="cellIs" priority="353" operator="greaterThan" aboveAverage="0" equalAverage="0" bottom="0" percent="0" rank="0" text="" dxfId="8">
      <formula>0</formula>
    </cfRule>
  </conditionalFormatting>
  <conditionalFormatting sqref="D182">
    <cfRule type="cellIs" priority="354" operator="greaterThan" aboveAverage="0" equalAverage="0" bottom="0" percent="0" rank="0" text="" dxfId="10">
      <formula>GecOdemeEsik</formula>
    </cfRule>
  </conditionalFormatting>
  <conditionalFormatting sqref="E182">
    <cfRule type="cellIs" priority="355" operator="greaterThan" aboveAverage="0" equalAverage="0" bottom="0" percent="0" rank="0" text="" dxfId="8">
      <formula>0</formula>
    </cfRule>
  </conditionalFormatting>
  <conditionalFormatting sqref="D183">
    <cfRule type="cellIs" priority="356" operator="greaterThan" aboveAverage="0" equalAverage="0" bottom="0" percent="0" rank="0" text="" dxfId="10">
      <formula>GecOdemeEsik</formula>
    </cfRule>
  </conditionalFormatting>
  <conditionalFormatting sqref="E183">
    <cfRule type="cellIs" priority="357" operator="greaterThan" aboveAverage="0" equalAverage="0" bottom="0" percent="0" rank="0" text="" dxfId="8">
      <formula>0</formula>
    </cfRule>
  </conditionalFormatting>
  <conditionalFormatting sqref="D184">
    <cfRule type="cellIs" priority="358" operator="greaterThan" aboveAverage="0" equalAverage="0" bottom="0" percent="0" rank="0" text="" dxfId="10">
      <formula>GecOdemeEsik</formula>
    </cfRule>
  </conditionalFormatting>
  <conditionalFormatting sqref="E184">
    <cfRule type="cellIs" priority="359" operator="greaterThan" aboveAverage="0" equalAverage="0" bottom="0" percent="0" rank="0" text="" dxfId="8">
      <formula>0</formula>
    </cfRule>
  </conditionalFormatting>
  <conditionalFormatting sqref="D185">
    <cfRule type="cellIs" priority="360" operator="greaterThan" aboveAverage="0" equalAverage="0" bottom="0" percent="0" rank="0" text="" dxfId="10">
      <formula>GecOdemeEsik</formula>
    </cfRule>
  </conditionalFormatting>
  <conditionalFormatting sqref="E185">
    <cfRule type="cellIs" priority="361" operator="greaterThan" aboveAverage="0" equalAverage="0" bottom="0" percent="0" rank="0" text="" dxfId="8">
      <formula>0</formula>
    </cfRule>
  </conditionalFormatting>
  <conditionalFormatting sqref="D186">
    <cfRule type="cellIs" priority="362" operator="greaterThan" aboveAverage="0" equalAverage="0" bottom="0" percent="0" rank="0" text="" dxfId="10">
      <formula>GecOdemeEsik</formula>
    </cfRule>
  </conditionalFormatting>
  <conditionalFormatting sqref="E186">
    <cfRule type="cellIs" priority="363" operator="greaterThan" aboveAverage="0" equalAverage="0" bottom="0" percent="0" rank="0" text="" dxfId="8">
      <formula>0</formula>
    </cfRule>
  </conditionalFormatting>
  <conditionalFormatting sqref="D187">
    <cfRule type="cellIs" priority="364" operator="greaterThan" aboveAverage="0" equalAverage="0" bottom="0" percent="0" rank="0" text="" dxfId="10">
      <formula>GecOdemeEsik</formula>
    </cfRule>
  </conditionalFormatting>
  <conditionalFormatting sqref="E187">
    <cfRule type="cellIs" priority="365" operator="greaterThan" aboveAverage="0" equalAverage="0" bottom="0" percent="0" rank="0" text="" dxfId="8">
      <formula>0</formula>
    </cfRule>
  </conditionalFormatting>
  <conditionalFormatting sqref="D188">
    <cfRule type="cellIs" priority="366" operator="greaterThan" aboveAverage="0" equalAverage="0" bottom="0" percent="0" rank="0" text="" dxfId="10">
      <formula>GecOdemeEsik</formula>
    </cfRule>
  </conditionalFormatting>
  <conditionalFormatting sqref="E188">
    <cfRule type="cellIs" priority="367" operator="greaterThan" aboveAverage="0" equalAverage="0" bottom="0" percent="0" rank="0" text="" dxfId="8">
      <formula>0</formula>
    </cfRule>
  </conditionalFormatting>
  <conditionalFormatting sqref="D189">
    <cfRule type="cellIs" priority="368" operator="greaterThan" aboveAverage="0" equalAverage="0" bottom="0" percent="0" rank="0" text="" dxfId="10">
      <formula>GecOdemeEsik</formula>
    </cfRule>
  </conditionalFormatting>
  <conditionalFormatting sqref="E189">
    <cfRule type="cellIs" priority="369" operator="greaterThan" aboveAverage="0" equalAverage="0" bottom="0" percent="0" rank="0" text="" dxfId="8">
      <formula>0</formula>
    </cfRule>
  </conditionalFormatting>
  <conditionalFormatting sqref="D190">
    <cfRule type="cellIs" priority="370" operator="greaterThan" aboveAverage="0" equalAverage="0" bottom="0" percent="0" rank="0" text="" dxfId="10">
      <formula>GecOdemeEsik</formula>
    </cfRule>
  </conditionalFormatting>
  <conditionalFormatting sqref="E190">
    <cfRule type="cellIs" priority="371" operator="greaterThan" aboveAverage="0" equalAverage="0" bottom="0" percent="0" rank="0" text="" dxfId="8">
      <formula>0</formula>
    </cfRule>
  </conditionalFormatting>
  <conditionalFormatting sqref="D191">
    <cfRule type="cellIs" priority="372" operator="greaterThan" aboveAverage="0" equalAverage="0" bottom="0" percent="0" rank="0" text="" dxfId="10">
      <formula>GecOdemeEsik</formula>
    </cfRule>
  </conditionalFormatting>
  <conditionalFormatting sqref="E191">
    <cfRule type="cellIs" priority="373" operator="greaterThan" aboveAverage="0" equalAverage="0" bottom="0" percent="0" rank="0" text="" dxfId="8">
      <formula>0</formula>
    </cfRule>
  </conditionalFormatting>
  <conditionalFormatting sqref="D192">
    <cfRule type="cellIs" priority="374" operator="greaterThan" aboveAverage="0" equalAverage="0" bottom="0" percent="0" rank="0" text="" dxfId="10">
      <formula>GecOdemeEsik</formula>
    </cfRule>
  </conditionalFormatting>
  <conditionalFormatting sqref="E192">
    <cfRule type="cellIs" priority="375" operator="greaterThan" aboveAverage="0" equalAverage="0" bottom="0" percent="0" rank="0" text="" dxfId="8">
      <formula>0</formula>
    </cfRule>
  </conditionalFormatting>
  <conditionalFormatting sqref="D193">
    <cfRule type="cellIs" priority="376" operator="greaterThan" aboveAverage="0" equalAverage="0" bottom="0" percent="0" rank="0" text="" dxfId="10">
      <formula>GecOdemeEsik</formula>
    </cfRule>
  </conditionalFormatting>
  <conditionalFormatting sqref="E193">
    <cfRule type="cellIs" priority="377" operator="greaterThan" aboveAverage="0" equalAverage="0" bottom="0" percent="0" rank="0" text="" dxfId="8">
      <formula>0</formula>
    </cfRule>
  </conditionalFormatting>
  <conditionalFormatting sqref="D194">
    <cfRule type="cellIs" priority="378" operator="greaterThan" aboveAverage="0" equalAverage="0" bottom="0" percent="0" rank="0" text="" dxfId="10">
      <formula>GecOdemeEsik</formula>
    </cfRule>
  </conditionalFormatting>
  <conditionalFormatting sqref="E194">
    <cfRule type="cellIs" priority="379" operator="greaterThan" aboveAverage="0" equalAverage="0" bottom="0" percent="0" rank="0" text="" dxfId="8">
      <formula>0</formula>
    </cfRule>
  </conditionalFormatting>
  <conditionalFormatting sqref="D195">
    <cfRule type="cellIs" priority="380" operator="greaterThan" aboveAverage="0" equalAverage="0" bottom="0" percent="0" rank="0" text="" dxfId="10">
      <formula>GecOdemeEsik</formula>
    </cfRule>
  </conditionalFormatting>
  <conditionalFormatting sqref="E195">
    <cfRule type="cellIs" priority="381" operator="greaterThan" aboveAverage="0" equalAverage="0" bottom="0" percent="0" rank="0" text="" dxfId="8">
      <formula>0</formula>
    </cfRule>
  </conditionalFormatting>
  <conditionalFormatting sqref="D196">
    <cfRule type="cellIs" priority="382" operator="greaterThan" aboveAverage="0" equalAverage="0" bottom="0" percent="0" rank="0" text="" dxfId="10">
      <formula>GecOdemeEsik</formula>
    </cfRule>
  </conditionalFormatting>
  <conditionalFormatting sqref="E196">
    <cfRule type="cellIs" priority="383" operator="greaterThan" aboveAverage="0" equalAverage="0" bottom="0" percent="0" rank="0" text="" dxfId="8">
      <formula>0</formula>
    </cfRule>
  </conditionalFormatting>
  <conditionalFormatting sqref="D197">
    <cfRule type="cellIs" priority="384" operator="greaterThan" aboveAverage="0" equalAverage="0" bottom="0" percent="0" rank="0" text="" dxfId="10">
      <formula>GecOdemeEsik</formula>
    </cfRule>
  </conditionalFormatting>
  <conditionalFormatting sqref="E197">
    <cfRule type="cellIs" priority="385" operator="greaterThan" aboveAverage="0" equalAverage="0" bottom="0" percent="0" rank="0" text="" dxfId="8">
      <formula>0</formula>
    </cfRule>
  </conditionalFormatting>
  <conditionalFormatting sqref="D198">
    <cfRule type="cellIs" priority="386" operator="greaterThan" aboveAverage="0" equalAverage="0" bottom="0" percent="0" rank="0" text="" dxfId="10">
      <formula>GecOdemeEsik</formula>
    </cfRule>
  </conditionalFormatting>
  <conditionalFormatting sqref="E198">
    <cfRule type="cellIs" priority="387" operator="greaterThan" aboveAverage="0" equalAverage="0" bottom="0" percent="0" rank="0" text="" dxfId="8">
      <formula>0</formula>
    </cfRule>
  </conditionalFormatting>
  <conditionalFormatting sqref="D199">
    <cfRule type="cellIs" priority="388" operator="greaterThan" aboveAverage="0" equalAverage="0" bottom="0" percent="0" rank="0" text="" dxfId="10">
      <formula>GecOdemeEsik</formula>
    </cfRule>
  </conditionalFormatting>
  <conditionalFormatting sqref="E199">
    <cfRule type="cellIs" priority="389" operator="greaterThan" aboveAverage="0" equalAverage="0" bottom="0" percent="0" rank="0" text="" dxfId="8">
      <formula>0</formula>
    </cfRule>
  </conditionalFormatting>
  <conditionalFormatting sqref="D200">
    <cfRule type="cellIs" priority="390" operator="greaterThan" aboveAverage="0" equalAverage="0" bottom="0" percent="0" rank="0" text="" dxfId="10">
      <formula>GecOdemeEsik</formula>
    </cfRule>
  </conditionalFormatting>
  <conditionalFormatting sqref="E200">
    <cfRule type="cellIs" priority="391" operator="greaterThan" aboveAverage="0" equalAverage="0" bottom="0" percent="0" rank="0" text="" dxfId="8">
      <formula>0</formula>
    </cfRule>
  </conditionalFormatting>
  <conditionalFormatting sqref="D201">
    <cfRule type="cellIs" priority="392" operator="greaterThan" aboveAverage="0" equalAverage="0" bottom="0" percent="0" rank="0" text="" dxfId="10">
      <formula>GecOdemeEsik</formula>
    </cfRule>
  </conditionalFormatting>
  <conditionalFormatting sqref="E201">
    <cfRule type="cellIs" priority="393" operator="greaterThan" aboveAverage="0" equalAverage="0" bottom="0" percent="0" rank="0" text="" dxfId="8">
      <formula>0</formula>
    </cfRule>
  </conditionalFormatting>
  <conditionalFormatting sqref="D202">
    <cfRule type="cellIs" priority="394" operator="greaterThan" aboveAverage="0" equalAverage="0" bottom="0" percent="0" rank="0" text="" dxfId="10">
      <formula>GecOdemeEsik</formula>
    </cfRule>
  </conditionalFormatting>
  <conditionalFormatting sqref="E202">
    <cfRule type="cellIs" priority="395" operator="greaterThan" aboveAverage="0" equalAverage="0" bottom="0" percent="0" rank="0" text="" dxfId="8">
      <formula>0</formula>
    </cfRule>
  </conditionalFormatting>
  <conditionalFormatting sqref="D203">
    <cfRule type="cellIs" priority="396" operator="greaterThan" aboveAverage="0" equalAverage="0" bottom="0" percent="0" rank="0" text="" dxfId="10">
      <formula>GecOdemeEsik</formula>
    </cfRule>
  </conditionalFormatting>
  <conditionalFormatting sqref="E203">
    <cfRule type="cellIs" priority="397" operator="greaterThan" aboveAverage="0" equalAverage="0" bottom="0" percent="0" rank="0" text="" dxfId="8">
      <formula>0</formula>
    </cfRule>
  </conditionalFormatting>
  <conditionalFormatting sqref="D204">
    <cfRule type="cellIs" priority="398" operator="greaterThan" aboveAverage="0" equalAverage="0" bottom="0" percent="0" rank="0" text="" dxfId="10">
      <formula>GecOdemeEsik</formula>
    </cfRule>
  </conditionalFormatting>
  <conditionalFormatting sqref="E204">
    <cfRule type="cellIs" priority="399" operator="greaterThan" aboveAverage="0" equalAverage="0" bottom="0" percent="0" rank="0" text="" dxfId="8">
      <formula>0</formula>
    </cfRule>
  </conditionalFormatting>
  <conditionalFormatting sqref="D205">
    <cfRule type="cellIs" priority="400" operator="greaterThan" aboveAverage="0" equalAverage="0" bottom="0" percent="0" rank="0" text="" dxfId="10">
      <formula>GecOdemeEsik</formula>
    </cfRule>
  </conditionalFormatting>
  <conditionalFormatting sqref="E205">
    <cfRule type="cellIs" priority="401" operator="greaterThan" aboveAverage="0" equalAverage="0" bottom="0" percent="0" rank="0" text="" dxfId="8">
      <formula>0</formula>
    </cfRule>
  </conditionalFormatting>
  <conditionalFormatting sqref="D206">
    <cfRule type="cellIs" priority="402" operator="greaterThan" aboveAverage="0" equalAverage="0" bottom="0" percent="0" rank="0" text="" dxfId="10">
      <formula>GecOdemeEsik</formula>
    </cfRule>
  </conditionalFormatting>
  <conditionalFormatting sqref="E206">
    <cfRule type="cellIs" priority="403" operator="greaterThan" aboveAverage="0" equalAverage="0" bottom="0" percent="0" rank="0" text="" dxfId="8">
      <formula>0</formula>
    </cfRule>
  </conditionalFormatting>
  <conditionalFormatting sqref="D207">
    <cfRule type="cellIs" priority="404" operator="greaterThan" aboveAverage="0" equalAverage="0" bottom="0" percent="0" rank="0" text="" dxfId="10">
      <formula>GecOdemeEsik</formula>
    </cfRule>
  </conditionalFormatting>
  <conditionalFormatting sqref="E207">
    <cfRule type="cellIs" priority="405" operator="greaterThan" aboveAverage="0" equalAverage="0" bottom="0" percent="0" rank="0" text="" dxfId="8">
      <formula>0</formula>
    </cfRule>
  </conditionalFormatting>
  <conditionalFormatting sqref="D208">
    <cfRule type="cellIs" priority="406" operator="greaterThan" aboveAverage="0" equalAverage="0" bottom="0" percent="0" rank="0" text="" dxfId="10">
      <formula>GecOdemeEsik</formula>
    </cfRule>
  </conditionalFormatting>
  <conditionalFormatting sqref="E208">
    <cfRule type="cellIs" priority="407" operator="greaterThan" aboveAverage="0" equalAverage="0" bottom="0" percent="0" rank="0" text="" dxfId="8">
      <formula>0</formula>
    </cfRule>
  </conditionalFormatting>
  <conditionalFormatting sqref="D209">
    <cfRule type="cellIs" priority="408" operator="greaterThan" aboveAverage="0" equalAverage="0" bottom="0" percent="0" rank="0" text="" dxfId="10">
      <formula>GecOdemeEsik</formula>
    </cfRule>
  </conditionalFormatting>
  <conditionalFormatting sqref="E209">
    <cfRule type="cellIs" priority="409" operator="greaterThan" aboveAverage="0" equalAverage="0" bottom="0" percent="0" rank="0" text="" dxfId="8">
      <formula>0</formula>
    </cfRule>
  </conditionalFormatting>
  <conditionalFormatting sqref="D210">
    <cfRule type="cellIs" priority="410" operator="greaterThan" aboveAverage="0" equalAverage="0" bottom="0" percent="0" rank="0" text="" dxfId="10">
      <formula>GecOdemeEsik</formula>
    </cfRule>
  </conditionalFormatting>
  <conditionalFormatting sqref="E210">
    <cfRule type="cellIs" priority="411" operator="greaterThan" aboveAverage="0" equalAverage="0" bottom="0" percent="0" rank="0" text="" dxfId="8">
      <formula>0</formula>
    </cfRule>
  </conditionalFormatting>
  <conditionalFormatting sqref="D211">
    <cfRule type="cellIs" priority="412" operator="greaterThan" aboveAverage="0" equalAverage="0" bottom="0" percent="0" rank="0" text="" dxfId="10">
      <formula>GecOdemeEsik</formula>
    </cfRule>
  </conditionalFormatting>
  <conditionalFormatting sqref="E211">
    <cfRule type="cellIs" priority="413" operator="greaterThan" aboveAverage="0" equalAverage="0" bottom="0" percent="0" rank="0" text="" dxfId="8">
      <formula>0</formula>
    </cfRule>
  </conditionalFormatting>
  <conditionalFormatting sqref="D212">
    <cfRule type="cellIs" priority="414" operator="greaterThan" aboveAverage="0" equalAverage="0" bottom="0" percent="0" rank="0" text="" dxfId="10">
      <formula>GecOdemeEsik</formula>
    </cfRule>
  </conditionalFormatting>
  <conditionalFormatting sqref="E212">
    <cfRule type="cellIs" priority="415" operator="greaterThan" aboveAverage="0" equalAverage="0" bottom="0" percent="0" rank="0" text="" dxfId="8">
      <formula>0</formula>
    </cfRule>
  </conditionalFormatting>
  <conditionalFormatting sqref="D213">
    <cfRule type="cellIs" priority="416" operator="greaterThan" aboveAverage="0" equalAverage="0" bottom="0" percent="0" rank="0" text="" dxfId="10">
      <formula>GecOdemeEsik</formula>
    </cfRule>
  </conditionalFormatting>
  <conditionalFormatting sqref="E213">
    <cfRule type="cellIs" priority="417" operator="greaterThan" aboveAverage="0" equalAverage="0" bottom="0" percent="0" rank="0" text="" dxfId="8">
      <formula>0</formula>
    </cfRule>
  </conditionalFormatting>
  <conditionalFormatting sqref="D214">
    <cfRule type="cellIs" priority="418" operator="greaterThan" aboveAverage="0" equalAverage="0" bottom="0" percent="0" rank="0" text="" dxfId="10">
      <formula>GecOdemeEsik</formula>
    </cfRule>
  </conditionalFormatting>
  <conditionalFormatting sqref="E214">
    <cfRule type="cellIs" priority="419" operator="greaterThan" aboveAverage="0" equalAverage="0" bottom="0" percent="0" rank="0" text="" dxfId="8">
      <formula>0</formula>
    </cfRule>
  </conditionalFormatting>
  <conditionalFormatting sqref="D215">
    <cfRule type="cellIs" priority="420" operator="greaterThan" aboveAverage="0" equalAverage="0" bottom="0" percent="0" rank="0" text="" dxfId="10">
      <formula>GecOdemeEsik</formula>
    </cfRule>
  </conditionalFormatting>
  <conditionalFormatting sqref="E215">
    <cfRule type="cellIs" priority="421" operator="greaterThan" aboveAverage="0" equalAverage="0" bottom="0" percent="0" rank="0" text="" dxfId="8">
      <formula>0</formula>
    </cfRule>
  </conditionalFormatting>
  <conditionalFormatting sqref="D216">
    <cfRule type="cellIs" priority="422" operator="greaterThan" aboveAverage="0" equalAverage="0" bottom="0" percent="0" rank="0" text="" dxfId="10">
      <formula>GecOdemeEsik</formula>
    </cfRule>
  </conditionalFormatting>
  <conditionalFormatting sqref="E216">
    <cfRule type="cellIs" priority="423" operator="greaterThan" aboveAverage="0" equalAverage="0" bottom="0" percent="0" rank="0" text="" dxfId="8">
      <formula>0</formula>
    </cfRule>
  </conditionalFormatting>
  <conditionalFormatting sqref="D217">
    <cfRule type="cellIs" priority="424" operator="greaterThan" aboveAverage="0" equalAverage="0" bottom="0" percent="0" rank="0" text="" dxfId="10">
      <formula>GecOdemeEsik</formula>
    </cfRule>
  </conditionalFormatting>
  <conditionalFormatting sqref="E217">
    <cfRule type="cellIs" priority="425" operator="greaterThan" aboveAverage="0" equalAverage="0" bottom="0" percent="0" rank="0" text="" dxfId="8">
      <formula>0</formula>
    </cfRule>
  </conditionalFormatting>
  <conditionalFormatting sqref="D218">
    <cfRule type="cellIs" priority="426" operator="greaterThan" aboveAverage="0" equalAverage="0" bottom="0" percent="0" rank="0" text="" dxfId="10">
      <formula>GecOdemeEsik</formula>
    </cfRule>
  </conditionalFormatting>
  <conditionalFormatting sqref="E218">
    <cfRule type="cellIs" priority="427" operator="greaterThan" aboveAverage="0" equalAverage="0" bottom="0" percent="0" rank="0" text="" dxfId="8">
      <formula>0</formula>
    </cfRule>
  </conditionalFormatting>
  <conditionalFormatting sqref="D219">
    <cfRule type="cellIs" priority="428" operator="greaterThan" aboveAverage="0" equalAverage="0" bottom="0" percent="0" rank="0" text="" dxfId="10">
      <formula>GecOdemeEsik</formula>
    </cfRule>
  </conditionalFormatting>
  <conditionalFormatting sqref="E219">
    <cfRule type="cellIs" priority="429" operator="greaterThan" aboveAverage="0" equalAverage="0" bottom="0" percent="0" rank="0" text="" dxfId="8">
      <formula>0</formula>
    </cfRule>
  </conditionalFormatting>
  <conditionalFormatting sqref="D220">
    <cfRule type="cellIs" priority="430" operator="greaterThan" aboveAverage="0" equalAverage="0" bottom="0" percent="0" rank="0" text="" dxfId="10">
      <formula>GecOdemeEsik</formula>
    </cfRule>
  </conditionalFormatting>
  <conditionalFormatting sqref="E220">
    <cfRule type="cellIs" priority="431" operator="greaterThan" aboveAverage="0" equalAverage="0" bottom="0" percent="0" rank="0" text="" dxfId="8">
      <formula>0</formula>
    </cfRule>
  </conditionalFormatting>
  <conditionalFormatting sqref="D221">
    <cfRule type="cellIs" priority="432" operator="greaterThan" aboveAverage="0" equalAverage="0" bottom="0" percent="0" rank="0" text="" dxfId="10">
      <formula>GecOdemeEsik</formula>
    </cfRule>
  </conditionalFormatting>
  <conditionalFormatting sqref="E221">
    <cfRule type="cellIs" priority="433" operator="greaterThan" aboveAverage="0" equalAverage="0" bottom="0" percent="0" rank="0" text="" dxfId="8">
      <formula>0</formula>
    </cfRule>
  </conditionalFormatting>
  <conditionalFormatting sqref="D222">
    <cfRule type="cellIs" priority="434" operator="greaterThan" aboveAverage="0" equalAverage="0" bottom="0" percent="0" rank="0" text="" dxfId="10">
      <formula>GecOdemeEsik</formula>
    </cfRule>
  </conditionalFormatting>
  <conditionalFormatting sqref="E222">
    <cfRule type="cellIs" priority="435" operator="greaterThan" aboveAverage="0" equalAverage="0" bottom="0" percent="0" rank="0" text="" dxfId="8">
      <formula>0</formula>
    </cfRule>
  </conditionalFormatting>
  <conditionalFormatting sqref="D223">
    <cfRule type="cellIs" priority="436" operator="greaterThan" aboveAverage="0" equalAverage="0" bottom="0" percent="0" rank="0" text="" dxfId="10">
      <formula>GecOdemeEsik</formula>
    </cfRule>
  </conditionalFormatting>
  <conditionalFormatting sqref="E223">
    <cfRule type="cellIs" priority="437" operator="greaterThan" aboveAverage="0" equalAverage="0" bottom="0" percent="0" rank="0" text="" dxfId="8">
      <formula>0</formula>
    </cfRule>
  </conditionalFormatting>
  <conditionalFormatting sqref="D224">
    <cfRule type="cellIs" priority="438" operator="greaterThan" aboveAverage="0" equalAverage="0" bottom="0" percent="0" rank="0" text="" dxfId="10">
      <formula>GecOdemeEsik</formula>
    </cfRule>
  </conditionalFormatting>
  <conditionalFormatting sqref="E224">
    <cfRule type="cellIs" priority="439" operator="greaterThan" aboveAverage="0" equalAverage="0" bottom="0" percent="0" rank="0" text="" dxfId="8">
      <formula>0</formula>
    </cfRule>
  </conditionalFormatting>
  <conditionalFormatting sqref="D225">
    <cfRule type="cellIs" priority="440" operator="greaterThan" aboveAverage="0" equalAverage="0" bottom="0" percent="0" rank="0" text="" dxfId="10">
      <formula>GecOdemeEsik</formula>
    </cfRule>
  </conditionalFormatting>
  <conditionalFormatting sqref="E225">
    <cfRule type="cellIs" priority="441" operator="greaterThan" aboveAverage="0" equalAverage="0" bottom="0" percent="0" rank="0" text="" dxfId="8">
      <formula>0</formula>
    </cfRule>
  </conditionalFormatting>
  <conditionalFormatting sqref="D226">
    <cfRule type="cellIs" priority="442" operator="greaterThan" aboveAverage="0" equalAverage="0" bottom="0" percent="0" rank="0" text="" dxfId="10">
      <formula>GecOdemeEsik</formula>
    </cfRule>
  </conditionalFormatting>
  <conditionalFormatting sqref="E226">
    <cfRule type="cellIs" priority="443" operator="greaterThan" aboveAverage="0" equalAverage="0" bottom="0" percent="0" rank="0" text="" dxfId="8">
      <formula>0</formula>
    </cfRule>
  </conditionalFormatting>
  <conditionalFormatting sqref="D227">
    <cfRule type="cellIs" priority="444" operator="greaterThan" aboveAverage="0" equalAverage="0" bottom="0" percent="0" rank="0" text="" dxfId="10">
      <formula>GecOdemeEsik</formula>
    </cfRule>
  </conditionalFormatting>
  <conditionalFormatting sqref="E227">
    <cfRule type="cellIs" priority="445" operator="greaterThan" aboveAverage="0" equalAverage="0" bottom="0" percent="0" rank="0" text="" dxfId="8">
      <formula>0</formula>
    </cfRule>
  </conditionalFormatting>
  <conditionalFormatting sqref="D228">
    <cfRule type="cellIs" priority="446" operator="greaterThan" aboveAverage="0" equalAverage="0" bottom="0" percent="0" rank="0" text="" dxfId="10">
      <formula>GecOdemeEsik</formula>
    </cfRule>
  </conditionalFormatting>
  <conditionalFormatting sqref="E228">
    <cfRule type="cellIs" priority="447" operator="greaterThan" aboveAverage="0" equalAverage="0" bottom="0" percent="0" rank="0" text="" dxfId="8">
      <formula>0</formula>
    </cfRule>
  </conditionalFormatting>
  <conditionalFormatting sqref="D229">
    <cfRule type="cellIs" priority="448" operator="greaterThan" aboveAverage="0" equalAverage="0" bottom="0" percent="0" rank="0" text="" dxfId="10">
      <formula>GecOdemeEsik</formula>
    </cfRule>
  </conditionalFormatting>
  <conditionalFormatting sqref="E229">
    <cfRule type="cellIs" priority="449" operator="greaterThan" aboveAverage="0" equalAverage="0" bottom="0" percent="0" rank="0" text="" dxfId="8">
      <formula>0</formula>
    </cfRule>
  </conditionalFormatting>
  <conditionalFormatting sqref="D230">
    <cfRule type="cellIs" priority="450" operator="greaterThan" aboveAverage="0" equalAverage="0" bottom="0" percent="0" rank="0" text="" dxfId="10">
      <formula>GecOdemeEsik</formula>
    </cfRule>
  </conditionalFormatting>
  <conditionalFormatting sqref="E230">
    <cfRule type="cellIs" priority="451" operator="greaterThan" aboveAverage="0" equalAverage="0" bottom="0" percent="0" rank="0" text="" dxfId="8">
      <formula>0</formula>
    </cfRule>
  </conditionalFormatting>
  <conditionalFormatting sqref="D231">
    <cfRule type="cellIs" priority="452" operator="greaterThan" aboveAverage="0" equalAverage="0" bottom="0" percent="0" rank="0" text="" dxfId="10">
      <formula>GecOdemeEsik</formula>
    </cfRule>
  </conditionalFormatting>
  <conditionalFormatting sqref="E231">
    <cfRule type="cellIs" priority="453" operator="greaterThan" aboveAverage="0" equalAverage="0" bottom="0" percent="0" rank="0" text="" dxfId="8">
      <formula>0</formula>
    </cfRule>
  </conditionalFormatting>
  <conditionalFormatting sqref="D232">
    <cfRule type="cellIs" priority="454" operator="greaterThan" aboveAverage="0" equalAverage="0" bottom="0" percent="0" rank="0" text="" dxfId="10">
      <formula>GecOdemeEsik</formula>
    </cfRule>
  </conditionalFormatting>
  <conditionalFormatting sqref="E232">
    <cfRule type="cellIs" priority="455" operator="greaterThan" aboveAverage="0" equalAverage="0" bottom="0" percent="0" rank="0" text="" dxfId="8">
      <formula>0</formula>
    </cfRule>
  </conditionalFormatting>
  <conditionalFormatting sqref="D233">
    <cfRule type="cellIs" priority="456" operator="greaterThan" aboveAverage="0" equalAverage="0" bottom="0" percent="0" rank="0" text="" dxfId="10">
      <formula>GecOdemeEsik</formula>
    </cfRule>
  </conditionalFormatting>
  <conditionalFormatting sqref="E233">
    <cfRule type="cellIs" priority="457" operator="greaterThan" aboveAverage="0" equalAverage="0" bottom="0" percent="0" rank="0" text="" dxfId="8">
      <formula>0</formula>
    </cfRule>
  </conditionalFormatting>
  <conditionalFormatting sqref="D234">
    <cfRule type="cellIs" priority="458" operator="greaterThan" aboveAverage="0" equalAverage="0" bottom="0" percent="0" rank="0" text="" dxfId="10">
      <formula>GecOdemeEsik</formula>
    </cfRule>
  </conditionalFormatting>
  <conditionalFormatting sqref="E234">
    <cfRule type="cellIs" priority="459" operator="greaterThan" aboveAverage="0" equalAverage="0" bottom="0" percent="0" rank="0" text="" dxfId="8">
      <formula>0</formula>
    </cfRule>
  </conditionalFormatting>
  <conditionalFormatting sqref="D235">
    <cfRule type="cellIs" priority="460" operator="greaterThan" aboveAverage="0" equalAverage="0" bottom="0" percent="0" rank="0" text="" dxfId="10">
      <formula>GecOdemeEsik</formula>
    </cfRule>
  </conditionalFormatting>
  <conditionalFormatting sqref="E235">
    <cfRule type="cellIs" priority="461" operator="greaterThan" aboveAverage="0" equalAverage="0" bottom="0" percent="0" rank="0" text="" dxfId="8">
      <formula>0</formula>
    </cfRule>
  </conditionalFormatting>
  <conditionalFormatting sqref="D236">
    <cfRule type="cellIs" priority="462" operator="greaterThan" aboveAverage="0" equalAverage="0" bottom="0" percent="0" rank="0" text="" dxfId="10">
      <formula>GecOdemeEsik</formula>
    </cfRule>
  </conditionalFormatting>
  <conditionalFormatting sqref="E236">
    <cfRule type="cellIs" priority="463" operator="greaterThan" aboveAverage="0" equalAverage="0" bottom="0" percent="0" rank="0" text="" dxfId="8">
      <formula>0</formula>
    </cfRule>
  </conditionalFormatting>
  <conditionalFormatting sqref="D237">
    <cfRule type="cellIs" priority="464" operator="greaterThan" aboveAverage="0" equalAverage="0" bottom="0" percent="0" rank="0" text="" dxfId="10">
      <formula>GecOdemeEsik</formula>
    </cfRule>
  </conditionalFormatting>
  <conditionalFormatting sqref="E237">
    <cfRule type="cellIs" priority="465" operator="greaterThan" aboveAverage="0" equalAverage="0" bottom="0" percent="0" rank="0" text="" dxfId="8">
      <formula>0</formula>
    </cfRule>
  </conditionalFormatting>
  <conditionalFormatting sqref="D238">
    <cfRule type="cellIs" priority="466" operator="greaterThan" aboveAverage="0" equalAverage="0" bottom="0" percent="0" rank="0" text="" dxfId="10">
      <formula>GecOdemeEsik</formula>
    </cfRule>
  </conditionalFormatting>
  <conditionalFormatting sqref="E238">
    <cfRule type="cellIs" priority="467" operator="greaterThan" aboveAverage="0" equalAverage="0" bottom="0" percent="0" rank="0" text="" dxfId="8">
      <formula>0</formula>
    </cfRule>
  </conditionalFormatting>
  <conditionalFormatting sqref="D239">
    <cfRule type="cellIs" priority="468" operator="greaterThan" aboveAverage="0" equalAverage="0" bottom="0" percent="0" rank="0" text="" dxfId="10">
      <formula>GecOdemeEsik</formula>
    </cfRule>
  </conditionalFormatting>
  <conditionalFormatting sqref="E239">
    <cfRule type="cellIs" priority="469" operator="greaterThan" aboveAverage="0" equalAverage="0" bottom="0" percent="0" rank="0" text="" dxfId="8">
      <formula>0</formula>
    </cfRule>
  </conditionalFormatting>
  <conditionalFormatting sqref="D240">
    <cfRule type="cellIs" priority="470" operator="greaterThan" aboveAverage="0" equalAverage="0" bottom="0" percent="0" rank="0" text="" dxfId="10">
      <formula>GecOdemeEsik</formula>
    </cfRule>
  </conditionalFormatting>
  <conditionalFormatting sqref="E240">
    <cfRule type="cellIs" priority="471" operator="greaterThan" aboveAverage="0" equalAverage="0" bottom="0" percent="0" rank="0" text="" dxfId="8">
      <formula>0</formula>
    </cfRule>
  </conditionalFormatting>
  <conditionalFormatting sqref="D241">
    <cfRule type="cellIs" priority="472" operator="greaterThan" aboveAverage="0" equalAverage="0" bottom="0" percent="0" rank="0" text="" dxfId="10">
      <formula>GecOdemeEsik</formula>
    </cfRule>
  </conditionalFormatting>
  <conditionalFormatting sqref="E241">
    <cfRule type="cellIs" priority="473" operator="greaterThan" aboveAverage="0" equalAverage="0" bottom="0" percent="0" rank="0" text="" dxfId="8">
      <formula>0</formula>
    </cfRule>
  </conditionalFormatting>
  <conditionalFormatting sqref="D242">
    <cfRule type="cellIs" priority="474" operator="greaterThan" aboveAverage="0" equalAverage="0" bottom="0" percent="0" rank="0" text="" dxfId="10">
      <formula>GecOdemeEsik</formula>
    </cfRule>
  </conditionalFormatting>
  <conditionalFormatting sqref="E242">
    <cfRule type="cellIs" priority="475" operator="greaterThan" aboveAverage="0" equalAverage="0" bottom="0" percent="0" rank="0" text="" dxfId="8">
      <formula>0</formula>
    </cfRule>
  </conditionalFormatting>
  <conditionalFormatting sqref="D243">
    <cfRule type="cellIs" priority="476" operator="greaterThan" aboveAverage="0" equalAverage="0" bottom="0" percent="0" rank="0" text="" dxfId="10">
      <formula>GecOdemeEsik</formula>
    </cfRule>
  </conditionalFormatting>
  <conditionalFormatting sqref="E243">
    <cfRule type="cellIs" priority="477" operator="greaterThan" aboveAverage="0" equalAverage="0" bottom="0" percent="0" rank="0" text="" dxfId="8">
      <formula>0</formula>
    </cfRule>
  </conditionalFormatting>
  <conditionalFormatting sqref="D244">
    <cfRule type="cellIs" priority="478" operator="greaterThan" aboveAverage="0" equalAverage="0" bottom="0" percent="0" rank="0" text="" dxfId="10">
      <formula>GecOdemeEsik</formula>
    </cfRule>
  </conditionalFormatting>
  <conditionalFormatting sqref="E244">
    <cfRule type="cellIs" priority="479" operator="greaterThan" aboveAverage="0" equalAverage="0" bottom="0" percent="0" rank="0" text="" dxfId="8">
      <formula>0</formula>
    </cfRule>
  </conditionalFormatting>
  <conditionalFormatting sqref="D245">
    <cfRule type="cellIs" priority="480" operator="greaterThan" aboveAverage="0" equalAverage="0" bottom="0" percent="0" rank="0" text="" dxfId="10">
      <formula>GecOdemeEsik</formula>
    </cfRule>
  </conditionalFormatting>
  <conditionalFormatting sqref="E245">
    <cfRule type="cellIs" priority="481" operator="greaterThan" aboveAverage="0" equalAverage="0" bottom="0" percent="0" rank="0" text="" dxfId="8">
      <formula>0</formula>
    </cfRule>
  </conditionalFormatting>
  <conditionalFormatting sqref="D246">
    <cfRule type="cellIs" priority="482" operator="greaterThan" aboveAverage="0" equalAverage="0" bottom="0" percent="0" rank="0" text="" dxfId="10">
      <formula>GecOdemeEsik</formula>
    </cfRule>
  </conditionalFormatting>
  <conditionalFormatting sqref="E246">
    <cfRule type="cellIs" priority="483" operator="greaterThan" aboveAverage="0" equalAverage="0" bottom="0" percent="0" rank="0" text="" dxfId="8">
      <formula>0</formula>
    </cfRule>
  </conditionalFormatting>
  <conditionalFormatting sqref="D247">
    <cfRule type="cellIs" priority="484" operator="greaterThan" aboveAverage="0" equalAverage="0" bottom="0" percent="0" rank="0" text="" dxfId="10">
      <formula>GecOdemeEsik</formula>
    </cfRule>
  </conditionalFormatting>
  <conditionalFormatting sqref="E247">
    <cfRule type="cellIs" priority="485" operator="greaterThan" aboveAverage="0" equalAverage="0" bottom="0" percent="0" rank="0" text="" dxfId="8">
      <formula>0</formula>
    </cfRule>
  </conditionalFormatting>
  <conditionalFormatting sqref="D248">
    <cfRule type="cellIs" priority="486" operator="greaterThan" aboveAverage="0" equalAverage="0" bottom="0" percent="0" rank="0" text="" dxfId="10">
      <formula>GecOdemeEsik</formula>
    </cfRule>
  </conditionalFormatting>
  <conditionalFormatting sqref="E248">
    <cfRule type="cellIs" priority="487" operator="greaterThan" aboveAverage="0" equalAverage="0" bottom="0" percent="0" rank="0" text="" dxfId="8">
      <formula>0</formula>
    </cfRule>
  </conditionalFormatting>
  <conditionalFormatting sqref="D249">
    <cfRule type="cellIs" priority="488" operator="greaterThan" aboveAverage="0" equalAverage="0" bottom="0" percent="0" rank="0" text="" dxfId="10">
      <formula>GecOdemeEsik</formula>
    </cfRule>
  </conditionalFormatting>
  <conditionalFormatting sqref="E249">
    <cfRule type="cellIs" priority="489" operator="greaterThan" aboveAverage="0" equalAverage="0" bottom="0" percent="0" rank="0" text="" dxfId="8">
      <formula>0</formula>
    </cfRule>
  </conditionalFormatting>
  <conditionalFormatting sqref="D250">
    <cfRule type="cellIs" priority="490" operator="greaterThan" aboveAverage="0" equalAverage="0" bottom="0" percent="0" rank="0" text="" dxfId="10">
      <formula>GecOdemeEsik</formula>
    </cfRule>
  </conditionalFormatting>
  <conditionalFormatting sqref="E250">
    <cfRule type="cellIs" priority="491" operator="greaterThan" aboveAverage="0" equalAverage="0" bottom="0" percent="0" rank="0" text="" dxfId="8">
      <formula>0</formula>
    </cfRule>
  </conditionalFormatting>
  <conditionalFormatting sqref="D251">
    <cfRule type="cellIs" priority="492" operator="greaterThan" aboveAverage="0" equalAverage="0" bottom="0" percent="0" rank="0" text="" dxfId="10">
      <formula>GecOdemeEsik</formula>
    </cfRule>
  </conditionalFormatting>
  <conditionalFormatting sqref="E251">
    <cfRule type="cellIs" priority="493" operator="greaterThan" aboveAverage="0" equalAverage="0" bottom="0" percent="0" rank="0" text="" dxfId="8">
      <formula>0</formula>
    </cfRule>
  </conditionalFormatting>
  <conditionalFormatting sqref="D252">
    <cfRule type="cellIs" priority="494" operator="greaterThan" aboveAverage="0" equalAverage="0" bottom="0" percent="0" rank="0" text="" dxfId="10">
      <formula>GecOdemeEsik</formula>
    </cfRule>
  </conditionalFormatting>
  <conditionalFormatting sqref="E252">
    <cfRule type="cellIs" priority="495" operator="greaterThan" aboveAverage="0" equalAverage="0" bottom="0" percent="0" rank="0" text="" dxfId="8">
      <formula>0</formula>
    </cfRule>
  </conditionalFormatting>
  <conditionalFormatting sqref="D253">
    <cfRule type="cellIs" priority="496" operator="greaterThan" aboveAverage="0" equalAverage="0" bottom="0" percent="0" rank="0" text="" dxfId="10">
      <formula>GecOdemeEsik</formula>
    </cfRule>
  </conditionalFormatting>
  <conditionalFormatting sqref="E253">
    <cfRule type="cellIs" priority="497" operator="greaterThan" aboveAverage="0" equalAverage="0" bottom="0" percent="0" rank="0" text="" dxfId="8">
      <formula>0</formula>
    </cfRule>
  </conditionalFormatting>
  <conditionalFormatting sqref="D254">
    <cfRule type="cellIs" priority="498" operator="greaterThan" aboveAverage="0" equalAverage="0" bottom="0" percent="0" rank="0" text="" dxfId="10">
      <formula>GecOdemeEsik</formula>
    </cfRule>
  </conditionalFormatting>
  <conditionalFormatting sqref="E254">
    <cfRule type="cellIs" priority="499" operator="greaterThan" aboveAverage="0" equalAverage="0" bottom="0" percent="0" rank="0" text="" dxfId="8">
      <formula>0</formula>
    </cfRule>
  </conditionalFormatting>
  <conditionalFormatting sqref="D255">
    <cfRule type="cellIs" priority="500" operator="greaterThan" aboveAverage="0" equalAverage="0" bottom="0" percent="0" rank="0" text="" dxfId="10">
      <formula>GecOdemeEsik</formula>
    </cfRule>
  </conditionalFormatting>
  <conditionalFormatting sqref="E255">
    <cfRule type="cellIs" priority="501" operator="greaterThan" aboveAverage="0" equalAverage="0" bottom="0" percent="0" rank="0" text="" dxfId="8">
      <formula>0</formula>
    </cfRule>
  </conditionalFormatting>
  <conditionalFormatting sqref="D256">
    <cfRule type="cellIs" priority="502" operator="greaterThan" aboveAverage="0" equalAverage="0" bottom="0" percent="0" rank="0" text="" dxfId="10">
      <formula>GecOdemeEsik</formula>
    </cfRule>
  </conditionalFormatting>
  <conditionalFormatting sqref="E256">
    <cfRule type="cellIs" priority="503" operator="greaterThan" aboveAverage="0" equalAverage="0" bottom="0" percent="0" rank="0" text="" dxfId="8">
      <formula>0</formula>
    </cfRule>
  </conditionalFormatting>
  <conditionalFormatting sqref="D257">
    <cfRule type="cellIs" priority="504" operator="greaterThan" aboveAverage="0" equalAverage="0" bottom="0" percent="0" rank="0" text="" dxfId="10">
      <formula>GecOdemeEsik</formula>
    </cfRule>
  </conditionalFormatting>
  <conditionalFormatting sqref="E257">
    <cfRule type="cellIs" priority="505" operator="greaterThan" aboveAverage="0" equalAverage="0" bottom="0" percent="0" rank="0" text="" dxfId="8">
      <formula>0</formula>
    </cfRule>
  </conditionalFormatting>
  <conditionalFormatting sqref="D258">
    <cfRule type="cellIs" priority="506" operator="greaterThan" aboveAverage="0" equalAverage="0" bottom="0" percent="0" rank="0" text="" dxfId="10">
      <formula>GecOdemeEsik</formula>
    </cfRule>
  </conditionalFormatting>
  <conditionalFormatting sqref="E258">
    <cfRule type="cellIs" priority="507" operator="greaterThan" aboveAverage="0" equalAverage="0" bottom="0" percent="0" rank="0" text="" dxfId="8">
      <formula>0</formula>
    </cfRule>
  </conditionalFormatting>
  <conditionalFormatting sqref="D259">
    <cfRule type="cellIs" priority="508" operator="greaterThan" aboveAverage="0" equalAverage="0" bottom="0" percent="0" rank="0" text="" dxfId="10">
      <formula>GecOdemeEsik</formula>
    </cfRule>
  </conditionalFormatting>
  <conditionalFormatting sqref="E259">
    <cfRule type="cellIs" priority="509" operator="greaterThan" aboveAverage="0" equalAverage="0" bottom="0" percent="0" rank="0" text="" dxfId="8">
      <formula>0</formula>
    </cfRule>
  </conditionalFormatting>
  <conditionalFormatting sqref="D260">
    <cfRule type="cellIs" priority="510" operator="greaterThan" aboveAverage="0" equalAverage="0" bottom="0" percent="0" rank="0" text="" dxfId="10">
      <formula>GecOdemeEsik</formula>
    </cfRule>
  </conditionalFormatting>
  <conditionalFormatting sqref="E260">
    <cfRule type="cellIs" priority="511" operator="greaterThan" aboveAverage="0" equalAverage="0" bottom="0" percent="0" rank="0" text="" dxfId="8">
      <formula>0</formula>
    </cfRule>
  </conditionalFormatting>
  <conditionalFormatting sqref="D261">
    <cfRule type="cellIs" priority="512" operator="greaterThan" aboveAverage="0" equalAverage="0" bottom="0" percent="0" rank="0" text="" dxfId="10">
      <formula>GecOdemeEsik</formula>
    </cfRule>
  </conditionalFormatting>
  <conditionalFormatting sqref="E261">
    <cfRule type="cellIs" priority="513" operator="greaterThan" aboveAverage="0" equalAverage="0" bottom="0" percent="0" rank="0" text="" dxfId="8">
      <formula>0</formula>
    </cfRule>
  </conditionalFormatting>
  <conditionalFormatting sqref="D262">
    <cfRule type="cellIs" priority="514" operator="greaterThan" aboveAverage="0" equalAverage="0" bottom="0" percent="0" rank="0" text="" dxfId="10">
      <formula>GecOdemeEsik</formula>
    </cfRule>
  </conditionalFormatting>
  <conditionalFormatting sqref="E262">
    <cfRule type="cellIs" priority="515" operator="greaterThan" aboveAverage="0" equalAverage="0" bottom="0" percent="0" rank="0" text="" dxfId="8">
      <formula>0</formula>
    </cfRule>
  </conditionalFormatting>
  <conditionalFormatting sqref="D263">
    <cfRule type="cellIs" priority="516" operator="greaterThan" aboveAverage="0" equalAverage="0" bottom="0" percent="0" rank="0" text="" dxfId="10">
      <formula>GecOdemeEsik</formula>
    </cfRule>
  </conditionalFormatting>
  <conditionalFormatting sqref="E263">
    <cfRule type="cellIs" priority="517" operator="greaterThan" aboveAverage="0" equalAverage="0" bottom="0" percent="0" rank="0" text="" dxfId="8">
      <formula>0</formula>
    </cfRule>
  </conditionalFormatting>
  <conditionalFormatting sqref="D264">
    <cfRule type="cellIs" priority="518" operator="greaterThan" aboveAverage="0" equalAverage="0" bottom="0" percent="0" rank="0" text="" dxfId="10">
      <formula>GecOdemeEsik</formula>
    </cfRule>
  </conditionalFormatting>
  <conditionalFormatting sqref="E264">
    <cfRule type="cellIs" priority="519" operator="greaterThan" aboveAverage="0" equalAverage="0" bottom="0" percent="0" rank="0" text="" dxfId="8">
      <formula>0</formula>
    </cfRule>
  </conditionalFormatting>
  <conditionalFormatting sqref="D265">
    <cfRule type="cellIs" priority="520" operator="greaterThan" aboveAverage="0" equalAverage="0" bottom="0" percent="0" rank="0" text="" dxfId="10">
      <formula>GecOdemeEsik</formula>
    </cfRule>
  </conditionalFormatting>
  <conditionalFormatting sqref="E265">
    <cfRule type="cellIs" priority="521" operator="greaterThan" aboveAverage="0" equalAverage="0" bottom="0" percent="0" rank="0" text="" dxfId="8">
      <formula>0</formula>
    </cfRule>
  </conditionalFormatting>
  <conditionalFormatting sqref="D266">
    <cfRule type="cellIs" priority="522" operator="greaterThan" aboveAverage="0" equalAverage="0" bottom="0" percent="0" rank="0" text="" dxfId="10">
      <formula>GecOdemeEsik</formula>
    </cfRule>
  </conditionalFormatting>
  <conditionalFormatting sqref="E266">
    <cfRule type="cellIs" priority="523" operator="greaterThan" aboveAverage="0" equalAverage="0" bottom="0" percent="0" rank="0" text="" dxfId="8">
      <formula>0</formula>
    </cfRule>
  </conditionalFormatting>
  <conditionalFormatting sqref="D267">
    <cfRule type="cellIs" priority="524" operator="greaterThan" aboveAverage="0" equalAverage="0" bottom="0" percent="0" rank="0" text="" dxfId="10">
      <formula>GecOdemeEsik</formula>
    </cfRule>
  </conditionalFormatting>
  <conditionalFormatting sqref="E267">
    <cfRule type="cellIs" priority="525" operator="greaterThan" aboveAverage="0" equalAverage="0" bottom="0" percent="0" rank="0" text="" dxfId="8">
      <formula>0</formula>
    </cfRule>
  </conditionalFormatting>
  <conditionalFormatting sqref="D268">
    <cfRule type="cellIs" priority="526" operator="greaterThan" aboveAverage="0" equalAverage="0" bottom="0" percent="0" rank="0" text="" dxfId="10">
      <formula>GecOdemeEsik</formula>
    </cfRule>
  </conditionalFormatting>
  <conditionalFormatting sqref="E268">
    <cfRule type="cellIs" priority="527" operator="greaterThan" aboveAverage="0" equalAverage="0" bottom="0" percent="0" rank="0" text="" dxfId="8">
      <formula>0</formula>
    </cfRule>
  </conditionalFormatting>
  <conditionalFormatting sqref="D269">
    <cfRule type="cellIs" priority="528" operator="greaterThan" aboveAverage="0" equalAverage="0" bottom="0" percent="0" rank="0" text="" dxfId="10">
      <formula>GecOdemeEsik</formula>
    </cfRule>
  </conditionalFormatting>
  <conditionalFormatting sqref="E269">
    <cfRule type="cellIs" priority="529" operator="greaterThan" aboveAverage="0" equalAverage="0" bottom="0" percent="0" rank="0" text="" dxfId="8">
      <formula>0</formula>
    </cfRule>
  </conditionalFormatting>
  <conditionalFormatting sqref="D270">
    <cfRule type="cellIs" priority="530" operator="greaterThan" aboveAverage="0" equalAverage="0" bottom="0" percent="0" rank="0" text="" dxfId="10">
      <formula>GecOdemeEsik</formula>
    </cfRule>
  </conditionalFormatting>
  <conditionalFormatting sqref="E270">
    <cfRule type="cellIs" priority="531" operator="greaterThan" aboveAverage="0" equalAverage="0" bottom="0" percent="0" rank="0" text="" dxfId="8">
      <formula>0</formula>
    </cfRule>
  </conditionalFormatting>
  <conditionalFormatting sqref="D271">
    <cfRule type="cellIs" priority="532" operator="greaterThan" aboveAverage="0" equalAverage="0" bottom="0" percent="0" rank="0" text="" dxfId="10">
      <formula>GecOdemeEsik</formula>
    </cfRule>
  </conditionalFormatting>
  <conditionalFormatting sqref="E271">
    <cfRule type="cellIs" priority="533" operator="greaterThan" aboveAverage="0" equalAverage="0" bottom="0" percent="0" rank="0" text="" dxfId="8">
      <formula>0</formula>
    </cfRule>
  </conditionalFormatting>
  <conditionalFormatting sqref="D272">
    <cfRule type="cellIs" priority="534" operator="greaterThan" aboveAverage="0" equalAverage="0" bottom="0" percent="0" rank="0" text="" dxfId="10">
      <formula>GecOdemeEsik</formula>
    </cfRule>
  </conditionalFormatting>
  <conditionalFormatting sqref="E272">
    <cfRule type="cellIs" priority="535" operator="greaterThan" aboveAverage="0" equalAverage="0" bottom="0" percent="0" rank="0" text="" dxfId="8">
      <formula>0</formula>
    </cfRule>
  </conditionalFormatting>
  <conditionalFormatting sqref="D273">
    <cfRule type="cellIs" priority="536" operator="greaterThan" aboveAverage="0" equalAverage="0" bottom="0" percent="0" rank="0" text="" dxfId="10">
      <formula>GecOdemeEsik</formula>
    </cfRule>
  </conditionalFormatting>
  <conditionalFormatting sqref="E273">
    <cfRule type="cellIs" priority="537" operator="greaterThan" aboveAverage="0" equalAverage="0" bottom="0" percent="0" rank="0" text="" dxfId="8">
      <formula>0</formula>
    </cfRule>
  </conditionalFormatting>
  <conditionalFormatting sqref="D274">
    <cfRule type="cellIs" priority="538" operator="greaterThan" aboveAverage="0" equalAverage="0" bottom="0" percent="0" rank="0" text="" dxfId="10">
      <formula>GecOdemeEsik</formula>
    </cfRule>
  </conditionalFormatting>
  <conditionalFormatting sqref="E274">
    <cfRule type="cellIs" priority="539" operator="greaterThan" aboveAverage="0" equalAverage="0" bottom="0" percent="0" rank="0" text="" dxfId="8">
      <formula>0</formula>
    </cfRule>
  </conditionalFormatting>
  <conditionalFormatting sqref="D275">
    <cfRule type="cellIs" priority="540" operator="greaterThan" aboveAverage="0" equalAverage="0" bottom="0" percent="0" rank="0" text="" dxfId="10">
      <formula>GecOdemeEsik</formula>
    </cfRule>
  </conditionalFormatting>
  <conditionalFormatting sqref="E275">
    <cfRule type="cellIs" priority="541" operator="greaterThan" aboveAverage="0" equalAverage="0" bottom="0" percent="0" rank="0" text="" dxfId="8">
      <formula>0</formula>
    </cfRule>
  </conditionalFormatting>
  <conditionalFormatting sqref="D276">
    <cfRule type="cellIs" priority="542" operator="greaterThan" aboveAverage="0" equalAverage="0" bottom="0" percent="0" rank="0" text="" dxfId="10">
      <formula>GecOdemeEsik</formula>
    </cfRule>
  </conditionalFormatting>
  <conditionalFormatting sqref="E276">
    <cfRule type="cellIs" priority="543" operator="greaterThan" aboveAverage="0" equalAverage="0" bottom="0" percent="0" rank="0" text="" dxfId="8">
      <formula>0</formula>
    </cfRule>
  </conditionalFormatting>
  <conditionalFormatting sqref="D277">
    <cfRule type="cellIs" priority="544" operator="greaterThan" aboveAverage="0" equalAverage="0" bottom="0" percent="0" rank="0" text="" dxfId="10">
      <formula>GecOdemeEsik</formula>
    </cfRule>
  </conditionalFormatting>
  <conditionalFormatting sqref="E277">
    <cfRule type="cellIs" priority="545" operator="greaterThan" aboveAverage="0" equalAverage="0" bottom="0" percent="0" rank="0" text="" dxfId="8">
      <formula>0</formula>
    </cfRule>
  </conditionalFormatting>
  <conditionalFormatting sqref="D278">
    <cfRule type="cellIs" priority="546" operator="greaterThan" aboveAverage="0" equalAverage="0" bottom="0" percent="0" rank="0" text="" dxfId="10">
      <formula>GecOdemeEsik</formula>
    </cfRule>
  </conditionalFormatting>
  <conditionalFormatting sqref="E278">
    <cfRule type="cellIs" priority="547" operator="greaterThan" aboveAverage="0" equalAverage="0" bottom="0" percent="0" rank="0" text="" dxfId="8">
      <formula>0</formula>
    </cfRule>
  </conditionalFormatting>
  <conditionalFormatting sqref="D279">
    <cfRule type="cellIs" priority="548" operator="greaterThan" aboveAverage="0" equalAverage="0" bottom="0" percent="0" rank="0" text="" dxfId="10">
      <formula>GecOdemeEsik</formula>
    </cfRule>
  </conditionalFormatting>
  <conditionalFormatting sqref="E279">
    <cfRule type="cellIs" priority="549" operator="greaterThan" aboveAverage="0" equalAverage="0" bottom="0" percent="0" rank="0" text="" dxfId="8">
      <formula>0</formula>
    </cfRule>
  </conditionalFormatting>
  <conditionalFormatting sqref="D280">
    <cfRule type="cellIs" priority="550" operator="greaterThan" aboveAverage="0" equalAverage="0" bottom="0" percent="0" rank="0" text="" dxfId="10">
      <formula>GecOdemeEsik</formula>
    </cfRule>
  </conditionalFormatting>
  <conditionalFormatting sqref="E280">
    <cfRule type="cellIs" priority="551" operator="greaterThan" aboveAverage="0" equalAverage="0" bottom="0" percent="0" rank="0" text="" dxfId="8">
      <formula>0</formula>
    </cfRule>
  </conditionalFormatting>
  <conditionalFormatting sqref="D281">
    <cfRule type="cellIs" priority="552" operator="greaterThan" aboveAverage="0" equalAverage="0" bottom="0" percent="0" rank="0" text="" dxfId="10">
      <formula>GecOdemeEsik</formula>
    </cfRule>
  </conditionalFormatting>
  <conditionalFormatting sqref="E281">
    <cfRule type="cellIs" priority="553" operator="greaterThan" aboveAverage="0" equalAverage="0" bottom="0" percent="0" rank="0" text="" dxfId="8">
      <formula>0</formula>
    </cfRule>
  </conditionalFormatting>
  <conditionalFormatting sqref="D282">
    <cfRule type="cellIs" priority="554" operator="greaterThan" aboveAverage="0" equalAverage="0" bottom="0" percent="0" rank="0" text="" dxfId="10">
      <formula>GecOdemeEsik</formula>
    </cfRule>
  </conditionalFormatting>
  <conditionalFormatting sqref="E282">
    <cfRule type="cellIs" priority="555" operator="greaterThan" aboveAverage="0" equalAverage="0" bottom="0" percent="0" rank="0" text="" dxfId="8">
      <formula>0</formula>
    </cfRule>
  </conditionalFormatting>
  <conditionalFormatting sqref="D283">
    <cfRule type="cellIs" priority="556" operator="greaterThan" aboveAverage="0" equalAverage="0" bottom="0" percent="0" rank="0" text="" dxfId="10">
      <formula>GecOdemeEsik</formula>
    </cfRule>
  </conditionalFormatting>
  <conditionalFormatting sqref="E283">
    <cfRule type="cellIs" priority="557" operator="greaterThan" aboveAverage="0" equalAverage="0" bottom="0" percent="0" rank="0" text="" dxfId="8">
      <formula>0</formula>
    </cfRule>
  </conditionalFormatting>
  <conditionalFormatting sqref="D284">
    <cfRule type="cellIs" priority="558" operator="greaterThan" aboveAverage="0" equalAverage="0" bottom="0" percent="0" rank="0" text="" dxfId="10">
      <formula>GecOdemeEsik</formula>
    </cfRule>
  </conditionalFormatting>
  <conditionalFormatting sqref="E284">
    <cfRule type="cellIs" priority="559" operator="greaterThan" aboveAverage="0" equalAverage="0" bottom="0" percent="0" rank="0" text="" dxfId="8">
      <formula>0</formula>
    </cfRule>
  </conditionalFormatting>
  <conditionalFormatting sqref="D285">
    <cfRule type="cellIs" priority="560" operator="greaterThan" aboveAverage="0" equalAverage="0" bottom="0" percent="0" rank="0" text="" dxfId="10">
      <formula>GecOdemeEsik</formula>
    </cfRule>
  </conditionalFormatting>
  <conditionalFormatting sqref="E285">
    <cfRule type="cellIs" priority="561" operator="greaterThan" aboveAverage="0" equalAverage="0" bottom="0" percent="0" rank="0" text="" dxfId="8">
      <formula>0</formula>
    </cfRule>
  </conditionalFormatting>
  <conditionalFormatting sqref="D286">
    <cfRule type="cellIs" priority="562" operator="greaterThan" aboveAverage="0" equalAverage="0" bottom="0" percent="0" rank="0" text="" dxfId="10">
      <formula>GecOdemeEsik</formula>
    </cfRule>
  </conditionalFormatting>
  <conditionalFormatting sqref="E286">
    <cfRule type="cellIs" priority="563" operator="greaterThan" aboveAverage="0" equalAverage="0" bottom="0" percent="0" rank="0" text="" dxfId="8">
      <formula>0</formula>
    </cfRule>
  </conditionalFormatting>
  <conditionalFormatting sqref="D287">
    <cfRule type="cellIs" priority="564" operator="greaterThan" aboveAverage="0" equalAverage="0" bottom="0" percent="0" rank="0" text="" dxfId="10">
      <formula>GecOdemeEsik</formula>
    </cfRule>
  </conditionalFormatting>
  <conditionalFormatting sqref="E287">
    <cfRule type="cellIs" priority="565" operator="greaterThan" aboveAverage="0" equalAverage="0" bottom="0" percent="0" rank="0" text="" dxfId="8">
      <formula>0</formula>
    </cfRule>
  </conditionalFormatting>
  <conditionalFormatting sqref="D288">
    <cfRule type="cellIs" priority="566" operator="greaterThan" aboveAverage="0" equalAverage="0" bottom="0" percent="0" rank="0" text="" dxfId="10">
      <formula>GecOdemeEsik</formula>
    </cfRule>
  </conditionalFormatting>
  <conditionalFormatting sqref="E288">
    <cfRule type="cellIs" priority="567" operator="greaterThan" aboveAverage="0" equalAverage="0" bottom="0" percent="0" rank="0" text="" dxfId="8">
      <formula>0</formula>
    </cfRule>
  </conditionalFormatting>
  <conditionalFormatting sqref="D289">
    <cfRule type="cellIs" priority="568" operator="greaterThan" aboveAverage="0" equalAverage="0" bottom="0" percent="0" rank="0" text="" dxfId="10">
      <formula>GecOdemeEsik</formula>
    </cfRule>
  </conditionalFormatting>
  <conditionalFormatting sqref="E289">
    <cfRule type="cellIs" priority="569" operator="greaterThan" aboveAverage="0" equalAverage="0" bottom="0" percent="0" rank="0" text="" dxfId="8">
      <formula>0</formula>
    </cfRule>
  </conditionalFormatting>
  <conditionalFormatting sqref="D290">
    <cfRule type="cellIs" priority="570" operator="greaterThan" aboveAverage="0" equalAverage="0" bottom="0" percent="0" rank="0" text="" dxfId="10">
      <formula>GecOdemeEsik</formula>
    </cfRule>
  </conditionalFormatting>
  <conditionalFormatting sqref="E290">
    <cfRule type="cellIs" priority="571" operator="greaterThan" aboveAverage="0" equalAverage="0" bottom="0" percent="0" rank="0" text="" dxfId="8">
      <formula>0</formula>
    </cfRule>
  </conditionalFormatting>
  <conditionalFormatting sqref="D291">
    <cfRule type="cellIs" priority="572" operator="greaterThan" aboveAverage="0" equalAverage="0" bottom="0" percent="0" rank="0" text="" dxfId="10">
      <formula>GecOdemeEsik</formula>
    </cfRule>
  </conditionalFormatting>
  <conditionalFormatting sqref="E291">
    <cfRule type="cellIs" priority="573" operator="greaterThan" aboveAverage="0" equalAverage="0" bottom="0" percent="0" rank="0" text="" dxfId="8">
      <formula>0</formula>
    </cfRule>
  </conditionalFormatting>
  <conditionalFormatting sqref="D292">
    <cfRule type="cellIs" priority="574" operator="greaterThan" aboveAverage="0" equalAverage="0" bottom="0" percent="0" rank="0" text="" dxfId="10">
      <formula>GecOdemeEsik</formula>
    </cfRule>
  </conditionalFormatting>
  <conditionalFormatting sqref="E292">
    <cfRule type="cellIs" priority="575" operator="greaterThan" aboveAverage="0" equalAverage="0" bottom="0" percent="0" rank="0" text="" dxfId="8">
      <formula>0</formula>
    </cfRule>
  </conditionalFormatting>
  <conditionalFormatting sqref="D293">
    <cfRule type="cellIs" priority="576" operator="greaterThan" aboveAverage="0" equalAverage="0" bottom="0" percent="0" rank="0" text="" dxfId="10">
      <formula>GecOdemeEsik</formula>
    </cfRule>
  </conditionalFormatting>
  <conditionalFormatting sqref="E293">
    <cfRule type="cellIs" priority="577" operator="greaterThan" aboveAverage="0" equalAverage="0" bottom="0" percent="0" rank="0" text="" dxfId="8">
      <formula>0</formula>
    </cfRule>
  </conditionalFormatting>
  <conditionalFormatting sqref="D294">
    <cfRule type="cellIs" priority="578" operator="greaterThan" aboveAverage="0" equalAverage="0" bottom="0" percent="0" rank="0" text="" dxfId="10">
      <formula>GecOdemeEsik</formula>
    </cfRule>
  </conditionalFormatting>
  <conditionalFormatting sqref="E294">
    <cfRule type="cellIs" priority="579" operator="greaterThan" aboveAverage="0" equalAverage="0" bottom="0" percent="0" rank="0" text="" dxfId="8">
      <formula>0</formula>
    </cfRule>
  </conditionalFormatting>
  <conditionalFormatting sqref="D295">
    <cfRule type="cellIs" priority="580" operator="greaterThan" aboveAverage="0" equalAverage="0" bottom="0" percent="0" rank="0" text="" dxfId="10">
      <formula>GecOdemeEsik</formula>
    </cfRule>
  </conditionalFormatting>
  <conditionalFormatting sqref="E295">
    <cfRule type="cellIs" priority="581" operator="greaterThan" aboveAverage="0" equalAverage="0" bottom="0" percent="0" rank="0" text="" dxfId="8">
      <formula>0</formula>
    </cfRule>
  </conditionalFormatting>
  <conditionalFormatting sqref="D296">
    <cfRule type="cellIs" priority="582" operator="greaterThan" aboveAverage="0" equalAverage="0" bottom="0" percent="0" rank="0" text="" dxfId="10">
      <formula>GecOdemeEsik</formula>
    </cfRule>
  </conditionalFormatting>
  <conditionalFormatting sqref="E296">
    <cfRule type="cellIs" priority="583" operator="greaterThan" aboveAverage="0" equalAverage="0" bottom="0" percent="0" rank="0" text="" dxfId="8">
      <formula>0</formula>
    </cfRule>
  </conditionalFormatting>
  <conditionalFormatting sqref="D297">
    <cfRule type="cellIs" priority="584" operator="greaterThan" aboveAverage="0" equalAverage="0" bottom="0" percent="0" rank="0" text="" dxfId="10">
      <formula>GecOdemeEsik</formula>
    </cfRule>
  </conditionalFormatting>
  <conditionalFormatting sqref="E297">
    <cfRule type="cellIs" priority="585" operator="greaterThan" aboveAverage="0" equalAverage="0" bottom="0" percent="0" rank="0" text="" dxfId="8">
      <formula>0</formula>
    </cfRule>
  </conditionalFormatting>
  <conditionalFormatting sqref="D298">
    <cfRule type="cellIs" priority="586" operator="greaterThan" aboveAverage="0" equalAverage="0" bottom="0" percent="0" rank="0" text="" dxfId="10">
      <formula>GecOdemeEsik</formula>
    </cfRule>
  </conditionalFormatting>
  <conditionalFormatting sqref="E298">
    <cfRule type="cellIs" priority="587" operator="greaterThan" aboveAverage="0" equalAverage="0" bottom="0" percent="0" rank="0" text="" dxfId="8">
      <formula>0</formula>
    </cfRule>
  </conditionalFormatting>
  <conditionalFormatting sqref="D299">
    <cfRule type="cellIs" priority="588" operator="greaterThan" aboveAverage="0" equalAverage="0" bottom="0" percent="0" rank="0" text="" dxfId="10">
      <formula>GecOdemeEsik</formula>
    </cfRule>
  </conditionalFormatting>
  <conditionalFormatting sqref="E299">
    <cfRule type="cellIs" priority="589" operator="greaterThan" aboveAverage="0" equalAverage="0" bottom="0" percent="0" rank="0" text="" dxfId="8">
      <formula>0</formula>
    </cfRule>
  </conditionalFormatting>
  <conditionalFormatting sqref="D300">
    <cfRule type="cellIs" priority="590" operator="greaterThan" aboveAverage="0" equalAverage="0" bottom="0" percent="0" rank="0" text="" dxfId="10">
      <formula>GecOdemeEsik</formula>
    </cfRule>
  </conditionalFormatting>
  <conditionalFormatting sqref="E300">
    <cfRule type="cellIs" priority="591" operator="greaterThan" aboveAverage="0" equalAverage="0" bottom="0" percent="0" rank="0" text="" dxfId="8">
      <formula>0</formula>
    </cfRule>
  </conditionalFormatting>
  <conditionalFormatting sqref="D301">
    <cfRule type="cellIs" priority="592" operator="greaterThan" aboveAverage="0" equalAverage="0" bottom="0" percent="0" rank="0" text="" dxfId="10">
      <formula>GecOdemeEsik</formula>
    </cfRule>
  </conditionalFormatting>
  <conditionalFormatting sqref="E301">
    <cfRule type="cellIs" priority="593" operator="greaterThan" aboveAverage="0" equalAverage="0" bottom="0" percent="0" rank="0" text="" dxfId="8">
      <formula>0</formula>
    </cfRule>
  </conditionalFormatting>
  <conditionalFormatting sqref="D302">
    <cfRule type="cellIs" priority="594" operator="greaterThan" aboveAverage="0" equalAverage="0" bottom="0" percent="0" rank="0" text="" dxfId="10">
      <formula>GecOdemeEsik</formula>
    </cfRule>
  </conditionalFormatting>
  <conditionalFormatting sqref="E302">
    <cfRule type="cellIs" priority="595" operator="greaterThan" aboveAverage="0" equalAverage="0" bottom="0" percent="0" rank="0" text="" dxfId="8">
      <formula>0</formula>
    </cfRule>
  </conditionalFormatting>
  <conditionalFormatting sqref="D303">
    <cfRule type="cellIs" priority="596" operator="greaterThan" aboveAverage="0" equalAverage="0" bottom="0" percent="0" rank="0" text="" dxfId="10">
      <formula>GecOdemeEsik</formula>
    </cfRule>
  </conditionalFormatting>
  <conditionalFormatting sqref="E303">
    <cfRule type="cellIs" priority="597" operator="greaterThan" aboveAverage="0" equalAverage="0" bottom="0" percent="0" rank="0" text="" dxfId="8">
      <formula>0</formula>
    </cfRule>
  </conditionalFormatting>
  <conditionalFormatting sqref="D304">
    <cfRule type="cellIs" priority="598" operator="greaterThan" aboveAverage="0" equalAverage="0" bottom="0" percent="0" rank="0" text="" dxfId="10">
      <formula>GecOdemeEsik</formula>
    </cfRule>
  </conditionalFormatting>
  <conditionalFormatting sqref="E304">
    <cfRule type="cellIs" priority="599" operator="greaterThan" aboveAverage="0" equalAverage="0" bottom="0" percent="0" rank="0" text="" dxfId="8">
      <formula>0</formula>
    </cfRule>
  </conditionalFormatting>
  <conditionalFormatting sqref="D305">
    <cfRule type="cellIs" priority="600" operator="greaterThan" aboveAverage="0" equalAverage="0" bottom="0" percent="0" rank="0" text="" dxfId="10">
      <formula>GecOdemeEsik</formula>
    </cfRule>
  </conditionalFormatting>
  <conditionalFormatting sqref="E305">
    <cfRule type="cellIs" priority="601" operator="greaterThan" aboveAverage="0" equalAverage="0" bottom="0" percent="0" rank="0" text="" dxfId="8">
      <formula>0</formula>
    </cfRule>
  </conditionalFormatting>
  <conditionalFormatting sqref="D306">
    <cfRule type="cellIs" priority="602" operator="greaterThan" aboveAverage="0" equalAverage="0" bottom="0" percent="0" rank="0" text="" dxfId="10">
      <formula>GecOdemeEsik</formula>
    </cfRule>
  </conditionalFormatting>
  <conditionalFormatting sqref="E306">
    <cfRule type="cellIs" priority="603" operator="greaterThan" aboveAverage="0" equalAverage="0" bottom="0" percent="0" rank="0" text="" dxfId="8">
      <formula>0</formula>
    </cfRule>
  </conditionalFormatting>
  <conditionalFormatting sqref="D307">
    <cfRule type="cellIs" priority="604" operator="greaterThan" aboveAverage="0" equalAverage="0" bottom="0" percent="0" rank="0" text="" dxfId="10">
      <formula>GecOdemeEsik</formula>
    </cfRule>
  </conditionalFormatting>
  <conditionalFormatting sqref="E307">
    <cfRule type="cellIs" priority="605" operator="greaterThan" aboveAverage="0" equalAverage="0" bottom="0" percent="0" rank="0" text="" dxfId="8">
      <formula>0</formula>
    </cfRule>
  </conditionalFormatting>
  <conditionalFormatting sqref="D308">
    <cfRule type="cellIs" priority="606" operator="greaterThan" aboveAverage="0" equalAverage="0" bottom="0" percent="0" rank="0" text="" dxfId="10">
      <formula>GecOdemeEsik</formula>
    </cfRule>
  </conditionalFormatting>
  <conditionalFormatting sqref="E308">
    <cfRule type="cellIs" priority="607" operator="greaterThan" aboveAverage="0" equalAverage="0" bottom="0" percent="0" rank="0" text="" dxfId="8">
      <formula>0</formula>
    </cfRule>
  </conditionalFormatting>
  <conditionalFormatting sqref="D309">
    <cfRule type="cellIs" priority="608" operator="greaterThan" aboveAverage="0" equalAverage="0" bottom="0" percent="0" rank="0" text="" dxfId="10">
      <formula>GecOdemeEsik</formula>
    </cfRule>
  </conditionalFormatting>
  <conditionalFormatting sqref="E309">
    <cfRule type="cellIs" priority="609" operator="greaterThan" aboveAverage="0" equalAverage="0" bottom="0" percent="0" rank="0" text="" dxfId="8">
      <formula>0</formula>
    </cfRule>
  </conditionalFormatting>
  <conditionalFormatting sqref="D310">
    <cfRule type="cellIs" priority="610" operator="greaterThan" aboveAverage="0" equalAverage="0" bottom="0" percent="0" rank="0" text="" dxfId="10">
      <formula>GecOdemeEsik</formula>
    </cfRule>
  </conditionalFormatting>
  <conditionalFormatting sqref="E310">
    <cfRule type="cellIs" priority="611" operator="greaterThan" aboveAverage="0" equalAverage="0" bottom="0" percent="0" rank="0" text="" dxfId="8">
      <formula>0</formula>
    </cfRule>
  </conditionalFormatting>
  <conditionalFormatting sqref="D311">
    <cfRule type="cellIs" priority="612" operator="greaterThan" aboveAverage="0" equalAverage="0" bottom="0" percent="0" rank="0" text="" dxfId="10">
      <formula>GecOdemeEsik</formula>
    </cfRule>
  </conditionalFormatting>
  <conditionalFormatting sqref="E311">
    <cfRule type="cellIs" priority="613" operator="greaterThan" aboveAverage="0" equalAverage="0" bottom="0" percent="0" rank="0" text="" dxfId="8">
      <formula>0</formula>
    </cfRule>
  </conditionalFormatting>
  <conditionalFormatting sqref="D312">
    <cfRule type="cellIs" priority="614" operator="greaterThan" aboveAverage="0" equalAverage="0" bottom="0" percent="0" rank="0" text="" dxfId="10">
      <formula>GecOdemeEsik</formula>
    </cfRule>
  </conditionalFormatting>
  <conditionalFormatting sqref="E312">
    <cfRule type="cellIs" priority="615" operator="greaterThan" aboveAverage="0" equalAverage="0" bottom="0" percent="0" rank="0" text="" dxfId="8">
      <formula>0</formula>
    </cfRule>
  </conditionalFormatting>
  <conditionalFormatting sqref="D313">
    <cfRule type="cellIs" priority="616" operator="greaterThan" aboveAverage="0" equalAverage="0" bottom="0" percent="0" rank="0" text="" dxfId="10">
      <formula>GecOdemeEsik</formula>
    </cfRule>
  </conditionalFormatting>
  <conditionalFormatting sqref="E313">
    <cfRule type="cellIs" priority="617" operator="greaterThan" aboveAverage="0" equalAverage="0" bottom="0" percent="0" rank="0" text="" dxfId="8">
      <formula>0</formula>
    </cfRule>
  </conditionalFormatting>
  <conditionalFormatting sqref="D314">
    <cfRule type="cellIs" priority="618" operator="greaterThan" aboveAverage="0" equalAverage="0" bottom="0" percent="0" rank="0" text="" dxfId="10">
      <formula>GecOdemeEsik</formula>
    </cfRule>
  </conditionalFormatting>
  <conditionalFormatting sqref="E314">
    <cfRule type="cellIs" priority="619" operator="greaterThan" aboveAverage="0" equalAverage="0" bottom="0" percent="0" rank="0" text="" dxfId="8">
      <formula>0</formula>
    </cfRule>
  </conditionalFormatting>
  <conditionalFormatting sqref="D315">
    <cfRule type="cellIs" priority="620" operator="greaterThan" aboveAverage="0" equalAverage="0" bottom="0" percent="0" rank="0" text="" dxfId="10">
      <formula>GecOdemeEsik</formula>
    </cfRule>
  </conditionalFormatting>
  <conditionalFormatting sqref="E315">
    <cfRule type="cellIs" priority="621" operator="greaterThan" aboveAverage="0" equalAverage="0" bottom="0" percent="0" rank="0" text="" dxfId="8">
      <formula>0</formula>
    </cfRule>
  </conditionalFormatting>
  <conditionalFormatting sqref="D316">
    <cfRule type="cellIs" priority="622" operator="greaterThan" aboveAverage="0" equalAverage="0" bottom="0" percent="0" rank="0" text="" dxfId="10">
      <formula>GecOdemeEsik</formula>
    </cfRule>
  </conditionalFormatting>
  <conditionalFormatting sqref="E316">
    <cfRule type="cellIs" priority="623" operator="greaterThan" aboveAverage="0" equalAverage="0" bottom="0" percent="0" rank="0" text="" dxfId="8">
      <formula>0</formula>
    </cfRule>
  </conditionalFormatting>
  <conditionalFormatting sqref="D317">
    <cfRule type="cellIs" priority="624" operator="greaterThan" aboveAverage="0" equalAverage="0" bottom="0" percent="0" rank="0" text="" dxfId="10">
      <formula>GecOdemeEsik</formula>
    </cfRule>
  </conditionalFormatting>
  <conditionalFormatting sqref="E317">
    <cfRule type="cellIs" priority="625" operator="greaterThan" aboveAverage="0" equalAverage="0" bottom="0" percent="0" rank="0" text="" dxfId="8">
      <formula>0</formula>
    </cfRule>
  </conditionalFormatting>
  <conditionalFormatting sqref="D318">
    <cfRule type="cellIs" priority="626" operator="greaterThan" aboveAverage="0" equalAverage="0" bottom="0" percent="0" rank="0" text="" dxfId="10">
      <formula>GecOdemeEsik</formula>
    </cfRule>
  </conditionalFormatting>
  <conditionalFormatting sqref="E318">
    <cfRule type="cellIs" priority="627" operator="greaterThan" aboveAverage="0" equalAverage="0" bottom="0" percent="0" rank="0" text="" dxfId="8">
      <formula>0</formula>
    </cfRule>
  </conditionalFormatting>
  <conditionalFormatting sqref="D319">
    <cfRule type="cellIs" priority="628" operator="greaterThan" aboveAverage="0" equalAverage="0" bottom="0" percent="0" rank="0" text="" dxfId="10">
      <formula>GecOdemeEsik</formula>
    </cfRule>
  </conditionalFormatting>
  <conditionalFormatting sqref="E319">
    <cfRule type="cellIs" priority="629" operator="greaterThan" aboveAverage="0" equalAverage="0" bottom="0" percent="0" rank="0" text="" dxfId="8">
      <formula>0</formula>
    </cfRule>
  </conditionalFormatting>
  <conditionalFormatting sqref="D320">
    <cfRule type="cellIs" priority="630" operator="greaterThan" aboveAverage="0" equalAverage="0" bottom="0" percent="0" rank="0" text="" dxfId="10">
      <formula>GecOdemeEsik</formula>
    </cfRule>
  </conditionalFormatting>
  <conditionalFormatting sqref="E320">
    <cfRule type="cellIs" priority="631" operator="greaterThan" aboveAverage="0" equalAverage="0" bottom="0" percent="0" rank="0" text="" dxfId="8">
      <formula>0</formula>
    </cfRule>
  </conditionalFormatting>
  <conditionalFormatting sqref="D321">
    <cfRule type="cellIs" priority="632" operator="greaterThan" aboveAverage="0" equalAverage="0" bottom="0" percent="0" rank="0" text="" dxfId="10">
      <formula>GecOdemeEsik</formula>
    </cfRule>
  </conditionalFormatting>
  <conditionalFormatting sqref="E321">
    <cfRule type="cellIs" priority="633" operator="greaterThan" aboveAverage="0" equalAverage="0" bottom="0" percent="0" rank="0" text="" dxfId="8">
      <formula>0</formula>
    </cfRule>
  </conditionalFormatting>
  <conditionalFormatting sqref="D322">
    <cfRule type="cellIs" priority="634" operator="greaterThan" aboveAverage="0" equalAverage="0" bottom="0" percent="0" rank="0" text="" dxfId="10">
      <formula>GecOdemeEsik</formula>
    </cfRule>
  </conditionalFormatting>
  <conditionalFormatting sqref="E322">
    <cfRule type="cellIs" priority="635" operator="greaterThan" aboveAverage="0" equalAverage="0" bottom="0" percent="0" rank="0" text="" dxfId="8">
      <formula>0</formula>
    </cfRule>
  </conditionalFormatting>
  <conditionalFormatting sqref="D323">
    <cfRule type="cellIs" priority="636" operator="greaterThan" aboveAverage="0" equalAverage="0" bottom="0" percent="0" rank="0" text="" dxfId="10">
      <formula>GecOdemeEsik</formula>
    </cfRule>
  </conditionalFormatting>
  <conditionalFormatting sqref="E323">
    <cfRule type="cellIs" priority="637" operator="greaterThan" aboveAverage="0" equalAverage="0" bottom="0" percent="0" rank="0" text="" dxfId="8">
      <formula>0</formula>
    </cfRule>
  </conditionalFormatting>
  <conditionalFormatting sqref="D324">
    <cfRule type="cellIs" priority="638" operator="greaterThan" aboveAverage="0" equalAverage="0" bottom="0" percent="0" rank="0" text="" dxfId="10">
      <formula>GecOdemeEsik</formula>
    </cfRule>
  </conditionalFormatting>
  <conditionalFormatting sqref="E324">
    <cfRule type="cellIs" priority="639" operator="greaterThan" aboveAverage="0" equalAverage="0" bottom="0" percent="0" rank="0" text="" dxfId="8">
      <formula>0</formula>
    </cfRule>
  </conditionalFormatting>
  <conditionalFormatting sqref="D325">
    <cfRule type="cellIs" priority="640" operator="greaterThan" aboveAverage="0" equalAverage="0" bottom="0" percent="0" rank="0" text="" dxfId="10">
      <formula>GecOdemeEsik</formula>
    </cfRule>
  </conditionalFormatting>
  <conditionalFormatting sqref="E325">
    <cfRule type="cellIs" priority="641" operator="greaterThan" aboveAverage="0" equalAverage="0" bottom="0" percent="0" rank="0" text="" dxfId="8">
      <formula>0</formula>
    </cfRule>
  </conditionalFormatting>
  <conditionalFormatting sqref="D326">
    <cfRule type="cellIs" priority="642" operator="greaterThan" aboveAverage="0" equalAverage="0" bottom="0" percent="0" rank="0" text="" dxfId="10">
      <formula>GecOdemeEsik</formula>
    </cfRule>
  </conditionalFormatting>
  <conditionalFormatting sqref="E326">
    <cfRule type="cellIs" priority="643" operator="greaterThan" aboveAverage="0" equalAverage="0" bottom="0" percent="0" rank="0" text="" dxfId="8">
      <formula>0</formula>
    </cfRule>
  </conditionalFormatting>
  <conditionalFormatting sqref="D327">
    <cfRule type="cellIs" priority="644" operator="greaterThan" aboveAverage="0" equalAverage="0" bottom="0" percent="0" rank="0" text="" dxfId="10">
      <formula>GecOdemeEsik</formula>
    </cfRule>
  </conditionalFormatting>
  <conditionalFormatting sqref="E327">
    <cfRule type="cellIs" priority="645" operator="greaterThan" aboveAverage="0" equalAverage="0" bottom="0" percent="0" rank="0" text="" dxfId="8">
      <formula>0</formula>
    </cfRule>
  </conditionalFormatting>
  <conditionalFormatting sqref="D328">
    <cfRule type="cellIs" priority="646" operator="greaterThan" aboveAverage="0" equalAverage="0" bottom="0" percent="0" rank="0" text="" dxfId="10">
      <formula>GecOdemeEsik</formula>
    </cfRule>
  </conditionalFormatting>
  <conditionalFormatting sqref="E328">
    <cfRule type="cellIs" priority="647" operator="greaterThan" aboveAverage="0" equalAverage="0" bottom="0" percent="0" rank="0" text="" dxfId="8">
      <formula>0</formula>
    </cfRule>
  </conditionalFormatting>
  <conditionalFormatting sqref="D329">
    <cfRule type="cellIs" priority="648" operator="greaterThan" aboveAverage="0" equalAverage="0" bottom="0" percent="0" rank="0" text="" dxfId="10">
      <formula>GecOdemeEsik</formula>
    </cfRule>
  </conditionalFormatting>
  <conditionalFormatting sqref="E329">
    <cfRule type="cellIs" priority="649" operator="greaterThan" aboveAverage="0" equalAverage="0" bottom="0" percent="0" rank="0" text="" dxfId="8">
      <formula>0</formula>
    </cfRule>
  </conditionalFormatting>
  <conditionalFormatting sqref="D330">
    <cfRule type="cellIs" priority="650" operator="greaterThan" aboveAverage="0" equalAverage="0" bottom="0" percent="0" rank="0" text="" dxfId="10">
      <formula>GecOdemeEsik</formula>
    </cfRule>
  </conditionalFormatting>
  <conditionalFormatting sqref="E330">
    <cfRule type="cellIs" priority="651" operator="greaterThan" aboveAverage="0" equalAverage="0" bottom="0" percent="0" rank="0" text="" dxfId="8">
      <formula>0</formula>
    </cfRule>
  </conditionalFormatting>
  <conditionalFormatting sqref="D331">
    <cfRule type="cellIs" priority="652" operator="greaterThan" aboveAverage="0" equalAverage="0" bottom="0" percent="0" rank="0" text="" dxfId="10">
      <formula>GecOdemeEsik</formula>
    </cfRule>
  </conditionalFormatting>
  <conditionalFormatting sqref="E331">
    <cfRule type="cellIs" priority="653" operator="greaterThan" aboveAverage="0" equalAverage="0" bottom="0" percent="0" rank="0" text="" dxfId="8">
      <formula>0</formula>
    </cfRule>
  </conditionalFormatting>
  <conditionalFormatting sqref="D332">
    <cfRule type="cellIs" priority="654" operator="greaterThan" aboveAverage="0" equalAverage="0" bottom="0" percent="0" rank="0" text="" dxfId="10">
      <formula>GecOdemeEsik</formula>
    </cfRule>
  </conditionalFormatting>
  <conditionalFormatting sqref="E332">
    <cfRule type="cellIs" priority="655" operator="greaterThan" aboveAverage="0" equalAverage="0" bottom="0" percent="0" rank="0" text="" dxfId="8">
      <formula>0</formula>
    </cfRule>
  </conditionalFormatting>
  <conditionalFormatting sqref="D333">
    <cfRule type="cellIs" priority="656" operator="greaterThan" aboveAverage="0" equalAverage="0" bottom="0" percent="0" rank="0" text="" dxfId="10">
      <formula>GecOdemeEsik</formula>
    </cfRule>
  </conditionalFormatting>
  <conditionalFormatting sqref="E333">
    <cfRule type="cellIs" priority="657" operator="greaterThan" aboveAverage="0" equalAverage="0" bottom="0" percent="0" rank="0" text="" dxfId="8">
      <formula>0</formula>
    </cfRule>
  </conditionalFormatting>
  <conditionalFormatting sqref="D334">
    <cfRule type="cellIs" priority="658" operator="greaterThan" aboveAverage="0" equalAverage="0" bottom="0" percent="0" rank="0" text="" dxfId="10">
      <formula>GecOdemeEsik</formula>
    </cfRule>
  </conditionalFormatting>
  <conditionalFormatting sqref="E334">
    <cfRule type="cellIs" priority="659" operator="greaterThan" aboveAverage="0" equalAverage="0" bottom="0" percent="0" rank="0" text="" dxfId="8">
      <formula>0</formula>
    </cfRule>
  </conditionalFormatting>
  <conditionalFormatting sqref="D335">
    <cfRule type="cellIs" priority="660" operator="greaterThan" aboveAverage="0" equalAverage="0" bottom="0" percent="0" rank="0" text="" dxfId="10">
      <formula>GecOdemeEsik</formula>
    </cfRule>
  </conditionalFormatting>
  <conditionalFormatting sqref="E335">
    <cfRule type="cellIs" priority="661" operator="greaterThan" aboveAverage="0" equalAverage="0" bottom="0" percent="0" rank="0" text="" dxfId="8">
      <formula>0</formula>
    </cfRule>
  </conditionalFormatting>
  <conditionalFormatting sqref="D336">
    <cfRule type="cellIs" priority="662" operator="greaterThan" aboveAverage="0" equalAverage="0" bottom="0" percent="0" rank="0" text="" dxfId="10">
      <formula>GecOdemeEsik</formula>
    </cfRule>
  </conditionalFormatting>
  <conditionalFormatting sqref="E336">
    <cfRule type="cellIs" priority="663" operator="greaterThan" aboveAverage="0" equalAverage="0" bottom="0" percent="0" rank="0" text="" dxfId="8">
      <formula>0</formula>
    </cfRule>
  </conditionalFormatting>
  <conditionalFormatting sqref="D337">
    <cfRule type="cellIs" priority="664" operator="greaterThan" aboveAverage="0" equalAverage="0" bottom="0" percent="0" rank="0" text="" dxfId="10">
      <formula>GecOdemeEsik</formula>
    </cfRule>
  </conditionalFormatting>
  <conditionalFormatting sqref="E337">
    <cfRule type="cellIs" priority="665" operator="greaterThan" aboveAverage="0" equalAverage="0" bottom="0" percent="0" rank="0" text="" dxfId="8">
      <formula>0</formula>
    </cfRule>
  </conditionalFormatting>
  <conditionalFormatting sqref="D338">
    <cfRule type="cellIs" priority="666" operator="greaterThan" aboveAverage="0" equalAverage="0" bottom="0" percent="0" rank="0" text="" dxfId="10">
      <formula>GecOdemeEsik</formula>
    </cfRule>
  </conditionalFormatting>
  <conditionalFormatting sqref="E338">
    <cfRule type="cellIs" priority="667" operator="greaterThan" aboveAverage="0" equalAverage="0" bottom="0" percent="0" rank="0" text="" dxfId="8">
      <formula>0</formula>
    </cfRule>
  </conditionalFormatting>
  <conditionalFormatting sqref="D339">
    <cfRule type="cellIs" priority="668" operator="greaterThan" aboveAverage="0" equalAverage="0" bottom="0" percent="0" rank="0" text="" dxfId="10">
      <formula>GecOdemeEsik</formula>
    </cfRule>
  </conditionalFormatting>
  <conditionalFormatting sqref="E339">
    <cfRule type="cellIs" priority="669" operator="greaterThan" aboveAverage="0" equalAverage="0" bottom="0" percent="0" rank="0" text="" dxfId="8">
      <formula>0</formula>
    </cfRule>
  </conditionalFormatting>
  <conditionalFormatting sqref="D340">
    <cfRule type="cellIs" priority="670" operator="greaterThan" aboveAverage="0" equalAverage="0" bottom="0" percent="0" rank="0" text="" dxfId="10">
      <formula>GecOdemeEsik</formula>
    </cfRule>
  </conditionalFormatting>
  <conditionalFormatting sqref="E340">
    <cfRule type="cellIs" priority="671" operator="greaterThan" aboveAverage="0" equalAverage="0" bottom="0" percent="0" rank="0" text="" dxfId="8">
      <formula>0</formula>
    </cfRule>
  </conditionalFormatting>
  <conditionalFormatting sqref="D341">
    <cfRule type="cellIs" priority="672" operator="greaterThan" aboveAverage="0" equalAverage="0" bottom="0" percent="0" rank="0" text="" dxfId="10">
      <formula>GecOdemeEsik</formula>
    </cfRule>
  </conditionalFormatting>
  <conditionalFormatting sqref="E341">
    <cfRule type="cellIs" priority="673" operator="greaterThan" aboveAverage="0" equalAverage="0" bottom="0" percent="0" rank="0" text="" dxfId="8">
      <formula>0</formula>
    </cfRule>
  </conditionalFormatting>
  <conditionalFormatting sqref="D342">
    <cfRule type="cellIs" priority="674" operator="greaterThan" aboveAverage="0" equalAverage="0" bottom="0" percent="0" rank="0" text="" dxfId="10">
      <formula>GecOdemeEsik</formula>
    </cfRule>
  </conditionalFormatting>
  <conditionalFormatting sqref="E342">
    <cfRule type="cellIs" priority="675" operator="greaterThan" aboveAverage="0" equalAverage="0" bottom="0" percent="0" rank="0" text="" dxfId="8">
      <formula>0</formula>
    </cfRule>
  </conditionalFormatting>
  <conditionalFormatting sqref="D343">
    <cfRule type="cellIs" priority="676" operator="greaterThan" aboveAverage="0" equalAverage="0" bottom="0" percent="0" rank="0" text="" dxfId="10">
      <formula>GecOdemeEsik</formula>
    </cfRule>
  </conditionalFormatting>
  <conditionalFormatting sqref="E343">
    <cfRule type="cellIs" priority="677" operator="greaterThan" aboveAverage="0" equalAverage="0" bottom="0" percent="0" rank="0" text="" dxfId="8">
      <formula>0</formula>
    </cfRule>
  </conditionalFormatting>
  <conditionalFormatting sqref="D344">
    <cfRule type="cellIs" priority="678" operator="greaterThan" aboveAverage="0" equalAverage="0" bottom="0" percent="0" rank="0" text="" dxfId="10">
      <formula>GecOdemeEsik</formula>
    </cfRule>
  </conditionalFormatting>
  <conditionalFormatting sqref="E344">
    <cfRule type="cellIs" priority="679" operator="greaterThan" aboveAverage="0" equalAverage="0" bottom="0" percent="0" rank="0" text="" dxfId="8">
      <formula>0</formula>
    </cfRule>
  </conditionalFormatting>
  <conditionalFormatting sqref="D345">
    <cfRule type="cellIs" priority="680" operator="greaterThan" aboveAverage="0" equalAverage="0" bottom="0" percent="0" rank="0" text="" dxfId="10">
      <formula>GecOdemeEsik</formula>
    </cfRule>
  </conditionalFormatting>
  <conditionalFormatting sqref="E345">
    <cfRule type="cellIs" priority="681" operator="greaterThan" aboveAverage="0" equalAverage="0" bottom="0" percent="0" rank="0" text="" dxfId="8">
      <formula>0</formula>
    </cfRule>
  </conditionalFormatting>
  <conditionalFormatting sqref="D346">
    <cfRule type="cellIs" priority="682" operator="greaterThan" aboveAverage="0" equalAverage="0" bottom="0" percent="0" rank="0" text="" dxfId="10">
      <formula>GecOdemeEsik</formula>
    </cfRule>
  </conditionalFormatting>
  <conditionalFormatting sqref="E346">
    <cfRule type="cellIs" priority="683" operator="greaterThan" aboveAverage="0" equalAverage="0" bottom="0" percent="0" rank="0" text="" dxfId="8">
      <formula>0</formula>
    </cfRule>
  </conditionalFormatting>
  <conditionalFormatting sqref="D347">
    <cfRule type="cellIs" priority="684" operator="greaterThan" aboveAverage="0" equalAverage="0" bottom="0" percent="0" rank="0" text="" dxfId="10">
      <formula>GecOdemeEsik</formula>
    </cfRule>
  </conditionalFormatting>
  <conditionalFormatting sqref="E347">
    <cfRule type="cellIs" priority="685" operator="greaterThan" aboveAverage="0" equalAverage="0" bottom="0" percent="0" rank="0" text="" dxfId="8">
      <formula>0</formula>
    </cfRule>
  </conditionalFormatting>
  <conditionalFormatting sqref="D348">
    <cfRule type="cellIs" priority="686" operator="greaterThan" aboveAverage="0" equalAverage="0" bottom="0" percent="0" rank="0" text="" dxfId="10">
      <formula>GecOdemeEsik</formula>
    </cfRule>
  </conditionalFormatting>
  <conditionalFormatting sqref="E348">
    <cfRule type="cellIs" priority="687" operator="greaterThan" aboveAverage="0" equalAverage="0" bottom="0" percent="0" rank="0" text="" dxfId="8">
      <formula>0</formula>
    </cfRule>
  </conditionalFormatting>
  <conditionalFormatting sqref="D349">
    <cfRule type="cellIs" priority="688" operator="greaterThan" aboveAverage="0" equalAverage="0" bottom="0" percent="0" rank="0" text="" dxfId="10">
      <formula>GecOdemeEsik</formula>
    </cfRule>
  </conditionalFormatting>
  <conditionalFormatting sqref="E349">
    <cfRule type="cellIs" priority="689" operator="greaterThan" aboveAverage="0" equalAverage="0" bottom="0" percent="0" rank="0" text="" dxfId="8">
      <formula>0</formula>
    </cfRule>
  </conditionalFormatting>
  <conditionalFormatting sqref="D350">
    <cfRule type="cellIs" priority="690" operator="greaterThan" aboveAverage="0" equalAverage="0" bottom="0" percent="0" rank="0" text="" dxfId="10">
      <formula>GecOdemeEsik</formula>
    </cfRule>
  </conditionalFormatting>
  <conditionalFormatting sqref="E350">
    <cfRule type="cellIs" priority="691" operator="greaterThan" aboveAverage="0" equalAverage="0" bottom="0" percent="0" rank="0" text="" dxfId="8">
      <formula>0</formula>
    </cfRule>
  </conditionalFormatting>
  <conditionalFormatting sqref="D351">
    <cfRule type="cellIs" priority="692" operator="greaterThan" aboveAverage="0" equalAverage="0" bottom="0" percent="0" rank="0" text="" dxfId="10">
      <formula>GecOdemeEsik</formula>
    </cfRule>
  </conditionalFormatting>
  <conditionalFormatting sqref="E351">
    <cfRule type="cellIs" priority="693" operator="greaterThan" aboveAverage="0" equalAverage="0" bottom="0" percent="0" rank="0" text="" dxfId="8">
      <formula>0</formula>
    </cfRule>
  </conditionalFormatting>
  <conditionalFormatting sqref="D352">
    <cfRule type="cellIs" priority="694" operator="greaterThan" aboveAverage="0" equalAverage="0" bottom="0" percent="0" rank="0" text="" dxfId="10">
      <formula>GecOdemeEsik</formula>
    </cfRule>
  </conditionalFormatting>
  <conditionalFormatting sqref="E352">
    <cfRule type="cellIs" priority="695" operator="greaterThan" aboveAverage="0" equalAverage="0" bottom="0" percent="0" rank="0" text="" dxfId="8">
      <formula>0</formula>
    </cfRule>
  </conditionalFormatting>
  <conditionalFormatting sqref="D353">
    <cfRule type="cellIs" priority="696" operator="greaterThan" aboveAverage="0" equalAverage="0" bottom="0" percent="0" rank="0" text="" dxfId="10">
      <formula>GecOdemeEsik</formula>
    </cfRule>
  </conditionalFormatting>
  <conditionalFormatting sqref="E353">
    <cfRule type="cellIs" priority="697" operator="greaterThan" aboveAverage="0" equalAverage="0" bottom="0" percent="0" rank="0" text="" dxfId="8">
      <formula>0</formula>
    </cfRule>
  </conditionalFormatting>
  <conditionalFormatting sqref="D354">
    <cfRule type="cellIs" priority="698" operator="greaterThan" aboveAverage="0" equalAverage="0" bottom="0" percent="0" rank="0" text="" dxfId="10">
      <formula>GecOdemeEsik</formula>
    </cfRule>
  </conditionalFormatting>
  <conditionalFormatting sqref="E354">
    <cfRule type="cellIs" priority="699" operator="greaterThan" aboveAverage="0" equalAverage="0" bottom="0" percent="0" rank="0" text="" dxfId="8">
      <formula>0</formula>
    </cfRule>
  </conditionalFormatting>
  <conditionalFormatting sqref="D355">
    <cfRule type="cellIs" priority="700" operator="greaterThan" aboveAverage="0" equalAverage="0" bottom="0" percent="0" rank="0" text="" dxfId="10">
      <formula>GecOdemeEsik</formula>
    </cfRule>
  </conditionalFormatting>
  <conditionalFormatting sqref="E355">
    <cfRule type="cellIs" priority="701" operator="greaterThan" aboveAverage="0" equalAverage="0" bottom="0" percent="0" rank="0" text="" dxfId="8">
      <formula>0</formula>
    </cfRule>
  </conditionalFormatting>
  <conditionalFormatting sqref="D356">
    <cfRule type="cellIs" priority="702" operator="greaterThan" aboveAverage="0" equalAverage="0" bottom="0" percent="0" rank="0" text="" dxfId="10">
      <formula>GecOdemeEsik</formula>
    </cfRule>
  </conditionalFormatting>
  <conditionalFormatting sqref="E356">
    <cfRule type="cellIs" priority="703" operator="greaterThan" aboveAverage="0" equalAverage="0" bottom="0" percent="0" rank="0" text="" dxfId="8">
      <formula>0</formula>
    </cfRule>
  </conditionalFormatting>
  <conditionalFormatting sqref="D357">
    <cfRule type="cellIs" priority="704" operator="greaterThan" aboveAverage="0" equalAverage="0" bottom="0" percent="0" rank="0" text="" dxfId="10">
      <formula>GecOdemeEsik</formula>
    </cfRule>
  </conditionalFormatting>
  <conditionalFormatting sqref="E357">
    <cfRule type="cellIs" priority="705" operator="greaterThan" aboveAverage="0" equalAverage="0" bottom="0" percent="0" rank="0" text="" dxfId="8">
      <formula>0</formula>
    </cfRule>
  </conditionalFormatting>
  <conditionalFormatting sqref="D358">
    <cfRule type="cellIs" priority="706" operator="greaterThan" aboveAverage="0" equalAverage="0" bottom="0" percent="0" rank="0" text="" dxfId="10">
      <formula>GecOdemeEsik</formula>
    </cfRule>
  </conditionalFormatting>
  <conditionalFormatting sqref="E358">
    <cfRule type="cellIs" priority="707" operator="greaterThan" aboveAverage="0" equalAverage="0" bottom="0" percent="0" rank="0" text="" dxfId="8">
      <formula>0</formula>
    </cfRule>
  </conditionalFormatting>
  <conditionalFormatting sqref="D359">
    <cfRule type="cellIs" priority="708" operator="greaterThan" aboveAverage="0" equalAverage="0" bottom="0" percent="0" rank="0" text="" dxfId="10">
      <formula>GecOdemeEsik</formula>
    </cfRule>
  </conditionalFormatting>
  <conditionalFormatting sqref="E359">
    <cfRule type="cellIs" priority="709" operator="greaterThan" aboveAverage="0" equalAverage="0" bottom="0" percent="0" rank="0" text="" dxfId="8">
      <formula>0</formula>
    </cfRule>
  </conditionalFormatting>
  <conditionalFormatting sqref="D360">
    <cfRule type="cellIs" priority="710" operator="greaterThan" aboveAverage="0" equalAverage="0" bottom="0" percent="0" rank="0" text="" dxfId="10">
      <formula>GecOdemeEsik</formula>
    </cfRule>
  </conditionalFormatting>
  <conditionalFormatting sqref="E360">
    <cfRule type="cellIs" priority="711" operator="greaterThan" aboveAverage="0" equalAverage="0" bottom="0" percent="0" rank="0" text="" dxfId="8">
      <formula>0</formula>
    </cfRule>
  </conditionalFormatting>
  <conditionalFormatting sqref="D361">
    <cfRule type="cellIs" priority="712" operator="greaterThan" aboveAverage="0" equalAverage="0" bottom="0" percent="0" rank="0" text="" dxfId="10">
      <formula>GecOdemeEsik</formula>
    </cfRule>
  </conditionalFormatting>
  <conditionalFormatting sqref="E361">
    <cfRule type="cellIs" priority="713" operator="greaterThan" aboveAverage="0" equalAverage="0" bottom="0" percent="0" rank="0" text="" dxfId="8">
      <formula>0</formula>
    </cfRule>
  </conditionalFormatting>
  <conditionalFormatting sqref="D362">
    <cfRule type="cellIs" priority="714" operator="greaterThan" aboveAverage="0" equalAverage="0" bottom="0" percent="0" rank="0" text="" dxfId="10">
      <formula>GecOdemeEsik</formula>
    </cfRule>
  </conditionalFormatting>
  <conditionalFormatting sqref="E362">
    <cfRule type="cellIs" priority="715" operator="greaterThan" aboveAverage="0" equalAverage="0" bottom="0" percent="0" rank="0" text="" dxfId="8">
      <formula>0</formula>
    </cfRule>
  </conditionalFormatting>
  <conditionalFormatting sqref="D363">
    <cfRule type="cellIs" priority="716" operator="greaterThan" aboveAverage="0" equalAverage="0" bottom="0" percent="0" rank="0" text="" dxfId="10">
      <formula>GecOdemeEsik</formula>
    </cfRule>
  </conditionalFormatting>
  <conditionalFormatting sqref="E363">
    <cfRule type="cellIs" priority="717" operator="greaterThan" aboveAverage="0" equalAverage="0" bottom="0" percent="0" rank="0" text="" dxfId="8">
      <formula>0</formula>
    </cfRule>
  </conditionalFormatting>
  <conditionalFormatting sqref="D364">
    <cfRule type="cellIs" priority="718" operator="greaterThan" aboveAverage="0" equalAverage="0" bottom="0" percent="0" rank="0" text="" dxfId="10">
      <formula>GecOdemeEsik</formula>
    </cfRule>
  </conditionalFormatting>
  <conditionalFormatting sqref="E364">
    <cfRule type="cellIs" priority="719" operator="greaterThan" aboveAverage="0" equalAverage="0" bottom="0" percent="0" rank="0" text="" dxfId="8">
      <formula>0</formula>
    </cfRule>
  </conditionalFormatting>
  <conditionalFormatting sqref="D365">
    <cfRule type="cellIs" priority="720" operator="greaterThan" aboveAverage="0" equalAverage="0" bottom="0" percent="0" rank="0" text="" dxfId="10">
      <formula>GecOdemeEsik</formula>
    </cfRule>
  </conditionalFormatting>
  <conditionalFormatting sqref="E365">
    <cfRule type="cellIs" priority="721" operator="greaterThan" aboveAverage="0" equalAverage="0" bottom="0" percent="0" rank="0" text="" dxfId="8">
      <formula>0</formula>
    </cfRule>
  </conditionalFormatting>
  <conditionalFormatting sqref="D366">
    <cfRule type="cellIs" priority="722" operator="greaterThan" aboveAverage="0" equalAverage="0" bottom="0" percent="0" rank="0" text="" dxfId="10">
      <formula>GecOdemeEsik</formula>
    </cfRule>
  </conditionalFormatting>
  <conditionalFormatting sqref="E366">
    <cfRule type="cellIs" priority="723" operator="greaterThan" aboveAverage="0" equalAverage="0" bottom="0" percent="0" rank="0" text="" dxfId="8">
      <formula>0</formula>
    </cfRule>
  </conditionalFormatting>
  <conditionalFormatting sqref="D367">
    <cfRule type="cellIs" priority="724" operator="greaterThan" aboveAverage="0" equalAverage="0" bottom="0" percent="0" rank="0" text="" dxfId="10">
      <formula>GecOdemeEsik</formula>
    </cfRule>
  </conditionalFormatting>
  <conditionalFormatting sqref="E367">
    <cfRule type="cellIs" priority="725" operator="greaterThan" aboveAverage="0" equalAverage="0" bottom="0" percent="0" rank="0" text="" dxfId="8">
      <formula>0</formula>
    </cfRule>
  </conditionalFormatting>
  <conditionalFormatting sqref="D368">
    <cfRule type="cellIs" priority="726" operator="greaterThan" aboveAverage="0" equalAverage="0" bottom="0" percent="0" rank="0" text="" dxfId="10">
      <formula>GecOdemeEsik</formula>
    </cfRule>
  </conditionalFormatting>
  <conditionalFormatting sqref="E368">
    <cfRule type="cellIs" priority="727" operator="greaterThan" aboveAverage="0" equalAverage="0" bottom="0" percent="0" rank="0" text="" dxfId="8">
      <formula>0</formula>
    </cfRule>
  </conditionalFormatting>
  <conditionalFormatting sqref="D369">
    <cfRule type="cellIs" priority="728" operator="greaterThan" aboveAverage="0" equalAverage="0" bottom="0" percent="0" rank="0" text="" dxfId="10">
      <formula>GecOdemeEsik</formula>
    </cfRule>
  </conditionalFormatting>
  <conditionalFormatting sqref="E369">
    <cfRule type="cellIs" priority="729" operator="greaterThan" aboveAverage="0" equalAverage="0" bottom="0" percent="0" rank="0" text="" dxfId="8">
      <formula>0</formula>
    </cfRule>
  </conditionalFormatting>
  <conditionalFormatting sqref="D370">
    <cfRule type="cellIs" priority="730" operator="greaterThan" aboveAverage="0" equalAverage="0" bottom="0" percent="0" rank="0" text="" dxfId="10">
      <formula>GecOdemeEsik</formula>
    </cfRule>
  </conditionalFormatting>
  <conditionalFormatting sqref="E370">
    <cfRule type="cellIs" priority="731" operator="greaterThan" aboveAverage="0" equalAverage="0" bottom="0" percent="0" rank="0" text="" dxfId="8">
      <formula>0</formula>
    </cfRule>
  </conditionalFormatting>
  <conditionalFormatting sqref="D371">
    <cfRule type="cellIs" priority="732" operator="greaterThan" aboveAverage="0" equalAverage="0" bottom="0" percent="0" rank="0" text="" dxfId="10">
      <formula>GecOdemeEsik</formula>
    </cfRule>
  </conditionalFormatting>
  <conditionalFormatting sqref="E371">
    <cfRule type="cellIs" priority="733" operator="greaterThan" aboveAverage="0" equalAverage="0" bottom="0" percent="0" rank="0" text="" dxfId="8">
      <formula>0</formula>
    </cfRule>
  </conditionalFormatting>
  <conditionalFormatting sqref="D372">
    <cfRule type="cellIs" priority="734" operator="greaterThan" aboveAverage="0" equalAverage="0" bottom="0" percent="0" rank="0" text="" dxfId="10">
      <formula>GecOdemeEsik</formula>
    </cfRule>
  </conditionalFormatting>
  <conditionalFormatting sqref="E372">
    <cfRule type="cellIs" priority="735" operator="greaterThan" aboveAverage="0" equalAverage="0" bottom="0" percent="0" rank="0" text="" dxfId="8">
      <formula>0</formula>
    </cfRule>
  </conditionalFormatting>
  <conditionalFormatting sqref="D373">
    <cfRule type="cellIs" priority="736" operator="greaterThan" aboveAverage="0" equalAverage="0" bottom="0" percent="0" rank="0" text="" dxfId="10">
      <formula>GecOdemeEsik</formula>
    </cfRule>
  </conditionalFormatting>
  <conditionalFormatting sqref="E373">
    <cfRule type="cellIs" priority="737" operator="greaterThan" aboveAverage="0" equalAverage="0" bottom="0" percent="0" rank="0" text="" dxfId="8">
      <formula>0</formula>
    </cfRule>
  </conditionalFormatting>
  <conditionalFormatting sqref="D374">
    <cfRule type="cellIs" priority="738" operator="greaterThan" aboveAverage="0" equalAverage="0" bottom="0" percent="0" rank="0" text="" dxfId="10">
      <formula>GecOdemeEsik</formula>
    </cfRule>
  </conditionalFormatting>
  <conditionalFormatting sqref="E374">
    <cfRule type="cellIs" priority="739" operator="greaterThan" aboveAverage="0" equalAverage="0" bottom="0" percent="0" rank="0" text="" dxfId="8">
      <formula>0</formula>
    </cfRule>
  </conditionalFormatting>
  <conditionalFormatting sqref="D375">
    <cfRule type="cellIs" priority="740" operator="greaterThan" aboveAverage="0" equalAverage="0" bottom="0" percent="0" rank="0" text="" dxfId="10">
      <formula>GecOdemeEsik</formula>
    </cfRule>
  </conditionalFormatting>
  <conditionalFormatting sqref="E375">
    <cfRule type="cellIs" priority="741" operator="greaterThan" aboveAverage="0" equalAverage="0" bottom="0" percent="0" rank="0" text="" dxfId="8">
      <formula>0</formula>
    </cfRule>
  </conditionalFormatting>
  <conditionalFormatting sqref="D376">
    <cfRule type="cellIs" priority="742" operator="greaterThan" aboveAverage="0" equalAverage="0" bottom="0" percent="0" rank="0" text="" dxfId="10">
      <formula>GecOdemeEsik</formula>
    </cfRule>
  </conditionalFormatting>
  <conditionalFormatting sqref="E376">
    <cfRule type="cellIs" priority="743" operator="greaterThan" aboveAverage="0" equalAverage="0" bottom="0" percent="0" rank="0" text="" dxfId="8">
      <formula>0</formula>
    </cfRule>
  </conditionalFormatting>
  <conditionalFormatting sqref="D377">
    <cfRule type="cellIs" priority="744" operator="greaterThan" aboveAverage="0" equalAverage="0" bottom="0" percent="0" rank="0" text="" dxfId="10">
      <formula>GecOdemeEsik</formula>
    </cfRule>
  </conditionalFormatting>
  <conditionalFormatting sqref="E377">
    <cfRule type="cellIs" priority="745" operator="greaterThan" aboveAverage="0" equalAverage="0" bottom="0" percent="0" rank="0" text="" dxfId="8">
      <formula>0</formula>
    </cfRule>
  </conditionalFormatting>
  <conditionalFormatting sqref="D378">
    <cfRule type="cellIs" priority="746" operator="greaterThan" aboveAverage="0" equalAverage="0" bottom="0" percent="0" rank="0" text="" dxfId="10">
      <formula>GecOdemeEsik</formula>
    </cfRule>
  </conditionalFormatting>
  <conditionalFormatting sqref="E378">
    <cfRule type="cellIs" priority="747" operator="greaterThan" aboveAverage="0" equalAverage="0" bottom="0" percent="0" rank="0" text="" dxfId="8">
      <formula>0</formula>
    </cfRule>
  </conditionalFormatting>
  <conditionalFormatting sqref="D379">
    <cfRule type="cellIs" priority="748" operator="greaterThan" aboveAverage="0" equalAverage="0" bottom="0" percent="0" rank="0" text="" dxfId="10">
      <formula>GecOdemeEsik</formula>
    </cfRule>
  </conditionalFormatting>
  <conditionalFormatting sqref="E379">
    <cfRule type="cellIs" priority="749" operator="greaterThan" aboveAverage="0" equalAverage="0" bottom="0" percent="0" rank="0" text="" dxfId="8">
      <formula>0</formula>
    </cfRule>
  </conditionalFormatting>
  <conditionalFormatting sqref="D380">
    <cfRule type="cellIs" priority="750" operator="greaterThan" aboveAverage="0" equalAverage="0" bottom="0" percent="0" rank="0" text="" dxfId="10">
      <formula>GecOdemeEsik</formula>
    </cfRule>
  </conditionalFormatting>
  <conditionalFormatting sqref="E380">
    <cfRule type="cellIs" priority="751" operator="greaterThan" aboveAverage="0" equalAverage="0" bottom="0" percent="0" rank="0" text="" dxfId="8">
      <formula>0</formula>
    </cfRule>
  </conditionalFormatting>
  <conditionalFormatting sqref="D381">
    <cfRule type="cellIs" priority="752" operator="greaterThan" aboveAverage="0" equalAverage="0" bottom="0" percent="0" rank="0" text="" dxfId="10">
      <formula>GecOdemeEsik</formula>
    </cfRule>
  </conditionalFormatting>
  <conditionalFormatting sqref="E381">
    <cfRule type="cellIs" priority="753" operator="greaterThan" aboveAverage="0" equalAverage="0" bottom="0" percent="0" rank="0" text="" dxfId="8">
      <formula>0</formula>
    </cfRule>
  </conditionalFormatting>
  <conditionalFormatting sqref="D382">
    <cfRule type="cellIs" priority="754" operator="greaterThan" aboveAverage="0" equalAverage="0" bottom="0" percent="0" rank="0" text="" dxfId="10">
      <formula>GecOdemeEsik</formula>
    </cfRule>
  </conditionalFormatting>
  <conditionalFormatting sqref="E382">
    <cfRule type="cellIs" priority="755" operator="greaterThan" aboveAverage="0" equalAverage="0" bottom="0" percent="0" rank="0" text="" dxfId="8">
      <formula>0</formula>
    </cfRule>
  </conditionalFormatting>
  <conditionalFormatting sqref="D383">
    <cfRule type="cellIs" priority="756" operator="greaterThan" aboveAverage="0" equalAverage="0" bottom="0" percent="0" rank="0" text="" dxfId="10">
      <formula>GecOdemeEsik</formula>
    </cfRule>
  </conditionalFormatting>
  <conditionalFormatting sqref="E383">
    <cfRule type="cellIs" priority="757" operator="greaterThan" aboveAverage="0" equalAverage="0" bottom="0" percent="0" rank="0" text="" dxfId="8">
      <formula>0</formula>
    </cfRule>
  </conditionalFormatting>
  <conditionalFormatting sqref="D384">
    <cfRule type="cellIs" priority="758" operator="greaterThan" aboveAverage="0" equalAverage="0" bottom="0" percent="0" rank="0" text="" dxfId="10">
      <formula>GecOdemeEsik</formula>
    </cfRule>
  </conditionalFormatting>
  <conditionalFormatting sqref="E384">
    <cfRule type="cellIs" priority="759" operator="greaterThan" aboveAverage="0" equalAverage="0" bottom="0" percent="0" rank="0" text="" dxfId="8">
      <formula>0</formula>
    </cfRule>
  </conditionalFormatting>
  <conditionalFormatting sqref="D385">
    <cfRule type="cellIs" priority="760" operator="greaterThan" aboveAverage="0" equalAverage="0" bottom="0" percent="0" rank="0" text="" dxfId="10">
      <formula>GecOdemeEsik</formula>
    </cfRule>
  </conditionalFormatting>
  <conditionalFormatting sqref="E385">
    <cfRule type="cellIs" priority="761" operator="greaterThan" aboveAverage="0" equalAverage="0" bottom="0" percent="0" rank="0" text="" dxfId="8">
      <formula>0</formula>
    </cfRule>
  </conditionalFormatting>
  <conditionalFormatting sqref="D386">
    <cfRule type="cellIs" priority="762" operator="greaterThan" aboveAverage="0" equalAverage="0" bottom="0" percent="0" rank="0" text="" dxfId="10">
      <formula>GecOdemeEsik</formula>
    </cfRule>
  </conditionalFormatting>
  <conditionalFormatting sqref="E386">
    <cfRule type="cellIs" priority="763" operator="greaterThan" aboveAverage="0" equalAverage="0" bottom="0" percent="0" rank="0" text="" dxfId="8">
      <formula>0</formula>
    </cfRule>
  </conditionalFormatting>
  <conditionalFormatting sqref="D387">
    <cfRule type="cellIs" priority="764" operator="greaterThan" aboveAverage="0" equalAverage="0" bottom="0" percent="0" rank="0" text="" dxfId="10">
      <formula>GecOdemeEsik</formula>
    </cfRule>
  </conditionalFormatting>
  <conditionalFormatting sqref="E387">
    <cfRule type="cellIs" priority="765" operator="greaterThan" aboveAverage="0" equalAverage="0" bottom="0" percent="0" rank="0" text="" dxfId="8">
      <formula>0</formula>
    </cfRule>
  </conditionalFormatting>
  <conditionalFormatting sqref="D388">
    <cfRule type="cellIs" priority="766" operator="greaterThan" aboveAverage="0" equalAverage="0" bottom="0" percent="0" rank="0" text="" dxfId="10">
      <formula>GecOdemeEsik</formula>
    </cfRule>
  </conditionalFormatting>
  <conditionalFormatting sqref="E388">
    <cfRule type="cellIs" priority="767" operator="greaterThan" aboveAverage="0" equalAverage="0" bottom="0" percent="0" rank="0" text="" dxfId="8">
      <formula>0</formula>
    </cfRule>
  </conditionalFormatting>
  <conditionalFormatting sqref="D389">
    <cfRule type="cellIs" priority="768" operator="greaterThan" aboveAverage="0" equalAverage="0" bottom="0" percent="0" rank="0" text="" dxfId="10">
      <formula>GecOdemeEsik</formula>
    </cfRule>
  </conditionalFormatting>
  <conditionalFormatting sqref="E389">
    <cfRule type="cellIs" priority="769" operator="greaterThan" aboveAverage="0" equalAverage="0" bottom="0" percent="0" rank="0" text="" dxfId="8">
      <formula>0</formula>
    </cfRule>
  </conditionalFormatting>
  <conditionalFormatting sqref="D390">
    <cfRule type="cellIs" priority="770" operator="greaterThan" aboveAverage="0" equalAverage="0" bottom="0" percent="0" rank="0" text="" dxfId="10">
      <formula>GecOdemeEsik</formula>
    </cfRule>
  </conditionalFormatting>
  <conditionalFormatting sqref="E390">
    <cfRule type="cellIs" priority="771" operator="greaterThan" aboveAverage="0" equalAverage="0" bottom="0" percent="0" rank="0" text="" dxfId="8">
      <formula>0</formula>
    </cfRule>
  </conditionalFormatting>
  <conditionalFormatting sqref="D391">
    <cfRule type="cellIs" priority="772" operator="greaterThan" aboveAverage="0" equalAverage="0" bottom="0" percent="0" rank="0" text="" dxfId="10">
      <formula>GecOdemeEsik</formula>
    </cfRule>
  </conditionalFormatting>
  <conditionalFormatting sqref="E391">
    <cfRule type="cellIs" priority="773" operator="greaterThan" aboveAverage="0" equalAverage="0" bottom="0" percent="0" rank="0" text="" dxfId="8">
      <formula>0</formula>
    </cfRule>
  </conditionalFormatting>
  <conditionalFormatting sqref="D392">
    <cfRule type="cellIs" priority="774" operator="greaterThan" aboveAverage="0" equalAverage="0" bottom="0" percent="0" rank="0" text="" dxfId="10">
      <formula>GecOdemeEsik</formula>
    </cfRule>
  </conditionalFormatting>
  <conditionalFormatting sqref="E392">
    <cfRule type="cellIs" priority="775" operator="greaterThan" aboveAverage="0" equalAverage="0" bottom="0" percent="0" rank="0" text="" dxfId="8">
      <formula>0</formula>
    </cfRule>
  </conditionalFormatting>
  <conditionalFormatting sqref="D393">
    <cfRule type="cellIs" priority="776" operator="greaterThan" aboveAverage="0" equalAverage="0" bottom="0" percent="0" rank="0" text="" dxfId="10">
      <formula>GecOdemeEsik</formula>
    </cfRule>
  </conditionalFormatting>
  <conditionalFormatting sqref="E393">
    <cfRule type="cellIs" priority="777" operator="greaterThan" aboveAverage="0" equalAverage="0" bottom="0" percent="0" rank="0" text="" dxfId="8">
      <formula>0</formula>
    </cfRule>
  </conditionalFormatting>
  <conditionalFormatting sqref="D394">
    <cfRule type="cellIs" priority="778" operator="greaterThan" aboveAverage="0" equalAverage="0" bottom="0" percent="0" rank="0" text="" dxfId="10">
      <formula>GecOdemeEsik</formula>
    </cfRule>
  </conditionalFormatting>
  <conditionalFormatting sqref="E394">
    <cfRule type="cellIs" priority="779" operator="greaterThan" aboveAverage="0" equalAverage="0" bottom="0" percent="0" rank="0" text="" dxfId="8">
      <formula>0</formula>
    </cfRule>
  </conditionalFormatting>
  <conditionalFormatting sqref="D395">
    <cfRule type="cellIs" priority="780" operator="greaterThan" aboveAverage="0" equalAverage="0" bottom="0" percent="0" rank="0" text="" dxfId="10">
      <formula>GecOdemeEsik</formula>
    </cfRule>
  </conditionalFormatting>
  <conditionalFormatting sqref="E395">
    <cfRule type="cellIs" priority="781" operator="greaterThan" aboveAverage="0" equalAverage="0" bottom="0" percent="0" rank="0" text="" dxfId="8">
      <formula>0</formula>
    </cfRule>
  </conditionalFormatting>
  <conditionalFormatting sqref="D396">
    <cfRule type="cellIs" priority="782" operator="greaterThan" aboveAverage="0" equalAverage="0" bottom="0" percent="0" rank="0" text="" dxfId="10">
      <formula>GecOdemeEsik</formula>
    </cfRule>
  </conditionalFormatting>
  <conditionalFormatting sqref="E396">
    <cfRule type="cellIs" priority="783" operator="greaterThan" aboveAverage="0" equalAverage="0" bottom="0" percent="0" rank="0" text="" dxfId="8">
      <formula>0</formula>
    </cfRule>
  </conditionalFormatting>
  <conditionalFormatting sqref="D397">
    <cfRule type="cellIs" priority="784" operator="greaterThan" aboveAverage="0" equalAverage="0" bottom="0" percent="0" rank="0" text="" dxfId="10">
      <formula>GecOdemeEsik</formula>
    </cfRule>
  </conditionalFormatting>
  <conditionalFormatting sqref="E397">
    <cfRule type="cellIs" priority="785" operator="greaterThan" aboveAverage="0" equalAverage="0" bottom="0" percent="0" rank="0" text="" dxfId="8">
      <formula>0</formula>
    </cfRule>
  </conditionalFormatting>
  <conditionalFormatting sqref="D398">
    <cfRule type="cellIs" priority="786" operator="greaterThan" aboveAverage="0" equalAverage="0" bottom="0" percent="0" rank="0" text="" dxfId="10">
      <formula>GecOdemeEsik</formula>
    </cfRule>
  </conditionalFormatting>
  <conditionalFormatting sqref="E398">
    <cfRule type="cellIs" priority="787" operator="greaterThan" aboveAverage="0" equalAverage="0" bottom="0" percent="0" rank="0" text="" dxfId="8">
      <formula>0</formula>
    </cfRule>
  </conditionalFormatting>
  <conditionalFormatting sqref="D399">
    <cfRule type="cellIs" priority="788" operator="greaterThan" aboveAverage="0" equalAverage="0" bottom="0" percent="0" rank="0" text="" dxfId="10">
      <formula>GecOdemeEsik</formula>
    </cfRule>
  </conditionalFormatting>
  <conditionalFormatting sqref="E399">
    <cfRule type="cellIs" priority="789" operator="greaterThan" aboveAverage="0" equalAverage="0" bottom="0" percent="0" rank="0" text="" dxfId="8">
      <formula>0</formula>
    </cfRule>
  </conditionalFormatting>
  <conditionalFormatting sqref="D400">
    <cfRule type="cellIs" priority="790" operator="greaterThan" aboveAverage="0" equalAverage="0" bottom="0" percent="0" rank="0" text="" dxfId="10">
      <formula>GecOdemeEsik</formula>
    </cfRule>
  </conditionalFormatting>
  <conditionalFormatting sqref="E400">
    <cfRule type="cellIs" priority="791" operator="greaterThan" aboveAverage="0" equalAverage="0" bottom="0" percent="0" rank="0" text="" dxfId="8">
      <formula>0</formula>
    </cfRule>
  </conditionalFormatting>
  <conditionalFormatting sqref="D401">
    <cfRule type="cellIs" priority="792" operator="greaterThan" aboveAverage="0" equalAverage="0" bottom="0" percent="0" rank="0" text="" dxfId="10">
      <formula>GecOdemeEsik</formula>
    </cfRule>
  </conditionalFormatting>
  <conditionalFormatting sqref="E401">
    <cfRule type="cellIs" priority="793" operator="greaterThan" aboveAverage="0" equalAverage="0" bottom="0" percent="0" rank="0" text="" dxfId="8">
      <formula>0</formula>
    </cfRule>
  </conditionalFormatting>
  <conditionalFormatting sqref="D402">
    <cfRule type="cellIs" priority="794" operator="greaterThan" aboveAverage="0" equalAverage="0" bottom="0" percent="0" rank="0" text="" dxfId="10">
      <formula>GecOdemeEsik</formula>
    </cfRule>
  </conditionalFormatting>
  <conditionalFormatting sqref="E402">
    <cfRule type="cellIs" priority="795" operator="greaterThan" aboveAverage="0" equalAverage="0" bottom="0" percent="0" rank="0" text="" dxfId="8">
      <formula>0</formula>
    </cfRule>
  </conditionalFormatting>
  <conditionalFormatting sqref="D403">
    <cfRule type="cellIs" priority="796" operator="greaterThan" aboveAverage="0" equalAverage="0" bottom="0" percent="0" rank="0" text="" dxfId="10">
      <formula>GecOdemeEsik</formula>
    </cfRule>
  </conditionalFormatting>
  <conditionalFormatting sqref="E403">
    <cfRule type="cellIs" priority="797" operator="greaterThan" aboveAverage="0" equalAverage="0" bottom="0" percent="0" rank="0" text="" dxfId="8">
      <formula>0</formula>
    </cfRule>
  </conditionalFormatting>
  <conditionalFormatting sqref="D404">
    <cfRule type="cellIs" priority="798" operator="greaterThan" aboveAverage="0" equalAverage="0" bottom="0" percent="0" rank="0" text="" dxfId="10">
      <formula>GecOdemeEsik</formula>
    </cfRule>
  </conditionalFormatting>
  <conditionalFormatting sqref="E404">
    <cfRule type="cellIs" priority="799" operator="greaterThan" aboveAverage="0" equalAverage="0" bottom="0" percent="0" rank="0" text="" dxfId="8">
      <formula>0</formula>
    </cfRule>
  </conditionalFormatting>
  <conditionalFormatting sqref="D405">
    <cfRule type="cellIs" priority="800" operator="greaterThan" aboveAverage="0" equalAverage="0" bottom="0" percent="0" rank="0" text="" dxfId="10">
      <formula>GecOdemeEsik</formula>
    </cfRule>
  </conditionalFormatting>
  <conditionalFormatting sqref="E405">
    <cfRule type="cellIs" priority="801" operator="greaterThan" aboveAverage="0" equalAverage="0" bottom="0" percent="0" rank="0" text="" dxfId="8">
      <formula>0</formula>
    </cfRule>
  </conditionalFormatting>
  <conditionalFormatting sqref="D406">
    <cfRule type="cellIs" priority="802" operator="greaterThan" aboveAverage="0" equalAverage="0" bottom="0" percent="0" rank="0" text="" dxfId="10">
      <formula>GecOdemeEsik</formula>
    </cfRule>
  </conditionalFormatting>
  <conditionalFormatting sqref="E406">
    <cfRule type="cellIs" priority="803" operator="greaterThan" aboveAverage="0" equalAverage="0" bottom="0" percent="0" rank="0" text="" dxfId="8">
      <formula>0</formula>
    </cfRule>
  </conditionalFormatting>
  <conditionalFormatting sqref="D407">
    <cfRule type="cellIs" priority="804" operator="greaterThan" aboveAverage="0" equalAverage="0" bottom="0" percent="0" rank="0" text="" dxfId="10">
      <formula>GecOdemeEsik</formula>
    </cfRule>
  </conditionalFormatting>
  <conditionalFormatting sqref="E407">
    <cfRule type="cellIs" priority="805" operator="greaterThan" aboveAverage="0" equalAverage="0" bottom="0" percent="0" rank="0" text="" dxfId="8">
      <formula>0</formula>
    </cfRule>
  </conditionalFormatting>
  <conditionalFormatting sqref="D408">
    <cfRule type="cellIs" priority="806" operator="greaterThan" aboveAverage="0" equalAverage="0" bottom="0" percent="0" rank="0" text="" dxfId="10">
      <formula>GecOdemeEsik</formula>
    </cfRule>
  </conditionalFormatting>
  <conditionalFormatting sqref="E408">
    <cfRule type="cellIs" priority="807" operator="greaterThan" aboveAverage="0" equalAverage="0" bottom="0" percent="0" rank="0" text="" dxfId="8">
      <formula>0</formula>
    </cfRule>
  </conditionalFormatting>
  <conditionalFormatting sqref="D409">
    <cfRule type="cellIs" priority="808" operator="greaterThan" aboveAverage="0" equalAverage="0" bottom="0" percent="0" rank="0" text="" dxfId="10">
      <formula>GecOdemeEsik</formula>
    </cfRule>
  </conditionalFormatting>
  <conditionalFormatting sqref="E409">
    <cfRule type="cellIs" priority="809" operator="greaterThan" aboveAverage="0" equalAverage="0" bottom="0" percent="0" rank="0" text="" dxfId="8">
      <formula>0</formula>
    </cfRule>
  </conditionalFormatting>
  <conditionalFormatting sqref="D410">
    <cfRule type="cellIs" priority="810" operator="greaterThan" aboveAverage="0" equalAverage="0" bottom="0" percent="0" rank="0" text="" dxfId="10">
      <formula>GecOdemeEsik</formula>
    </cfRule>
  </conditionalFormatting>
  <conditionalFormatting sqref="E410">
    <cfRule type="cellIs" priority="811" operator="greaterThan" aboveAverage="0" equalAverage="0" bottom="0" percent="0" rank="0" text="" dxfId="8">
      <formula>0</formula>
    </cfRule>
  </conditionalFormatting>
  <conditionalFormatting sqref="D411">
    <cfRule type="cellIs" priority="812" operator="greaterThan" aboveAverage="0" equalAverage="0" bottom="0" percent="0" rank="0" text="" dxfId="10">
      <formula>GecOdemeEsik</formula>
    </cfRule>
  </conditionalFormatting>
  <conditionalFormatting sqref="E411">
    <cfRule type="cellIs" priority="813" operator="greaterThan" aboveAverage="0" equalAverage="0" bottom="0" percent="0" rank="0" text="" dxfId="8">
      <formula>0</formula>
    </cfRule>
  </conditionalFormatting>
  <conditionalFormatting sqref="D412">
    <cfRule type="cellIs" priority="814" operator="greaterThan" aboveAverage="0" equalAverage="0" bottom="0" percent="0" rank="0" text="" dxfId="10">
      <formula>GecOdemeEsik</formula>
    </cfRule>
  </conditionalFormatting>
  <conditionalFormatting sqref="E412">
    <cfRule type="cellIs" priority="815" operator="greaterThan" aboveAverage="0" equalAverage="0" bottom="0" percent="0" rank="0" text="" dxfId="8">
      <formula>0</formula>
    </cfRule>
  </conditionalFormatting>
  <conditionalFormatting sqref="D413">
    <cfRule type="cellIs" priority="816" operator="greaterThan" aboveAverage="0" equalAverage="0" bottom="0" percent="0" rank="0" text="" dxfId="10">
      <formula>GecOdemeEsik</formula>
    </cfRule>
  </conditionalFormatting>
  <conditionalFormatting sqref="E413">
    <cfRule type="cellIs" priority="817" operator="greaterThan" aboveAverage="0" equalAverage="0" bottom="0" percent="0" rank="0" text="" dxfId="8">
      <formula>0</formula>
    </cfRule>
  </conditionalFormatting>
  <conditionalFormatting sqref="D414">
    <cfRule type="cellIs" priority="818" operator="greaterThan" aboveAverage="0" equalAverage="0" bottom="0" percent="0" rank="0" text="" dxfId="10">
      <formula>GecOdemeEsik</formula>
    </cfRule>
  </conditionalFormatting>
  <conditionalFormatting sqref="E414">
    <cfRule type="cellIs" priority="819" operator="greaterThan" aboveAverage="0" equalAverage="0" bottom="0" percent="0" rank="0" text="" dxfId="8">
      <formula>0</formula>
    </cfRule>
  </conditionalFormatting>
  <conditionalFormatting sqref="D415">
    <cfRule type="cellIs" priority="820" operator="greaterThan" aboveAverage="0" equalAverage="0" bottom="0" percent="0" rank="0" text="" dxfId="10">
      <formula>GecOdemeEsik</formula>
    </cfRule>
  </conditionalFormatting>
  <conditionalFormatting sqref="E415">
    <cfRule type="cellIs" priority="821" operator="greaterThan" aboveAverage="0" equalAverage="0" bottom="0" percent="0" rank="0" text="" dxfId="8">
      <formula>0</formula>
    </cfRule>
  </conditionalFormatting>
  <conditionalFormatting sqref="D416">
    <cfRule type="cellIs" priority="822" operator="greaterThan" aboveAverage="0" equalAverage="0" bottom="0" percent="0" rank="0" text="" dxfId="10">
      <formula>GecOdemeEsik</formula>
    </cfRule>
  </conditionalFormatting>
  <conditionalFormatting sqref="E416">
    <cfRule type="cellIs" priority="823" operator="greaterThan" aboveAverage="0" equalAverage="0" bottom="0" percent="0" rank="0" text="" dxfId="8">
      <formula>0</formula>
    </cfRule>
  </conditionalFormatting>
  <conditionalFormatting sqref="D417">
    <cfRule type="cellIs" priority="824" operator="greaterThan" aboveAverage="0" equalAverage="0" bottom="0" percent="0" rank="0" text="" dxfId="10">
      <formula>GecOdemeEsik</formula>
    </cfRule>
  </conditionalFormatting>
  <conditionalFormatting sqref="E417">
    <cfRule type="cellIs" priority="825" operator="greaterThan" aboveAverage="0" equalAverage="0" bottom="0" percent="0" rank="0" text="" dxfId="8">
      <formula>0</formula>
    </cfRule>
  </conditionalFormatting>
  <conditionalFormatting sqref="D418">
    <cfRule type="cellIs" priority="826" operator="greaterThan" aboveAverage="0" equalAverage="0" bottom="0" percent="0" rank="0" text="" dxfId="10">
      <formula>GecOdemeEsik</formula>
    </cfRule>
  </conditionalFormatting>
  <conditionalFormatting sqref="E418">
    <cfRule type="cellIs" priority="827" operator="greaterThan" aboveAverage="0" equalAverage="0" bottom="0" percent="0" rank="0" text="" dxfId="8">
      <formula>0</formula>
    </cfRule>
  </conditionalFormatting>
  <conditionalFormatting sqref="D419">
    <cfRule type="cellIs" priority="828" operator="greaterThan" aboveAverage="0" equalAverage="0" bottom="0" percent="0" rank="0" text="" dxfId="10">
      <formula>GecOdemeEsik</formula>
    </cfRule>
  </conditionalFormatting>
  <conditionalFormatting sqref="E419">
    <cfRule type="cellIs" priority="829" operator="greaterThan" aboveAverage="0" equalAverage="0" bottom="0" percent="0" rank="0" text="" dxfId="8">
      <formula>0</formula>
    </cfRule>
  </conditionalFormatting>
  <conditionalFormatting sqref="D420">
    <cfRule type="cellIs" priority="830" operator="greaterThan" aboveAverage="0" equalAverage="0" bottom="0" percent="0" rank="0" text="" dxfId="10">
      <formula>GecOdemeEsik</formula>
    </cfRule>
  </conditionalFormatting>
  <conditionalFormatting sqref="E420">
    <cfRule type="cellIs" priority="831" operator="greaterThan" aboveAverage="0" equalAverage="0" bottom="0" percent="0" rank="0" text="" dxfId="8">
      <formula>0</formula>
    </cfRule>
  </conditionalFormatting>
  <conditionalFormatting sqref="D421">
    <cfRule type="cellIs" priority="832" operator="greaterThan" aboveAverage="0" equalAverage="0" bottom="0" percent="0" rank="0" text="" dxfId="10">
      <formula>GecOdemeEsik</formula>
    </cfRule>
  </conditionalFormatting>
  <conditionalFormatting sqref="E421">
    <cfRule type="cellIs" priority="833" operator="greaterThan" aboveAverage="0" equalAverage="0" bottom="0" percent="0" rank="0" text="" dxfId="8">
      <formula>0</formula>
    </cfRule>
  </conditionalFormatting>
  <conditionalFormatting sqref="D422">
    <cfRule type="cellIs" priority="834" operator="greaterThan" aboveAverage="0" equalAverage="0" bottom="0" percent="0" rank="0" text="" dxfId="10">
      <formula>GecOdemeEsik</formula>
    </cfRule>
  </conditionalFormatting>
  <conditionalFormatting sqref="E422">
    <cfRule type="cellIs" priority="835" operator="greaterThan" aboveAverage="0" equalAverage="0" bottom="0" percent="0" rank="0" text="" dxfId="8">
      <formula>0</formula>
    </cfRule>
  </conditionalFormatting>
  <conditionalFormatting sqref="D423">
    <cfRule type="cellIs" priority="836" operator="greaterThan" aboveAverage="0" equalAverage="0" bottom="0" percent="0" rank="0" text="" dxfId="10">
      <formula>GecOdemeEsik</formula>
    </cfRule>
  </conditionalFormatting>
  <conditionalFormatting sqref="E423">
    <cfRule type="cellIs" priority="837" operator="greaterThan" aboveAverage="0" equalAverage="0" bottom="0" percent="0" rank="0" text="" dxfId="8">
      <formula>0</formula>
    </cfRule>
  </conditionalFormatting>
  <conditionalFormatting sqref="D424">
    <cfRule type="cellIs" priority="838" operator="greaterThan" aboveAverage="0" equalAverage="0" bottom="0" percent="0" rank="0" text="" dxfId="10">
      <formula>GecOdemeEsik</formula>
    </cfRule>
  </conditionalFormatting>
  <conditionalFormatting sqref="E424">
    <cfRule type="cellIs" priority="839" operator="greaterThan" aboveAverage="0" equalAverage="0" bottom="0" percent="0" rank="0" text="" dxfId="8">
      <formula>0</formula>
    </cfRule>
  </conditionalFormatting>
  <conditionalFormatting sqref="D425">
    <cfRule type="cellIs" priority="840" operator="greaterThan" aboveAverage="0" equalAverage="0" bottom="0" percent="0" rank="0" text="" dxfId="10">
      <formula>GecOdemeEsik</formula>
    </cfRule>
  </conditionalFormatting>
  <conditionalFormatting sqref="E425">
    <cfRule type="cellIs" priority="841" operator="greaterThan" aboveAverage="0" equalAverage="0" bottom="0" percent="0" rank="0" text="" dxfId="8">
      <formula>0</formula>
    </cfRule>
  </conditionalFormatting>
  <conditionalFormatting sqref="D426">
    <cfRule type="cellIs" priority="842" operator="greaterThan" aboveAverage="0" equalAverage="0" bottom="0" percent="0" rank="0" text="" dxfId="10">
      <formula>GecOdemeEsik</formula>
    </cfRule>
  </conditionalFormatting>
  <conditionalFormatting sqref="E426">
    <cfRule type="cellIs" priority="843" operator="greaterThan" aboveAverage="0" equalAverage="0" bottom="0" percent="0" rank="0" text="" dxfId="8">
      <formula>0</formula>
    </cfRule>
  </conditionalFormatting>
  <conditionalFormatting sqref="D427">
    <cfRule type="cellIs" priority="844" operator="greaterThan" aboveAverage="0" equalAverage="0" bottom="0" percent="0" rank="0" text="" dxfId="10">
      <formula>GecOdemeEsik</formula>
    </cfRule>
  </conditionalFormatting>
  <conditionalFormatting sqref="E427">
    <cfRule type="cellIs" priority="845" operator="greaterThan" aboveAverage="0" equalAverage="0" bottom="0" percent="0" rank="0" text="" dxfId="8">
      <formula>0</formula>
    </cfRule>
  </conditionalFormatting>
  <conditionalFormatting sqref="D428">
    <cfRule type="cellIs" priority="846" operator="greaterThan" aboveAverage="0" equalAverage="0" bottom="0" percent="0" rank="0" text="" dxfId="10">
      <formula>GecOdemeEsik</formula>
    </cfRule>
  </conditionalFormatting>
  <conditionalFormatting sqref="E428">
    <cfRule type="cellIs" priority="847" operator="greaterThan" aboveAverage="0" equalAverage="0" bottom="0" percent="0" rank="0" text="" dxfId="8">
      <formula>0</formula>
    </cfRule>
  </conditionalFormatting>
  <conditionalFormatting sqref="D429">
    <cfRule type="cellIs" priority="848" operator="greaterThan" aboveAverage="0" equalAverage="0" bottom="0" percent="0" rank="0" text="" dxfId="10">
      <formula>GecOdemeEsik</formula>
    </cfRule>
  </conditionalFormatting>
  <conditionalFormatting sqref="E429">
    <cfRule type="cellIs" priority="849" operator="greaterThan" aboveAverage="0" equalAverage="0" bottom="0" percent="0" rank="0" text="" dxfId="8">
      <formula>0</formula>
    </cfRule>
  </conditionalFormatting>
  <conditionalFormatting sqref="D430">
    <cfRule type="cellIs" priority="850" operator="greaterThan" aboveAverage="0" equalAverage="0" bottom="0" percent="0" rank="0" text="" dxfId="10">
      <formula>GecOdemeEsik</formula>
    </cfRule>
  </conditionalFormatting>
  <conditionalFormatting sqref="E430">
    <cfRule type="cellIs" priority="851" operator="greaterThan" aboveAverage="0" equalAverage="0" bottom="0" percent="0" rank="0" text="" dxfId="8">
      <formula>0</formula>
    </cfRule>
  </conditionalFormatting>
  <conditionalFormatting sqref="D431">
    <cfRule type="cellIs" priority="852" operator="greaterThan" aboveAverage="0" equalAverage="0" bottom="0" percent="0" rank="0" text="" dxfId="10">
      <formula>GecOdemeEsik</formula>
    </cfRule>
  </conditionalFormatting>
  <conditionalFormatting sqref="E431">
    <cfRule type="cellIs" priority="853" operator="greaterThan" aboveAverage="0" equalAverage="0" bottom="0" percent="0" rank="0" text="" dxfId="8">
      <formula>0</formula>
    </cfRule>
  </conditionalFormatting>
  <conditionalFormatting sqref="D432">
    <cfRule type="cellIs" priority="854" operator="greaterThan" aboveAverage="0" equalAverage="0" bottom="0" percent="0" rank="0" text="" dxfId="10">
      <formula>GecOdemeEsik</formula>
    </cfRule>
  </conditionalFormatting>
  <conditionalFormatting sqref="E432">
    <cfRule type="cellIs" priority="855" operator="greaterThan" aboveAverage="0" equalAverage="0" bottom="0" percent="0" rank="0" text="" dxfId="8">
      <formula>0</formula>
    </cfRule>
  </conditionalFormatting>
  <conditionalFormatting sqref="D433">
    <cfRule type="cellIs" priority="856" operator="greaterThan" aboveAverage="0" equalAverage="0" bottom="0" percent="0" rank="0" text="" dxfId="10">
      <formula>GecOdemeEsik</formula>
    </cfRule>
  </conditionalFormatting>
  <conditionalFormatting sqref="E433">
    <cfRule type="cellIs" priority="857" operator="greaterThan" aboveAverage="0" equalAverage="0" bottom="0" percent="0" rank="0" text="" dxfId="8">
      <formula>0</formula>
    </cfRule>
  </conditionalFormatting>
  <conditionalFormatting sqref="D434">
    <cfRule type="cellIs" priority="858" operator="greaterThan" aboveAverage="0" equalAverage="0" bottom="0" percent="0" rank="0" text="" dxfId="10">
      <formula>GecOdemeEsik</formula>
    </cfRule>
  </conditionalFormatting>
  <conditionalFormatting sqref="E434">
    <cfRule type="cellIs" priority="859" operator="greaterThan" aboveAverage="0" equalAverage="0" bottom="0" percent="0" rank="0" text="" dxfId="8">
      <formula>0</formula>
    </cfRule>
  </conditionalFormatting>
  <conditionalFormatting sqref="D435">
    <cfRule type="cellIs" priority="860" operator="greaterThan" aboveAverage="0" equalAverage="0" bottom="0" percent="0" rank="0" text="" dxfId="10">
      <formula>GecOdemeEsik</formula>
    </cfRule>
  </conditionalFormatting>
  <conditionalFormatting sqref="E435">
    <cfRule type="cellIs" priority="861" operator="greaterThan" aboveAverage="0" equalAverage="0" bottom="0" percent="0" rank="0" text="" dxfId="8">
      <formula>0</formula>
    </cfRule>
  </conditionalFormatting>
  <conditionalFormatting sqref="D436">
    <cfRule type="cellIs" priority="862" operator="greaterThan" aboveAverage="0" equalAverage="0" bottom="0" percent="0" rank="0" text="" dxfId="10">
      <formula>GecOdemeEsik</formula>
    </cfRule>
  </conditionalFormatting>
  <conditionalFormatting sqref="E436">
    <cfRule type="cellIs" priority="863" operator="greaterThan" aboveAverage="0" equalAverage="0" bottom="0" percent="0" rank="0" text="" dxfId="8">
      <formula>0</formula>
    </cfRule>
  </conditionalFormatting>
  <conditionalFormatting sqref="D437">
    <cfRule type="cellIs" priority="864" operator="greaterThan" aboveAverage="0" equalAverage="0" bottom="0" percent="0" rank="0" text="" dxfId="10">
      <formula>GecOdemeEsik</formula>
    </cfRule>
  </conditionalFormatting>
  <conditionalFormatting sqref="E437">
    <cfRule type="cellIs" priority="865" operator="greaterThan" aboveAverage="0" equalAverage="0" bottom="0" percent="0" rank="0" text="" dxfId="8">
      <formula>0</formula>
    </cfRule>
  </conditionalFormatting>
  <conditionalFormatting sqref="D438">
    <cfRule type="cellIs" priority="866" operator="greaterThan" aboveAverage="0" equalAverage="0" bottom="0" percent="0" rank="0" text="" dxfId="10">
      <formula>GecOdemeEsik</formula>
    </cfRule>
  </conditionalFormatting>
  <conditionalFormatting sqref="E438">
    <cfRule type="cellIs" priority="867" operator="greaterThan" aboveAverage="0" equalAverage="0" bottom="0" percent="0" rank="0" text="" dxfId="8">
      <formula>0</formula>
    </cfRule>
  </conditionalFormatting>
  <conditionalFormatting sqref="D439">
    <cfRule type="cellIs" priority="868" operator="greaterThan" aboveAverage="0" equalAverage="0" bottom="0" percent="0" rank="0" text="" dxfId="10">
      <formula>GecOdemeEsik</formula>
    </cfRule>
  </conditionalFormatting>
  <conditionalFormatting sqref="E439">
    <cfRule type="cellIs" priority="869" operator="greaterThan" aboveAverage="0" equalAverage="0" bottom="0" percent="0" rank="0" text="" dxfId="8">
      <formula>0</formula>
    </cfRule>
  </conditionalFormatting>
  <conditionalFormatting sqref="D440">
    <cfRule type="cellIs" priority="870" operator="greaterThan" aboveAverage="0" equalAverage="0" bottom="0" percent="0" rank="0" text="" dxfId="10">
      <formula>GecOdemeEsik</formula>
    </cfRule>
  </conditionalFormatting>
  <conditionalFormatting sqref="E440">
    <cfRule type="cellIs" priority="871" operator="greaterThan" aboveAverage="0" equalAverage="0" bottom="0" percent="0" rank="0" text="" dxfId="8">
      <formula>0</formula>
    </cfRule>
  </conditionalFormatting>
  <conditionalFormatting sqref="D441">
    <cfRule type="cellIs" priority="872" operator="greaterThan" aboveAverage="0" equalAverage="0" bottom="0" percent="0" rank="0" text="" dxfId="10">
      <formula>GecOdemeEsik</formula>
    </cfRule>
  </conditionalFormatting>
  <conditionalFormatting sqref="E441">
    <cfRule type="cellIs" priority="873" operator="greaterThan" aboveAverage="0" equalAverage="0" bottom="0" percent="0" rank="0" text="" dxfId="8">
      <formula>0</formula>
    </cfRule>
  </conditionalFormatting>
  <conditionalFormatting sqref="D442">
    <cfRule type="cellIs" priority="874" operator="greaterThan" aboveAverage="0" equalAverage="0" bottom="0" percent="0" rank="0" text="" dxfId="10">
      <formula>GecOdemeEsik</formula>
    </cfRule>
  </conditionalFormatting>
  <conditionalFormatting sqref="E442">
    <cfRule type="cellIs" priority="875" operator="greaterThan" aboveAverage="0" equalAverage="0" bottom="0" percent="0" rank="0" text="" dxfId="8">
      <formula>0</formula>
    </cfRule>
  </conditionalFormatting>
  <conditionalFormatting sqref="D443">
    <cfRule type="cellIs" priority="876" operator="greaterThan" aboveAverage="0" equalAverage="0" bottom="0" percent="0" rank="0" text="" dxfId="10">
      <formula>GecOdemeEsik</formula>
    </cfRule>
  </conditionalFormatting>
  <conditionalFormatting sqref="E443">
    <cfRule type="cellIs" priority="877" operator="greaterThan" aboveAverage="0" equalAverage="0" bottom="0" percent="0" rank="0" text="" dxfId="8">
      <formula>0</formula>
    </cfRule>
  </conditionalFormatting>
  <conditionalFormatting sqref="D444">
    <cfRule type="cellIs" priority="878" operator="greaterThan" aboveAverage="0" equalAverage="0" bottom="0" percent="0" rank="0" text="" dxfId="10">
      <formula>GecOdemeEsik</formula>
    </cfRule>
  </conditionalFormatting>
  <conditionalFormatting sqref="E444">
    <cfRule type="cellIs" priority="879" operator="greaterThan" aboveAverage="0" equalAverage="0" bottom="0" percent="0" rank="0" text="" dxfId="8">
      <formula>0</formula>
    </cfRule>
  </conditionalFormatting>
  <conditionalFormatting sqref="D445">
    <cfRule type="cellIs" priority="880" operator="greaterThan" aboveAverage="0" equalAverage="0" bottom="0" percent="0" rank="0" text="" dxfId="10">
      <formula>GecOdemeEsik</formula>
    </cfRule>
  </conditionalFormatting>
  <conditionalFormatting sqref="E445">
    <cfRule type="cellIs" priority="881" operator="greaterThan" aboveAverage="0" equalAverage="0" bottom="0" percent="0" rank="0" text="" dxfId="8">
      <formula>0</formula>
    </cfRule>
  </conditionalFormatting>
  <conditionalFormatting sqref="D446">
    <cfRule type="cellIs" priority="882" operator="greaterThan" aboveAverage="0" equalAverage="0" bottom="0" percent="0" rank="0" text="" dxfId="10">
      <formula>GecOdemeEsik</formula>
    </cfRule>
  </conditionalFormatting>
  <conditionalFormatting sqref="E446">
    <cfRule type="cellIs" priority="883" operator="greaterThan" aboveAverage="0" equalAverage="0" bottom="0" percent="0" rank="0" text="" dxfId="8">
      <formula>0</formula>
    </cfRule>
  </conditionalFormatting>
  <conditionalFormatting sqref="D447">
    <cfRule type="cellIs" priority="884" operator="greaterThan" aboveAverage="0" equalAverage="0" bottom="0" percent="0" rank="0" text="" dxfId="10">
      <formula>GecOdemeEsik</formula>
    </cfRule>
  </conditionalFormatting>
  <conditionalFormatting sqref="E447">
    <cfRule type="cellIs" priority="885" operator="greaterThan" aboveAverage="0" equalAverage="0" bottom="0" percent="0" rank="0" text="" dxfId="8">
      <formula>0</formula>
    </cfRule>
  </conditionalFormatting>
  <conditionalFormatting sqref="D448">
    <cfRule type="cellIs" priority="886" operator="greaterThan" aboveAverage="0" equalAverage="0" bottom="0" percent="0" rank="0" text="" dxfId="10">
      <formula>GecOdemeEsik</formula>
    </cfRule>
  </conditionalFormatting>
  <conditionalFormatting sqref="E448">
    <cfRule type="cellIs" priority="887" operator="greaterThan" aboveAverage="0" equalAverage="0" bottom="0" percent="0" rank="0" text="" dxfId="8">
      <formula>0</formula>
    </cfRule>
  </conditionalFormatting>
  <conditionalFormatting sqref="D449">
    <cfRule type="cellIs" priority="888" operator="greaterThan" aboveAverage="0" equalAverage="0" bottom="0" percent="0" rank="0" text="" dxfId="10">
      <formula>GecOdemeEsik</formula>
    </cfRule>
  </conditionalFormatting>
  <conditionalFormatting sqref="E449">
    <cfRule type="cellIs" priority="889" operator="greaterThan" aboveAverage="0" equalAverage="0" bottom="0" percent="0" rank="0" text="" dxfId="8">
      <formula>0</formula>
    </cfRule>
  </conditionalFormatting>
  <conditionalFormatting sqref="D450">
    <cfRule type="cellIs" priority="890" operator="greaterThan" aboveAverage="0" equalAverage="0" bottom="0" percent="0" rank="0" text="" dxfId="10">
      <formula>GecOdemeEsik</formula>
    </cfRule>
  </conditionalFormatting>
  <conditionalFormatting sqref="E450">
    <cfRule type="cellIs" priority="891" operator="greaterThan" aboveAverage="0" equalAverage="0" bottom="0" percent="0" rank="0" text="" dxfId="8">
      <formula>0</formula>
    </cfRule>
  </conditionalFormatting>
  <conditionalFormatting sqref="D451">
    <cfRule type="cellIs" priority="892" operator="greaterThan" aboveAverage="0" equalAverage="0" bottom="0" percent="0" rank="0" text="" dxfId="10">
      <formula>GecOdemeEsik</formula>
    </cfRule>
  </conditionalFormatting>
  <conditionalFormatting sqref="E451">
    <cfRule type="cellIs" priority="893" operator="greaterThan" aboveAverage="0" equalAverage="0" bottom="0" percent="0" rank="0" text="" dxfId="8">
      <formula>0</formula>
    </cfRule>
  </conditionalFormatting>
  <conditionalFormatting sqref="D452">
    <cfRule type="cellIs" priority="894" operator="greaterThan" aboveAverage="0" equalAverage="0" bottom="0" percent="0" rank="0" text="" dxfId="10">
      <formula>GecOdemeEsik</formula>
    </cfRule>
  </conditionalFormatting>
  <conditionalFormatting sqref="E452">
    <cfRule type="cellIs" priority="895" operator="greaterThan" aboveAverage="0" equalAverage="0" bottom="0" percent="0" rank="0" text="" dxfId="8">
      <formula>0</formula>
    </cfRule>
  </conditionalFormatting>
  <conditionalFormatting sqref="D453">
    <cfRule type="cellIs" priority="896" operator="greaterThan" aboveAverage="0" equalAverage="0" bottom="0" percent="0" rank="0" text="" dxfId="10">
      <formula>GecOdemeEsik</formula>
    </cfRule>
  </conditionalFormatting>
  <conditionalFormatting sqref="E453">
    <cfRule type="cellIs" priority="897" operator="greaterThan" aboveAverage="0" equalAverage="0" bottom="0" percent="0" rank="0" text="" dxfId="8">
      <formula>0</formula>
    </cfRule>
  </conditionalFormatting>
  <conditionalFormatting sqref="D454">
    <cfRule type="cellIs" priority="898" operator="greaterThan" aboveAverage="0" equalAverage="0" bottom="0" percent="0" rank="0" text="" dxfId="10">
      <formula>GecOdemeEsik</formula>
    </cfRule>
  </conditionalFormatting>
  <conditionalFormatting sqref="E454">
    <cfRule type="cellIs" priority="899" operator="greaterThan" aboveAverage="0" equalAverage="0" bottom="0" percent="0" rank="0" text="" dxfId="8">
      <formula>0</formula>
    </cfRule>
  </conditionalFormatting>
  <conditionalFormatting sqref="D455">
    <cfRule type="cellIs" priority="900" operator="greaterThan" aboveAverage="0" equalAverage="0" bottom="0" percent="0" rank="0" text="" dxfId="10">
      <formula>GecOdemeEsik</formula>
    </cfRule>
  </conditionalFormatting>
  <conditionalFormatting sqref="E455">
    <cfRule type="cellIs" priority="901" operator="greaterThan" aboveAverage="0" equalAverage="0" bottom="0" percent="0" rank="0" text="" dxfId="8">
      <formula>0</formula>
    </cfRule>
  </conditionalFormatting>
  <conditionalFormatting sqref="D456">
    <cfRule type="cellIs" priority="902" operator="greaterThan" aboveAverage="0" equalAverage="0" bottom="0" percent="0" rank="0" text="" dxfId="10">
      <formula>GecOdemeEsik</formula>
    </cfRule>
  </conditionalFormatting>
  <conditionalFormatting sqref="E456">
    <cfRule type="cellIs" priority="903" operator="greaterThan" aboveAverage="0" equalAverage="0" bottom="0" percent="0" rank="0" text="" dxfId="8">
      <formula>0</formula>
    </cfRule>
  </conditionalFormatting>
  <conditionalFormatting sqref="D457">
    <cfRule type="cellIs" priority="904" operator="greaterThan" aboveAverage="0" equalAverage="0" bottom="0" percent="0" rank="0" text="" dxfId="10">
      <formula>GecOdemeEsik</formula>
    </cfRule>
  </conditionalFormatting>
  <conditionalFormatting sqref="E457">
    <cfRule type="cellIs" priority="905" operator="greaterThan" aboveAverage="0" equalAverage="0" bottom="0" percent="0" rank="0" text="" dxfId="8">
      <formula>0</formula>
    </cfRule>
  </conditionalFormatting>
  <conditionalFormatting sqref="D458">
    <cfRule type="cellIs" priority="906" operator="greaterThan" aboveAverage="0" equalAverage="0" bottom="0" percent="0" rank="0" text="" dxfId="10">
      <formula>GecOdemeEsik</formula>
    </cfRule>
  </conditionalFormatting>
  <conditionalFormatting sqref="E458">
    <cfRule type="cellIs" priority="907" operator="greaterThan" aboveAverage="0" equalAverage="0" bottom="0" percent="0" rank="0" text="" dxfId="8">
      <formula>0</formula>
    </cfRule>
  </conditionalFormatting>
  <conditionalFormatting sqref="D459">
    <cfRule type="cellIs" priority="908" operator="greaterThan" aboveAverage="0" equalAverage="0" bottom="0" percent="0" rank="0" text="" dxfId="10">
      <formula>GecOdemeEsik</formula>
    </cfRule>
  </conditionalFormatting>
  <conditionalFormatting sqref="E459">
    <cfRule type="cellIs" priority="909" operator="greaterThan" aboveAverage="0" equalAverage="0" bottom="0" percent="0" rank="0" text="" dxfId="8">
      <formula>0</formula>
    </cfRule>
  </conditionalFormatting>
  <conditionalFormatting sqref="D460">
    <cfRule type="cellIs" priority="910" operator="greaterThan" aboveAverage="0" equalAverage="0" bottom="0" percent="0" rank="0" text="" dxfId="10">
      <formula>GecOdemeEsik</formula>
    </cfRule>
  </conditionalFormatting>
  <conditionalFormatting sqref="E460">
    <cfRule type="cellIs" priority="911" operator="greaterThan" aboveAverage="0" equalAverage="0" bottom="0" percent="0" rank="0" text="" dxfId="8">
      <formula>0</formula>
    </cfRule>
  </conditionalFormatting>
  <conditionalFormatting sqref="D461">
    <cfRule type="cellIs" priority="912" operator="greaterThan" aboveAverage="0" equalAverage="0" bottom="0" percent="0" rank="0" text="" dxfId="10">
      <formula>GecOdemeEsik</formula>
    </cfRule>
  </conditionalFormatting>
  <conditionalFormatting sqref="E461">
    <cfRule type="cellIs" priority="913" operator="greaterThan" aboveAverage="0" equalAverage="0" bottom="0" percent="0" rank="0" text="" dxfId="8">
      <formula>0</formula>
    </cfRule>
  </conditionalFormatting>
  <conditionalFormatting sqref="D462">
    <cfRule type="cellIs" priority="914" operator="greaterThan" aboveAverage="0" equalAverage="0" bottom="0" percent="0" rank="0" text="" dxfId="10">
      <formula>GecOdemeEsik</formula>
    </cfRule>
  </conditionalFormatting>
  <conditionalFormatting sqref="E462">
    <cfRule type="cellIs" priority="915" operator="greaterThan" aboveAverage="0" equalAverage="0" bottom="0" percent="0" rank="0" text="" dxfId="8">
      <formula>0</formula>
    </cfRule>
  </conditionalFormatting>
  <conditionalFormatting sqref="D463">
    <cfRule type="cellIs" priority="916" operator="greaterThan" aboveAverage="0" equalAverage="0" bottom="0" percent="0" rank="0" text="" dxfId="10">
      <formula>GecOdemeEsik</formula>
    </cfRule>
  </conditionalFormatting>
  <conditionalFormatting sqref="E463">
    <cfRule type="cellIs" priority="917" operator="greaterThan" aboveAverage="0" equalAverage="0" bottom="0" percent="0" rank="0" text="" dxfId="8">
      <formula>0</formula>
    </cfRule>
  </conditionalFormatting>
  <conditionalFormatting sqref="D464">
    <cfRule type="cellIs" priority="918" operator="greaterThan" aboveAverage="0" equalAverage="0" bottom="0" percent="0" rank="0" text="" dxfId="10">
      <formula>GecOdemeEsik</formula>
    </cfRule>
  </conditionalFormatting>
  <conditionalFormatting sqref="E464">
    <cfRule type="cellIs" priority="919" operator="greaterThan" aboveAverage="0" equalAverage="0" bottom="0" percent="0" rank="0" text="" dxfId="8">
      <formula>0</formula>
    </cfRule>
  </conditionalFormatting>
  <conditionalFormatting sqref="D465">
    <cfRule type="cellIs" priority="920" operator="greaterThan" aboveAverage="0" equalAverage="0" bottom="0" percent="0" rank="0" text="" dxfId="10">
      <formula>GecOdemeEsik</formula>
    </cfRule>
  </conditionalFormatting>
  <conditionalFormatting sqref="E465">
    <cfRule type="cellIs" priority="921" operator="greaterThan" aboveAverage="0" equalAverage="0" bottom="0" percent="0" rank="0" text="" dxfId="8">
      <formula>0</formula>
    </cfRule>
  </conditionalFormatting>
  <conditionalFormatting sqref="D466">
    <cfRule type="cellIs" priority="922" operator="greaterThan" aboveAverage="0" equalAverage="0" bottom="0" percent="0" rank="0" text="" dxfId="10">
      <formula>GecOdemeEsik</formula>
    </cfRule>
  </conditionalFormatting>
  <conditionalFormatting sqref="E466">
    <cfRule type="cellIs" priority="923" operator="greaterThan" aboveAverage="0" equalAverage="0" bottom="0" percent="0" rank="0" text="" dxfId="8">
      <formula>0</formula>
    </cfRule>
  </conditionalFormatting>
  <conditionalFormatting sqref="D467">
    <cfRule type="cellIs" priority="924" operator="greaterThan" aboveAverage="0" equalAverage="0" bottom="0" percent="0" rank="0" text="" dxfId="10">
      <formula>GecOdemeEsik</formula>
    </cfRule>
  </conditionalFormatting>
  <conditionalFormatting sqref="E467">
    <cfRule type="cellIs" priority="925" operator="greaterThan" aboveAverage="0" equalAverage="0" bottom="0" percent="0" rank="0" text="" dxfId="8">
      <formula>0</formula>
    </cfRule>
  </conditionalFormatting>
  <conditionalFormatting sqref="D468">
    <cfRule type="cellIs" priority="926" operator="greaterThan" aboveAverage="0" equalAverage="0" bottom="0" percent="0" rank="0" text="" dxfId="10">
      <formula>GecOdemeEsik</formula>
    </cfRule>
  </conditionalFormatting>
  <conditionalFormatting sqref="E468">
    <cfRule type="cellIs" priority="927" operator="greaterThan" aboveAverage="0" equalAverage="0" bottom="0" percent="0" rank="0" text="" dxfId="8">
      <formula>0</formula>
    </cfRule>
  </conditionalFormatting>
  <conditionalFormatting sqref="D469">
    <cfRule type="cellIs" priority="928" operator="greaterThan" aboveAverage="0" equalAverage="0" bottom="0" percent="0" rank="0" text="" dxfId="10">
      <formula>GecOdemeEsik</formula>
    </cfRule>
  </conditionalFormatting>
  <conditionalFormatting sqref="E469">
    <cfRule type="cellIs" priority="929" operator="greaterThan" aboveAverage="0" equalAverage="0" bottom="0" percent="0" rank="0" text="" dxfId="8">
      <formula>0</formula>
    </cfRule>
  </conditionalFormatting>
  <conditionalFormatting sqref="D470">
    <cfRule type="cellIs" priority="930" operator="greaterThan" aboveAverage="0" equalAverage="0" bottom="0" percent="0" rank="0" text="" dxfId="10">
      <formula>GecOdemeEsik</formula>
    </cfRule>
  </conditionalFormatting>
  <conditionalFormatting sqref="E470">
    <cfRule type="cellIs" priority="931" operator="greaterThan" aboveAverage="0" equalAverage="0" bottom="0" percent="0" rank="0" text="" dxfId="8">
      <formula>0</formula>
    </cfRule>
  </conditionalFormatting>
  <conditionalFormatting sqref="D471">
    <cfRule type="cellIs" priority="932" operator="greaterThan" aboveAverage="0" equalAverage="0" bottom="0" percent="0" rank="0" text="" dxfId="10">
      <formula>GecOdemeEsik</formula>
    </cfRule>
  </conditionalFormatting>
  <conditionalFormatting sqref="E471">
    <cfRule type="cellIs" priority="933" operator="greaterThan" aboveAverage="0" equalAverage="0" bottom="0" percent="0" rank="0" text="" dxfId="8">
      <formula>0</formula>
    </cfRule>
  </conditionalFormatting>
  <conditionalFormatting sqref="D472">
    <cfRule type="cellIs" priority="934" operator="greaterThan" aboveAverage="0" equalAverage="0" bottom="0" percent="0" rank="0" text="" dxfId="10">
      <formula>GecOdemeEsik</formula>
    </cfRule>
  </conditionalFormatting>
  <conditionalFormatting sqref="E472">
    <cfRule type="cellIs" priority="935" operator="greaterThan" aboveAverage="0" equalAverage="0" bottom="0" percent="0" rank="0" text="" dxfId="8">
      <formula>0</formula>
    </cfRule>
  </conditionalFormatting>
  <conditionalFormatting sqref="D473">
    <cfRule type="cellIs" priority="936" operator="greaterThan" aboveAverage="0" equalAverage="0" bottom="0" percent="0" rank="0" text="" dxfId="10">
      <formula>GecOdemeEsik</formula>
    </cfRule>
  </conditionalFormatting>
  <conditionalFormatting sqref="E473">
    <cfRule type="cellIs" priority="937" operator="greaterThan" aboveAverage="0" equalAverage="0" bottom="0" percent="0" rank="0" text="" dxfId="8">
      <formula>0</formula>
    </cfRule>
  </conditionalFormatting>
  <conditionalFormatting sqref="D474">
    <cfRule type="cellIs" priority="938" operator="greaterThan" aboveAverage="0" equalAverage="0" bottom="0" percent="0" rank="0" text="" dxfId="10">
      <formula>GecOdemeEsik</formula>
    </cfRule>
  </conditionalFormatting>
  <conditionalFormatting sqref="E474">
    <cfRule type="cellIs" priority="939" operator="greaterThan" aboveAverage="0" equalAverage="0" bottom="0" percent="0" rank="0" text="" dxfId="8">
      <formula>0</formula>
    </cfRule>
  </conditionalFormatting>
  <conditionalFormatting sqref="D475">
    <cfRule type="cellIs" priority="940" operator="greaterThan" aboveAverage="0" equalAverage="0" bottom="0" percent="0" rank="0" text="" dxfId="10">
      <formula>GecOdemeEsik</formula>
    </cfRule>
  </conditionalFormatting>
  <conditionalFormatting sqref="E475">
    <cfRule type="cellIs" priority="941" operator="greaterThan" aboveAverage="0" equalAverage="0" bottom="0" percent="0" rank="0" text="" dxfId="8">
      <formula>0</formula>
    </cfRule>
  </conditionalFormatting>
  <conditionalFormatting sqref="D476">
    <cfRule type="cellIs" priority="942" operator="greaterThan" aboveAverage="0" equalAverage="0" bottom="0" percent="0" rank="0" text="" dxfId="10">
      <formula>GecOdemeEsik</formula>
    </cfRule>
  </conditionalFormatting>
  <conditionalFormatting sqref="E476">
    <cfRule type="cellIs" priority="943" operator="greaterThan" aboveAverage="0" equalAverage="0" bottom="0" percent="0" rank="0" text="" dxfId="8">
      <formula>0</formula>
    </cfRule>
  </conditionalFormatting>
  <conditionalFormatting sqref="D477">
    <cfRule type="cellIs" priority="944" operator="greaterThan" aboveAverage="0" equalAverage="0" bottom="0" percent="0" rank="0" text="" dxfId="10">
      <formula>GecOdemeEsik</formula>
    </cfRule>
  </conditionalFormatting>
  <conditionalFormatting sqref="E477">
    <cfRule type="cellIs" priority="945" operator="greaterThan" aboveAverage="0" equalAverage="0" bottom="0" percent="0" rank="0" text="" dxfId="8">
      <formula>0</formula>
    </cfRule>
  </conditionalFormatting>
  <conditionalFormatting sqref="D478">
    <cfRule type="cellIs" priority="946" operator="greaterThan" aboveAverage="0" equalAverage="0" bottom="0" percent="0" rank="0" text="" dxfId="10">
      <formula>GecOdemeEsik</formula>
    </cfRule>
  </conditionalFormatting>
  <conditionalFormatting sqref="E478">
    <cfRule type="cellIs" priority="947" operator="greaterThan" aboveAverage="0" equalAverage="0" bottom="0" percent="0" rank="0" text="" dxfId="8">
      <formula>0</formula>
    </cfRule>
  </conditionalFormatting>
  <conditionalFormatting sqref="D479">
    <cfRule type="cellIs" priority="948" operator="greaterThan" aboveAverage="0" equalAverage="0" bottom="0" percent="0" rank="0" text="" dxfId="10">
      <formula>GecOdemeEsik</formula>
    </cfRule>
  </conditionalFormatting>
  <conditionalFormatting sqref="E479">
    <cfRule type="cellIs" priority="949" operator="greaterThan" aboveAverage="0" equalAverage="0" bottom="0" percent="0" rank="0" text="" dxfId="8">
      <formula>0</formula>
    </cfRule>
  </conditionalFormatting>
  <conditionalFormatting sqref="D480">
    <cfRule type="cellIs" priority="950" operator="greaterThan" aboveAverage="0" equalAverage="0" bottom="0" percent="0" rank="0" text="" dxfId="10">
      <formula>GecOdemeEsik</formula>
    </cfRule>
  </conditionalFormatting>
  <conditionalFormatting sqref="E480">
    <cfRule type="cellIs" priority="951" operator="greaterThan" aboveAverage="0" equalAverage="0" bottom="0" percent="0" rank="0" text="" dxfId="8">
      <formula>0</formula>
    </cfRule>
  </conditionalFormatting>
  <conditionalFormatting sqref="D481">
    <cfRule type="cellIs" priority="952" operator="greaterThan" aboveAverage="0" equalAverage="0" bottom="0" percent="0" rank="0" text="" dxfId="10">
      <formula>GecOdemeEsik</formula>
    </cfRule>
  </conditionalFormatting>
  <conditionalFormatting sqref="E481">
    <cfRule type="cellIs" priority="953" operator="greaterThan" aboveAverage="0" equalAverage="0" bottom="0" percent="0" rank="0" text="" dxfId="8">
      <formula>0</formula>
    </cfRule>
  </conditionalFormatting>
  <conditionalFormatting sqref="D482">
    <cfRule type="cellIs" priority="954" operator="greaterThan" aboveAverage="0" equalAverage="0" bottom="0" percent="0" rank="0" text="" dxfId="10">
      <formula>GecOdemeEsik</formula>
    </cfRule>
  </conditionalFormatting>
  <conditionalFormatting sqref="E482">
    <cfRule type="cellIs" priority="955" operator="greaterThan" aboveAverage="0" equalAverage="0" bottom="0" percent="0" rank="0" text="" dxfId="8">
      <formula>0</formula>
    </cfRule>
  </conditionalFormatting>
  <conditionalFormatting sqref="D483">
    <cfRule type="cellIs" priority="956" operator="greaterThan" aboveAverage="0" equalAverage="0" bottom="0" percent="0" rank="0" text="" dxfId="10">
      <formula>GecOdemeEsik</formula>
    </cfRule>
  </conditionalFormatting>
  <conditionalFormatting sqref="E483">
    <cfRule type="cellIs" priority="957" operator="greaterThan" aboveAverage="0" equalAverage="0" bottom="0" percent="0" rank="0" text="" dxfId="8">
      <formula>0</formula>
    </cfRule>
  </conditionalFormatting>
  <conditionalFormatting sqref="D484">
    <cfRule type="cellIs" priority="958" operator="greaterThan" aboveAverage="0" equalAverage="0" bottom="0" percent="0" rank="0" text="" dxfId="10">
      <formula>GecOdemeEsik</formula>
    </cfRule>
  </conditionalFormatting>
  <conditionalFormatting sqref="E484">
    <cfRule type="cellIs" priority="959" operator="greaterThan" aboveAverage="0" equalAverage="0" bottom="0" percent="0" rank="0" text="" dxfId="8">
      <formula>0</formula>
    </cfRule>
  </conditionalFormatting>
  <conditionalFormatting sqref="D485">
    <cfRule type="cellIs" priority="960" operator="greaterThan" aboveAverage="0" equalAverage="0" bottom="0" percent="0" rank="0" text="" dxfId="10">
      <formula>GecOdemeEsik</formula>
    </cfRule>
  </conditionalFormatting>
  <conditionalFormatting sqref="E485">
    <cfRule type="cellIs" priority="961" operator="greaterThan" aboveAverage="0" equalAverage="0" bottom="0" percent="0" rank="0" text="" dxfId="8">
      <formula>0</formula>
    </cfRule>
  </conditionalFormatting>
  <conditionalFormatting sqref="D486">
    <cfRule type="cellIs" priority="962" operator="greaterThan" aboveAverage="0" equalAverage="0" bottom="0" percent="0" rank="0" text="" dxfId="10">
      <formula>GecOdemeEsik</formula>
    </cfRule>
  </conditionalFormatting>
  <conditionalFormatting sqref="E486">
    <cfRule type="cellIs" priority="963" operator="greaterThan" aboveAverage="0" equalAverage="0" bottom="0" percent="0" rank="0" text="" dxfId="8">
      <formula>0</formula>
    </cfRule>
  </conditionalFormatting>
  <conditionalFormatting sqref="D487">
    <cfRule type="cellIs" priority="964" operator="greaterThan" aboveAverage="0" equalAverage="0" bottom="0" percent="0" rank="0" text="" dxfId="10">
      <formula>GecOdemeEsik</formula>
    </cfRule>
  </conditionalFormatting>
  <conditionalFormatting sqref="E487">
    <cfRule type="cellIs" priority="965" operator="greaterThan" aboveAverage="0" equalAverage="0" bottom="0" percent="0" rank="0" text="" dxfId="8">
      <formula>0</formula>
    </cfRule>
  </conditionalFormatting>
  <conditionalFormatting sqref="D488">
    <cfRule type="cellIs" priority="966" operator="greaterThan" aboveAverage="0" equalAverage="0" bottom="0" percent="0" rank="0" text="" dxfId="10">
      <formula>GecOdemeEsik</formula>
    </cfRule>
  </conditionalFormatting>
  <conditionalFormatting sqref="E488">
    <cfRule type="cellIs" priority="967" operator="greaterThan" aboveAverage="0" equalAverage="0" bottom="0" percent="0" rank="0" text="" dxfId="8">
      <formula>0</formula>
    </cfRule>
  </conditionalFormatting>
  <conditionalFormatting sqref="D489">
    <cfRule type="cellIs" priority="968" operator="greaterThan" aboveAverage="0" equalAverage="0" bottom="0" percent="0" rank="0" text="" dxfId="10">
      <formula>GecOdemeEsik</formula>
    </cfRule>
  </conditionalFormatting>
  <conditionalFormatting sqref="E489">
    <cfRule type="cellIs" priority="969" operator="greaterThan" aboveAverage="0" equalAverage="0" bottom="0" percent="0" rank="0" text="" dxfId="8">
      <formula>0</formula>
    </cfRule>
  </conditionalFormatting>
  <conditionalFormatting sqref="D490">
    <cfRule type="cellIs" priority="970" operator="greaterThan" aboveAverage="0" equalAverage="0" bottom="0" percent="0" rank="0" text="" dxfId="10">
      <formula>GecOdemeEsik</formula>
    </cfRule>
  </conditionalFormatting>
  <conditionalFormatting sqref="E490">
    <cfRule type="cellIs" priority="971" operator="greaterThan" aboveAverage="0" equalAverage="0" bottom="0" percent="0" rank="0" text="" dxfId="8">
      <formula>0</formula>
    </cfRule>
  </conditionalFormatting>
  <conditionalFormatting sqref="D491">
    <cfRule type="cellIs" priority="972" operator="greaterThan" aboveAverage="0" equalAverage="0" bottom="0" percent="0" rank="0" text="" dxfId="10">
      <formula>GecOdemeEsik</formula>
    </cfRule>
  </conditionalFormatting>
  <conditionalFormatting sqref="E491">
    <cfRule type="cellIs" priority="973" operator="greaterThan" aboveAverage="0" equalAverage="0" bottom="0" percent="0" rank="0" text="" dxfId="8">
      <formula>0</formula>
    </cfRule>
  </conditionalFormatting>
  <conditionalFormatting sqref="D492">
    <cfRule type="cellIs" priority="974" operator="greaterThan" aboveAverage="0" equalAverage="0" bottom="0" percent="0" rank="0" text="" dxfId="10">
      <formula>GecOdemeEsik</formula>
    </cfRule>
  </conditionalFormatting>
  <conditionalFormatting sqref="E492">
    <cfRule type="cellIs" priority="975" operator="greaterThan" aboveAverage="0" equalAverage="0" bottom="0" percent="0" rank="0" text="" dxfId="8">
      <formula>0</formula>
    </cfRule>
  </conditionalFormatting>
  <conditionalFormatting sqref="D493">
    <cfRule type="cellIs" priority="976" operator="greaterThan" aboveAverage="0" equalAverage="0" bottom="0" percent="0" rank="0" text="" dxfId="10">
      <formula>GecOdemeEsik</formula>
    </cfRule>
  </conditionalFormatting>
  <conditionalFormatting sqref="E493">
    <cfRule type="cellIs" priority="977" operator="greaterThan" aboveAverage="0" equalAverage="0" bottom="0" percent="0" rank="0" text="" dxfId="8">
      <formula>0</formula>
    </cfRule>
  </conditionalFormatting>
  <conditionalFormatting sqref="D494">
    <cfRule type="cellIs" priority="978" operator="greaterThan" aboveAverage="0" equalAverage="0" bottom="0" percent="0" rank="0" text="" dxfId="10">
      <formula>GecOdemeEsik</formula>
    </cfRule>
  </conditionalFormatting>
  <conditionalFormatting sqref="E494">
    <cfRule type="cellIs" priority="979" operator="greaterThan" aboveAverage="0" equalAverage="0" bottom="0" percent="0" rank="0" text="" dxfId="8">
      <formula>0</formula>
    </cfRule>
  </conditionalFormatting>
  <conditionalFormatting sqref="D495">
    <cfRule type="cellIs" priority="980" operator="greaterThan" aboveAverage="0" equalAverage="0" bottom="0" percent="0" rank="0" text="" dxfId="10">
      <formula>GecOdemeEsik</formula>
    </cfRule>
  </conditionalFormatting>
  <conditionalFormatting sqref="E495">
    <cfRule type="cellIs" priority="981" operator="greaterThan" aboveAverage="0" equalAverage="0" bottom="0" percent="0" rank="0" text="" dxfId="8">
      <formula>0</formula>
    </cfRule>
  </conditionalFormatting>
  <conditionalFormatting sqref="D496">
    <cfRule type="cellIs" priority="982" operator="greaterThan" aboveAverage="0" equalAverage="0" bottom="0" percent="0" rank="0" text="" dxfId="10">
      <formula>GecOdemeEsik</formula>
    </cfRule>
  </conditionalFormatting>
  <conditionalFormatting sqref="E496">
    <cfRule type="cellIs" priority="983" operator="greaterThan" aboveAverage="0" equalAverage="0" bottom="0" percent="0" rank="0" text="" dxfId="8">
      <formula>0</formula>
    </cfRule>
  </conditionalFormatting>
  <conditionalFormatting sqref="D497">
    <cfRule type="cellIs" priority="984" operator="greaterThan" aboveAverage="0" equalAverage="0" bottom="0" percent="0" rank="0" text="" dxfId="10">
      <formula>GecOdemeEsik</formula>
    </cfRule>
  </conditionalFormatting>
  <conditionalFormatting sqref="E497">
    <cfRule type="cellIs" priority="985" operator="greaterThan" aboveAverage="0" equalAverage="0" bottom="0" percent="0" rank="0" text="" dxfId="8">
      <formula>0</formula>
    </cfRule>
  </conditionalFormatting>
  <conditionalFormatting sqref="D498">
    <cfRule type="cellIs" priority="986" operator="greaterThan" aboveAverage="0" equalAverage="0" bottom="0" percent="0" rank="0" text="" dxfId="10">
      <formula>GecOdemeEsik</formula>
    </cfRule>
  </conditionalFormatting>
  <conditionalFormatting sqref="E498">
    <cfRule type="cellIs" priority="987" operator="greaterThan" aboveAverage="0" equalAverage="0" bottom="0" percent="0" rank="0" text="" dxfId="8">
      <formula>0</formula>
    </cfRule>
  </conditionalFormatting>
  <conditionalFormatting sqref="D499">
    <cfRule type="cellIs" priority="988" operator="greaterThan" aboveAverage="0" equalAverage="0" bottom="0" percent="0" rank="0" text="" dxfId="10">
      <formula>GecOdemeEsik</formula>
    </cfRule>
  </conditionalFormatting>
  <conditionalFormatting sqref="E499">
    <cfRule type="cellIs" priority="989" operator="greaterThan" aboveAverage="0" equalAverage="0" bottom="0" percent="0" rank="0" text="" dxfId="8">
      <formula>0</formula>
    </cfRule>
  </conditionalFormatting>
  <conditionalFormatting sqref="D500">
    <cfRule type="cellIs" priority="990" operator="greaterThan" aboveAverage="0" equalAverage="0" bottom="0" percent="0" rank="0" text="" dxfId="10">
      <formula>GecOdemeEsik</formula>
    </cfRule>
  </conditionalFormatting>
  <conditionalFormatting sqref="E500">
    <cfRule type="cellIs" priority="991" operator="greaterThan" aboveAverage="0" equalAverage="0" bottom="0" percent="0" rank="0" text="" dxfId="8">
      <formula>0</formula>
    </cfRule>
  </conditionalFormatting>
  <conditionalFormatting sqref="D501">
    <cfRule type="cellIs" priority="992" operator="greaterThan" aboveAverage="0" equalAverage="0" bottom="0" percent="0" rank="0" text="" dxfId="10">
      <formula>GecOdemeEsik</formula>
    </cfRule>
  </conditionalFormatting>
  <conditionalFormatting sqref="E501">
    <cfRule type="cellIs" priority="993" operator="greaterThan" aboveAverage="0" equalAverage="0" bottom="0" percent="0" rank="0" text="" dxfId="8">
      <formula>0</formula>
    </cfRule>
  </conditionalFormatting>
  <conditionalFormatting sqref="D502">
    <cfRule type="cellIs" priority="994" operator="greaterThan" aboveAverage="0" equalAverage="0" bottom="0" percent="0" rank="0" text="" dxfId="10">
      <formula>GecOdemeEsik</formula>
    </cfRule>
  </conditionalFormatting>
  <conditionalFormatting sqref="E502">
    <cfRule type="cellIs" priority="995" operator="greaterThan" aboveAverage="0" equalAverage="0" bottom="0" percent="0" rank="0" text="" dxfId="8">
      <formula>0</formula>
    </cfRule>
  </conditionalFormatting>
  <conditionalFormatting sqref="D503">
    <cfRule type="cellIs" priority="996" operator="greaterThan" aboveAverage="0" equalAverage="0" bottom="0" percent="0" rank="0" text="" dxfId="10">
      <formula>GecOdemeEsik</formula>
    </cfRule>
  </conditionalFormatting>
  <conditionalFormatting sqref="E503">
    <cfRule type="cellIs" priority="997" operator="greaterThan" aboveAverage="0" equalAverage="0" bottom="0" percent="0" rank="0" text="" dxfId="8">
      <formula>0</formula>
    </cfRule>
  </conditionalFormatting>
  <conditionalFormatting sqref="D504">
    <cfRule type="cellIs" priority="998" operator="greaterThan" aboveAverage="0" equalAverage="0" bottom="0" percent="0" rank="0" text="" dxfId="10">
      <formula>GecOdemeEsik</formula>
    </cfRule>
  </conditionalFormatting>
  <conditionalFormatting sqref="E504">
    <cfRule type="cellIs" priority="999" operator="greaterThan" aboveAverage="0" equalAverage="0" bottom="0" percent="0" rank="0" text="" dxfId="8">
      <formula>0</formula>
    </cfRule>
  </conditionalFormatting>
  <conditionalFormatting sqref="D505">
    <cfRule type="cellIs" priority="1000" operator="greaterThan" aboveAverage="0" equalAverage="0" bottom="0" percent="0" rank="0" text="" dxfId="10">
      <formula>GecOdemeEsik</formula>
    </cfRule>
  </conditionalFormatting>
  <conditionalFormatting sqref="E505">
    <cfRule type="cellIs" priority="1001" operator="greaterThan" aboveAverage="0" equalAverage="0" bottom="0" percent="0" rank="0" text="" dxfId="8">
      <formula>0</formula>
    </cfRule>
  </conditionalFormatting>
  <conditionalFormatting sqref="D506">
    <cfRule type="cellIs" priority="1002" operator="greaterThan" aboveAverage="0" equalAverage="0" bottom="0" percent="0" rank="0" text="" dxfId="10">
      <formula>GecOdemeEsik</formula>
    </cfRule>
  </conditionalFormatting>
  <conditionalFormatting sqref="E506">
    <cfRule type="cellIs" priority="1003" operator="greaterThan" aboveAverage="0" equalAverage="0" bottom="0" percent="0" rank="0" text="" dxfId="8">
      <formula>0</formula>
    </cfRule>
  </conditionalFormatting>
  <conditionalFormatting sqref="D507">
    <cfRule type="cellIs" priority="1004" operator="greaterThan" aboveAverage="0" equalAverage="0" bottom="0" percent="0" rank="0" text="" dxfId="10">
      <formula>GecOdemeEsik</formula>
    </cfRule>
  </conditionalFormatting>
  <conditionalFormatting sqref="E507">
    <cfRule type="cellIs" priority="1005" operator="greaterThan" aboveAverage="0" equalAverage="0" bottom="0" percent="0" rank="0" text="" dxfId="8">
      <formula>0</formula>
    </cfRule>
  </conditionalFormatting>
  <conditionalFormatting sqref="D508">
    <cfRule type="cellIs" priority="1006" operator="greaterThan" aboveAverage="0" equalAverage="0" bottom="0" percent="0" rank="0" text="" dxfId="10">
      <formula>GecOdemeEsik</formula>
    </cfRule>
  </conditionalFormatting>
  <conditionalFormatting sqref="E508">
    <cfRule type="cellIs" priority="1007" operator="greaterThan" aboveAverage="0" equalAverage="0" bottom="0" percent="0" rank="0" text="" dxfId="8">
      <formula>0</formula>
    </cfRule>
  </conditionalFormatting>
  <conditionalFormatting sqref="D509">
    <cfRule type="cellIs" priority="1008" operator="greaterThan" aboveAverage="0" equalAverage="0" bottom="0" percent="0" rank="0" text="" dxfId="10">
      <formula>GecOdemeEsik</formula>
    </cfRule>
  </conditionalFormatting>
  <conditionalFormatting sqref="E509">
    <cfRule type="cellIs" priority="1009" operator="greaterThan" aboveAverage="0" equalAverage="0" bottom="0" percent="0" rank="0" text="" dxfId="8">
      <formula>0</formula>
    </cfRule>
  </conditionalFormatting>
  <conditionalFormatting sqref="D510">
    <cfRule type="cellIs" priority="1010" operator="greaterThan" aboveAverage="0" equalAverage="0" bottom="0" percent="0" rank="0" text="" dxfId="10">
      <formula>GecOdemeEsik</formula>
    </cfRule>
  </conditionalFormatting>
  <conditionalFormatting sqref="E510">
    <cfRule type="cellIs" priority="1011" operator="greaterThan" aboveAverage="0" equalAverage="0" bottom="0" percent="0" rank="0" text="" dxfId="8">
      <formula>0</formula>
    </cfRule>
  </conditionalFormatting>
  <conditionalFormatting sqref="D511">
    <cfRule type="cellIs" priority="1012" operator="greaterThan" aboveAverage="0" equalAverage="0" bottom="0" percent="0" rank="0" text="" dxfId="10">
      <formula>GecOdemeEsik</formula>
    </cfRule>
  </conditionalFormatting>
  <conditionalFormatting sqref="E511">
    <cfRule type="cellIs" priority="1013" operator="greaterThan" aboveAverage="0" equalAverage="0" bottom="0" percent="0" rank="0" text="" dxfId="8">
      <formula>0</formula>
    </cfRule>
  </conditionalFormatting>
  <conditionalFormatting sqref="D512">
    <cfRule type="cellIs" priority="1014" operator="greaterThan" aboveAverage="0" equalAverage="0" bottom="0" percent="0" rank="0" text="" dxfId="10">
      <formula>GecOdemeEsik</formula>
    </cfRule>
  </conditionalFormatting>
  <conditionalFormatting sqref="E512">
    <cfRule type="cellIs" priority="1015" operator="greaterThan" aboveAverage="0" equalAverage="0" bottom="0" percent="0" rank="0" text="" dxfId="8">
      <formula>0</formula>
    </cfRule>
  </conditionalFormatting>
  <conditionalFormatting sqref="D513">
    <cfRule type="cellIs" priority="1016" operator="greaterThan" aboveAverage="0" equalAverage="0" bottom="0" percent="0" rank="0" text="" dxfId="10">
      <formula>GecOdemeEsik</formula>
    </cfRule>
  </conditionalFormatting>
  <conditionalFormatting sqref="E513">
    <cfRule type="cellIs" priority="1017" operator="greaterThan" aboveAverage="0" equalAverage="0" bottom="0" percent="0" rank="0" text="" dxfId="8">
      <formula>0</formula>
    </cfRule>
  </conditionalFormatting>
  <conditionalFormatting sqref="D514">
    <cfRule type="cellIs" priority="1018" operator="greaterThan" aboveAverage="0" equalAverage="0" bottom="0" percent="0" rank="0" text="" dxfId="10">
      <formula>GecOdemeEsik</formula>
    </cfRule>
  </conditionalFormatting>
  <conditionalFormatting sqref="E514">
    <cfRule type="cellIs" priority="1019" operator="greaterThan" aboveAverage="0" equalAverage="0" bottom="0" percent="0" rank="0" text="" dxfId="8">
      <formula>0</formula>
    </cfRule>
  </conditionalFormatting>
  <conditionalFormatting sqref="D515">
    <cfRule type="cellIs" priority="1020" operator="greaterThan" aboveAverage="0" equalAverage="0" bottom="0" percent="0" rank="0" text="" dxfId="10">
      <formula>GecOdemeEsik</formula>
    </cfRule>
  </conditionalFormatting>
  <conditionalFormatting sqref="E515">
    <cfRule type="cellIs" priority="1021" operator="greaterThan" aboveAverage="0" equalAverage="0" bottom="0" percent="0" rank="0" text="" dxfId="8">
      <formula>0</formula>
    </cfRule>
  </conditionalFormatting>
  <conditionalFormatting sqref="D516">
    <cfRule type="cellIs" priority="1022" operator="greaterThan" aboveAverage="0" equalAverage="0" bottom="0" percent="0" rank="0" text="" dxfId="10">
      <formula>GecOdemeEsik</formula>
    </cfRule>
  </conditionalFormatting>
  <conditionalFormatting sqref="E516">
    <cfRule type="cellIs" priority="1023" operator="greaterThan" aboveAverage="0" equalAverage="0" bottom="0" percent="0" rank="0" text="" dxfId="8">
      <formula>0</formula>
    </cfRule>
  </conditionalFormatting>
  <conditionalFormatting sqref="D517">
    <cfRule type="cellIs" priority="1024" operator="greaterThan" aboveAverage="0" equalAverage="0" bottom="0" percent="0" rank="0" text="" dxfId="10">
      <formula>GecOdemeEsik</formula>
    </cfRule>
  </conditionalFormatting>
  <conditionalFormatting sqref="E517">
    <cfRule type="cellIs" priority="1025" operator="greaterThan" aboveAverage="0" equalAverage="0" bottom="0" percent="0" rank="0" text="" dxfId="8">
      <formula>0</formula>
    </cfRule>
  </conditionalFormatting>
  <conditionalFormatting sqref="D518">
    <cfRule type="cellIs" priority="1026" operator="greaterThan" aboveAverage="0" equalAverage="0" bottom="0" percent="0" rank="0" text="" dxfId="10">
      <formula>GecOdemeEsik</formula>
    </cfRule>
  </conditionalFormatting>
  <conditionalFormatting sqref="E518">
    <cfRule type="cellIs" priority="1027" operator="greaterThan" aboveAverage="0" equalAverage="0" bottom="0" percent="0" rank="0" text="" dxfId="8">
      <formula>0</formula>
    </cfRule>
  </conditionalFormatting>
  <conditionalFormatting sqref="D519">
    <cfRule type="cellIs" priority="1028" operator="greaterThan" aboveAverage="0" equalAverage="0" bottom="0" percent="0" rank="0" text="" dxfId="10">
      <formula>GecOdemeEsik</formula>
    </cfRule>
  </conditionalFormatting>
  <conditionalFormatting sqref="E519">
    <cfRule type="cellIs" priority="1029" operator="greaterThan" aboveAverage="0" equalAverage="0" bottom="0" percent="0" rank="0" text="" dxfId="8">
      <formula>0</formula>
    </cfRule>
  </conditionalFormatting>
  <conditionalFormatting sqref="D520">
    <cfRule type="cellIs" priority="1030" operator="greaterThan" aboveAverage="0" equalAverage="0" bottom="0" percent="0" rank="0" text="" dxfId="10">
      <formula>GecOdemeEsik</formula>
    </cfRule>
  </conditionalFormatting>
  <conditionalFormatting sqref="E520">
    <cfRule type="cellIs" priority="1031" operator="greaterThan" aboveAverage="0" equalAverage="0" bottom="0" percent="0" rank="0" text="" dxfId="8">
      <formula>0</formula>
    </cfRule>
  </conditionalFormatting>
  <conditionalFormatting sqref="D521">
    <cfRule type="cellIs" priority="1032" operator="greaterThan" aboveAverage="0" equalAverage="0" bottom="0" percent="0" rank="0" text="" dxfId="10">
      <formula>GecOdemeEsik</formula>
    </cfRule>
  </conditionalFormatting>
  <conditionalFormatting sqref="E521">
    <cfRule type="cellIs" priority="1033" operator="greaterThan" aboveAverage="0" equalAverage="0" bottom="0" percent="0" rank="0" text="" dxfId="8">
      <formula>0</formula>
    </cfRule>
  </conditionalFormatting>
  <conditionalFormatting sqref="D522">
    <cfRule type="cellIs" priority="1034" operator="greaterThan" aboveAverage="0" equalAverage="0" bottom="0" percent="0" rank="0" text="" dxfId="10">
      <formula>GecOdemeEsik</formula>
    </cfRule>
  </conditionalFormatting>
  <conditionalFormatting sqref="E522">
    <cfRule type="cellIs" priority="1035" operator="greaterThan" aboveAverage="0" equalAverage="0" bottom="0" percent="0" rank="0" text="" dxfId="8">
      <formula>0</formula>
    </cfRule>
  </conditionalFormatting>
  <conditionalFormatting sqref="D523">
    <cfRule type="cellIs" priority="1036" operator="greaterThan" aboveAverage="0" equalAverage="0" bottom="0" percent="0" rank="0" text="" dxfId="10">
      <formula>GecOdemeEsik</formula>
    </cfRule>
  </conditionalFormatting>
  <conditionalFormatting sqref="E523">
    <cfRule type="cellIs" priority="1037" operator="greaterThan" aboveAverage="0" equalAverage="0" bottom="0" percent="0" rank="0" text="" dxfId="8">
      <formula>0</formula>
    </cfRule>
  </conditionalFormatting>
  <conditionalFormatting sqref="D524">
    <cfRule type="cellIs" priority="1038" operator="greaterThan" aboveAverage="0" equalAverage="0" bottom="0" percent="0" rank="0" text="" dxfId="10">
      <formula>GecOdemeEsik</formula>
    </cfRule>
  </conditionalFormatting>
  <conditionalFormatting sqref="E524">
    <cfRule type="cellIs" priority="1039" operator="greaterThan" aboveAverage="0" equalAverage="0" bottom="0" percent="0" rank="0" text="" dxfId="8">
      <formula>0</formula>
    </cfRule>
  </conditionalFormatting>
  <conditionalFormatting sqref="D525">
    <cfRule type="cellIs" priority="1040" operator="greaterThan" aboveAverage="0" equalAverage="0" bottom="0" percent="0" rank="0" text="" dxfId="10">
      <formula>GecOdemeEsik</formula>
    </cfRule>
  </conditionalFormatting>
  <conditionalFormatting sqref="E525">
    <cfRule type="cellIs" priority="1041" operator="greaterThan" aboveAverage="0" equalAverage="0" bottom="0" percent="0" rank="0" text="" dxfId="8">
      <formula>0</formula>
    </cfRule>
  </conditionalFormatting>
  <conditionalFormatting sqref="D526">
    <cfRule type="cellIs" priority="1042" operator="greaterThan" aboveAverage="0" equalAverage="0" bottom="0" percent="0" rank="0" text="" dxfId="10">
      <formula>GecOdemeEsik</formula>
    </cfRule>
  </conditionalFormatting>
  <conditionalFormatting sqref="E526">
    <cfRule type="cellIs" priority="1043" operator="greaterThan" aboveAverage="0" equalAverage="0" bottom="0" percent="0" rank="0" text="" dxfId="8">
      <formula>0</formula>
    </cfRule>
  </conditionalFormatting>
  <conditionalFormatting sqref="D527">
    <cfRule type="cellIs" priority="1044" operator="greaterThan" aboveAverage="0" equalAverage="0" bottom="0" percent="0" rank="0" text="" dxfId="10">
      <formula>GecOdemeEsik</formula>
    </cfRule>
  </conditionalFormatting>
  <conditionalFormatting sqref="E527">
    <cfRule type="cellIs" priority="1045" operator="greaterThan" aboveAverage="0" equalAverage="0" bottom="0" percent="0" rank="0" text="" dxfId="8">
      <formula>0</formula>
    </cfRule>
  </conditionalFormatting>
  <conditionalFormatting sqref="D528">
    <cfRule type="cellIs" priority="1046" operator="greaterThan" aboveAverage="0" equalAverage="0" bottom="0" percent="0" rank="0" text="" dxfId="10">
      <formula>GecOdemeEsik</formula>
    </cfRule>
  </conditionalFormatting>
  <conditionalFormatting sqref="E528">
    <cfRule type="cellIs" priority="1047" operator="greaterThan" aboveAverage="0" equalAverage="0" bottom="0" percent="0" rank="0" text="" dxfId="8">
      <formula>0</formula>
    </cfRule>
  </conditionalFormatting>
  <conditionalFormatting sqref="D529">
    <cfRule type="cellIs" priority="1048" operator="greaterThan" aboveAverage="0" equalAverage="0" bottom="0" percent="0" rank="0" text="" dxfId="10">
      <formula>GecOdemeEsik</formula>
    </cfRule>
  </conditionalFormatting>
  <conditionalFormatting sqref="E529">
    <cfRule type="cellIs" priority="1049" operator="greaterThan" aboveAverage="0" equalAverage="0" bottom="0" percent="0" rank="0" text="" dxfId="8">
      <formula>0</formula>
    </cfRule>
  </conditionalFormatting>
  <conditionalFormatting sqref="D530">
    <cfRule type="cellIs" priority="1050" operator="greaterThan" aboveAverage="0" equalAverage="0" bottom="0" percent="0" rank="0" text="" dxfId="10">
      <formula>GecOdemeEsik</formula>
    </cfRule>
  </conditionalFormatting>
  <conditionalFormatting sqref="E530">
    <cfRule type="cellIs" priority="1051" operator="greaterThan" aboveAverage="0" equalAverage="0" bottom="0" percent="0" rank="0" text="" dxfId="8">
      <formula>0</formula>
    </cfRule>
  </conditionalFormatting>
  <conditionalFormatting sqref="D531">
    <cfRule type="cellIs" priority="1052" operator="greaterThan" aboveAverage="0" equalAverage="0" bottom="0" percent="0" rank="0" text="" dxfId="10">
      <formula>GecOdemeEsik</formula>
    </cfRule>
  </conditionalFormatting>
  <conditionalFormatting sqref="E531">
    <cfRule type="cellIs" priority="1053" operator="greaterThan" aboveAverage="0" equalAverage="0" bottom="0" percent="0" rank="0" text="" dxfId="8">
      <formula>0</formula>
    </cfRule>
  </conditionalFormatting>
  <conditionalFormatting sqref="D532">
    <cfRule type="cellIs" priority="1054" operator="greaterThan" aboveAverage="0" equalAverage="0" bottom="0" percent="0" rank="0" text="" dxfId="10">
      <formula>GecOdemeEsik</formula>
    </cfRule>
  </conditionalFormatting>
  <conditionalFormatting sqref="E532">
    <cfRule type="cellIs" priority="1055" operator="greaterThan" aboveAverage="0" equalAverage="0" bottom="0" percent="0" rank="0" text="" dxfId="8">
      <formula>0</formula>
    </cfRule>
  </conditionalFormatting>
  <conditionalFormatting sqref="D533">
    <cfRule type="cellIs" priority="1056" operator="greaterThan" aboveAverage="0" equalAverage="0" bottom="0" percent="0" rank="0" text="" dxfId="10">
      <formula>GecOdemeEsik</formula>
    </cfRule>
  </conditionalFormatting>
  <conditionalFormatting sqref="E533">
    <cfRule type="cellIs" priority="1057" operator="greaterThan" aboveAverage="0" equalAverage="0" bottom="0" percent="0" rank="0" text="" dxfId="8">
      <formula>0</formula>
    </cfRule>
  </conditionalFormatting>
  <conditionalFormatting sqref="D534">
    <cfRule type="cellIs" priority="1058" operator="greaterThan" aboveAverage="0" equalAverage="0" bottom="0" percent="0" rank="0" text="" dxfId="10">
      <formula>GecOdemeEsik</formula>
    </cfRule>
  </conditionalFormatting>
  <conditionalFormatting sqref="E534">
    <cfRule type="cellIs" priority="1059" operator="greaterThan" aboveAverage="0" equalAverage="0" bottom="0" percent="0" rank="0" text="" dxfId="8">
      <formula>0</formula>
    </cfRule>
  </conditionalFormatting>
  <conditionalFormatting sqref="D535">
    <cfRule type="cellIs" priority="1060" operator="greaterThan" aboveAverage="0" equalAverage="0" bottom="0" percent="0" rank="0" text="" dxfId="10">
      <formula>GecOdemeEsik</formula>
    </cfRule>
  </conditionalFormatting>
  <conditionalFormatting sqref="E535">
    <cfRule type="cellIs" priority="1061" operator="greaterThan" aboveAverage="0" equalAverage="0" bottom="0" percent="0" rank="0" text="" dxfId="8">
      <formula>0</formula>
    </cfRule>
  </conditionalFormatting>
  <conditionalFormatting sqref="D536">
    <cfRule type="cellIs" priority="1062" operator="greaterThan" aboveAverage="0" equalAverage="0" bottom="0" percent="0" rank="0" text="" dxfId="10">
      <formula>GecOdemeEsik</formula>
    </cfRule>
  </conditionalFormatting>
  <conditionalFormatting sqref="E536">
    <cfRule type="cellIs" priority="1063" operator="greaterThan" aboveAverage="0" equalAverage="0" bottom="0" percent="0" rank="0" text="" dxfId="8">
      <formula>0</formula>
    </cfRule>
  </conditionalFormatting>
  <conditionalFormatting sqref="D537">
    <cfRule type="cellIs" priority="1064" operator="greaterThan" aboveAverage="0" equalAverage="0" bottom="0" percent="0" rank="0" text="" dxfId="10">
      <formula>GecOdemeEsik</formula>
    </cfRule>
  </conditionalFormatting>
  <conditionalFormatting sqref="E537">
    <cfRule type="cellIs" priority="1065" operator="greaterThan" aboveAverage="0" equalAverage="0" bottom="0" percent="0" rank="0" text="" dxfId="8">
      <formula>0</formula>
    </cfRule>
  </conditionalFormatting>
  <conditionalFormatting sqref="D538">
    <cfRule type="cellIs" priority="1066" operator="greaterThan" aboveAverage="0" equalAverage="0" bottom="0" percent="0" rank="0" text="" dxfId="10">
      <formula>GecOdemeEsik</formula>
    </cfRule>
  </conditionalFormatting>
  <conditionalFormatting sqref="E538">
    <cfRule type="cellIs" priority="1067" operator="greaterThan" aboveAverage="0" equalAverage="0" bottom="0" percent="0" rank="0" text="" dxfId="8">
      <formula>0</formula>
    </cfRule>
  </conditionalFormatting>
  <conditionalFormatting sqref="D539">
    <cfRule type="cellIs" priority="1068" operator="greaterThan" aboveAverage="0" equalAverage="0" bottom="0" percent="0" rank="0" text="" dxfId="10">
      <formula>GecOdemeEsik</formula>
    </cfRule>
  </conditionalFormatting>
  <conditionalFormatting sqref="E539">
    <cfRule type="cellIs" priority="1069" operator="greaterThan" aboveAverage="0" equalAverage="0" bottom="0" percent="0" rank="0" text="" dxfId="8">
      <formula>0</formula>
    </cfRule>
  </conditionalFormatting>
  <conditionalFormatting sqref="D540">
    <cfRule type="cellIs" priority="1070" operator="greaterThan" aboveAverage="0" equalAverage="0" bottom="0" percent="0" rank="0" text="" dxfId="10">
      <formula>GecOdemeEsik</formula>
    </cfRule>
  </conditionalFormatting>
  <conditionalFormatting sqref="E540">
    <cfRule type="cellIs" priority="1071" operator="greaterThan" aboveAverage="0" equalAverage="0" bottom="0" percent="0" rank="0" text="" dxfId="8">
      <formula>0</formula>
    </cfRule>
  </conditionalFormatting>
  <conditionalFormatting sqref="D541">
    <cfRule type="cellIs" priority="1072" operator="greaterThan" aboveAverage="0" equalAverage="0" bottom="0" percent="0" rank="0" text="" dxfId="10">
      <formula>GecOdemeEsik</formula>
    </cfRule>
  </conditionalFormatting>
  <conditionalFormatting sqref="E541">
    <cfRule type="cellIs" priority="1073" operator="greaterThan" aboveAverage="0" equalAverage="0" bottom="0" percent="0" rank="0" text="" dxfId="8">
      <formula>0</formula>
    </cfRule>
  </conditionalFormatting>
  <conditionalFormatting sqref="D542">
    <cfRule type="cellIs" priority="1074" operator="greaterThan" aboveAverage="0" equalAverage="0" bottom="0" percent="0" rank="0" text="" dxfId="10">
      <formula>GecOdemeEsik</formula>
    </cfRule>
  </conditionalFormatting>
  <conditionalFormatting sqref="E542">
    <cfRule type="cellIs" priority="1075" operator="greaterThan" aboveAverage="0" equalAverage="0" bottom="0" percent="0" rank="0" text="" dxfId="8">
      <formula>0</formula>
    </cfRule>
  </conditionalFormatting>
  <conditionalFormatting sqref="D543">
    <cfRule type="cellIs" priority="1076" operator="greaterThan" aboveAverage="0" equalAverage="0" bottom="0" percent="0" rank="0" text="" dxfId="10">
      <formula>GecOdemeEsik</formula>
    </cfRule>
  </conditionalFormatting>
  <conditionalFormatting sqref="E543">
    <cfRule type="cellIs" priority="1077" operator="greaterThan" aboveAverage="0" equalAverage="0" bottom="0" percent="0" rank="0" text="" dxfId="8">
      <formula>0</formula>
    </cfRule>
  </conditionalFormatting>
  <conditionalFormatting sqref="D544">
    <cfRule type="cellIs" priority="1078" operator="greaterThan" aboveAverage="0" equalAverage="0" bottom="0" percent="0" rank="0" text="" dxfId="10">
      <formula>GecOdemeEsik</formula>
    </cfRule>
  </conditionalFormatting>
  <conditionalFormatting sqref="E544">
    <cfRule type="cellIs" priority="1079" operator="greaterThan" aboveAverage="0" equalAverage="0" bottom="0" percent="0" rank="0" text="" dxfId="8">
      <formula>0</formula>
    </cfRule>
  </conditionalFormatting>
  <conditionalFormatting sqref="D545">
    <cfRule type="cellIs" priority="1080" operator="greaterThan" aboveAverage="0" equalAverage="0" bottom="0" percent="0" rank="0" text="" dxfId="10">
      <formula>GecOdemeEsik</formula>
    </cfRule>
  </conditionalFormatting>
  <conditionalFormatting sqref="E545">
    <cfRule type="cellIs" priority="1081" operator="greaterThan" aboveAverage="0" equalAverage="0" bottom="0" percent="0" rank="0" text="" dxfId="8">
      <formula>0</formula>
    </cfRule>
  </conditionalFormatting>
  <conditionalFormatting sqref="D546">
    <cfRule type="cellIs" priority="1082" operator="greaterThan" aboveAverage="0" equalAverage="0" bottom="0" percent="0" rank="0" text="" dxfId="10">
      <formula>GecOdemeEsik</formula>
    </cfRule>
  </conditionalFormatting>
  <conditionalFormatting sqref="E546">
    <cfRule type="cellIs" priority="1083" operator="greaterThan" aboveAverage="0" equalAverage="0" bottom="0" percent="0" rank="0" text="" dxfId="8">
      <formula>0</formula>
    </cfRule>
  </conditionalFormatting>
  <conditionalFormatting sqref="D547">
    <cfRule type="cellIs" priority="1084" operator="greaterThan" aboveAverage="0" equalAverage="0" bottom="0" percent="0" rank="0" text="" dxfId="10">
      <formula>GecOdemeEsik</formula>
    </cfRule>
  </conditionalFormatting>
  <conditionalFormatting sqref="E547">
    <cfRule type="cellIs" priority="1085" operator="greaterThan" aboveAverage="0" equalAverage="0" bottom="0" percent="0" rank="0" text="" dxfId="8">
      <formula>0</formula>
    </cfRule>
  </conditionalFormatting>
  <conditionalFormatting sqref="D548">
    <cfRule type="cellIs" priority="1086" operator="greaterThan" aboveAverage="0" equalAverage="0" bottom="0" percent="0" rank="0" text="" dxfId="10">
      <formula>GecOdemeEsik</formula>
    </cfRule>
  </conditionalFormatting>
  <conditionalFormatting sqref="E548">
    <cfRule type="cellIs" priority="1087" operator="greaterThan" aboveAverage="0" equalAverage="0" bottom="0" percent="0" rank="0" text="" dxfId="8">
      <formula>0</formula>
    </cfRule>
  </conditionalFormatting>
  <conditionalFormatting sqref="D549">
    <cfRule type="cellIs" priority="1088" operator="greaterThan" aboveAverage="0" equalAverage="0" bottom="0" percent="0" rank="0" text="" dxfId="10">
      <formula>GecOdemeEsik</formula>
    </cfRule>
  </conditionalFormatting>
  <conditionalFormatting sqref="E549">
    <cfRule type="cellIs" priority="1089" operator="greaterThan" aboveAverage="0" equalAverage="0" bottom="0" percent="0" rank="0" text="" dxfId="8">
      <formula>0</formula>
    </cfRule>
  </conditionalFormatting>
  <conditionalFormatting sqref="D550">
    <cfRule type="cellIs" priority="1090" operator="greaterThan" aboveAverage="0" equalAverage="0" bottom="0" percent="0" rank="0" text="" dxfId="10">
      <formula>GecOdemeEsik</formula>
    </cfRule>
  </conditionalFormatting>
  <conditionalFormatting sqref="E550">
    <cfRule type="cellIs" priority="1091" operator="greaterThan" aboveAverage="0" equalAverage="0" bottom="0" percent="0" rank="0" text="" dxfId="8">
      <formula>0</formula>
    </cfRule>
  </conditionalFormatting>
  <conditionalFormatting sqref="D551">
    <cfRule type="cellIs" priority="1092" operator="greaterThan" aboveAverage="0" equalAverage="0" bottom="0" percent="0" rank="0" text="" dxfId="10">
      <formula>GecOdemeEsik</formula>
    </cfRule>
  </conditionalFormatting>
  <conditionalFormatting sqref="E551">
    <cfRule type="cellIs" priority="1093" operator="greaterThan" aboveAverage="0" equalAverage="0" bottom="0" percent="0" rank="0" text="" dxfId="8">
      <formula>0</formula>
    </cfRule>
  </conditionalFormatting>
  <conditionalFormatting sqref="D552">
    <cfRule type="cellIs" priority="1094" operator="greaterThan" aboveAverage="0" equalAverage="0" bottom="0" percent="0" rank="0" text="" dxfId="10">
      <formula>GecOdemeEsik</formula>
    </cfRule>
  </conditionalFormatting>
  <conditionalFormatting sqref="E552">
    <cfRule type="cellIs" priority="1095" operator="greaterThan" aboveAverage="0" equalAverage="0" bottom="0" percent="0" rank="0" text="" dxfId="8">
      <formula>0</formula>
    </cfRule>
  </conditionalFormatting>
  <conditionalFormatting sqref="D553">
    <cfRule type="cellIs" priority="1096" operator="greaterThan" aboveAverage="0" equalAverage="0" bottom="0" percent="0" rank="0" text="" dxfId="10">
      <formula>GecOdemeEsik</formula>
    </cfRule>
  </conditionalFormatting>
  <conditionalFormatting sqref="E553">
    <cfRule type="cellIs" priority="1097" operator="greaterThan" aboveAverage="0" equalAverage="0" bottom="0" percent="0" rank="0" text="" dxfId="8">
      <formula>0</formula>
    </cfRule>
  </conditionalFormatting>
  <conditionalFormatting sqref="D554">
    <cfRule type="cellIs" priority="1098" operator="greaterThan" aboveAverage="0" equalAverage="0" bottom="0" percent="0" rank="0" text="" dxfId="10">
      <formula>GecOdemeEsik</formula>
    </cfRule>
  </conditionalFormatting>
  <conditionalFormatting sqref="E554">
    <cfRule type="cellIs" priority="1099" operator="greaterThan" aboveAverage="0" equalAverage="0" bottom="0" percent="0" rank="0" text="" dxfId="8">
      <formula>0</formula>
    </cfRule>
  </conditionalFormatting>
  <conditionalFormatting sqref="D555">
    <cfRule type="cellIs" priority="1100" operator="greaterThan" aboveAverage="0" equalAverage="0" bottom="0" percent="0" rank="0" text="" dxfId="10">
      <formula>GecOdemeEsik</formula>
    </cfRule>
  </conditionalFormatting>
  <conditionalFormatting sqref="E555">
    <cfRule type="cellIs" priority="1101" operator="greaterThan" aboveAverage="0" equalAverage="0" bottom="0" percent="0" rank="0" text="" dxfId="8">
      <formula>0</formula>
    </cfRule>
  </conditionalFormatting>
  <conditionalFormatting sqref="D556">
    <cfRule type="cellIs" priority="1102" operator="greaterThan" aboveAverage="0" equalAverage="0" bottom="0" percent="0" rank="0" text="" dxfId="10">
      <formula>GecOdemeEsik</formula>
    </cfRule>
  </conditionalFormatting>
  <conditionalFormatting sqref="E556">
    <cfRule type="cellIs" priority="1103" operator="greaterThan" aboveAverage="0" equalAverage="0" bottom="0" percent="0" rank="0" text="" dxfId="8">
      <formula>0</formula>
    </cfRule>
  </conditionalFormatting>
  <conditionalFormatting sqref="D557">
    <cfRule type="cellIs" priority="1104" operator="greaterThan" aboveAverage="0" equalAverage="0" bottom="0" percent="0" rank="0" text="" dxfId="10">
      <formula>GecOdemeEsik</formula>
    </cfRule>
  </conditionalFormatting>
  <conditionalFormatting sqref="E557">
    <cfRule type="cellIs" priority="1105" operator="greaterThan" aboveAverage="0" equalAverage="0" bottom="0" percent="0" rank="0" text="" dxfId="8">
      <formula>0</formula>
    </cfRule>
  </conditionalFormatting>
  <conditionalFormatting sqref="D558">
    <cfRule type="cellIs" priority="1106" operator="greaterThan" aboveAverage="0" equalAverage="0" bottom="0" percent="0" rank="0" text="" dxfId="10">
      <formula>GecOdemeEsik</formula>
    </cfRule>
  </conditionalFormatting>
  <conditionalFormatting sqref="E558">
    <cfRule type="cellIs" priority="1107" operator="greaterThan" aboveAverage="0" equalAverage="0" bottom="0" percent="0" rank="0" text="" dxfId="8">
      <formula>0</formula>
    </cfRule>
  </conditionalFormatting>
  <conditionalFormatting sqref="D559">
    <cfRule type="cellIs" priority="1108" operator="greaterThan" aboveAverage="0" equalAverage="0" bottom="0" percent="0" rank="0" text="" dxfId="10">
      <formula>GecOdemeEsik</formula>
    </cfRule>
  </conditionalFormatting>
  <conditionalFormatting sqref="E559">
    <cfRule type="cellIs" priority="1109" operator="greaterThan" aboveAverage="0" equalAverage="0" bottom="0" percent="0" rank="0" text="" dxfId="8">
      <formula>0</formula>
    </cfRule>
  </conditionalFormatting>
  <conditionalFormatting sqref="D560">
    <cfRule type="cellIs" priority="1110" operator="greaterThan" aboveAverage="0" equalAverage="0" bottom="0" percent="0" rank="0" text="" dxfId="10">
      <formula>GecOdemeEsik</formula>
    </cfRule>
  </conditionalFormatting>
  <conditionalFormatting sqref="E560">
    <cfRule type="cellIs" priority="1111" operator="greaterThan" aboveAverage="0" equalAverage="0" bottom="0" percent="0" rank="0" text="" dxfId="8">
      <formula>0</formula>
    </cfRule>
  </conditionalFormatting>
  <conditionalFormatting sqref="D561">
    <cfRule type="cellIs" priority="1112" operator="greaterThan" aboveAverage="0" equalAverage="0" bottom="0" percent="0" rank="0" text="" dxfId="10">
      <formula>GecOdemeEsik</formula>
    </cfRule>
  </conditionalFormatting>
  <conditionalFormatting sqref="E561">
    <cfRule type="cellIs" priority="1113" operator="greaterThan" aboveAverage="0" equalAverage="0" bottom="0" percent="0" rank="0" text="" dxfId="8">
      <formula>0</formula>
    </cfRule>
  </conditionalFormatting>
  <conditionalFormatting sqref="D562">
    <cfRule type="cellIs" priority="1114" operator="greaterThan" aboveAverage="0" equalAverage="0" bottom="0" percent="0" rank="0" text="" dxfId="10">
      <formula>GecOdemeEsik</formula>
    </cfRule>
  </conditionalFormatting>
  <conditionalFormatting sqref="E562">
    <cfRule type="cellIs" priority="1115" operator="greaterThan" aboveAverage="0" equalAverage="0" bottom="0" percent="0" rank="0" text="" dxfId="8">
      <formula>0</formula>
    </cfRule>
  </conditionalFormatting>
  <conditionalFormatting sqref="D563">
    <cfRule type="cellIs" priority="1116" operator="greaterThan" aboveAverage="0" equalAverage="0" bottom="0" percent="0" rank="0" text="" dxfId="10">
      <formula>GecOdemeEsik</formula>
    </cfRule>
  </conditionalFormatting>
  <conditionalFormatting sqref="E563">
    <cfRule type="cellIs" priority="1117" operator="greaterThan" aboveAverage="0" equalAverage="0" bottom="0" percent="0" rank="0" text="" dxfId="8">
      <formula>0</formula>
    </cfRule>
  </conditionalFormatting>
  <conditionalFormatting sqref="D564">
    <cfRule type="cellIs" priority="1118" operator="greaterThan" aboveAverage="0" equalAverage="0" bottom="0" percent="0" rank="0" text="" dxfId="10">
      <formula>GecOdemeEsik</formula>
    </cfRule>
  </conditionalFormatting>
  <conditionalFormatting sqref="E564">
    <cfRule type="cellIs" priority="1119" operator="greaterThan" aboveAverage="0" equalAverage="0" bottom="0" percent="0" rank="0" text="" dxfId="8">
      <formula>0</formula>
    </cfRule>
  </conditionalFormatting>
  <conditionalFormatting sqref="D565">
    <cfRule type="cellIs" priority="1120" operator="greaterThan" aboveAverage="0" equalAverage="0" bottom="0" percent="0" rank="0" text="" dxfId="10">
      <formula>GecOdemeEsik</formula>
    </cfRule>
  </conditionalFormatting>
  <conditionalFormatting sqref="E565">
    <cfRule type="cellIs" priority="1121" operator="greaterThan" aboveAverage="0" equalAverage="0" bottom="0" percent="0" rank="0" text="" dxfId="8">
      <formula>0</formula>
    </cfRule>
  </conditionalFormatting>
  <conditionalFormatting sqref="D566">
    <cfRule type="cellIs" priority="1122" operator="greaterThan" aboveAverage="0" equalAverage="0" bottom="0" percent="0" rank="0" text="" dxfId="10">
      <formula>GecOdemeEsik</formula>
    </cfRule>
  </conditionalFormatting>
  <conditionalFormatting sqref="E566">
    <cfRule type="cellIs" priority="1123" operator="greaterThan" aboveAverage="0" equalAverage="0" bottom="0" percent="0" rank="0" text="" dxfId="8">
      <formula>0</formula>
    </cfRule>
  </conditionalFormatting>
  <conditionalFormatting sqref="D567">
    <cfRule type="cellIs" priority="1124" operator="greaterThan" aboveAverage="0" equalAverage="0" bottom="0" percent="0" rank="0" text="" dxfId="10">
      <formula>GecOdemeEsik</formula>
    </cfRule>
  </conditionalFormatting>
  <conditionalFormatting sqref="E567">
    <cfRule type="cellIs" priority="1125" operator="greaterThan" aboveAverage="0" equalAverage="0" bottom="0" percent="0" rank="0" text="" dxfId="8">
      <formula>0</formula>
    </cfRule>
  </conditionalFormatting>
  <conditionalFormatting sqref="D568">
    <cfRule type="cellIs" priority="1126" operator="greaterThan" aboveAverage="0" equalAverage="0" bottom="0" percent="0" rank="0" text="" dxfId="10">
      <formula>GecOdemeEsik</formula>
    </cfRule>
  </conditionalFormatting>
  <conditionalFormatting sqref="E568">
    <cfRule type="cellIs" priority="1127" operator="greaterThan" aboveAverage="0" equalAverage="0" bottom="0" percent="0" rank="0" text="" dxfId="8">
      <formula>0</formula>
    </cfRule>
  </conditionalFormatting>
  <conditionalFormatting sqref="D569">
    <cfRule type="cellIs" priority="1128" operator="greaterThan" aboveAverage="0" equalAverage="0" bottom="0" percent="0" rank="0" text="" dxfId="10">
      <formula>GecOdemeEsik</formula>
    </cfRule>
  </conditionalFormatting>
  <conditionalFormatting sqref="E569">
    <cfRule type="cellIs" priority="1129" operator="greaterThan" aboveAverage="0" equalAverage="0" bottom="0" percent="0" rank="0" text="" dxfId="8">
      <formula>0</formula>
    </cfRule>
  </conditionalFormatting>
  <conditionalFormatting sqref="D570">
    <cfRule type="cellIs" priority="1130" operator="greaterThan" aboveAverage="0" equalAverage="0" bottom="0" percent="0" rank="0" text="" dxfId="10">
      <formula>GecOdemeEsik</formula>
    </cfRule>
  </conditionalFormatting>
  <conditionalFormatting sqref="E570">
    <cfRule type="cellIs" priority="1131" operator="greaterThan" aboveAverage="0" equalAverage="0" bottom="0" percent="0" rank="0" text="" dxfId="8">
      <formula>0</formula>
    </cfRule>
  </conditionalFormatting>
  <conditionalFormatting sqref="D571">
    <cfRule type="cellIs" priority="1132" operator="greaterThan" aboveAverage="0" equalAverage="0" bottom="0" percent="0" rank="0" text="" dxfId="10">
      <formula>GecOdemeEsik</formula>
    </cfRule>
  </conditionalFormatting>
  <conditionalFormatting sqref="E571">
    <cfRule type="cellIs" priority="1133" operator="greaterThan" aboveAverage="0" equalAverage="0" bottom="0" percent="0" rank="0" text="" dxfId="8">
      <formula>0</formula>
    </cfRule>
  </conditionalFormatting>
  <conditionalFormatting sqref="D572">
    <cfRule type="cellIs" priority="1134" operator="greaterThan" aboveAverage="0" equalAverage="0" bottom="0" percent="0" rank="0" text="" dxfId="10">
      <formula>GecOdemeEsik</formula>
    </cfRule>
  </conditionalFormatting>
  <conditionalFormatting sqref="E572">
    <cfRule type="cellIs" priority="1135" operator="greaterThan" aboveAverage="0" equalAverage="0" bottom="0" percent="0" rank="0" text="" dxfId="8">
      <formula>0</formula>
    </cfRule>
  </conditionalFormatting>
  <conditionalFormatting sqref="D573">
    <cfRule type="cellIs" priority="1136" operator="greaterThan" aboveAverage="0" equalAverage="0" bottom="0" percent="0" rank="0" text="" dxfId="10">
      <formula>GecOdemeEsik</formula>
    </cfRule>
  </conditionalFormatting>
  <conditionalFormatting sqref="E573">
    <cfRule type="cellIs" priority="1137" operator="greaterThan" aboveAverage="0" equalAverage="0" bottom="0" percent="0" rank="0" text="" dxfId="8">
      <formula>0</formula>
    </cfRule>
  </conditionalFormatting>
  <conditionalFormatting sqref="D574">
    <cfRule type="cellIs" priority="1138" operator="greaterThan" aboveAverage="0" equalAverage="0" bottom="0" percent="0" rank="0" text="" dxfId="10">
      <formula>GecOdemeEsik</formula>
    </cfRule>
  </conditionalFormatting>
  <conditionalFormatting sqref="E574">
    <cfRule type="cellIs" priority="1139" operator="greaterThan" aboveAverage="0" equalAverage="0" bottom="0" percent="0" rank="0" text="" dxfId="8">
      <formula>0</formula>
    </cfRule>
  </conditionalFormatting>
  <conditionalFormatting sqref="D575">
    <cfRule type="cellIs" priority="1140" operator="greaterThan" aboveAverage="0" equalAverage="0" bottom="0" percent="0" rank="0" text="" dxfId="10">
      <formula>GecOdemeEsik</formula>
    </cfRule>
  </conditionalFormatting>
  <conditionalFormatting sqref="E575">
    <cfRule type="cellIs" priority="1141" operator="greaterThan" aboveAverage="0" equalAverage="0" bottom="0" percent="0" rank="0" text="" dxfId="8">
      <formula>0</formula>
    </cfRule>
  </conditionalFormatting>
  <conditionalFormatting sqref="D576">
    <cfRule type="cellIs" priority="1142" operator="greaterThan" aboveAverage="0" equalAverage="0" bottom="0" percent="0" rank="0" text="" dxfId="10">
      <formula>GecOdemeEsik</formula>
    </cfRule>
  </conditionalFormatting>
  <conditionalFormatting sqref="E576">
    <cfRule type="cellIs" priority="1143" operator="greaterThan" aboveAverage="0" equalAverage="0" bottom="0" percent="0" rank="0" text="" dxfId="8">
      <formula>0</formula>
    </cfRule>
  </conditionalFormatting>
  <conditionalFormatting sqref="D577">
    <cfRule type="cellIs" priority="1144" operator="greaterThan" aboveAverage="0" equalAverage="0" bottom="0" percent="0" rank="0" text="" dxfId="10">
      <formula>GecOdemeEsik</formula>
    </cfRule>
  </conditionalFormatting>
  <conditionalFormatting sqref="E577">
    <cfRule type="cellIs" priority="1145" operator="greaterThan" aboveAverage="0" equalAverage="0" bottom="0" percent="0" rank="0" text="" dxfId="8">
      <formula>0</formula>
    </cfRule>
  </conditionalFormatting>
  <conditionalFormatting sqref="D578">
    <cfRule type="cellIs" priority="1146" operator="greaterThan" aboveAverage="0" equalAverage="0" bottom="0" percent="0" rank="0" text="" dxfId="10">
      <formula>GecOdemeEsik</formula>
    </cfRule>
  </conditionalFormatting>
  <conditionalFormatting sqref="E578">
    <cfRule type="cellIs" priority="1147" operator="greaterThan" aboveAverage="0" equalAverage="0" bottom="0" percent="0" rank="0" text="" dxfId="8">
      <formula>0</formula>
    </cfRule>
  </conditionalFormatting>
  <conditionalFormatting sqref="D579">
    <cfRule type="cellIs" priority="1148" operator="greaterThan" aboveAverage="0" equalAverage="0" bottom="0" percent="0" rank="0" text="" dxfId="10">
      <formula>GecOdemeEsik</formula>
    </cfRule>
  </conditionalFormatting>
  <conditionalFormatting sqref="E579">
    <cfRule type="cellIs" priority="1149" operator="greaterThan" aboveAverage="0" equalAverage="0" bottom="0" percent="0" rank="0" text="" dxfId="8">
      <formula>0</formula>
    </cfRule>
  </conditionalFormatting>
  <conditionalFormatting sqref="D580">
    <cfRule type="cellIs" priority="1150" operator="greaterThan" aboveAverage="0" equalAverage="0" bottom="0" percent="0" rank="0" text="" dxfId="10">
      <formula>GecOdemeEsik</formula>
    </cfRule>
  </conditionalFormatting>
  <conditionalFormatting sqref="E580">
    <cfRule type="cellIs" priority="1151" operator="greaterThan" aboveAverage="0" equalAverage="0" bottom="0" percent="0" rank="0" text="" dxfId="8">
      <formula>0</formula>
    </cfRule>
  </conditionalFormatting>
  <conditionalFormatting sqref="D581">
    <cfRule type="cellIs" priority="1152" operator="greaterThan" aboveAverage="0" equalAverage="0" bottom="0" percent="0" rank="0" text="" dxfId="10">
      <formula>GecOdemeEsik</formula>
    </cfRule>
  </conditionalFormatting>
  <conditionalFormatting sqref="E581">
    <cfRule type="cellIs" priority="1153" operator="greaterThan" aboveAverage="0" equalAverage="0" bottom="0" percent="0" rank="0" text="" dxfId="8">
      <formula>0</formula>
    </cfRule>
  </conditionalFormatting>
  <conditionalFormatting sqref="D582">
    <cfRule type="cellIs" priority="1154" operator="greaterThan" aboveAverage="0" equalAverage="0" bottom="0" percent="0" rank="0" text="" dxfId="10">
      <formula>GecOdemeEsik</formula>
    </cfRule>
  </conditionalFormatting>
  <conditionalFormatting sqref="E582">
    <cfRule type="cellIs" priority="1155" operator="greaterThan" aboveAverage="0" equalAverage="0" bottom="0" percent="0" rank="0" text="" dxfId="8">
      <formula>0</formula>
    </cfRule>
  </conditionalFormatting>
  <conditionalFormatting sqref="D583">
    <cfRule type="cellIs" priority="1156" operator="greaterThan" aboveAverage="0" equalAverage="0" bottom="0" percent="0" rank="0" text="" dxfId="10">
      <formula>GecOdemeEsik</formula>
    </cfRule>
  </conditionalFormatting>
  <conditionalFormatting sqref="E583">
    <cfRule type="cellIs" priority="1157" operator="greaterThan" aboveAverage="0" equalAverage="0" bottom="0" percent="0" rank="0" text="" dxfId="8">
      <formula>0</formula>
    </cfRule>
  </conditionalFormatting>
  <conditionalFormatting sqref="D584">
    <cfRule type="cellIs" priority="1158" operator="greaterThan" aboveAverage="0" equalAverage="0" bottom="0" percent="0" rank="0" text="" dxfId="10">
      <formula>GecOdemeEsik</formula>
    </cfRule>
  </conditionalFormatting>
  <conditionalFormatting sqref="E584">
    <cfRule type="cellIs" priority="1159" operator="greaterThan" aboveAverage="0" equalAverage="0" bottom="0" percent="0" rank="0" text="" dxfId="8">
      <formula>0</formula>
    </cfRule>
  </conditionalFormatting>
  <conditionalFormatting sqref="D585">
    <cfRule type="cellIs" priority="1160" operator="greaterThan" aboveAverage="0" equalAverage="0" bottom="0" percent="0" rank="0" text="" dxfId="10">
      <formula>GecOdemeEsik</formula>
    </cfRule>
  </conditionalFormatting>
  <conditionalFormatting sqref="E585">
    <cfRule type="cellIs" priority="1161" operator="greaterThan" aboveAverage="0" equalAverage="0" bottom="0" percent="0" rank="0" text="" dxfId="8">
      <formula>0</formula>
    </cfRule>
  </conditionalFormatting>
  <conditionalFormatting sqref="D586">
    <cfRule type="cellIs" priority="1162" operator="greaterThan" aboveAverage="0" equalAverage="0" bottom="0" percent="0" rank="0" text="" dxfId="10">
      <formula>GecOdemeEsik</formula>
    </cfRule>
  </conditionalFormatting>
  <conditionalFormatting sqref="E586">
    <cfRule type="cellIs" priority="1163" operator="greaterThan" aboveAverage="0" equalAverage="0" bottom="0" percent="0" rank="0" text="" dxfId="8">
      <formula>0</formula>
    </cfRule>
  </conditionalFormatting>
  <conditionalFormatting sqref="D587">
    <cfRule type="cellIs" priority="1164" operator="greaterThan" aboveAverage="0" equalAverage="0" bottom="0" percent="0" rank="0" text="" dxfId="10">
      <formula>GecOdemeEsik</formula>
    </cfRule>
  </conditionalFormatting>
  <conditionalFormatting sqref="E587">
    <cfRule type="cellIs" priority="1165" operator="greaterThan" aboveAverage="0" equalAverage="0" bottom="0" percent="0" rank="0" text="" dxfId="8">
      <formula>0</formula>
    </cfRule>
  </conditionalFormatting>
  <conditionalFormatting sqref="D588">
    <cfRule type="cellIs" priority="1166" operator="greaterThan" aboveAverage="0" equalAverage="0" bottom="0" percent="0" rank="0" text="" dxfId="10">
      <formula>GecOdemeEsik</formula>
    </cfRule>
  </conditionalFormatting>
  <conditionalFormatting sqref="E588">
    <cfRule type="cellIs" priority="1167" operator="greaterThan" aboveAverage="0" equalAverage="0" bottom="0" percent="0" rank="0" text="" dxfId="8">
      <formula>0</formula>
    </cfRule>
  </conditionalFormatting>
  <conditionalFormatting sqref="D589">
    <cfRule type="cellIs" priority="1168" operator="greaterThan" aboveAverage="0" equalAverage="0" bottom="0" percent="0" rank="0" text="" dxfId="10">
      <formula>GecOdemeEsik</formula>
    </cfRule>
  </conditionalFormatting>
  <conditionalFormatting sqref="E589">
    <cfRule type="cellIs" priority="1169" operator="greaterThan" aboveAverage="0" equalAverage="0" bottom="0" percent="0" rank="0" text="" dxfId="8">
      <formula>0</formula>
    </cfRule>
  </conditionalFormatting>
  <conditionalFormatting sqref="D590">
    <cfRule type="cellIs" priority="1170" operator="greaterThan" aboveAverage="0" equalAverage="0" bottom="0" percent="0" rank="0" text="" dxfId="10">
      <formula>GecOdemeEsik</formula>
    </cfRule>
  </conditionalFormatting>
  <conditionalFormatting sqref="E590">
    <cfRule type="cellIs" priority="1171" operator="greaterThan" aboveAverage="0" equalAverage="0" bottom="0" percent="0" rank="0" text="" dxfId="8">
      <formula>0</formula>
    </cfRule>
  </conditionalFormatting>
  <conditionalFormatting sqref="D591">
    <cfRule type="cellIs" priority="1172" operator="greaterThan" aboveAverage="0" equalAverage="0" bottom="0" percent="0" rank="0" text="" dxfId="10">
      <formula>GecOdemeEsik</formula>
    </cfRule>
  </conditionalFormatting>
  <conditionalFormatting sqref="E591">
    <cfRule type="cellIs" priority="1173" operator="greaterThan" aboveAverage="0" equalAverage="0" bottom="0" percent="0" rank="0" text="" dxfId="8">
      <formula>0</formula>
    </cfRule>
  </conditionalFormatting>
  <conditionalFormatting sqref="D592">
    <cfRule type="cellIs" priority="1174" operator="greaterThan" aboveAverage="0" equalAverage="0" bottom="0" percent="0" rank="0" text="" dxfId="10">
      <formula>GecOdemeEsik</formula>
    </cfRule>
  </conditionalFormatting>
  <conditionalFormatting sqref="E592">
    <cfRule type="cellIs" priority="1175" operator="greaterThan" aboveAverage="0" equalAverage="0" bottom="0" percent="0" rank="0" text="" dxfId="8">
      <formula>0</formula>
    </cfRule>
  </conditionalFormatting>
  <conditionalFormatting sqref="D593">
    <cfRule type="cellIs" priority="1176" operator="greaterThan" aboveAverage="0" equalAverage="0" bottom="0" percent="0" rank="0" text="" dxfId="10">
      <formula>GecOdemeEsik</formula>
    </cfRule>
  </conditionalFormatting>
  <conditionalFormatting sqref="E593">
    <cfRule type="cellIs" priority="1177" operator="greaterThan" aboveAverage="0" equalAverage="0" bottom="0" percent="0" rank="0" text="" dxfId="8">
      <formula>0</formula>
    </cfRule>
  </conditionalFormatting>
  <conditionalFormatting sqref="D594">
    <cfRule type="cellIs" priority="1178" operator="greaterThan" aboveAverage="0" equalAverage="0" bottom="0" percent="0" rank="0" text="" dxfId="10">
      <formula>GecOdemeEsik</formula>
    </cfRule>
  </conditionalFormatting>
  <conditionalFormatting sqref="E594">
    <cfRule type="cellIs" priority="1179" operator="greaterThan" aboveAverage="0" equalAverage="0" bottom="0" percent="0" rank="0" text="" dxfId="8">
      <formula>0</formula>
    </cfRule>
  </conditionalFormatting>
  <conditionalFormatting sqref="D595">
    <cfRule type="cellIs" priority="1180" operator="greaterThan" aboveAverage="0" equalAverage="0" bottom="0" percent="0" rank="0" text="" dxfId="10">
      <formula>GecOdemeEsik</formula>
    </cfRule>
  </conditionalFormatting>
  <conditionalFormatting sqref="E595">
    <cfRule type="cellIs" priority="1181" operator="greaterThan" aboveAverage="0" equalAverage="0" bottom="0" percent="0" rank="0" text="" dxfId="8">
      <formula>0</formula>
    </cfRule>
  </conditionalFormatting>
  <conditionalFormatting sqref="D596">
    <cfRule type="cellIs" priority="1182" operator="greaterThan" aboveAverage="0" equalAverage="0" bottom="0" percent="0" rank="0" text="" dxfId="10">
      <formula>GecOdemeEsik</formula>
    </cfRule>
  </conditionalFormatting>
  <conditionalFormatting sqref="E596">
    <cfRule type="cellIs" priority="1183" operator="greaterThan" aboveAverage="0" equalAverage="0" bottom="0" percent="0" rank="0" text="" dxfId="8">
      <formula>0</formula>
    </cfRule>
  </conditionalFormatting>
  <conditionalFormatting sqref="D597">
    <cfRule type="cellIs" priority="1184" operator="greaterThan" aboveAverage="0" equalAverage="0" bottom="0" percent="0" rank="0" text="" dxfId="10">
      <formula>GecOdemeEsik</formula>
    </cfRule>
  </conditionalFormatting>
  <conditionalFormatting sqref="E597">
    <cfRule type="cellIs" priority="1185" operator="greaterThan" aboveAverage="0" equalAverage="0" bottom="0" percent="0" rank="0" text="" dxfId="8">
      <formula>0</formula>
    </cfRule>
  </conditionalFormatting>
  <conditionalFormatting sqref="D598">
    <cfRule type="cellIs" priority="1186" operator="greaterThan" aboveAverage="0" equalAverage="0" bottom="0" percent="0" rank="0" text="" dxfId="10">
      <formula>GecOdemeEsik</formula>
    </cfRule>
  </conditionalFormatting>
  <conditionalFormatting sqref="E598">
    <cfRule type="cellIs" priority="1187" operator="greaterThan" aboveAverage="0" equalAverage="0" bottom="0" percent="0" rank="0" text="" dxfId="8">
      <formula>0</formula>
    </cfRule>
  </conditionalFormatting>
  <conditionalFormatting sqref="D599">
    <cfRule type="cellIs" priority="1188" operator="greaterThan" aboveAverage="0" equalAverage="0" bottom="0" percent="0" rank="0" text="" dxfId="10">
      <formula>GecOdemeEsik</formula>
    </cfRule>
  </conditionalFormatting>
  <conditionalFormatting sqref="E599">
    <cfRule type="cellIs" priority="1189" operator="greaterThan" aboveAverage="0" equalAverage="0" bottom="0" percent="0" rank="0" text="" dxfId="8">
      <formula>0</formula>
    </cfRule>
  </conditionalFormatting>
  <conditionalFormatting sqref="D600">
    <cfRule type="cellIs" priority="1190" operator="greaterThan" aboveAverage="0" equalAverage="0" bottom="0" percent="0" rank="0" text="" dxfId="10">
      <formula>GecOdemeEsik</formula>
    </cfRule>
  </conditionalFormatting>
  <conditionalFormatting sqref="E600">
    <cfRule type="cellIs" priority="1191" operator="greaterThan" aboveAverage="0" equalAverage="0" bottom="0" percent="0" rank="0" text="" dxfId="8">
      <formula>0</formula>
    </cfRule>
  </conditionalFormatting>
  <conditionalFormatting sqref="D601">
    <cfRule type="cellIs" priority="1192" operator="greaterThan" aboveAverage="0" equalAverage="0" bottom="0" percent="0" rank="0" text="" dxfId="10">
      <formula>GecOdemeEsik</formula>
    </cfRule>
  </conditionalFormatting>
  <conditionalFormatting sqref="E601">
    <cfRule type="cellIs" priority="1193" operator="greaterThan" aboveAverage="0" equalAverage="0" bottom="0" percent="0" rank="0" text="" dxfId="8">
      <formula>0</formula>
    </cfRule>
  </conditionalFormatting>
  <conditionalFormatting sqref="D602">
    <cfRule type="cellIs" priority="1194" operator="greaterThan" aboveAverage="0" equalAverage="0" bottom="0" percent="0" rank="0" text="" dxfId="10">
      <formula>GecOdemeEsik</formula>
    </cfRule>
  </conditionalFormatting>
  <conditionalFormatting sqref="E602">
    <cfRule type="cellIs" priority="1195" operator="greaterThan" aboveAverage="0" equalAverage="0" bottom="0" percent="0" rank="0" text="" dxfId="8">
      <formula>0</formula>
    </cfRule>
  </conditionalFormatting>
  <conditionalFormatting sqref="D603">
    <cfRule type="cellIs" priority="1196" operator="greaterThan" aboveAverage="0" equalAverage="0" bottom="0" percent="0" rank="0" text="" dxfId="10">
      <formula>GecOdemeEsik</formula>
    </cfRule>
  </conditionalFormatting>
  <conditionalFormatting sqref="E603">
    <cfRule type="cellIs" priority="1197" operator="greaterThan" aboveAverage="0" equalAverage="0" bottom="0" percent="0" rank="0" text="" dxfId="8">
      <formula>0</formula>
    </cfRule>
  </conditionalFormatting>
  <conditionalFormatting sqref="D604">
    <cfRule type="cellIs" priority="1198" operator="greaterThan" aboveAverage="0" equalAverage="0" bottom="0" percent="0" rank="0" text="" dxfId="10">
      <formula>GecOdemeEsik</formula>
    </cfRule>
  </conditionalFormatting>
  <conditionalFormatting sqref="E604">
    <cfRule type="cellIs" priority="1199" operator="greaterThan" aboveAverage="0" equalAverage="0" bottom="0" percent="0" rank="0" text="" dxfId="8">
      <formula>0</formula>
    </cfRule>
  </conditionalFormatting>
  <conditionalFormatting sqref="D605">
    <cfRule type="cellIs" priority="1200" operator="greaterThan" aboveAverage="0" equalAverage="0" bottom="0" percent="0" rank="0" text="" dxfId="10">
      <formula>GecOdemeEsik</formula>
    </cfRule>
  </conditionalFormatting>
  <conditionalFormatting sqref="E605">
    <cfRule type="cellIs" priority="1201" operator="greaterThan" aboveAverage="0" equalAverage="0" bottom="0" percent="0" rank="0" text="" dxfId="8">
      <formula>0</formula>
    </cfRule>
  </conditionalFormatting>
  <conditionalFormatting sqref="D606">
    <cfRule type="cellIs" priority="1202" operator="greaterThan" aboveAverage="0" equalAverage="0" bottom="0" percent="0" rank="0" text="" dxfId="10">
      <formula>GecOdemeEsik</formula>
    </cfRule>
  </conditionalFormatting>
  <conditionalFormatting sqref="E606">
    <cfRule type="cellIs" priority="1203" operator="greaterThan" aboveAverage="0" equalAverage="0" bottom="0" percent="0" rank="0" text="" dxfId="8">
      <formula>0</formula>
    </cfRule>
  </conditionalFormatting>
  <conditionalFormatting sqref="D607">
    <cfRule type="cellIs" priority="1204" operator="greaterThan" aboveAverage="0" equalAverage="0" bottom="0" percent="0" rank="0" text="" dxfId="10">
      <formula>GecOdemeEsik</formula>
    </cfRule>
  </conditionalFormatting>
  <conditionalFormatting sqref="E607">
    <cfRule type="cellIs" priority="1205" operator="greaterThan" aboveAverage="0" equalAverage="0" bottom="0" percent="0" rank="0" text="" dxfId="8">
      <formula>0</formula>
    </cfRule>
  </conditionalFormatting>
  <conditionalFormatting sqref="D608">
    <cfRule type="cellIs" priority="1206" operator="greaterThan" aboveAverage="0" equalAverage="0" bottom="0" percent="0" rank="0" text="" dxfId="10">
      <formula>GecOdemeEsik</formula>
    </cfRule>
  </conditionalFormatting>
  <conditionalFormatting sqref="E608">
    <cfRule type="cellIs" priority="1207" operator="greaterThan" aboveAverage="0" equalAverage="0" bottom="0" percent="0" rank="0" text="" dxfId="8">
      <formula>0</formula>
    </cfRule>
  </conditionalFormatting>
  <conditionalFormatting sqref="D609">
    <cfRule type="cellIs" priority="1208" operator="greaterThan" aboveAverage="0" equalAverage="0" bottom="0" percent="0" rank="0" text="" dxfId="10">
      <formula>GecOdemeEsik</formula>
    </cfRule>
  </conditionalFormatting>
  <conditionalFormatting sqref="E609">
    <cfRule type="cellIs" priority="1209" operator="greaterThan" aboveAverage="0" equalAverage="0" bottom="0" percent="0" rank="0" text="" dxfId="8">
      <formula>0</formula>
    </cfRule>
  </conditionalFormatting>
  <conditionalFormatting sqref="D610">
    <cfRule type="cellIs" priority="1210" operator="greaterThan" aboveAverage="0" equalAverage="0" bottom="0" percent="0" rank="0" text="" dxfId="10">
      <formula>GecOdemeEsik</formula>
    </cfRule>
  </conditionalFormatting>
  <conditionalFormatting sqref="E610">
    <cfRule type="cellIs" priority="1211" operator="greaterThan" aboveAverage="0" equalAverage="0" bottom="0" percent="0" rank="0" text="" dxfId="8">
      <formula>0</formula>
    </cfRule>
  </conditionalFormatting>
  <conditionalFormatting sqref="D611">
    <cfRule type="cellIs" priority="1212" operator="greaterThan" aboveAverage="0" equalAverage="0" bottom="0" percent="0" rank="0" text="" dxfId="10">
      <formula>GecOdemeEsik</formula>
    </cfRule>
  </conditionalFormatting>
  <conditionalFormatting sqref="E611">
    <cfRule type="cellIs" priority="1213" operator="greaterThan" aboveAverage="0" equalAverage="0" bottom="0" percent="0" rank="0" text="" dxfId="8">
      <formula>0</formula>
    </cfRule>
  </conditionalFormatting>
  <conditionalFormatting sqref="D612">
    <cfRule type="cellIs" priority="1214" operator="greaterThan" aboveAverage="0" equalAverage="0" bottom="0" percent="0" rank="0" text="" dxfId="10">
      <formula>GecOdemeEsik</formula>
    </cfRule>
  </conditionalFormatting>
  <conditionalFormatting sqref="E612">
    <cfRule type="cellIs" priority="1215" operator="greaterThan" aboveAverage="0" equalAverage="0" bottom="0" percent="0" rank="0" text="" dxfId="8">
      <formula>0</formula>
    </cfRule>
  </conditionalFormatting>
  <conditionalFormatting sqref="D613">
    <cfRule type="cellIs" priority="1216" operator="greaterThan" aboveAverage="0" equalAverage="0" bottom="0" percent="0" rank="0" text="" dxfId="10">
      <formula>GecOdemeEsik</formula>
    </cfRule>
  </conditionalFormatting>
  <conditionalFormatting sqref="E613">
    <cfRule type="cellIs" priority="1217" operator="greaterThan" aboveAverage="0" equalAverage="0" bottom="0" percent="0" rank="0" text="" dxfId="8">
      <formula>0</formula>
    </cfRule>
  </conditionalFormatting>
  <conditionalFormatting sqref="D614">
    <cfRule type="cellIs" priority="1218" operator="greaterThan" aboveAverage="0" equalAverage="0" bottom="0" percent="0" rank="0" text="" dxfId="10">
      <formula>GecOdemeEsik</formula>
    </cfRule>
  </conditionalFormatting>
  <conditionalFormatting sqref="E614">
    <cfRule type="cellIs" priority="1219" operator="greaterThan" aboveAverage="0" equalAverage="0" bottom="0" percent="0" rank="0" text="" dxfId="8">
      <formula>0</formula>
    </cfRule>
  </conditionalFormatting>
  <conditionalFormatting sqref="D615">
    <cfRule type="cellIs" priority="1220" operator="greaterThan" aboveAverage="0" equalAverage="0" bottom="0" percent="0" rank="0" text="" dxfId="10">
      <formula>GecOdemeEsik</formula>
    </cfRule>
  </conditionalFormatting>
  <conditionalFormatting sqref="E615">
    <cfRule type="cellIs" priority="1221" operator="greaterThan" aboveAverage="0" equalAverage="0" bottom="0" percent="0" rank="0" text="" dxfId="8">
      <formula>0</formula>
    </cfRule>
  </conditionalFormatting>
  <conditionalFormatting sqref="D616">
    <cfRule type="cellIs" priority="1222" operator="greaterThan" aboveAverage="0" equalAverage="0" bottom="0" percent="0" rank="0" text="" dxfId="10">
      <formula>GecOdemeEsik</formula>
    </cfRule>
  </conditionalFormatting>
  <conditionalFormatting sqref="E616">
    <cfRule type="cellIs" priority="1223" operator="greaterThan" aboveAverage="0" equalAverage="0" bottom="0" percent="0" rank="0" text="" dxfId="8">
      <formula>0</formula>
    </cfRule>
  </conditionalFormatting>
  <conditionalFormatting sqref="D617">
    <cfRule type="cellIs" priority="1224" operator="greaterThan" aboveAverage="0" equalAverage="0" bottom="0" percent="0" rank="0" text="" dxfId="10">
      <formula>GecOdemeEsik</formula>
    </cfRule>
  </conditionalFormatting>
  <conditionalFormatting sqref="E617">
    <cfRule type="cellIs" priority="1225" operator="greaterThan" aboveAverage="0" equalAverage="0" bottom="0" percent="0" rank="0" text="" dxfId="8">
      <formula>0</formula>
    </cfRule>
  </conditionalFormatting>
  <conditionalFormatting sqref="D618">
    <cfRule type="cellIs" priority="1226" operator="greaterThan" aboveAverage="0" equalAverage="0" bottom="0" percent="0" rank="0" text="" dxfId="10">
      <formula>GecOdemeEsik</formula>
    </cfRule>
  </conditionalFormatting>
  <conditionalFormatting sqref="E618">
    <cfRule type="cellIs" priority="1227" operator="greaterThan" aboveAverage="0" equalAverage="0" bottom="0" percent="0" rank="0" text="" dxfId="8">
      <formula>0</formula>
    </cfRule>
  </conditionalFormatting>
  <conditionalFormatting sqref="D619">
    <cfRule type="cellIs" priority="1228" operator="greaterThan" aboveAverage="0" equalAverage="0" bottom="0" percent="0" rank="0" text="" dxfId="10">
      <formula>GecOdemeEsik</formula>
    </cfRule>
  </conditionalFormatting>
  <conditionalFormatting sqref="E619">
    <cfRule type="cellIs" priority="1229" operator="greaterThan" aboveAverage="0" equalAverage="0" bottom="0" percent="0" rank="0" text="" dxfId="8">
      <formula>0</formula>
    </cfRule>
  </conditionalFormatting>
  <conditionalFormatting sqref="D620">
    <cfRule type="cellIs" priority="1230" operator="greaterThan" aboveAverage="0" equalAverage="0" bottom="0" percent="0" rank="0" text="" dxfId="10">
      <formula>GecOdemeEsik</formula>
    </cfRule>
  </conditionalFormatting>
  <conditionalFormatting sqref="E620">
    <cfRule type="cellIs" priority="1231" operator="greaterThan" aboveAverage="0" equalAverage="0" bottom="0" percent="0" rank="0" text="" dxfId="8">
      <formula>0</formula>
    </cfRule>
  </conditionalFormatting>
  <conditionalFormatting sqref="D621">
    <cfRule type="cellIs" priority="1232" operator="greaterThan" aboveAverage="0" equalAverage="0" bottom="0" percent="0" rank="0" text="" dxfId="10">
      <formula>GecOdemeEsik</formula>
    </cfRule>
  </conditionalFormatting>
  <conditionalFormatting sqref="E621">
    <cfRule type="cellIs" priority="1233" operator="greaterThan" aboveAverage="0" equalAverage="0" bottom="0" percent="0" rank="0" text="" dxfId="8">
      <formula>0</formula>
    </cfRule>
  </conditionalFormatting>
  <conditionalFormatting sqref="D622">
    <cfRule type="cellIs" priority="1234" operator="greaterThan" aboveAverage="0" equalAverage="0" bottom="0" percent="0" rank="0" text="" dxfId="10">
      <formula>GecOdemeEsik</formula>
    </cfRule>
  </conditionalFormatting>
  <conditionalFormatting sqref="E622">
    <cfRule type="cellIs" priority="1235" operator="greaterThan" aboveAverage="0" equalAverage="0" bottom="0" percent="0" rank="0" text="" dxfId="8">
      <formula>0</formula>
    </cfRule>
  </conditionalFormatting>
  <conditionalFormatting sqref="D623">
    <cfRule type="cellIs" priority="1236" operator="greaterThan" aboveAverage="0" equalAverage="0" bottom="0" percent="0" rank="0" text="" dxfId="10">
      <formula>GecOdemeEsik</formula>
    </cfRule>
  </conditionalFormatting>
  <conditionalFormatting sqref="E623">
    <cfRule type="cellIs" priority="1237" operator="greaterThan" aboveAverage="0" equalAverage="0" bottom="0" percent="0" rank="0" text="" dxfId="8">
      <formula>0</formula>
    </cfRule>
  </conditionalFormatting>
  <conditionalFormatting sqref="D624">
    <cfRule type="cellIs" priority="1238" operator="greaterThan" aboveAverage="0" equalAverage="0" bottom="0" percent="0" rank="0" text="" dxfId="10">
      <formula>GecOdemeEsik</formula>
    </cfRule>
  </conditionalFormatting>
  <conditionalFormatting sqref="E624">
    <cfRule type="cellIs" priority="1239" operator="greaterThan" aboveAverage="0" equalAverage="0" bottom="0" percent="0" rank="0" text="" dxfId="8">
      <formula>0</formula>
    </cfRule>
  </conditionalFormatting>
  <conditionalFormatting sqref="D625">
    <cfRule type="cellIs" priority="1240" operator="greaterThan" aboveAverage="0" equalAverage="0" bottom="0" percent="0" rank="0" text="" dxfId="10">
      <formula>GecOdemeEsik</formula>
    </cfRule>
  </conditionalFormatting>
  <conditionalFormatting sqref="E625">
    <cfRule type="cellIs" priority="1241" operator="greaterThan" aboveAverage="0" equalAverage="0" bottom="0" percent="0" rank="0" text="" dxfId="8">
      <formula>0</formula>
    </cfRule>
  </conditionalFormatting>
  <conditionalFormatting sqref="D626">
    <cfRule type="cellIs" priority="1242" operator="greaterThan" aboveAverage="0" equalAverage="0" bottom="0" percent="0" rank="0" text="" dxfId="10">
      <formula>GecOdemeEsik</formula>
    </cfRule>
  </conditionalFormatting>
  <conditionalFormatting sqref="E626">
    <cfRule type="cellIs" priority="1243" operator="greaterThan" aboveAverage="0" equalAverage="0" bottom="0" percent="0" rank="0" text="" dxfId="8">
      <formula>0</formula>
    </cfRule>
  </conditionalFormatting>
  <conditionalFormatting sqref="D627">
    <cfRule type="cellIs" priority="1244" operator="greaterThan" aboveAverage="0" equalAverage="0" bottom="0" percent="0" rank="0" text="" dxfId="10">
      <formula>GecOdemeEsik</formula>
    </cfRule>
  </conditionalFormatting>
  <conditionalFormatting sqref="E627">
    <cfRule type="cellIs" priority="1245" operator="greaterThan" aboveAverage="0" equalAverage="0" bottom="0" percent="0" rank="0" text="" dxfId="8">
      <formula>0</formula>
    </cfRule>
  </conditionalFormatting>
  <conditionalFormatting sqref="D628">
    <cfRule type="cellIs" priority="1246" operator="greaterThan" aboveAverage="0" equalAverage="0" bottom="0" percent="0" rank="0" text="" dxfId="10">
      <formula>GecOdemeEsik</formula>
    </cfRule>
  </conditionalFormatting>
  <conditionalFormatting sqref="E628">
    <cfRule type="cellIs" priority="1247" operator="greaterThan" aboveAverage="0" equalAverage="0" bottom="0" percent="0" rank="0" text="" dxfId="8">
      <formula>0</formula>
    </cfRule>
  </conditionalFormatting>
  <conditionalFormatting sqref="D629">
    <cfRule type="cellIs" priority="1248" operator="greaterThan" aboveAverage="0" equalAverage="0" bottom="0" percent="0" rank="0" text="" dxfId="10">
      <formula>GecOdemeEsik</formula>
    </cfRule>
  </conditionalFormatting>
  <conditionalFormatting sqref="E629">
    <cfRule type="cellIs" priority="1249" operator="greaterThan" aboveAverage="0" equalAverage="0" bottom="0" percent="0" rank="0" text="" dxfId="8">
      <formula>0</formula>
    </cfRule>
  </conditionalFormatting>
  <conditionalFormatting sqref="D630">
    <cfRule type="cellIs" priority="1250" operator="greaterThan" aboveAverage="0" equalAverage="0" bottom="0" percent="0" rank="0" text="" dxfId="10">
      <formula>GecOdemeEsik</formula>
    </cfRule>
  </conditionalFormatting>
  <conditionalFormatting sqref="E630">
    <cfRule type="cellIs" priority="1251" operator="greaterThan" aboveAverage="0" equalAverage="0" bottom="0" percent="0" rank="0" text="" dxfId="8">
      <formula>0</formula>
    </cfRule>
  </conditionalFormatting>
  <conditionalFormatting sqref="D631">
    <cfRule type="cellIs" priority="1252" operator="greaterThan" aboveAverage="0" equalAverage="0" bottom="0" percent="0" rank="0" text="" dxfId="10">
      <formula>GecOdemeEsik</formula>
    </cfRule>
  </conditionalFormatting>
  <conditionalFormatting sqref="E631">
    <cfRule type="cellIs" priority="1253" operator="greaterThan" aboveAverage="0" equalAverage="0" bottom="0" percent="0" rank="0" text="" dxfId="8">
      <formula>0</formula>
    </cfRule>
  </conditionalFormatting>
  <conditionalFormatting sqref="D632">
    <cfRule type="cellIs" priority="1254" operator="greaterThan" aboveAverage="0" equalAverage="0" bottom="0" percent="0" rank="0" text="" dxfId="10">
      <formula>GecOdemeEsik</formula>
    </cfRule>
  </conditionalFormatting>
  <conditionalFormatting sqref="E632">
    <cfRule type="cellIs" priority="1255" operator="greaterThan" aboveAverage="0" equalAverage="0" bottom="0" percent="0" rank="0" text="" dxfId="8">
      <formula>0</formula>
    </cfRule>
  </conditionalFormatting>
  <conditionalFormatting sqref="D633">
    <cfRule type="cellIs" priority="1256" operator="greaterThan" aboveAverage="0" equalAverage="0" bottom="0" percent="0" rank="0" text="" dxfId="10">
      <formula>GecOdemeEsik</formula>
    </cfRule>
  </conditionalFormatting>
  <conditionalFormatting sqref="E633">
    <cfRule type="cellIs" priority="1257" operator="greaterThan" aboveAverage="0" equalAverage="0" bottom="0" percent="0" rank="0" text="" dxfId="8">
      <formula>0</formula>
    </cfRule>
  </conditionalFormatting>
  <conditionalFormatting sqref="D634">
    <cfRule type="cellIs" priority="1258" operator="greaterThan" aboveAverage="0" equalAverage="0" bottom="0" percent="0" rank="0" text="" dxfId="10">
      <formula>GecOdemeEsik</formula>
    </cfRule>
  </conditionalFormatting>
  <conditionalFormatting sqref="E634">
    <cfRule type="cellIs" priority="1259" operator="greaterThan" aboveAverage="0" equalAverage="0" bottom="0" percent="0" rank="0" text="" dxfId="8">
      <formula>0</formula>
    </cfRule>
  </conditionalFormatting>
  <conditionalFormatting sqref="D635">
    <cfRule type="cellIs" priority="1260" operator="greaterThan" aboveAverage="0" equalAverage="0" bottom="0" percent="0" rank="0" text="" dxfId="10">
      <formula>GecOdemeEsik</formula>
    </cfRule>
  </conditionalFormatting>
  <conditionalFormatting sqref="E635">
    <cfRule type="cellIs" priority="1261" operator="greaterThan" aboveAverage="0" equalAverage="0" bottom="0" percent="0" rank="0" text="" dxfId="8">
      <formula>0</formula>
    </cfRule>
  </conditionalFormatting>
  <conditionalFormatting sqref="D636">
    <cfRule type="cellIs" priority="1262" operator="greaterThan" aboveAverage="0" equalAverage="0" bottom="0" percent="0" rank="0" text="" dxfId="10">
      <formula>GecOdemeEsik</formula>
    </cfRule>
  </conditionalFormatting>
  <conditionalFormatting sqref="E636">
    <cfRule type="cellIs" priority="1263" operator="greaterThan" aboveAverage="0" equalAverage="0" bottom="0" percent="0" rank="0" text="" dxfId="8">
      <formula>0</formula>
    </cfRule>
  </conditionalFormatting>
  <conditionalFormatting sqref="D637">
    <cfRule type="cellIs" priority="1264" operator="greaterThan" aboveAverage="0" equalAverage="0" bottom="0" percent="0" rank="0" text="" dxfId="10">
      <formula>GecOdemeEsik</formula>
    </cfRule>
  </conditionalFormatting>
  <conditionalFormatting sqref="E637">
    <cfRule type="cellIs" priority="1265" operator="greaterThan" aboveAverage="0" equalAverage="0" bottom="0" percent="0" rank="0" text="" dxfId="8">
      <formula>0</formula>
    </cfRule>
  </conditionalFormatting>
  <conditionalFormatting sqref="D638">
    <cfRule type="cellIs" priority="1266" operator="greaterThan" aboveAverage="0" equalAverage="0" bottom="0" percent="0" rank="0" text="" dxfId="10">
      <formula>GecOdemeEsik</formula>
    </cfRule>
  </conditionalFormatting>
  <conditionalFormatting sqref="E638">
    <cfRule type="cellIs" priority="1267" operator="greaterThan" aboveAverage="0" equalAverage="0" bottom="0" percent="0" rank="0" text="" dxfId="8">
      <formula>0</formula>
    </cfRule>
  </conditionalFormatting>
  <conditionalFormatting sqref="D639">
    <cfRule type="cellIs" priority="1268" operator="greaterThan" aboveAverage="0" equalAverage="0" bottom="0" percent="0" rank="0" text="" dxfId="10">
      <formula>GecOdemeEsik</formula>
    </cfRule>
  </conditionalFormatting>
  <conditionalFormatting sqref="E639">
    <cfRule type="cellIs" priority="1269" operator="greaterThan" aboveAverage="0" equalAverage="0" bottom="0" percent="0" rank="0" text="" dxfId="8">
      <formula>0</formula>
    </cfRule>
  </conditionalFormatting>
  <conditionalFormatting sqref="D640">
    <cfRule type="cellIs" priority="1270" operator="greaterThan" aboveAverage="0" equalAverage="0" bottom="0" percent="0" rank="0" text="" dxfId="10">
      <formula>GecOdemeEsik</formula>
    </cfRule>
  </conditionalFormatting>
  <conditionalFormatting sqref="E640">
    <cfRule type="cellIs" priority="1271" operator="greaterThan" aboveAverage="0" equalAverage="0" bottom="0" percent="0" rank="0" text="" dxfId="8">
      <formula>0</formula>
    </cfRule>
  </conditionalFormatting>
  <conditionalFormatting sqref="D641">
    <cfRule type="cellIs" priority="1272" operator="greaterThan" aboveAverage="0" equalAverage="0" bottom="0" percent="0" rank="0" text="" dxfId="10">
      <formula>GecOdemeEsik</formula>
    </cfRule>
  </conditionalFormatting>
  <conditionalFormatting sqref="E641">
    <cfRule type="cellIs" priority="1273" operator="greaterThan" aboveAverage="0" equalAverage="0" bottom="0" percent="0" rank="0" text="" dxfId="8">
      <formula>0</formula>
    </cfRule>
  </conditionalFormatting>
  <conditionalFormatting sqref="D642">
    <cfRule type="cellIs" priority="1274" operator="greaterThan" aboveAverage="0" equalAverage="0" bottom="0" percent="0" rank="0" text="" dxfId="10">
      <formula>GecOdemeEsik</formula>
    </cfRule>
  </conditionalFormatting>
  <conditionalFormatting sqref="E642">
    <cfRule type="cellIs" priority="1275" operator="greaterThan" aboveAverage="0" equalAverage="0" bottom="0" percent="0" rank="0" text="" dxfId="8">
      <formula>0</formula>
    </cfRule>
  </conditionalFormatting>
  <conditionalFormatting sqref="D643">
    <cfRule type="cellIs" priority="1276" operator="greaterThan" aboveAverage="0" equalAverage="0" bottom="0" percent="0" rank="0" text="" dxfId="10">
      <formula>GecOdemeEsik</formula>
    </cfRule>
  </conditionalFormatting>
  <conditionalFormatting sqref="E643">
    <cfRule type="cellIs" priority="1277" operator="greaterThan" aboveAverage="0" equalAverage="0" bottom="0" percent="0" rank="0" text="" dxfId="8">
      <formula>0</formula>
    </cfRule>
  </conditionalFormatting>
  <conditionalFormatting sqref="D644">
    <cfRule type="cellIs" priority="1278" operator="greaterThan" aboveAverage="0" equalAverage="0" bottom="0" percent="0" rank="0" text="" dxfId="10">
      <formula>GecOdemeEsik</formula>
    </cfRule>
  </conditionalFormatting>
  <conditionalFormatting sqref="E644">
    <cfRule type="cellIs" priority="1279" operator="greaterThan" aboveAverage="0" equalAverage="0" bottom="0" percent="0" rank="0" text="" dxfId="8">
      <formula>0</formula>
    </cfRule>
  </conditionalFormatting>
  <conditionalFormatting sqref="D645">
    <cfRule type="cellIs" priority="1280" operator="greaterThan" aboveAverage="0" equalAverage="0" bottom="0" percent="0" rank="0" text="" dxfId="10">
      <formula>GecOdemeEsik</formula>
    </cfRule>
  </conditionalFormatting>
  <conditionalFormatting sqref="E645">
    <cfRule type="cellIs" priority="1281" operator="greaterThan" aboveAverage="0" equalAverage="0" bottom="0" percent="0" rank="0" text="" dxfId="8">
      <formula>0</formula>
    </cfRule>
  </conditionalFormatting>
  <conditionalFormatting sqref="D646">
    <cfRule type="cellIs" priority="1282" operator="greaterThan" aboveAverage="0" equalAverage="0" bottom="0" percent="0" rank="0" text="" dxfId="10">
      <formula>GecOdemeEsik</formula>
    </cfRule>
  </conditionalFormatting>
  <conditionalFormatting sqref="E646">
    <cfRule type="cellIs" priority="1283" operator="greaterThan" aboveAverage="0" equalAverage="0" bottom="0" percent="0" rank="0" text="" dxfId="8">
      <formula>0</formula>
    </cfRule>
  </conditionalFormatting>
  <conditionalFormatting sqref="D647">
    <cfRule type="cellIs" priority="1284" operator="greaterThan" aboveAverage="0" equalAverage="0" bottom="0" percent="0" rank="0" text="" dxfId="10">
      <formula>GecOdemeEsik</formula>
    </cfRule>
  </conditionalFormatting>
  <conditionalFormatting sqref="E647">
    <cfRule type="cellIs" priority="1285" operator="greaterThan" aboveAverage="0" equalAverage="0" bottom="0" percent="0" rank="0" text="" dxfId="8">
      <formula>0</formula>
    </cfRule>
  </conditionalFormatting>
  <conditionalFormatting sqref="D648">
    <cfRule type="cellIs" priority="1286" operator="greaterThan" aboveAverage="0" equalAverage="0" bottom="0" percent="0" rank="0" text="" dxfId="10">
      <formula>GecOdemeEsik</formula>
    </cfRule>
  </conditionalFormatting>
  <conditionalFormatting sqref="E648">
    <cfRule type="cellIs" priority="1287" operator="greaterThan" aboveAverage="0" equalAverage="0" bottom="0" percent="0" rank="0" text="" dxfId="8">
      <formula>0</formula>
    </cfRule>
  </conditionalFormatting>
  <conditionalFormatting sqref="D649">
    <cfRule type="cellIs" priority="1288" operator="greaterThan" aboveAverage="0" equalAverage="0" bottom="0" percent="0" rank="0" text="" dxfId="10">
      <formula>GecOdemeEsik</formula>
    </cfRule>
  </conditionalFormatting>
  <conditionalFormatting sqref="E649">
    <cfRule type="cellIs" priority="1289" operator="greaterThan" aboveAverage="0" equalAverage="0" bottom="0" percent="0" rank="0" text="" dxfId="8">
      <formula>0</formula>
    </cfRule>
  </conditionalFormatting>
  <conditionalFormatting sqref="D650">
    <cfRule type="cellIs" priority="1290" operator="greaterThan" aboveAverage="0" equalAverage="0" bottom="0" percent="0" rank="0" text="" dxfId="10">
      <formula>GecOdemeEsik</formula>
    </cfRule>
  </conditionalFormatting>
  <conditionalFormatting sqref="E650">
    <cfRule type="cellIs" priority="1291" operator="greaterThan" aboveAverage="0" equalAverage="0" bottom="0" percent="0" rank="0" text="" dxfId="8">
      <formula>0</formula>
    </cfRule>
  </conditionalFormatting>
  <conditionalFormatting sqref="D651">
    <cfRule type="cellIs" priority="1292" operator="greaterThan" aboveAverage="0" equalAverage="0" bottom="0" percent="0" rank="0" text="" dxfId="10">
      <formula>GecOdemeEsik</formula>
    </cfRule>
  </conditionalFormatting>
  <conditionalFormatting sqref="E651">
    <cfRule type="cellIs" priority="1293" operator="greaterThan" aboveAverage="0" equalAverage="0" bottom="0" percent="0" rank="0" text="" dxfId="8">
      <formula>0</formula>
    </cfRule>
  </conditionalFormatting>
  <conditionalFormatting sqref="D652">
    <cfRule type="cellIs" priority="1294" operator="greaterThan" aboveAverage="0" equalAverage="0" bottom="0" percent="0" rank="0" text="" dxfId="10">
      <formula>GecOdemeEsik</formula>
    </cfRule>
  </conditionalFormatting>
  <conditionalFormatting sqref="E652">
    <cfRule type="cellIs" priority="1295" operator="greaterThan" aboveAverage="0" equalAverage="0" bottom="0" percent="0" rank="0" text="" dxfId="8">
      <formula>0</formula>
    </cfRule>
  </conditionalFormatting>
  <conditionalFormatting sqref="D653">
    <cfRule type="cellIs" priority="1296" operator="greaterThan" aboveAverage="0" equalAverage="0" bottom="0" percent="0" rank="0" text="" dxfId="10">
      <formula>GecOdemeEsik</formula>
    </cfRule>
  </conditionalFormatting>
  <conditionalFormatting sqref="E653">
    <cfRule type="cellIs" priority="1297" operator="greaterThan" aboveAverage="0" equalAverage="0" bottom="0" percent="0" rank="0" text="" dxfId="8">
      <formula>0</formula>
    </cfRule>
  </conditionalFormatting>
  <conditionalFormatting sqref="D654">
    <cfRule type="cellIs" priority="1298" operator="greaterThan" aboveAverage="0" equalAverage="0" bottom="0" percent="0" rank="0" text="" dxfId="10">
      <formula>GecOdemeEsik</formula>
    </cfRule>
  </conditionalFormatting>
  <conditionalFormatting sqref="E654">
    <cfRule type="cellIs" priority="1299" operator="greaterThan" aboveAverage="0" equalAverage="0" bottom="0" percent="0" rank="0" text="" dxfId="8">
      <formula>0</formula>
    </cfRule>
  </conditionalFormatting>
  <conditionalFormatting sqref="D655">
    <cfRule type="cellIs" priority="1300" operator="greaterThan" aboveAverage="0" equalAverage="0" bottom="0" percent="0" rank="0" text="" dxfId="10">
      <formula>GecOdemeEsik</formula>
    </cfRule>
  </conditionalFormatting>
  <conditionalFormatting sqref="E655">
    <cfRule type="cellIs" priority="1301" operator="greaterThan" aboveAverage="0" equalAverage="0" bottom="0" percent="0" rank="0" text="" dxfId="8">
      <formula>0</formula>
    </cfRule>
  </conditionalFormatting>
  <conditionalFormatting sqref="D656">
    <cfRule type="cellIs" priority="1302" operator="greaterThan" aboveAverage="0" equalAverage="0" bottom="0" percent="0" rank="0" text="" dxfId="10">
      <formula>GecOdemeEsik</formula>
    </cfRule>
  </conditionalFormatting>
  <conditionalFormatting sqref="E656">
    <cfRule type="cellIs" priority="1303" operator="greaterThan" aboveAverage="0" equalAverage="0" bottom="0" percent="0" rank="0" text="" dxfId="8">
      <formula>0</formula>
    </cfRule>
  </conditionalFormatting>
  <conditionalFormatting sqref="D657">
    <cfRule type="cellIs" priority="1304" operator="greaterThan" aboveAverage="0" equalAverage="0" bottom="0" percent="0" rank="0" text="" dxfId="10">
      <formula>GecOdemeEsik</formula>
    </cfRule>
  </conditionalFormatting>
  <conditionalFormatting sqref="E657">
    <cfRule type="cellIs" priority="1305" operator="greaterThan" aboveAverage="0" equalAverage="0" bottom="0" percent="0" rank="0" text="" dxfId="8">
      <formula>0</formula>
    </cfRule>
  </conditionalFormatting>
  <conditionalFormatting sqref="D658">
    <cfRule type="cellIs" priority="1306" operator="greaterThan" aboveAverage="0" equalAverage="0" bottom="0" percent="0" rank="0" text="" dxfId="10">
      <formula>GecOdemeEsik</formula>
    </cfRule>
  </conditionalFormatting>
  <conditionalFormatting sqref="E658">
    <cfRule type="cellIs" priority="1307" operator="greaterThan" aboveAverage="0" equalAverage="0" bottom="0" percent="0" rank="0" text="" dxfId="8">
      <formula>0</formula>
    </cfRule>
  </conditionalFormatting>
  <conditionalFormatting sqref="D659">
    <cfRule type="cellIs" priority="1308" operator="greaterThan" aboveAverage="0" equalAverage="0" bottom="0" percent="0" rank="0" text="" dxfId="10">
      <formula>GecOdemeEsik</formula>
    </cfRule>
  </conditionalFormatting>
  <conditionalFormatting sqref="E659">
    <cfRule type="cellIs" priority="1309" operator="greaterThan" aboveAverage="0" equalAverage="0" bottom="0" percent="0" rank="0" text="" dxfId="8">
      <formula>0</formula>
    </cfRule>
  </conditionalFormatting>
  <conditionalFormatting sqref="D660">
    <cfRule type="cellIs" priority="1310" operator="greaterThan" aboveAverage="0" equalAverage="0" bottom="0" percent="0" rank="0" text="" dxfId="10">
      <formula>GecOdemeEsik</formula>
    </cfRule>
  </conditionalFormatting>
  <conditionalFormatting sqref="E660">
    <cfRule type="cellIs" priority="1311" operator="greaterThan" aboveAverage="0" equalAverage="0" bottom="0" percent="0" rank="0" text="" dxfId="8">
      <formula>0</formula>
    </cfRule>
  </conditionalFormatting>
  <conditionalFormatting sqref="D661">
    <cfRule type="cellIs" priority="1312" operator="greaterThan" aboveAverage="0" equalAverage="0" bottom="0" percent="0" rank="0" text="" dxfId="10">
      <formula>GecOdemeEsik</formula>
    </cfRule>
  </conditionalFormatting>
  <conditionalFormatting sqref="E661">
    <cfRule type="cellIs" priority="1313" operator="greaterThan" aboveAverage="0" equalAverage="0" bottom="0" percent="0" rank="0" text="" dxfId="8">
      <formula>0</formula>
    </cfRule>
  </conditionalFormatting>
  <conditionalFormatting sqref="D662">
    <cfRule type="cellIs" priority="1314" operator="greaterThan" aboveAverage="0" equalAverage="0" bottom="0" percent="0" rank="0" text="" dxfId="10">
      <formula>GecOdemeEsik</formula>
    </cfRule>
  </conditionalFormatting>
  <conditionalFormatting sqref="E662">
    <cfRule type="cellIs" priority="1315" operator="greaterThan" aboveAverage="0" equalAverage="0" bottom="0" percent="0" rank="0" text="" dxfId="8">
      <formula>0</formula>
    </cfRule>
  </conditionalFormatting>
  <conditionalFormatting sqref="D663">
    <cfRule type="cellIs" priority="1316" operator="greaterThan" aboveAverage="0" equalAverage="0" bottom="0" percent="0" rank="0" text="" dxfId="10">
      <formula>GecOdemeEsik</formula>
    </cfRule>
  </conditionalFormatting>
  <conditionalFormatting sqref="E663">
    <cfRule type="cellIs" priority="1317" operator="greaterThan" aboveAverage="0" equalAverage="0" bottom="0" percent="0" rank="0" text="" dxfId="8">
      <formula>0</formula>
    </cfRule>
  </conditionalFormatting>
  <conditionalFormatting sqref="D664">
    <cfRule type="cellIs" priority="1318" operator="greaterThan" aboveAverage="0" equalAverage="0" bottom="0" percent="0" rank="0" text="" dxfId="10">
      <formula>GecOdemeEsik</formula>
    </cfRule>
  </conditionalFormatting>
  <conditionalFormatting sqref="E664">
    <cfRule type="cellIs" priority="1319" operator="greaterThan" aboveAverage="0" equalAverage="0" bottom="0" percent="0" rank="0" text="" dxfId="8">
      <formula>0</formula>
    </cfRule>
  </conditionalFormatting>
  <conditionalFormatting sqref="D665">
    <cfRule type="cellIs" priority="1320" operator="greaterThan" aboveAverage="0" equalAverage="0" bottom="0" percent="0" rank="0" text="" dxfId="10">
      <formula>GecOdemeEsik</formula>
    </cfRule>
  </conditionalFormatting>
  <conditionalFormatting sqref="E665">
    <cfRule type="cellIs" priority="1321" operator="greaterThan" aboveAverage="0" equalAverage="0" bottom="0" percent="0" rank="0" text="" dxfId="8">
      <formula>0</formula>
    </cfRule>
  </conditionalFormatting>
  <conditionalFormatting sqref="D666">
    <cfRule type="cellIs" priority="1322" operator="greaterThan" aboveAverage="0" equalAverage="0" bottom="0" percent="0" rank="0" text="" dxfId="10">
      <formula>GecOdemeEsik</formula>
    </cfRule>
  </conditionalFormatting>
  <conditionalFormatting sqref="E666">
    <cfRule type="cellIs" priority="1323" operator="greaterThan" aboveAverage="0" equalAverage="0" bottom="0" percent="0" rank="0" text="" dxfId="8">
      <formula>0</formula>
    </cfRule>
  </conditionalFormatting>
  <conditionalFormatting sqref="D667">
    <cfRule type="cellIs" priority="1324" operator="greaterThan" aboveAverage="0" equalAverage="0" bottom="0" percent="0" rank="0" text="" dxfId="10">
      <formula>GecOdemeEsik</formula>
    </cfRule>
  </conditionalFormatting>
  <conditionalFormatting sqref="E667">
    <cfRule type="cellIs" priority="1325" operator="greaterThan" aboveAverage="0" equalAverage="0" bottom="0" percent="0" rank="0" text="" dxfId="8">
      <formula>0</formula>
    </cfRule>
  </conditionalFormatting>
  <conditionalFormatting sqref="D668">
    <cfRule type="cellIs" priority="1326" operator="greaterThan" aboveAverage="0" equalAverage="0" bottom="0" percent="0" rank="0" text="" dxfId="10">
      <formula>GecOdemeEsik</formula>
    </cfRule>
  </conditionalFormatting>
  <conditionalFormatting sqref="E668">
    <cfRule type="cellIs" priority="1327" operator="greaterThan" aboveAverage="0" equalAverage="0" bottom="0" percent="0" rank="0" text="" dxfId="8">
      <formula>0</formula>
    </cfRule>
  </conditionalFormatting>
  <conditionalFormatting sqref="D669">
    <cfRule type="cellIs" priority="1328" operator="greaterThan" aboveAverage="0" equalAverage="0" bottom="0" percent="0" rank="0" text="" dxfId="10">
      <formula>GecOdemeEsik</formula>
    </cfRule>
  </conditionalFormatting>
  <conditionalFormatting sqref="E669">
    <cfRule type="cellIs" priority="1329" operator="greaterThan" aboveAverage="0" equalAverage="0" bottom="0" percent="0" rank="0" text="" dxfId="8">
      <formula>0</formula>
    </cfRule>
  </conditionalFormatting>
  <conditionalFormatting sqref="D670">
    <cfRule type="cellIs" priority="1330" operator="greaterThan" aboveAverage="0" equalAverage="0" bottom="0" percent="0" rank="0" text="" dxfId="10">
      <formula>GecOdemeEsik</formula>
    </cfRule>
  </conditionalFormatting>
  <conditionalFormatting sqref="E670">
    <cfRule type="cellIs" priority="1331" operator="greaterThan" aboveAverage="0" equalAverage="0" bottom="0" percent="0" rank="0" text="" dxfId="8">
      <formula>0</formula>
    </cfRule>
  </conditionalFormatting>
  <conditionalFormatting sqref="D671">
    <cfRule type="cellIs" priority="1332" operator="greaterThan" aboveAverage="0" equalAverage="0" bottom="0" percent="0" rank="0" text="" dxfId="10">
      <formula>GecOdemeEsik</formula>
    </cfRule>
  </conditionalFormatting>
  <conditionalFormatting sqref="E671">
    <cfRule type="cellIs" priority="1333" operator="greaterThan" aboveAverage="0" equalAverage="0" bottom="0" percent="0" rank="0" text="" dxfId="8">
      <formula>0</formula>
    </cfRule>
  </conditionalFormatting>
  <conditionalFormatting sqref="D672">
    <cfRule type="cellIs" priority="1334" operator="greaterThan" aboveAverage="0" equalAverage="0" bottom="0" percent="0" rank="0" text="" dxfId="10">
      <formula>GecOdemeEsik</formula>
    </cfRule>
  </conditionalFormatting>
  <conditionalFormatting sqref="E672">
    <cfRule type="cellIs" priority="1335" operator="greaterThan" aboveAverage="0" equalAverage="0" bottom="0" percent="0" rank="0" text="" dxfId="8">
      <formula>0</formula>
    </cfRule>
  </conditionalFormatting>
  <conditionalFormatting sqref="D673">
    <cfRule type="cellIs" priority="1336" operator="greaterThan" aboveAverage="0" equalAverage="0" bottom="0" percent="0" rank="0" text="" dxfId="10">
      <formula>GecOdemeEsik</formula>
    </cfRule>
  </conditionalFormatting>
  <conditionalFormatting sqref="E673">
    <cfRule type="cellIs" priority="1337" operator="greaterThan" aboveAverage="0" equalAverage="0" bottom="0" percent="0" rank="0" text="" dxfId="8">
      <formula>0</formula>
    </cfRule>
  </conditionalFormatting>
  <conditionalFormatting sqref="D674">
    <cfRule type="cellIs" priority="1338" operator="greaterThan" aboveAverage="0" equalAverage="0" bottom="0" percent="0" rank="0" text="" dxfId="10">
      <formula>GecOdemeEsik</formula>
    </cfRule>
  </conditionalFormatting>
  <conditionalFormatting sqref="E674">
    <cfRule type="cellIs" priority="1339" operator="greaterThan" aboveAverage="0" equalAverage="0" bottom="0" percent="0" rank="0" text="" dxfId="8">
      <formula>0</formula>
    </cfRule>
  </conditionalFormatting>
  <conditionalFormatting sqref="D675">
    <cfRule type="cellIs" priority="1340" operator="greaterThan" aboveAverage="0" equalAverage="0" bottom="0" percent="0" rank="0" text="" dxfId="10">
      <formula>GecOdemeEsik</formula>
    </cfRule>
  </conditionalFormatting>
  <conditionalFormatting sqref="E675">
    <cfRule type="cellIs" priority="1341" operator="greaterThan" aboveAverage="0" equalAverage="0" bottom="0" percent="0" rank="0" text="" dxfId="8">
      <formula>0</formula>
    </cfRule>
  </conditionalFormatting>
  <conditionalFormatting sqref="D676">
    <cfRule type="cellIs" priority="1342" operator="greaterThan" aboveAverage="0" equalAverage="0" bottom="0" percent="0" rank="0" text="" dxfId="10">
      <formula>GecOdemeEsik</formula>
    </cfRule>
  </conditionalFormatting>
  <conditionalFormatting sqref="E676">
    <cfRule type="cellIs" priority="1343" operator="greaterThan" aboveAverage="0" equalAverage="0" bottom="0" percent="0" rank="0" text="" dxfId="8">
      <formula>0</formula>
    </cfRule>
  </conditionalFormatting>
  <conditionalFormatting sqref="D677">
    <cfRule type="cellIs" priority="1344" operator="greaterThan" aboveAverage="0" equalAverage="0" bottom="0" percent="0" rank="0" text="" dxfId="10">
      <formula>GecOdemeEsik</formula>
    </cfRule>
  </conditionalFormatting>
  <conditionalFormatting sqref="E677">
    <cfRule type="cellIs" priority="1345" operator="greaterThan" aboveAverage="0" equalAverage="0" bottom="0" percent="0" rank="0" text="" dxfId="8">
      <formula>0</formula>
    </cfRule>
  </conditionalFormatting>
  <conditionalFormatting sqref="D678">
    <cfRule type="cellIs" priority="1346" operator="greaterThan" aboveAverage="0" equalAverage="0" bottom="0" percent="0" rank="0" text="" dxfId="10">
      <formula>GecOdemeEsik</formula>
    </cfRule>
  </conditionalFormatting>
  <conditionalFormatting sqref="E678">
    <cfRule type="cellIs" priority="1347" operator="greaterThan" aboveAverage="0" equalAverage="0" bottom="0" percent="0" rank="0" text="" dxfId="8">
      <formula>0</formula>
    </cfRule>
  </conditionalFormatting>
  <conditionalFormatting sqref="D679">
    <cfRule type="cellIs" priority="1348" operator="greaterThan" aboveAverage="0" equalAverage="0" bottom="0" percent="0" rank="0" text="" dxfId="10">
      <formula>GecOdemeEsik</formula>
    </cfRule>
  </conditionalFormatting>
  <conditionalFormatting sqref="E679">
    <cfRule type="cellIs" priority="1349" operator="greaterThan" aboveAverage="0" equalAverage="0" bottom="0" percent="0" rank="0" text="" dxfId="8">
      <formula>0</formula>
    </cfRule>
  </conditionalFormatting>
  <conditionalFormatting sqref="D680">
    <cfRule type="cellIs" priority="1350" operator="greaterThan" aboveAverage="0" equalAverage="0" bottom="0" percent="0" rank="0" text="" dxfId="10">
      <formula>GecOdemeEsik</formula>
    </cfRule>
  </conditionalFormatting>
  <conditionalFormatting sqref="E680">
    <cfRule type="cellIs" priority="1351" operator="greaterThan" aboveAverage="0" equalAverage="0" bottom="0" percent="0" rank="0" text="" dxfId="8">
      <formula>0</formula>
    </cfRule>
  </conditionalFormatting>
  <conditionalFormatting sqref="D681">
    <cfRule type="cellIs" priority="1352" operator="greaterThan" aboveAverage="0" equalAverage="0" bottom="0" percent="0" rank="0" text="" dxfId="10">
      <formula>GecOdemeEsik</formula>
    </cfRule>
  </conditionalFormatting>
  <conditionalFormatting sqref="E681">
    <cfRule type="cellIs" priority="1353" operator="greaterThan" aboveAverage="0" equalAverage="0" bottom="0" percent="0" rank="0" text="" dxfId="8">
      <formula>0</formula>
    </cfRule>
  </conditionalFormatting>
  <conditionalFormatting sqref="D682">
    <cfRule type="cellIs" priority="1354" operator="greaterThan" aboveAverage="0" equalAverage="0" bottom="0" percent="0" rank="0" text="" dxfId="10">
      <formula>GecOdemeEsik</formula>
    </cfRule>
  </conditionalFormatting>
  <conditionalFormatting sqref="E682">
    <cfRule type="cellIs" priority="1355" operator="greaterThan" aboveAverage="0" equalAverage="0" bottom="0" percent="0" rank="0" text="" dxfId="8">
      <formula>0</formula>
    </cfRule>
  </conditionalFormatting>
  <conditionalFormatting sqref="D683">
    <cfRule type="cellIs" priority="1356" operator="greaterThan" aboveAverage="0" equalAverage="0" bottom="0" percent="0" rank="0" text="" dxfId="10">
      <formula>GecOdemeEsik</formula>
    </cfRule>
  </conditionalFormatting>
  <conditionalFormatting sqref="E683">
    <cfRule type="cellIs" priority="1357" operator="greaterThan" aboveAverage="0" equalAverage="0" bottom="0" percent="0" rank="0" text="" dxfId="8">
      <formula>0</formula>
    </cfRule>
  </conditionalFormatting>
  <conditionalFormatting sqref="D684">
    <cfRule type="cellIs" priority="1358" operator="greaterThan" aboveAverage="0" equalAverage="0" bottom="0" percent="0" rank="0" text="" dxfId="10">
      <formula>GecOdemeEsik</formula>
    </cfRule>
  </conditionalFormatting>
  <conditionalFormatting sqref="E684">
    <cfRule type="cellIs" priority="1359" operator="greaterThan" aboveAverage="0" equalAverage="0" bottom="0" percent="0" rank="0" text="" dxfId="8">
      <formula>0</formula>
    </cfRule>
  </conditionalFormatting>
  <conditionalFormatting sqref="D685">
    <cfRule type="cellIs" priority="1360" operator="greaterThan" aboveAverage="0" equalAverage="0" bottom="0" percent="0" rank="0" text="" dxfId="10">
      <formula>GecOdemeEsik</formula>
    </cfRule>
  </conditionalFormatting>
  <conditionalFormatting sqref="E685">
    <cfRule type="cellIs" priority="1361" operator="greaterThan" aboveAverage="0" equalAverage="0" bottom="0" percent="0" rank="0" text="" dxfId="8">
      <formula>0</formula>
    </cfRule>
  </conditionalFormatting>
  <conditionalFormatting sqref="D686">
    <cfRule type="cellIs" priority="1362" operator="greaterThan" aboveAverage="0" equalAverage="0" bottom="0" percent="0" rank="0" text="" dxfId="10">
      <formula>GecOdemeEsik</formula>
    </cfRule>
  </conditionalFormatting>
  <conditionalFormatting sqref="E686">
    <cfRule type="cellIs" priority="1363" operator="greaterThan" aboveAverage="0" equalAverage="0" bottom="0" percent="0" rank="0" text="" dxfId="8">
      <formula>0</formula>
    </cfRule>
  </conditionalFormatting>
  <conditionalFormatting sqref="D687">
    <cfRule type="cellIs" priority="1364" operator="greaterThan" aboveAverage="0" equalAverage="0" bottom="0" percent="0" rank="0" text="" dxfId="10">
      <formula>GecOdemeEsik</formula>
    </cfRule>
  </conditionalFormatting>
  <conditionalFormatting sqref="E687">
    <cfRule type="cellIs" priority="1365" operator="greaterThan" aboveAverage="0" equalAverage="0" bottom="0" percent="0" rank="0" text="" dxfId="8">
      <formula>0</formula>
    </cfRule>
  </conditionalFormatting>
  <conditionalFormatting sqref="D688">
    <cfRule type="cellIs" priority="1366" operator="greaterThan" aboveAverage="0" equalAverage="0" bottom="0" percent="0" rank="0" text="" dxfId="10">
      <formula>GecOdemeEsik</formula>
    </cfRule>
  </conditionalFormatting>
  <conditionalFormatting sqref="E688">
    <cfRule type="cellIs" priority="1367" operator="greaterThan" aboveAverage="0" equalAverage="0" bottom="0" percent="0" rank="0" text="" dxfId="8">
      <formula>0</formula>
    </cfRule>
  </conditionalFormatting>
  <conditionalFormatting sqref="D689">
    <cfRule type="cellIs" priority="1368" operator="greaterThan" aboveAverage="0" equalAverage="0" bottom="0" percent="0" rank="0" text="" dxfId="10">
      <formula>GecOdemeEsik</formula>
    </cfRule>
  </conditionalFormatting>
  <conditionalFormatting sqref="E689">
    <cfRule type="cellIs" priority="1369" operator="greaterThan" aboveAverage="0" equalAverage="0" bottom="0" percent="0" rank="0" text="" dxfId="8">
      <formula>0</formula>
    </cfRule>
  </conditionalFormatting>
  <conditionalFormatting sqref="D690">
    <cfRule type="cellIs" priority="1370" operator="greaterThan" aboveAverage="0" equalAverage="0" bottom="0" percent="0" rank="0" text="" dxfId="10">
      <formula>GecOdemeEsik</formula>
    </cfRule>
  </conditionalFormatting>
  <conditionalFormatting sqref="E690">
    <cfRule type="cellIs" priority="1371" operator="greaterThan" aboveAverage="0" equalAverage="0" bottom="0" percent="0" rank="0" text="" dxfId="8">
      <formula>0</formula>
    </cfRule>
  </conditionalFormatting>
  <conditionalFormatting sqref="D691">
    <cfRule type="cellIs" priority="1372" operator="greaterThan" aboveAverage="0" equalAverage="0" bottom="0" percent="0" rank="0" text="" dxfId="10">
      <formula>GecOdemeEsik</formula>
    </cfRule>
  </conditionalFormatting>
  <conditionalFormatting sqref="E691">
    <cfRule type="cellIs" priority="1373" operator="greaterThan" aboveAverage="0" equalAverage="0" bottom="0" percent="0" rank="0" text="" dxfId="8">
      <formula>0</formula>
    </cfRule>
  </conditionalFormatting>
  <conditionalFormatting sqref="D692">
    <cfRule type="cellIs" priority="1374" operator="greaterThan" aboveAverage="0" equalAverage="0" bottom="0" percent="0" rank="0" text="" dxfId="10">
      <formula>GecOdemeEsik</formula>
    </cfRule>
  </conditionalFormatting>
  <conditionalFormatting sqref="E692">
    <cfRule type="cellIs" priority="1375" operator="greaterThan" aboveAverage="0" equalAverage="0" bottom="0" percent="0" rank="0" text="" dxfId="8">
      <formula>0</formula>
    </cfRule>
  </conditionalFormatting>
  <conditionalFormatting sqref="D693">
    <cfRule type="cellIs" priority="1376" operator="greaterThan" aboveAverage="0" equalAverage="0" bottom="0" percent="0" rank="0" text="" dxfId="10">
      <formula>GecOdemeEsik</formula>
    </cfRule>
  </conditionalFormatting>
  <conditionalFormatting sqref="E693">
    <cfRule type="cellIs" priority="1377" operator="greaterThan" aboveAverage="0" equalAverage="0" bottom="0" percent="0" rank="0" text="" dxfId="8">
      <formula>0</formula>
    </cfRule>
  </conditionalFormatting>
  <conditionalFormatting sqref="D694">
    <cfRule type="cellIs" priority="1378" operator="greaterThan" aboveAverage="0" equalAverage="0" bottom="0" percent="0" rank="0" text="" dxfId="10">
      <formula>GecOdemeEsik</formula>
    </cfRule>
  </conditionalFormatting>
  <conditionalFormatting sqref="E694">
    <cfRule type="cellIs" priority="1379" operator="greaterThan" aboveAverage="0" equalAverage="0" bottom="0" percent="0" rank="0" text="" dxfId="8">
      <formula>0</formula>
    </cfRule>
  </conditionalFormatting>
  <conditionalFormatting sqref="D695">
    <cfRule type="cellIs" priority="1380" operator="greaterThan" aboveAverage="0" equalAverage="0" bottom="0" percent="0" rank="0" text="" dxfId="10">
      <formula>GecOdemeEsik</formula>
    </cfRule>
  </conditionalFormatting>
  <conditionalFormatting sqref="E695">
    <cfRule type="cellIs" priority="1381" operator="greaterThan" aboveAverage="0" equalAverage="0" bottom="0" percent="0" rank="0" text="" dxfId="8">
      <formula>0</formula>
    </cfRule>
  </conditionalFormatting>
  <conditionalFormatting sqref="D696">
    <cfRule type="cellIs" priority="1382" operator="greaterThan" aboveAverage="0" equalAverage="0" bottom="0" percent="0" rank="0" text="" dxfId="10">
      <formula>GecOdemeEsik</formula>
    </cfRule>
  </conditionalFormatting>
  <conditionalFormatting sqref="E696">
    <cfRule type="cellIs" priority="1383" operator="greaterThan" aboveAverage="0" equalAverage="0" bottom="0" percent="0" rank="0" text="" dxfId="8">
      <formula>0</formula>
    </cfRule>
  </conditionalFormatting>
  <conditionalFormatting sqref="D697">
    <cfRule type="cellIs" priority="1384" operator="greaterThan" aboveAverage="0" equalAverage="0" bottom="0" percent="0" rank="0" text="" dxfId="10">
      <formula>GecOdemeEsik</formula>
    </cfRule>
  </conditionalFormatting>
  <conditionalFormatting sqref="E697">
    <cfRule type="cellIs" priority="1385" operator="greaterThan" aboveAverage="0" equalAverage="0" bottom="0" percent="0" rank="0" text="" dxfId="8">
      <formula>0</formula>
    </cfRule>
  </conditionalFormatting>
  <conditionalFormatting sqref="D698">
    <cfRule type="cellIs" priority="1386" operator="greaterThan" aboveAverage="0" equalAverage="0" bottom="0" percent="0" rank="0" text="" dxfId="10">
      <formula>GecOdemeEsik</formula>
    </cfRule>
  </conditionalFormatting>
  <conditionalFormatting sqref="E698">
    <cfRule type="cellIs" priority="1387" operator="greaterThan" aboveAverage="0" equalAverage="0" bottom="0" percent="0" rank="0" text="" dxfId="8">
      <formula>0</formula>
    </cfRule>
  </conditionalFormatting>
  <conditionalFormatting sqref="D699">
    <cfRule type="cellIs" priority="1388" operator="greaterThan" aboveAverage="0" equalAverage="0" bottom="0" percent="0" rank="0" text="" dxfId="10">
      <formula>GecOdemeEsik</formula>
    </cfRule>
  </conditionalFormatting>
  <conditionalFormatting sqref="E699">
    <cfRule type="cellIs" priority="1389" operator="greaterThan" aboveAverage="0" equalAverage="0" bottom="0" percent="0" rank="0" text="" dxfId="8">
      <formula>0</formula>
    </cfRule>
  </conditionalFormatting>
  <conditionalFormatting sqref="D700">
    <cfRule type="cellIs" priority="1390" operator="greaterThan" aboveAverage="0" equalAverage="0" bottom="0" percent="0" rank="0" text="" dxfId="10">
      <formula>GecOdemeEsik</formula>
    </cfRule>
  </conditionalFormatting>
  <conditionalFormatting sqref="E700">
    <cfRule type="cellIs" priority="1391" operator="greaterThan" aboveAverage="0" equalAverage="0" bottom="0" percent="0" rank="0" text="" dxfId="8">
      <formula>0</formula>
    </cfRule>
  </conditionalFormatting>
  <conditionalFormatting sqref="D701">
    <cfRule type="cellIs" priority="1392" operator="greaterThan" aboveAverage="0" equalAverage="0" bottom="0" percent="0" rank="0" text="" dxfId="10">
      <formula>GecOdemeEsik</formula>
    </cfRule>
  </conditionalFormatting>
  <conditionalFormatting sqref="E701">
    <cfRule type="cellIs" priority="1393" operator="greaterThan" aboveAverage="0" equalAverage="0" bottom="0" percent="0" rank="0" text="" dxfId="8">
      <formula>0</formula>
    </cfRule>
  </conditionalFormatting>
  <conditionalFormatting sqref="D702">
    <cfRule type="cellIs" priority="1394" operator="greaterThan" aboveAverage="0" equalAverage="0" bottom="0" percent="0" rank="0" text="" dxfId="10">
      <formula>GecOdemeEsik</formula>
    </cfRule>
  </conditionalFormatting>
  <conditionalFormatting sqref="E702">
    <cfRule type="cellIs" priority="1395" operator="greaterThan" aboveAverage="0" equalAverage="0" bottom="0" percent="0" rank="0" text="" dxfId="8">
      <formula>0</formula>
    </cfRule>
  </conditionalFormatting>
  <conditionalFormatting sqref="D703">
    <cfRule type="cellIs" priority="1396" operator="greaterThan" aboveAverage="0" equalAverage="0" bottom="0" percent="0" rank="0" text="" dxfId="10">
      <formula>GecOdemeEsik</formula>
    </cfRule>
  </conditionalFormatting>
  <conditionalFormatting sqref="E703">
    <cfRule type="cellIs" priority="1397" operator="greaterThan" aboveAverage="0" equalAverage="0" bottom="0" percent="0" rank="0" text="" dxfId="8">
      <formula>0</formula>
    </cfRule>
  </conditionalFormatting>
  <conditionalFormatting sqref="D704">
    <cfRule type="cellIs" priority="1398" operator="greaterThan" aboveAverage="0" equalAverage="0" bottom="0" percent="0" rank="0" text="" dxfId="10">
      <formula>GecOdemeEsik</formula>
    </cfRule>
  </conditionalFormatting>
  <conditionalFormatting sqref="E704">
    <cfRule type="cellIs" priority="1399" operator="greaterThan" aboveAverage="0" equalAverage="0" bottom="0" percent="0" rank="0" text="" dxfId="8">
      <formula>0</formula>
    </cfRule>
  </conditionalFormatting>
  <conditionalFormatting sqref="D705">
    <cfRule type="cellIs" priority="1400" operator="greaterThan" aboveAverage="0" equalAverage="0" bottom="0" percent="0" rank="0" text="" dxfId="10">
      <formula>GecOdemeEsik</formula>
    </cfRule>
  </conditionalFormatting>
  <conditionalFormatting sqref="E705">
    <cfRule type="cellIs" priority="1401" operator="greaterThan" aboveAverage="0" equalAverage="0" bottom="0" percent="0" rank="0" text="" dxfId="8">
      <formula>0</formula>
    </cfRule>
  </conditionalFormatting>
  <conditionalFormatting sqref="D706">
    <cfRule type="cellIs" priority="1402" operator="greaterThan" aboveAverage="0" equalAverage="0" bottom="0" percent="0" rank="0" text="" dxfId="10">
      <formula>GecOdemeEsik</formula>
    </cfRule>
  </conditionalFormatting>
  <conditionalFormatting sqref="E706">
    <cfRule type="cellIs" priority="1403" operator="greaterThan" aboveAverage="0" equalAverage="0" bottom="0" percent="0" rank="0" text="" dxfId="8">
      <formula>0</formula>
    </cfRule>
  </conditionalFormatting>
  <conditionalFormatting sqref="D707">
    <cfRule type="cellIs" priority="1404" operator="greaterThan" aboveAverage="0" equalAverage="0" bottom="0" percent="0" rank="0" text="" dxfId="10">
      <formula>GecOdemeEsik</formula>
    </cfRule>
  </conditionalFormatting>
  <conditionalFormatting sqref="E707">
    <cfRule type="cellIs" priority="1405" operator="greaterThan" aboveAverage="0" equalAverage="0" bottom="0" percent="0" rank="0" text="" dxfId="8">
      <formula>0</formula>
    </cfRule>
  </conditionalFormatting>
  <conditionalFormatting sqref="D708">
    <cfRule type="cellIs" priority="1406" operator="greaterThan" aboveAverage="0" equalAverage="0" bottom="0" percent="0" rank="0" text="" dxfId="10">
      <formula>GecOdemeEsik</formula>
    </cfRule>
  </conditionalFormatting>
  <conditionalFormatting sqref="E708">
    <cfRule type="cellIs" priority="1407" operator="greaterThan" aboveAverage="0" equalAverage="0" bottom="0" percent="0" rank="0" text="" dxfId="8">
      <formula>0</formula>
    </cfRule>
  </conditionalFormatting>
  <conditionalFormatting sqref="D709">
    <cfRule type="cellIs" priority="1408" operator="greaterThan" aboveAverage="0" equalAverage="0" bottom="0" percent="0" rank="0" text="" dxfId="10">
      <formula>GecOdemeEsik</formula>
    </cfRule>
  </conditionalFormatting>
  <conditionalFormatting sqref="E709">
    <cfRule type="cellIs" priority="1409" operator="greaterThan" aboveAverage="0" equalAverage="0" bottom="0" percent="0" rank="0" text="" dxfId="8">
      <formula>0</formula>
    </cfRule>
  </conditionalFormatting>
  <conditionalFormatting sqref="D710">
    <cfRule type="cellIs" priority="1410" operator="greaterThan" aboveAverage="0" equalAverage="0" bottom="0" percent="0" rank="0" text="" dxfId="10">
      <formula>GecOdemeEsik</formula>
    </cfRule>
  </conditionalFormatting>
  <conditionalFormatting sqref="E710">
    <cfRule type="cellIs" priority="1411" operator="greaterThan" aboveAverage="0" equalAverage="0" bottom="0" percent="0" rank="0" text="" dxfId="8">
      <formula>0</formula>
    </cfRule>
  </conditionalFormatting>
  <conditionalFormatting sqref="D711">
    <cfRule type="cellIs" priority="1412" operator="greaterThan" aboveAverage="0" equalAverage="0" bottom="0" percent="0" rank="0" text="" dxfId="10">
      <formula>GecOdemeEsik</formula>
    </cfRule>
  </conditionalFormatting>
  <conditionalFormatting sqref="E711">
    <cfRule type="cellIs" priority="1413" operator="greaterThan" aboveAverage="0" equalAverage="0" bottom="0" percent="0" rank="0" text="" dxfId="8">
      <formula>0</formula>
    </cfRule>
  </conditionalFormatting>
  <conditionalFormatting sqref="D712">
    <cfRule type="cellIs" priority="1414" operator="greaterThan" aboveAverage="0" equalAverage="0" bottom="0" percent="0" rank="0" text="" dxfId="10">
      <formula>GecOdemeEsik</formula>
    </cfRule>
  </conditionalFormatting>
  <conditionalFormatting sqref="E712">
    <cfRule type="cellIs" priority="1415" operator="greaterThan" aboveAverage="0" equalAverage="0" bottom="0" percent="0" rank="0" text="" dxfId="8">
      <formula>0</formula>
    </cfRule>
  </conditionalFormatting>
  <conditionalFormatting sqref="D713">
    <cfRule type="cellIs" priority="1416" operator="greaterThan" aboveAverage="0" equalAverage="0" bottom="0" percent="0" rank="0" text="" dxfId="10">
      <formula>GecOdemeEsik</formula>
    </cfRule>
  </conditionalFormatting>
  <conditionalFormatting sqref="E713">
    <cfRule type="cellIs" priority="1417" operator="greaterThan" aboveAverage="0" equalAverage="0" bottom="0" percent="0" rank="0" text="" dxfId="8">
      <formula>0</formula>
    </cfRule>
  </conditionalFormatting>
  <conditionalFormatting sqref="D714">
    <cfRule type="cellIs" priority="1418" operator="greaterThan" aboveAverage="0" equalAverage="0" bottom="0" percent="0" rank="0" text="" dxfId="10">
      <formula>GecOdemeEsik</formula>
    </cfRule>
  </conditionalFormatting>
  <conditionalFormatting sqref="E714">
    <cfRule type="cellIs" priority="1419" operator="greaterThan" aboveAverage="0" equalAverage="0" bottom="0" percent="0" rank="0" text="" dxfId="8">
      <formula>0</formula>
    </cfRule>
  </conditionalFormatting>
  <conditionalFormatting sqref="D715">
    <cfRule type="cellIs" priority="1420" operator="greaterThan" aboveAverage="0" equalAverage="0" bottom="0" percent="0" rank="0" text="" dxfId="10">
      <formula>GecOdemeEsik</formula>
    </cfRule>
  </conditionalFormatting>
  <conditionalFormatting sqref="E715">
    <cfRule type="cellIs" priority="1421" operator="greaterThan" aboveAverage="0" equalAverage="0" bottom="0" percent="0" rank="0" text="" dxfId="8">
      <formula>0</formula>
    </cfRule>
  </conditionalFormatting>
  <conditionalFormatting sqref="D716">
    <cfRule type="cellIs" priority="1422" operator="greaterThan" aboveAverage="0" equalAverage="0" bottom="0" percent="0" rank="0" text="" dxfId="10">
      <formula>GecOdemeEsik</formula>
    </cfRule>
  </conditionalFormatting>
  <conditionalFormatting sqref="E716">
    <cfRule type="cellIs" priority="1423" operator="greaterThan" aboveAverage="0" equalAverage="0" bottom="0" percent="0" rank="0" text="" dxfId="8">
      <formula>0</formula>
    </cfRule>
  </conditionalFormatting>
  <conditionalFormatting sqref="D717">
    <cfRule type="cellIs" priority="1424" operator="greaterThan" aboveAverage="0" equalAverage="0" bottom="0" percent="0" rank="0" text="" dxfId="10">
      <formula>GecOdemeEsik</formula>
    </cfRule>
  </conditionalFormatting>
  <conditionalFormatting sqref="E717">
    <cfRule type="cellIs" priority="1425" operator="greaterThan" aboveAverage="0" equalAverage="0" bottom="0" percent="0" rank="0" text="" dxfId="8">
      <formula>0</formula>
    </cfRule>
  </conditionalFormatting>
  <conditionalFormatting sqref="D718">
    <cfRule type="cellIs" priority="1426" operator="greaterThan" aboveAverage="0" equalAverage="0" bottom="0" percent="0" rank="0" text="" dxfId="10">
      <formula>GecOdemeEsik</formula>
    </cfRule>
  </conditionalFormatting>
  <conditionalFormatting sqref="E718">
    <cfRule type="cellIs" priority="1427" operator="greaterThan" aboveAverage="0" equalAverage="0" bottom="0" percent="0" rank="0" text="" dxfId="8">
      <formula>0</formula>
    </cfRule>
  </conditionalFormatting>
  <conditionalFormatting sqref="D719">
    <cfRule type="cellIs" priority="1428" operator="greaterThan" aboveAverage="0" equalAverage="0" bottom="0" percent="0" rank="0" text="" dxfId="10">
      <formula>GecOdemeEsik</formula>
    </cfRule>
  </conditionalFormatting>
  <conditionalFormatting sqref="E719">
    <cfRule type="cellIs" priority="1429" operator="greaterThan" aboveAverage="0" equalAverage="0" bottom="0" percent="0" rank="0" text="" dxfId="8">
      <formula>0</formula>
    </cfRule>
  </conditionalFormatting>
  <conditionalFormatting sqref="D720">
    <cfRule type="cellIs" priority="1430" operator="greaterThan" aboveAverage="0" equalAverage="0" bottom="0" percent="0" rank="0" text="" dxfId="10">
      <formula>GecOdemeEsik</formula>
    </cfRule>
  </conditionalFormatting>
  <conditionalFormatting sqref="E720">
    <cfRule type="cellIs" priority="1431" operator="greaterThan" aboveAverage="0" equalAverage="0" bottom="0" percent="0" rank="0" text="" dxfId="8">
      <formula>0</formula>
    </cfRule>
  </conditionalFormatting>
  <conditionalFormatting sqref="D721">
    <cfRule type="cellIs" priority="1432" operator="greaterThan" aboveAverage="0" equalAverage="0" bottom="0" percent="0" rank="0" text="" dxfId="10">
      <formula>GecOdemeEsik</formula>
    </cfRule>
  </conditionalFormatting>
  <conditionalFormatting sqref="E721">
    <cfRule type="cellIs" priority="1433" operator="greaterThan" aboveAverage="0" equalAverage="0" bottom="0" percent="0" rank="0" text="" dxfId="8">
      <formula>0</formula>
    </cfRule>
  </conditionalFormatting>
  <conditionalFormatting sqref="D722">
    <cfRule type="cellIs" priority="1434" operator="greaterThan" aboveAverage="0" equalAverage="0" bottom="0" percent="0" rank="0" text="" dxfId="10">
      <formula>GecOdemeEsik</formula>
    </cfRule>
  </conditionalFormatting>
  <conditionalFormatting sqref="E722">
    <cfRule type="cellIs" priority="1435" operator="greaterThan" aboveAverage="0" equalAverage="0" bottom="0" percent="0" rank="0" text="" dxfId="8">
      <formula>0</formula>
    </cfRule>
  </conditionalFormatting>
  <conditionalFormatting sqref="D723">
    <cfRule type="cellIs" priority="1436" operator="greaterThan" aboveAverage="0" equalAverage="0" bottom="0" percent="0" rank="0" text="" dxfId="10">
      <formula>GecOdemeEsik</formula>
    </cfRule>
  </conditionalFormatting>
  <conditionalFormatting sqref="E723">
    <cfRule type="cellIs" priority="1437" operator="greaterThan" aboveAverage="0" equalAverage="0" bottom="0" percent="0" rank="0" text="" dxfId="8">
      <formula>0</formula>
    </cfRule>
  </conditionalFormatting>
  <conditionalFormatting sqref="D724">
    <cfRule type="cellIs" priority="1438" operator="greaterThan" aboveAverage="0" equalAverage="0" bottom="0" percent="0" rank="0" text="" dxfId="10">
      <formula>GecOdemeEsik</formula>
    </cfRule>
  </conditionalFormatting>
  <conditionalFormatting sqref="E724">
    <cfRule type="cellIs" priority="1439" operator="greaterThan" aboveAverage="0" equalAverage="0" bottom="0" percent="0" rank="0" text="" dxfId="8">
      <formula>0</formula>
    </cfRule>
  </conditionalFormatting>
  <conditionalFormatting sqref="D725">
    <cfRule type="cellIs" priority="1440" operator="greaterThan" aboveAverage="0" equalAverage="0" bottom="0" percent="0" rank="0" text="" dxfId="10">
      <formula>GecOdemeEsik</formula>
    </cfRule>
  </conditionalFormatting>
  <conditionalFormatting sqref="E725">
    <cfRule type="cellIs" priority="1441" operator="greaterThan" aboveAverage="0" equalAverage="0" bottom="0" percent="0" rank="0" text="" dxfId="8">
      <formula>0</formula>
    </cfRule>
  </conditionalFormatting>
  <conditionalFormatting sqref="D726">
    <cfRule type="cellIs" priority="1442" operator="greaterThan" aboveAverage="0" equalAverage="0" bottom="0" percent="0" rank="0" text="" dxfId="10">
      <formula>GecOdemeEsik</formula>
    </cfRule>
  </conditionalFormatting>
  <conditionalFormatting sqref="E726">
    <cfRule type="cellIs" priority="1443" operator="greaterThan" aboveAverage="0" equalAverage="0" bottom="0" percent="0" rank="0" text="" dxfId="8">
      <formula>0</formula>
    </cfRule>
  </conditionalFormatting>
  <conditionalFormatting sqref="D727">
    <cfRule type="cellIs" priority="1444" operator="greaterThan" aboveAverage="0" equalAverage="0" bottom="0" percent="0" rank="0" text="" dxfId="10">
      <formula>GecOdemeEsik</formula>
    </cfRule>
  </conditionalFormatting>
  <conditionalFormatting sqref="E727">
    <cfRule type="cellIs" priority="1445" operator="greaterThan" aboveAverage="0" equalAverage="0" bottom="0" percent="0" rank="0" text="" dxfId="8">
      <formula>0</formula>
    </cfRule>
  </conditionalFormatting>
  <conditionalFormatting sqref="D728">
    <cfRule type="cellIs" priority="1446" operator="greaterThan" aboveAverage="0" equalAverage="0" bottom="0" percent="0" rank="0" text="" dxfId="10">
      <formula>GecOdemeEsik</formula>
    </cfRule>
  </conditionalFormatting>
  <conditionalFormatting sqref="E728">
    <cfRule type="cellIs" priority="1447" operator="greaterThan" aboveAverage="0" equalAverage="0" bottom="0" percent="0" rank="0" text="" dxfId="8">
      <formula>0</formula>
    </cfRule>
  </conditionalFormatting>
  <conditionalFormatting sqref="D729">
    <cfRule type="cellIs" priority="1448" operator="greaterThan" aboveAverage="0" equalAverage="0" bottom="0" percent="0" rank="0" text="" dxfId="10">
      <formula>GecOdemeEsik</formula>
    </cfRule>
  </conditionalFormatting>
  <conditionalFormatting sqref="E729">
    <cfRule type="cellIs" priority="1449" operator="greaterThan" aboveAverage="0" equalAverage="0" bottom="0" percent="0" rank="0" text="" dxfId="8">
      <formula>0</formula>
    </cfRule>
  </conditionalFormatting>
  <conditionalFormatting sqref="D730">
    <cfRule type="cellIs" priority="1450" operator="greaterThan" aboveAverage="0" equalAverage="0" bottom="0" percent="0" rank="0" text="" dxfId="10">
      <formula>GecOdemeEsik</formula>
    </cfRule>
  </conditionalFormatting>
  <conditionalFormatting sqref="E730">
    <cfRule type="cellIs" priority="1451" operator="greaterThan" aboveAverage="0" equalAverage="0" bottom="0" percent="0" rank="0" text="" dxfId="8">
      <formula>0</formula>
    </cfRule>
  </conditionalFormatting>
  <conditionalFormatting sqref="D731">
    <cfRule type="cellIs" priority="1452" operator="greaterThan" aboveAverage="0" equalAverage="0" bottom="0" percent="0" rank="0" text="" dxfId="10">
      <formula>GecOdemeEsik</formula>
    </cfRule>
  </conditionalFormatting>
  <conditionalFormatting sqref="E731">
    <cfRule type="cellIs" priority="1453" operator="greaterThan" aboveAverage="0" equalAverage="0" bottom="0" percent="0" rank="0" text="" dxfId="8">
      <formula>0</formula>
    </cfRule>
  </conditionalFormatting>
  <conditionalFormatting sqref="D732">
    <cfRule type="cellIs" priority="1454" operator="greaterThan" aboveAverage="0" equalAverage="0" bottom="0" percent="0" rank="0" text="" dxfId="10">
      <formula>GecOdemeEsik</formula>
    </cfRule>
  </conditionalFormatting>
  <conditionalFormatting sqref="E732">
    <cfRule type="cellIs" priority="1455" operator="greaterThan" aboveAverage="0" equalAverage="0" bottom="0" percent="0" rank="0" text="" dxfId="8">
      <formula>0</formula>
    </cfRule>
  </conditionalFormatting>
  <conditionalFormatting sqref="D733">
    <cfRule type="cellIs" priority="1456" operator="greaterThan" aboveAverage="0" equalAverage="0" bottom="0" percent="0" rank="0" text="" dxfId="10">
      <formula>GecOdemeEsik</formula>
    </cfRule>
  </conditionalFormatting>
  <conditionalFormatting sqref="E733">
    <cfRule type="cellIs" priority="1457" operator="greaterThan" aboveAverage="0" equalAverage="0" bottom="0" percent="0" rank="0" text="" dxfId="8">
      <formula>0</formula>
    </cfRule>
  </conditionalFormatting>
  <conditionalFormatting sqref="D734">
    <cfRule type="cellIs" priority="1458" operator="greaterThan" aboveAverage="0" equalAverage="0" bottom="0" percent="0" rank="0" text="" dxfId="10">
      <formula>GecOdemeEsik</formula>
    </cfRule>
  </conditionalFormatting>
  <conditionalFormatting sqref="E734">
    <cfRule type="cellIs" priority="1459" operator="greaterThan" aboveAverage="0" equalAverage="0" bottom="0" percent="0" rank="0" text="" dxfId="8">
      <formula>0</formula>
    </cfRule>
  </conditionalFormatting>
  <conditionalFormatting sqref="D735">
    <cfRule type="cellIs" priority="1460" operator="greaterThan" aboveAverage="0" equalAverage="0" bottom="0" percent="0" rank="0" text="" dxfId="10">
      <formula>GecOdemeEsik</formula>
    </cfRule>
  </conditionalFormatting>
  <conditionalFormatting sqref="E735">
    <cfRule type="cellIs" priority="1461" operator="greaterThan" aboveAverage="0" equalAverage="0" bottom="0" percent="0" rank="0" text="" dxfId="8">
      <formula>0</formula>
    </cfRule>
  </conditionalFormatting>
  <conditionalFormatting sqref="D736">
    <cfRule type="cellIs" priority="1462" operator="greaterThan" aboveAverage="0" equalAverage="0" bottom="0" percent="0" rank="0" text="" dxfId="10">
      <formula>GecOdemeEsik</formula>
    </cfRule>
  </conditionalFormatting>
  <conditionalFormatting sqref="E736">
    <cfRule type="cellIs" priority="1463" operator="greaterThan" aboveAverage="0" equalAverage="0" bottom="0" percent="0" rank="0" text="" dxfId="8">
      <formula>0</formula>
    </cfRule>
  </conditionalFormatting>
  <conditionalFormatting sqref="D737">
    <cfRule type="cellIs" priority="1464" operator="greaterThan" aboveAverage="0" equalAverage="0" bottom="0" percent="0" rank="0" text="" dxfId="10">
      <formula>GecOdemeEsik</formula>
    </cfRule>
  </conditionalFormatting>
  <conditionalFormatting sqref="E737">
    <cfRule type="cellIs" priority="1465" operator="greaterThan" aboveAverage="0" equalAverage="0" bottom="0" percent="0" rank="0" text="" dxfId="8">
      <formula>0</formula>
    </cfRule>
  </conditionalFormatting>
  <conditionalFormatting sqref="D738">
    <cfRule type="cellIs" priority="1466" operator="greaterThan" aboveAverage="0" equalAverage="0" bottom="0" percent="0" rank="0" text="" dxfId="10">
      <formula>GecOdemeEsik</formula>
    </cfRule>
  </conditionalFormatting>
  <conditionalFormatting sqref="E738">
    <cfRule type="cellIs" priority="1467" operator="greaterThan" aboveAverage="0" equalAverage="0" bottom="0" percent="0" rank="0" text="" dxfId="8">
      <formula>0</formula>
    </cfRule>
  </conditionalFormatting>
  <conditionalFormatting sqref="D739">
    <cfRule type="cellIs" priority="1468" operator="greaterThan" aboveAverage="0" equalAverage="0" bottom="0" percent="0" rank="0" text="" dxfId="10">
      <formula>GecOdemeEsik</formula>
    </cfRule>
  </conditionalFormatting>
  <conditionalFormatting sqref="E739">
    <cfRule type="cellIs" priority="1469" operator="greaterThan" aboveAverage="0" equalAverage="0" bottom="0" percent="0" rank="0" text="" dxfId="8">
      <formula>0</formula>
    </cfRule>
  </conditionalFormatting>
  <conditionalFormatting sqref="D740">
    <cfRule type="cellIs" priority="1470" operator="greaterThan" aboveAverage="0" equalAverage="0" bottom="0" percent="0" rank="0" text="" dxfId="10">
      <formula>GecOdemeEsik</formula>
    </cfRule>
  </conditionalFormatting>
  <conditionalFormatting sqref="E740">
    <cfRule type="cellIs" priority="1471" operator="greaterThan" aboveAverage="0" equalAverage="0" bottom="0" percent="0" rank="0" text="" dxfId="8">
      <formula>0</formula>
    </cfRule>
  </conditionalFormatting>
  <conditionalFormatting sqref="D741">
    <cfRule type="cellIs" priority="1472" operator="greaterThan" aboveAverage="0" equalAverage="0" bottom="0" percent="0" rank="0" text="" dxfId="10">
      <formula>GecOdemeEsik</formula>
    </cfRule>
  </conditionalFormatting>
  <conditionalFormatting sqref="E741">
    <cfRule type="cellIs" priority="1473" operator="greaterThan" aboveAverage="0" equalAverage="0" bottom="0" percent="0" rank="0" text="" dxfId="8">
      <formula>0</formula>
    </cfRule>
  </conditionalFormatting>
  <conditionalFormatting sqref="D742">
    <cfRule type="cellIs" priority="1474" operator="greaterThan" aboveAverage="0" equalAverage="0" bottom="0" percent="0" rank="0" text="" dxfId="10">
      <formula>GecOdemeEsik</formula>
    </cfRule>
  </conditionalFormatting>
  <conditionalFormatting sqref="E742">
    <cfRule type="cellIs" priority="1475" operator="greaterThan" aboveAverage="0" equalAverage="0" bottom="0" percent="0" rank="0" text="" dxfId="8">
      <formula>0</formula>
    </cfRule>
  </conditionalFormatting>
  <conditionalFormatting sqref="D743">
    <cfRule type="cellIs" priority="1476" operator="greaterThan" aboveAverage="0" equalAverage="0" bottom="0" percent="0" rank="0" text="" dxfId="10">
      <formula>GecOdemeEsik</formula>
    </cfRule>
  </conditionalFormatting>
  <conditionalFormatting sqref="E743">
    <cfRule type="cellIs" priority="1477" operator="greaterThan" aboveAverage="0" equalAverage="0" bottom="0" percent="0" rank="0" text="" dxfId="8">
      <formula>0</formula>
    </cfRule>
  </conditionalFormatting>
  <conditionalFormatting sqref="D744">
    <cfRule type="cellIs" priority="1478" operator="greaterThan" aboveAverage="0" equalAverage="0" bottom="0" percent="0" rank="0" text="" dxfId="10">
      <formula>GecOdemeEsik</formula>
    </cfRule>
  </conditionalFormatting>
  <conditionalFormatting sqref="E744">
    <cfRule type="cellIs" priority="1479" operator="greaterThan" aboveAverage="0" equalAverage="0" bottom="0" percent="0" rank="0" text="" dxfId="8">
      <formula>0</formula>
    </cfRule>
  </conditionalFormatting>
  <conditionalFormatting sqref="D745">
    <cfRule type="cellIs" priority="1480" operator="greaterThan" aboveAverage="0" equalAverage="0" bottom="0" percent="0" rank="0" text="" dxfId="10">
      <formula>GecOdemeEsik</formula>
    </cfRule>
  </conditionalFormatting>
  <conditionalFormatting sqref="E745">
    <cfRule type="cellIs" priority="1481" operator="greaterThan" aboveAverage="0" equalAverage="0" bottom="0" percent="0" rank="0" text="" dxfId="8">
      <formula>0</formula>
    </cfRule>
  </conditionalFormatting>
  <conditionalFormatting sqref="D746">
    <cfRule type="cellIs" priority="1482" operator="greaterThan" aboveAverage="0" equalAverage="0" bottom="0" percent="0" rank="0" text="" dxfId="10">
      <formula>GecOdemeEsik</formula>
    </cfRule>
  </conditionalFormatting>
  <conditionalFormatting sqref="E746">
    <cfRule type="cellIs" priority="1483" operator="greaterThan" aboveAverage="0" equalAverage="0" bottom="0" percent="0" rank="0" text="" dxfId="8">
      <formula>0</formula>
    </cfRule>
  </conditionalFormatting>
  <conditionalFormatting sqref="D747">
    <cfRule type="cellIs" priority="1484" operator="greaterThan" aboveAverage="0" equalAverage="0" bottom="0" percent="0" rank="0" text="" dxfId="10">
      <formula>GecOdemeEsik</formula>
    </cfRule>
  </conditionalFormatting>
  <conditionalFormatting sqref="E747">
    <cfRule type="cellIs" priority="1485" operator="greaterThan" aboveAverage="0" equalAverage="0" bottom="0" percent="0" rank="0" text="" dxfId="8">
      <formula>0</formula>
    </cfRule>
  </conditionalFormatting>
  <conditionalFormatting sqref="D748">
    <cfRule type="cellIs" priority="1486" operator="greaterThan" aboveAverage="0" equalAverage="0" bottom="0" percent="0" rank="0" text="" dxfId="10">
      <formula>GecOdemeEsik</formula>
    </cfRule>
  </conditionalFormatting>
  <conditionalFormatting sqref="E748">
    <cfRule type="cellIs" priority="1487" operator="greaterThan" aboveAverage="0" equalAverage="0" bottom="0" percent="0" rank="0" text="" dxfId="8">
      <formula>0</formula>
    </cfRule>
  </conditionalFormatting>
  <conditionalFormatting sqref="D749">
    <cfRule type="cellIs" priority="1488" operator="greaterThan" aboveAverage="0" equalAverage="0" bottom="0" percent="0" rank="0" text="" dxfId="10">
      <formula>GecOdemeEsik</formula>
    </cfRule>
  </conditionalFormatting>
  <conditionalFormatting sqref="E749">
    <cfRule type="cellIs" priority="1489" operator="greaterThan" aboveAverage="0" equalAverage="0" bottom="0" percent="0" rank="0" text="" dxfId="8">
      <formula>0</formula>
    </cfRule>
  </conditionalFormatting>
  <conditionalFormatting sqref="D750">
    <cfRule type="cellIs" priority="1490" operator="greaterThan" aboveAverage="0" equalAverage="0" bottom="0" percent="0" rank="0" text="" dxfId="10">
      <formula>GecOdemeEsik</formula>
    </cfRule>
  </conditionalFormatting>
  <conditionalFormatting sqref="E750">
    <cfRule type="cellIs" priority="1491" operator="greaterThan" aboveAverage="0" equalAverage="0" bottom="0" percent="0" rank="0" text="" dxfId="8">
      <formula>0</formula>
    </cfRule>
  </conditionalFormatting>
  <conditionalFormatting sqref="D751">
    <cfRule type="cellIs" priority="1492" operator="greaterThan" aboveAverage="0" equalAverage="0" bottom="0" percent="0" rank="0" text="" dxfId="10">
      <formula>GecOdemeEsik</formula>
    </cfRule>
  </conditionalFormatting>
  <conditionalFormatting sqref="E751">
    <cfRule type="cellIs" priority="1493" operator="greaterThan" aboveAverage="0" equalAverage="0" bottom="0" percent="0" rank="0" text="" dxfId="8">
      <formula>0</formula>
    </cfRule>
  </conditionalFormatting>
  <conditionalFormatting sqref="D752">
    <cfRule type="cellIs" priority="1494" operator="greaterThan" aboveAverage="0" equalAverage="0" bottom="0" percent="0" rank="0" text="" dxfId="10">
      <formula>GecOdemeEsik</formula>
    </cfRule>
  </conditionalFormatting>
  <conditionalFormatting sqref="E752">
    <cfRule type="cellIs" priority="1495" operator="greaterThan" aboveAverage="0" equalAverage="0" bottom="0" percent="0" rank="0" text="" dxfId="8">
      <formula>0</formula>
    </cfRule>
  </conditionalFormatting>
  <conditionalFormatting sqref="D753">
    <cfRule type="cellIs" priority="1496" operator="greaterThan" aboveAverage="0" equalAverage="0" bottom="0" percent="0" rank="0" text="" dxfId="10">
      <formula>GecOdemeEsik</formula>
    </cfRule>
  </conditionalFormatting>
  <conditionalFormatting sqref="E753">
    <cfRule type="cellIs" priority="1497" operator="greaterThan" aboveAverage="0" equalAverage="0" bottom="0" percent="0" rank="0" text="" dxfId="8">
      <formula>0</formula>
    </cfRule>
  </conditionalFormatting>
  <conditionalFormatting sqref="D754">
    <cfRule type="cellIs" priority="1498" operator="greaterThan" aboveAverage="0" equalAverage="0" bottom="0" percent="0" rank="0" text="" dxfId="10">
      <formula>GecOdemeEsik</formula>
    </cfRule>
  </conditionalFormatting>
  <conditionalFormatting sqref="E754">
    <cfRule type="cellIs" priority="1499" operator="greaterThan" aboveAverage="0" equalAverage="0" bottom="0" percent="0" rank="0" text="" dxfId="8">
      <formula>0</formula>
    </cfRule>
  </conditionalFormatting>
  <conditionalFormatting sqref="D755">
    <cfRule type="cellIs" priority="1500" operator="greaterThan" aboveAverage="0" equalAverage="0" bottom="0" percent="0" rank="0" text="" dxfId="10">
      <formula>GecOdemeEsik</formula>
    </cfRule>
  </conditionalFormatting>
  <conditionalFormatting sqref="E755">
    <cfRule type="cellIs" priority="1501" operator="greaterThan" aboveAverage="0" equalAverage="0" bottom="0" percent="0" rank="0" text="" dxfId="8">
      <formula>0</formula>
    </cfRule>
  </conditionalFormatting>
  <conditionalFormatting sqref="D756">
    <cfRule type="cellIs" priority="1502" operator="greaterThan" aboveAverage="0" equalAverage="0" bottom="0" percent="0" rank="0" text="" dxfId="10">
      <formula>GecOdemeEsik</formula>
    </cfRule>
  </conditionalFormatting>
  <conditionalFormatting sqref="E756">
    <cfRule type="cellIs" priority="1503" operator="greaterThan" aboveAverage="0" equalAverage="0" bottom="0" percent="0" rank="0" text="" dxfId="8">
      <formula>0</formula>
    </cfRule>
  </conditionalFormatting>
  <conditionalFormatting sqref="D757">
    <cfRule type="cellIs" priority="1504" operator="greaterThan" aboveAverage="0" equalAverage="0" bottom="0" percent="0" rank="0" text="" dxfId="10">
      <formula>GecOdemeEsik</formula>
    </cfRule>
  </conditionalFormatting>
  <conditionalFormatting sqref="E757">
    <cfRule type="cellIs" priority="1505" operator="greaterThan" aboveAverage="0" equalAverage="0" bottom="0" percent="0" rank="0" text="" dxfId="8">
      <formula>0</formula>
    </cfRule>
  </conditionalFormatting>
  <conditionalFormatting sqref="D758">
    <cfRule type="cellIs" priority="1506" operator="greaterThan" aboveAverage="0" equalAverage="0" bottom="0" percent="0" rank="0" text="" dxfId="10">
      <formula>GecOdemeEsik</formula>
    </cfRule>
  </conditionalFormatting>
  <conditionalFormatting sqref="E758">
    <cfRule type="cellIs" priority="1507" operator="greaterThan" aboveAverage="0" equalAverage="0" bottom="0" percent="0" rank="0" text="" dxfId="8">
      <formula>0</formula>
    </cfRule>
  </conditionalFormatting>
  <conditionalFormatting sqref="D759">
    <cfRule type="cellIs" priority="1508" operator="greaterThan" aboveAverage="0" equalAverage="0" bottom="0" percent="0" rank="0" text="" dxfId="10">
      <formula>GecOdemeEsik</formula>
    </cfRule>
  </conditionalFormatting>
  <conditionalFormatting sqref="E759">
    <cfRule type="cellIs" priority="1509" operator="greaterThan" aboveAverage="0" equalAverage="0" bottom="0" percent="0" rank="0" text="" dxfId="8">
      <formula>0</formula>
    </cfRule>
  </conditionalFormatting>
  <conditionalFormatting sqref="D760">
    <cfRule type="cellIs" priority="1510" operator="greaterThan" aboveAverage="0" equalAverage="0" bottom="0" percent="0" rank="0" text="" dxfId="10">
      <formula>GecOdemeEsik</formula>
    </cfRule>
  </conditionalFormatting>
  <conditionalFormatting sqref="E760">
    <cfRule type="cellIs" priority="1511" operator="greaterThan" aboveAverage="0" equalAverage="0" bottom="0" percent="0" rank="0" text="" dxfId="8">
      <formula>0</formula>
    </cfRule>
  </conditionalFormatting>
  <conditionalFormatting sqref="D761">
    <cfRule type="cellIs" priority="1512" operator="greaterThan" aboveAverage="0" equalAverage="0" bottom="0" percent="0" rank="0" text="" dxfId="10">
      <formula>GecOdemeEsik</formula>
    </cfRule>
  </conditionalFormatting>
  <conditionalFormatting sqref="E761">
    <cfRule type="cellIs" priority="1513" operator="greaterThan" aboveAverage="0" equalAverage="0" bottom="0" percent="0" rank="0" text="" dxfId="8">
      <formula>0</formula>
    </cfRule>
  </conditionalFormatting>
  <conditionalFormatting sqref="D762">
    <cfRule type="cellIs" priority="1514" operator="greaterThan" aboveAverage="0" equalAverage="0" bottom="0" percent="0" rank="0" text="" dxfId="10">
      <formula>GecOdemeEsik</formula>
    </cfRule>
  </conditionalFormatting>
  <conditionalFormatting sqref="E762">
    <cfRule type="cellIs" priority="1515" operator="greaterThan" aboveAverage="0" equalAverage="0" bottom="0" percent="0" rank="0" text="" dxfId="8">
      <formula>0</formula>
    </cfRule>
  </conditionalFormatting>
  <conditionalFormatting sqref="D763">
    <cfRule type="cellIs" priority="1516" operator="greaterThan" aboveAverage="0" equalAverage="0" bottom="0" percent="0" rank="0" text="" dxfId="10">
      <formula>GecOdemeEsik</formula>
    </cfRule>
  </conditionalFormatting>
  <conditionalFormatting sqref="E763">
    <cfRule type="cellIs" priority="1517" operator="greaterThan" aboveAverage="0" equalAverage="0" bottom="0" percent="0" rank="0" text="" dxfId="8">
      <formula>0</formula>
    </cfRule>
  </conditionalFormatting>
  <conditionalFormatting sqref="D764">
    <cfRule type="cellIs" priority="1518" operator="greaterThan" aboveAverage="0" equalAverage="0" bottom="0" percent="0" rank="0" text="" dxfId="10">
      <formula>GecOdemeEsik</formula>
    </cfRule>
  </conditionalFormatting>
  <conditionalFormatting sqref="E764">
    <cfRule type="cellIs" priority="1519" operator="greaterThan" aboveAverage="0" equalAverage="0" bottom="0" percent="0" rank="0" text="" dxfId="8">
      <formula>0</formula>
    </cfRule>
  </conditionalFormatting>
  <conditionalFormatting sqref="D765">
    <cfRule type="cellIs" priority="1520" operator="greaterThan" aboveAverage="0" equalAverage="0" bottom="0" percent="0" rank="0" text="" dxfId="10">
      <formula>GecOdemeEsik</formula>
    </cfRule>
  </conditionalFormatting>
  <conditionalFormatting sqref="E765">
    <cfRule type="cellIs" priority="1521" operator="greaterThan" aboveAverage="0" equalAverage="0" bottom="0" percent="0" rank="0" text="" dxfId="8">
      <formula>0</formula>
    </cfRule>
  </conditionalFormatting>
  <conditionalFormatting sqref="D766">
    <cfRule type="cellIs" priority="1522" operator="greaterThan" aboveAverage="0" equalAverage="0" bottom="0" percent="0" rank="0" text="" dxfId="10">
      <formula>GecOdemeEsik</formula>
    </cfRule>
  </conditionalFormatting>
  <conditionalFormatting sqref="E766">
    <cfRule type="cellIs" priority="1523" operator="greaterThan" aboveAverage="0" equalAverage="0" bottom="0" percent="0" rank="0" text="" dxfId="8">
      <formula>0</formula>
    </cfRule>
  </conditionalFormatting>
  <conditionalFormatting sqref="D767">
    <cfRule type="cellIs" priority="1524" operator="greaterThan" aboveAverage="0" equalAverage="0" bottom="0" percent="0" rank="0" text="" dxfId="10">
      <formula>GecOdemeEsik</formula>
    </cfRule>
  </conditionalFormatting>
  <conditionalFormatting sqref="E767">
    <cfRule type="cellIs" priority="1525" operator="greaterThan" aboveAverage="0" equalAverage="0" bottom="0" percent="0" rank="0" text="" dxfId="8">
      <formula>0</formula>
    </cfRule>
  </conditionalFormatting>
  <conditionalFormatting sqref="D768">
    <cfRule type="cellIs" priority="1526" operator="greaterThan" aboveAverage="0" equalAverage="0" bottom="0" percent="0" rank="0" text="" dxfId="10">
      <formula>GecOdemeEsik</formula>
    </cfRule>
  </conditionalFormatting>
  <conditionalFormatting sqref="E768">
    <cfRule type="cellIs" priority="1527" operator="greaterThan" aboveAverage="0" equalAverage="0" bottom="0" percent="0" rank="0" text="" dxfId="8">
      <formula>0</formula>
    </cfRule>
  </conditionalFormatting>
  <conditionalFormatting sqref="D769">
    <cfRule type="cellIs" priority="1528" operator="greaterThan" aboveAverage="0" equalAverage="0" bottom="0" percent="0" rank="0" text="" dxfId="10">
      <formula>GecOdemeEsik</formula>
    </cfRule>
  </conditionalFormatting>
  <conditionalFormatting sqref="E769">
    <cfRule type="cellIs" priority="1529" operator="greaterThan" aboveAverage="0" equalAverage="0" bottom="0" percent="0" rank="0" text="" dxfId="8">
      <formula>0</formula>
    </cfRule>
  </conditionalFormatting>
  <conditionalFormatting sqref="D770">
    <cfRule type="cellIs" priority="1530" operator="greaterThan" aboveAverage="0" equalAverage="0" bottom="0" percent="0" rank="0" text="" dxfId="10">
      <formula>GecOdemeEsik</formula>
    </cfRule>
  </conditionalFormatting>
  <conditionalFormatting sqref="E770">
    <cfRule type="cellIs" priority="1531" operator="greaterThan" aboveAverage="0" equalAverage="0" bottom="0" percent="0" rank="0" text="" dxfId="8">
      <formula>0</formula>
    </cfRule>
  </conditionalFormatting>
  <conditionalFormatting sqref="D771">
    <cfRule type="cellIs" priority="1532" operator="greaterThan" aboveAverage="0" equalAverage="0" bottom="0" percent="0" rank="0" text="" dxfId="10">
      <formula>GecOdemeEsik</formula>
    </cfRule>
  </conditionalFormatting>
  <conditionalFormatting sqref="E771">
    <cfRule type="cellIs" priority="1533" operator="greaterThan" aboveAverage="0" equalAverage="0" bottom="0" percent="0" rank="0" text="" dxfId="8">
      <formula>0</formula>
    </cfRule>
  </conditionalFormatting>
  <conditionalFormatting sqref="D772">
    <cfRule type="cellIs" priority="1534" operator="greaterThan" aboveAverage="0" equalAverage="0" bottom="0" percent="0" rank="0" text="" dxfId="10">
      <formula>GecOdemeEsik</formula>
    </cfRule>
  </conditionalFormatting>
  <conditionalFormatting sqref="E772">
    <cfRule type="cellIs" priority="1535" operator="greaterThan" aboveAverage="0" equalAverage="0" bottom="0" percent="0" rank="0" text="" dxfId="8">
      <formula>0</formula>
    </cfRule>
  </conditionalFormatting>
  <conditionalFormatting sqref="D773">
    <cfRule type="cellIs" priority="1536" operator="greaterThan" aboveAverage="0" equalAverage="0" bottom="0" percent="0" rank="0" text="" dxfId="10">
      <formula>GecOdemeEsik</formula>
    </cfRule>
  </conditionalFormatting>
  <conditionalFormatting sqref="E773">
    <cfRule type="cellIs" priority="1537" operator="greaterThan" aboveAverage="0" equalAverage="0" bottom="0" percent="0" rank="0" text="" dxfId="8">
      <formula>0</formula>
    </cfRule>
  </conditionalFormatting>
  <conditionalFormatting sqref="D774">
    <cfRule type="cellIs" priority="1538" operator="greaterThan" aboveAverage="0" equalAverage="0" bottom="0" percent="0" rank="0" text="" dxfId="10">
      <formula>GecOdemeEsik</formula>
    </cfRule>
  </conditionalFormatting>
  <conditionalFormatting sqref="E774">
    <cfRule type="cellIs" priority="1539" operator="greaterThan" aboveAverage="0" equalAverage="0" bottom="0" percent="0" rank="0" text="" dxfId="8">
      <formula>0</formula>
    </cfRule>
  </conditionalFormatting>
  <conditionalFormatting sqref="D775">
    <cfRule type="cellIs" priority="1540" operator="greaterThan" aboveAverage="0" equalAverage="0" bottom="0" percent="0" rank="0" text="" dxfId="10">
      <formula>GecOdemeEsik</formula>
    </cfRule>
  </conditionalFormatting>
  <conditionalFormatting sqref="E775">
    <cfRule type="cellIs" priority="1541" operator="greaterThan" aboveAverage="0" equalAverage="0" bottom="0" percent="0" rank="0" text="" dxfId="8">
      <formula>0</formula>
    </cfRule>
  </conditionalFormatting>
  <conditionalFormatting sqref="D776">
    <cfRule type="cellIs" priority="1542" operator="greaterThan" aboveAverage="0" equalAverage="0" bottom="0" percent="0" rank="0" text="" dxfId="10">
      <formula>GecOdemeEsik</formula>
    </cfRule>
  </conditionalFormatting>
  <conditionalFormatting sqref="E776">
    <cfRule type="cellIs" priority="1543" operator="greaterThan" aboveAverage="0" equalAverage="0" bottom="0" percent="0" rank="0" text="" dxfId="8">
      <formula>0</formula>
    </cfRule>
  </conditionalFormatting>
  <conditionalFormatting sqref="D777">
    <cfRule type="cellIs" priority="1544" operator="greaterThan" aboveAverage="0" equalAverage="0" bottom="0" percent="0" rank="0" text="" dxfId="10">
      <formula>GecOdemeEsik</formula>
    </cfRule>
  </conditionalFormatting>
  <conditionalFormatting sqref="E777">
    <cfRule type="cellIs" priority="1545" operator="greaterThan" aboveAverage="0" equalAverage="0" bottom="0" percent="0" rank="0" text="" dxfId="8">
      <formula>0</formula>
    </cfRule>
  </conditionalFormatting>
  <conditionalFormatting sqref="D778">
    <cfRule type="cellIs" priority="1546" operator="greaterThan" aboveAverage="0" equalAverage="0" bottom="0" percent="0" rank="0" text="" dxfId="10">
      <formula>GecOdemeEsik</formula>
    </cfRule>
  </conditionalFormatting>
  <conditionalFormatting sqref="E778">
    <cfRule type="cellIs" priority="1547" operator="greaterThan" aboveAverage="0" equalAverage="0" bottom="0" percent="0" rank="0" text="" dxfId="8">
      <formula>0</formula>
    </cfRule>
  </conditionalFormatting>
  <conditionalFormatting sqref="D779">
    <cfRule type="cellIs" priority="1548" operator="greaterThan" aboveAverage="0" equalAverage="0" bottom="0" percent="0" rank="0" text="" dxfId="10">
      <formula>GecOdemeEsik</formula>
    </cfRule>
  </conditionalFormatting>
  <conditionalFormatting sqref="E779">
    <cfRule type="cellIs" priority="1549" operator="greaterThan" aboveAverage="0" equalAverage="0" bottom="0" percent="0" rank="0" text="" dxfId="8">
      <formula>0</formula>
    </cfRule>
  </conditionalFormatting>
  <conditionalFormatting sqref="D780">
    <cfRule type="cellIs" priority="1550" operator="greaterThan" aboveAverage="0" equalAverage="0" bottom="0" percent="0" rank="0" text="" dxfId="10">
      <formula>GecOdemeEsik</formula>
    </cfRule>
  </conditionalFormatting>
  <conditionalFormatting sqref="E780">
    <cfRule type="cellIs" priority="1551" operator="greaterThan" aboveAverage="0" equalAverage="0" bottom="0" percent="0" rank="0" text="" dxfId="8">
      <formula>0</formula>
    </cfRule>
  </conditionalFormatting>
  <conditionalFormatting sqref="D781">
    <cfRule type="cellIs" priority="1552" operator="greaterThan" aboveAverage="0" equalAverage="0" bottom="0" percent="0" rank="0" text="" dxfId="10">
      <formula>GecOdemeEsik</formula>
    </cfRule>
  </conditionalFormatting>
  <conditionalFormatting sqref="E781">
    <cfRule type="cellIs" priority="1553" operator="greaterThan" aboveAverage="0" equalAverage="0" bottom="0" percent="0" rank="0" text="" dxfId="8">
      <formula>0</formula>
    </cfRule>
  </conditionalFormatting>
  <conditionalFormatting sqref="D782">
    <cfRule type="cellIs" priority="1554" operator="greaterThan" aboveAverage="0" equalAverage="0" bottom="0" percent="0" rank="0" text="" dxfId="10">
      <formula>GecOdemeEsik</formula>
    </cfRule>
  </conditionalFormatting>
  <conditionalFormatting sqref="E782">
    <cfRule type="cellIs" priority="1555" operator="greaterThan" aboveAverage="0" equalAverage="0" bottom="0" percent="0" rank="0" text="" dxfId="8">
      <formula>0</formula>
    </cfRule>
  </conditionalFormatting>
  <conditionalFormatting sqref="D783">
    <cfRule type="cellIs" priority="1556" operator="greaterThan" aboveAverage="0" equalAverage="0" bottom="0" percent="0" rank="0" text="" dxfId="10">
      <formula>GecOdemeEsik</formula>
    </cfRule>
  </conditionalFormatting>
  <conditionalFormatting sqref="E783">
    <cfRule type="cellIs" priority="1557" operator="greaterThan" aboveAverage="0" equalAverage="0" bottom="0" percent="0" rank="0" text="" dxfId="8">
      <formula>0</formula>
    </cfRule>
  </conditionalFormatting>
  <conditionalFormatting sqref="D784">
    <cfRule type="cellIs" priority="1558" operator="greaterThan" aboveAverage="0" equalAverage="0" bottom="0" percent="0" rank="0" text="" dxfId="10">
      <formula>GecOdemeEsik</formula>
    </cfRule>
  </conditionalFormatting>
  <conditionalFormatting sqref="E784">
    <cfRule type="cellIs" priority="1559" operator="greaterThan" aboveAverage="0" equalAverage="0" bottom="0" percent="0" rank="0" text="" dxfId="8">
      <formula>0</formula>
    </cfRule>
  </conditionalFormatting>
  <conditionalFormatting sqref="D785">
    <cfRule type="cellIs" priority="1560" operator="greaterThan" aboveAverage="0" equalAverage="0" bottom="0" percent="0" rank="0" text="" dxfId="10">
      <formula>GecOdemeEsik</formula>
    </cfRule>
  </conditionalFormatting>
  <conditionalFormatting sqref="E785">
    <cfRule type="cellIs" priority="1561" operator="greaterThan" aboveAverage="0" equalAverage="0" bottom="0" percent="0" rank="0" text="" dxfId="8">
      <formula>0</formula>
    </cfRule>
  </conditionalFormatting>
  <conditionalFormatting sqref="D786">
    <cfRule type="cellIs" priority="1562" operator="greaterThan" aboveAverage="0" equalAverage="0" bottom="0" percent="0" rank="0" text="" dxfId="10">
      <formula>GecOdemeEsik</formula>
    </cfRule>
  </conditionalFormatting>
  <conditionalFormatting sqref="E786">
    <cfRule type="cellIs" priority="1563" operator="greaterThan" aboveAverage="0" equalAverage="0" bottom="0" percent="0" rank="0" text="" dxfId="8">
      <formula>0</formula>
    </cfRule>
  </conditionalFormatting>
  <conditionalFormatting sqref="D787">
    <cfRule type="cellIs" priority="1564" operator="greaterThan" aboveAverage="0" equalAverage="0" bottom="0" percent="0" rank="0" text="" dxfId="10">
      <formula>GecOdemeEsik</formula>
    </cfRule>
  </conditionalFormatting>
  <conditionalFormatting sqref="E787">
    <cfRule type="cellIs" priority="1565" operator="greaterThan" aboveAverage="0" equalAverage="0" bottom="0" percent="0" rank="0" text="" dxfId="8">
      <formula>0</formula>
    </cfRule>
  </conditionalFormatting>
  <conditionalFormatting sqref="D788">
    <cfRule type="cellIs" priority="1566" operator="greaterThan" aboveAverage="0" equalAverage="0" bottom="0" percent="0" rank="0" text="" dxfId="10">
      <formula>GecOdemeEsik</formula>
    </cfRule>
  </conditionalFormatting>
  <conditionalFormatting sqref="E788">
    <cfRule type="cellIs" priority="1567" operator="greaterThan" aboveAverage="0" equalAverage="0" bottom="0" percent="0" rank="0" text="" dxfId="8">
      <formula>0</formula>
    </cfRule>
  </conditionalFormatting>
  <conditionalFormatting sqref="D789">
    <cfRule type="cellIs" priority="1568" operator="greaterThan" aboveAverage="0" equalAverage="0" bottom="0" percent="0" rank="0" text="" dxfId="10">
      <formula>GecOdemeEsik</formula>
    </cfRule>
  </conditionalFormatting>
  <conditionalFormatting sqref="E789">
    <cfRule type="cellIs" priority="1569" operator="greaterThan" aboveAverage="0" equalAverage="0" bottom="0" percent="0" rank="0" text="" dxfId="8">
      <formula>0</formula>
    </cfRule>
  </conditionalFormatting>
  <conditionalFormatting sqref="D790">
    <cfRule type="cellIs" priority="1570" operator="greaterThan" aboveAverage="0" equalAverage="0" bottom="0" percent="0" rank="0" text="" dxfId="10">
      <formula>GecOdemeEsik</formula>
    </cfRule>
  </conditionalFormatting>
  <conditionalFormatting sqref="E790">
    <cfRule type="cellIs" priority="1571" operator="greaterThan" aboveAverage="0" equalAverage="0" bottom="0" percent="0" rank="0" text="" dxfId="8">
      <formula>0</formula>
    </cfRule>
  </conditionalFormatting>
  <conditionalFormatting sqref="D791">
    <cfRule type="cellIs" priority="1572" operator="greaterThan" aboveAverage="0" equalAverage="0" bottom="0" percent="0" rank="0" text="" dxfId="10">
      <formula>GecOdemeEsik</formula>
    </cfRule>
  </conditionalFormatting>
  <conditionalFormatting sqref="E791">
    <cfRule type="cellIs" priority="1573" operator="greaterThan" aboveAverage="0" equalAverage="0" bottom="0" percent="0" rank="0" text="" dxfId="8">
      <formula>0</formula>
    </cfRule>
  </conditionalFormatting>
  <conditionalFormatting sqref="D792">
    <cfRule type="cellIs" priority="1574" operator="greaterThan" aboveAverage="0" equalAverage="0" bottom="0" percent="0" rank="0" text="" dxfId="10">
      <formula>GecOdemeEsik</formula>
    </cfRule>
  </conditionalFormatting>
  <conditionalFormatting sqref="E792">
    <cfRule type="cellIs" priority="1575" operator="greaterThan" aboveAverage="0" equalAverage="0" bottom="0" percent="0" rank="0" text="" dxfId="8">
      <formula>0</formula>
    </cfRule>
  </conditionalFormatting>
  <conditionalFormatting sqref="D793">
    <cfRule type="cellIs" priority="1576" operator="greaterThan" aboveAverage="0" equalAverage="0" bottom="0" percent="0" rank="0" text="" dxfId="10">
      <formula>GecOdemeEsik</formula>
    </cfRule>
  </conditionalFormatting>
  <conditionalFormatting sqref="E793">
    <cfRule type="cellIs" priority="1577" operator="greaterThan" aboveAverage="0" equalAverage="0" bottom="0" percent="0" rank="0" text="" dxfId="8">
      <formula>0</formula>
    </cfRule>
  </conditionalFormatting>
  <conditionalFormatting sqref="D794">
    <cfRule type="cellIs" priority="1578" operator="greaterThan" aboveAverage="0" equalAverage="0" bottom="0" percent="0" rank="0" text="" dxfId="10">
      <formula>GecOdemeEsik</formula>
    </cfRule>
  </conditionalFormatting>
  <conditionalFormatting sqref="E794">
    <cfRule type="cellIs" priority="1579" operator="greaterThan" aboveAverage="0" equalAverage="0" bottom="0" percent="0" rank="0" text="" dxfId="8">
      <formula>0</formula>
    </cfRule>
  </conditionalFormatting>
  <conditionalFormatting sqref="D795">
    <cfRule type="cellIs" priority="1580" operator="greaterThan" aboveAverage="0" equalAverage="0" bottom="0" percent="0" rank="0" text="" dxfId="10">
      <formula>GecOdemeEsik</formula>
    </cfRule>
  </conditionalFormatting>
  <conditionalFormatting sqref="E795">
    <cfRule type="cellIs" priority="1581" operator="greaterThan" aboveAverage="0" equalAverage="0" bottom="0" percent="0" rank="0" text="" dxfId="8">
      <formula>0</formula>
    </cfRule>
  </conditionalFormatting>
  <conditionalFormatting sqref="D796">
    <cfRule type="cellIs" priority="1582" operator="greaterThan" aboveAverage="0" equalAverage="0" bottom="0" percent="0" rank="0" text="" dxfId="10">
      <formula>GecOdemeEsik</formula>
    </cfRule>
  </conditionalFormatting>
  <conditionalFormatting sqref="E796">
    <cfRule type="cellIs" priority="1583" operator="greaterThan" aboveAverage="0" equalAverage="0" bottom="0" percent="0" rank="0" text="" dxfId="8">
      <formula>0</formula>
    </cfRule>
  </conditionalFormatting>
  <conditionalFormatting sqref="D797">
    <cfRule type="cellIs" priority="1584" operator="greaterThan" aboveAverage="0" equalAverage="0" bottom="0" percent="0" rank="0" text="" dxfId="10">
      <formula>GecOdemeEsik</formula>
    </cfRule>
  </conditionalFormatting>
  <conditionalFormatting sqref="E797">
    <cfRule type="cellIs" priority="1585" operator="greaterThan" aboveAverage="0" equalAverage="0" bottom="0" percent="0" rank="0" text="" dxfId="8">
      <formula>0</formula>
    </cfRule>
  </conditionalFormatting>
  <conditionalFormatting sqref="D798">
    <cfRule type="cellIs" priority="1586" operator="greaterThan" aboveAverage="0" equalAverage="0" bottom="0" percent="0" rank="0" text="" dxfId="10">
      <formula>GecOdemeEsik</formula>
    </cfRule>
  </conditionalFormatting>
  <conditionalFormatting sqref="E798">
    <cfRule type="cellIs" priority="1587" operator="greaterThan" aboveAverage="0" equalAverage="0" bottom="0" percent="0" rank="0" text="" dxfId="8">
      <formula>0</formula>
    </cfRule>
  </conditionalFormatting>
  <conditionalFormatting sqref="D799">
    <cfRule type="cellIs" priority="1588" operator="greaterThan" aboveAverage="0" equalAverage="0" bottom="0" percent="0" rank="0" text="" dxfId="10">
      <formula>GecOdemeEsik</formula>
    </cfRule>
  </conditionalFormatting>
  <conditionalFormatting sqref="E799">
    <cfRule type="cellIs" priority="1589" operator="greaterThan" aboveAverage="0" equalAverage="0" bottom="0" percent="0" rank="0" text="" dxfId="8">
      <formula>0</formula>
    </cfRule>
  </conditionalFormatting>
  <conditionalFormatting sqref="D800">
    <cfRule type="cellIs" priority="1590" operator="greaterThan" aboveAverage="0" equalAverage="0" bottom="0" percent="0" rank="0" text="" dxfId="10">
      <formula>GecOdemeEsik</formula>
    </cfRule>
  </conditionalFormatting>
  <conditionalFormatting sqref="E800">
    <cfRule type="cellIs" priority="1591" operator="greaterThan" aboveAverage="0" equalAverage="0" bottom="0" percent="0" rank="0" text="" dxfId="8">
      <formula>0</formula>
    </cfRule>
  </conditionalFormatting>
  <conditionalFormatting sqref="D801">
    <cfRule type="cellIs" priority="1592" operator="greaterThan" aboveAverage="0" equalAverage="0" bottom="0" percent="0" rank="0" text="" dxfId="10">
      <formula>GecOdemeEsik</formula>
    </cfRule>
  </conditionalFormatting>
  <conditionalFormatting sqref="E801">
    <cfRule type="cellIs" priority="1593" operator="greaterThan" aboveAverage="0" equalAverage="0" bottom="0" percent="0" rank="0" text="" dxfId="8">
      <formula>0</formula>
    </cfRule>
  </conditionalFormatting>
  <conditionalFormatting sqref="D802">
    <cfRule type="cellIs" priority="1594" operator="greaterThan" aboveAverage="0" equalAverage="0" bottom="0" percent="0" rank="0" text="" dxfId="10">
      <formula>GecOdemeEsik</formula>
    </cfRule>
  </conditionalFormatting>
  <conditionalFormatting sqref="E802">
    <cfRule type="cellIs" priority="1595" operator="greaterThan" aboveAverage="0" equalAverage="0" bottom="0" percent="0" rank="0" text="" dxfId="8">
      <formula>0</formula>
    </cfRule>
  </conditionalFormatting>
  <conditionalFormatting sqref="D803">
    <cfRule type="cellIs" priority="1596" operator="greaterThan" aboveAverage="0" equalAverage="0" bottom="0" percent="0" rank="0" text="" dxfId="10">
      <formula>GecOdemeEsik</formula>
    </cfRule>
  </conditionalFormatting>
  <conditionalFormatting sqref="E803">
    <cfRule type="cellIs" priority="1597" operator="greaterThan" aboveAverage="0" equalAverage="0" bottom="0" percent="0" rank="0" text="" dxfId="8">
      <formula>0</formula>
    </cfRule>
  </conditionalFormatting>
  <conditionalFormatting sqref="D804">
    <cfRule type="cellIs" priority="1598" operator="greaterThan" aboveAverage="0" equalAverage="0" bottom="0" percent="0" rank="0" text="" dxfId="10">
      <formula>GecOdemeEsik</formula>
    </cfRule>
  </conditionalFormatting>
  <conditionalFormatting sqref="E804">
    <cfRule type="cellIs" priority="1599" operator="greaterThan" aboveAverage="0" equalAverage="0" bottom="0" percent="0" rank="0" text="" dxfId="8">
      <formula>0</formula>
    </cfRule>
  </conditionalFormatting>
  <conditionalFormatting sqref="D805">
    <cfRule type="cellIs" priority="1600" operator="greaterThan" aboveAverage="0" equalAverage="0" bottom="0" percent="0" rank="0" text="" dxfId="10">
      <formula>GecOdemeEsik</formula>
    </cfRule>
  </conditionalFormatting>
  <conditionalFormatting sqref="E805">
    <cfRule type="cellIs" priority="1601" operator="greaterThan" aboveAverage="0" equalAverage="0" bottom="0" percent="0" rank="0" text="" dxfId="8">
      <formula>0</formula>
    </cfRule>
  </conditionalFormatting>
  <conditionalFormatting sqref="D806">
    <cfRule type="cellIs" priority="1602" operator="greaterThan" aboveAverage="0" equalAverage="0" bottom="0" percent="0" rank="0" text="" dxfId="10">
      <formula>GecOdemeEsik</formula>
    </cfRule>
  </conditionalFormatting>
  <conditionalFormatting sqref="E806">
    <cfRule type="cellIs" priority="1603" operator="greaterThan" aboveAverage="0" equalAverage="0" bottom="0" percent="0" rank="0" text="" dxfId="8">
      <formula>0</formula>
    </cfRule>
  </conditionalFormatting>
  <conditionalFormatting sqref="D807">
    <cfRule type="cellIs" priority="1604" operator="greaterThan" aboveAverage="0" equalAverage="0" bottom="0" percent="0" rank="0" text="" dxfId="10">
      <formula>GecOdemeEsik</formula>
    </cfRule>
  </conditionalFormatting>
  <conditionalFormatting sqref="E807">
    <cfRule type="cellIs" priority="1605" operator="greaterThan" aboveAverage="0" equalAverage="0" bottom="0" percent="0" rank="0" text="" dxfId="8">
      <formula>0</formula>
    </cfRule>
  </conditionalFormatting>
  <conditionalFormatting sqref="D808">
    <cfRule type="cellIs" priority="1606" operator="greaterThan" aboveAverage="0" equalAverage="0" bottom="0" percent="0" rank="0" text="" dxfId="10">
      <formula>GecOdemeEsik</formula>
    </cfRule>
  </conditionalFormatting>
  <conditionalFormatting sqref="E808">
    <cfRule type="cellIs" priority="1607" operator="greaterThan" aboveAverage="0" equalAverage="0" bottom="0" percent="0" rank="0" text="" dxfId="8">
      <formula>0</formula>
    </cfRule>
  </conditionalFormatting>
  <conditionalFormatting sqref="D809">
    <cfRule type="cellIs" priority="1608" operator="greaterThan" aboveAverage="0" equalAverage="0" bottom="0" percent="0" rank="0" text="" dxfId="10">
      <formula>GecOdemeEsik</formula>
    </cfRule>
  </conditionalFormatting>
  <conditionalFormatting sqref="E809">
    <cfRule type="cellIs" priority="1609" operator="greaterThan" aboveAverage="0" equalAverage="0" bottom="0" percent="0" rank="0" text="" dxfId="8">
      <formula>0</formula>
    </cfRule>
  </conditionalFormatting>
  <conditionalFormatting sqref="D810">
    <cfRule type="cellIs" priority="1610" operator="greaterThan" aboveAverage="0" equalAverage="0" bottom="0" percent="0" rank="0" text="" dxfId="10">
      <formula>GecOdemeEsik</formula>
    </cfRule>
  </conditionalFormatting>
  <conditionalFormatting sqref="E810">
    <cfRule type="cellIs" priority="1611" operator="greaterThan" aboveAverage="0" equalAverage="0" bottom="0" percent="0" rank="0" text="" dxfId="8">
      <formula>0</formula>
    </cfRule>
  </conditionalFormatting>
  <conditionalFormatting sqref="D811">
    <cfRule type="cellIs" priority="1612" operator="greaterThan" aboveAverage="0" equalAverage="0" bottom="0" percent="0" rank="0" text="" dxfId="10">
      <formula>GecOdemeEsik</formula>
    </cfRule>
  </conditionalFormatting>
  <conditionalFormatting sqref="E811">
    <cfRule type="cellIs" priority="1613" operator="greaterThan" aboveAverage="0" equalAverage="0" bottom="0" percent="0" rank="0" text="" dxfId="8">
      <formula>0</formula>
    </cfRule>
  </conditionalFormatting>
  <conditionalFormatting sqref="D812">
    <cfRule type="cellIs" priority="1614" operator="greaterThan" aboveAverage="0" equalAverage="0" bottom="0" percent="0" rank="0" text="" dxfId="10">
      <formula>GecOdemeEsik</formula>
    </cfRule>
  </conditionalFormatting>
  <conditionalFormatting sqref="E812">
    <cfRule type="cellIs" priority="1615" operator="greaterThan" aboveAverage="0" equalAverage="0" bottom="0" percent="0" rank="0" text="" dxfId="8">
      <formula>0</formula>
    </cfRule>
  </conditionalFormatting>
  <conditionalFormatting sqref="D813">
    <cfRule type="cellIs" priority="1616" operator="greaterThan" aboveAverage="0" equalAverage="0" bottom="0" percent="0" rank="0" text="" dxfId="10">
      <formula>GecOdemeEsik</formula>
    </cfRule>
  </conditionalFormatting>
  <conditionalFormatting sqref="E813">
    <cfRule type="cellIs" priority="1617" operator="greaterThan" aboveAverage="0" equalAverage="0" bottom="0" percent="0" rank="0" text="" dxfId="8">
      <formula>0</formula>
    </cfRule>
  </conditionalFormatting>
  <conditionalFormatting sqref="D814">
    <cfRule type="cellIs" priority="1618" operator="greaterThan" aboveAverage="0" equalAverage="0" bottom="0" percent="0" rank="0" text="" dxfId="10">
      <formula>GecOdemeEsik</formula>
    </cfRule>
  </conditionalFormatting>
  <conditionalFormatting sqref="E814">
    <cfRule type="cellIs" priority="1619" operator="greaterThan" aboveAverage="0" equalAverage="0" bottom="0" percent="0" rank="0" text="" dxfId="8">
      <formula>0</formula>
    </cfRule>
  </conditionalFormatting>
  <conditionalFormatting sqref="D815">
    <cfRule type="cellIs" priority="1620" operator="greaterThan" aboveAverage="0" equalAverage="0" bottom="0" percent="0" rank="0" text="" dxfId="10">
      <formula>GecOdemeEsik</formula>
    </cfRule>
  </conditionalFormatting>
  <conditionalFormatting sqref="E815">
    <cfRule type="cellIs" priority="1621" operator="greaterThan" aboveAverage="0" equalAverage="0" bottom="0" percent="0" rank="0" text="" dxfId="8">
      <formula>0</formula>
    </cfRule>
  </conditionalFormatting>
  <conditionalFormatting sqref="D816">
    <cfRule type="cellIs" priority="1622" operator="greaterThan" aboveAverage="0" equalAverage="0" bottom="0" percent="0" rank="0" text="" dxfId="10">
      <formula>GecOdemeEsik</formula>
    </cfRule>
  </conditionalFormatting>
  <conditionalFormatting sqref="E816">
    <cfRule type="cellIs" priority="1623" operator="greaterThan" aboveAverage="0" equalAverage="0" bottom="0" percent="0" rank="0" text="" dxfId="8">
      <formula>0</formula>
    </cfRule>
  </conditionalFormatting>
  <conditionalFormatting sqref="D817">
    <cfRule type="cellIs" priority="1624" operator="greaterThan" aboveAverage="0" equalAverage="0" bottom="0" percent="0" rank="0" text="" dxfId="10">
      <formula>GecOdemeEsik</formula>
    </cfRule>
  </conditionalFormatting>
  <conditionalFormatting sqref="E817">
    <cfRule type="cellIs" priority="1625" operator="greaterThan" aboveAverage="0" equalAverage="0" bottom="0" percent="0" rank="0" text="" dxfId="8">
      <formula>0</formula>
    </cfRule>
  </conditionalFormatting>
  <conditionalFormatting sqref="D818">
    <cfRule type="cellIs" priority="1626" operator="greaterThan" aboveAverage="0" equalAverage="0" bottom="0" percent="0" rank="0" text="" dxfId="10">
      <formula>GecOdemeEsik</formula>
    </cfRule>
  </conditionalFormatting>
  <conditionalFormatting sqref="E818">
    <cfRule type="cellIs" priority="1627" operator="greaterThan" aboveAverage="0" equalAverage="0" bottom="0" percent="0" rank="0" text="" dxfId="8">
      <formula>0</formula>
    </cfRule>
  </conditionalFormatting>
  <conditionalFormatting sqref="D819">
    <cfRule type="cellIs" priority="1628" operator="greaterThan" aboveAverage="0" equalAverage="0" bottom="0" percent="0" rank="0" text="" dxfId="10">
      <formula>GecOdemeEsik</formula>
    </cfRule>
  </conditionalFormatting>
  <conditionalFormatting sqref="E819">
    <cfRule type="cellIs" priority="1629" operator="greaterThan" aboveAverage="0" equalAverage="0" bottom="0" percent="0" rank="0" text="" dxfId="8">
      <formula>0</formula>
    </cfRule>
  </conditionalFormatting>
  <conditionalFormatting sqref="D820">
    <cfRule type="cellIs" priority="1630" operator="greaterThan" aboveAverage="0" equalAverage="0" bottom="0" percent="0" rank="0" text="" dxfId="10">
      <formula>GecOdemeEsik</formula>
    </cfRule>
  </conditionalFormatting>
  <conditionalFormatting sqref="E820">
    <cfRule type="cellIs" priority="1631" operator="greaterThan" aboveAverage="0" equalAverage="0" bottom="0" percent="0" rank="0" text="" dxfId="8">
      <formula>0</formula>
    </cfRule>
  </conditionalFormatting>
  <conditionalFormatting sqref="D821">
    <cfRule type="cellIs" priority="1632" operator="greaterThan" aboveAverage="0" equalAverage="0" bottom="0" percent="0" rank="0" text="" dxfId="10">
      <formula>GecOdemeEsik</formula>
    </cfRule>
  </conditionalFormatting>
  <conditionalFormatting sqref="E821">
    <cfRule type="cellIs" priority="1633" operator="greaterThan" aboveAverage="0" equalAverage="0" bottom="0" percent="0" rank="0" text="" dxfId="8">
      <formula>0</formula>
    </cfRule>
  </conditionalFormatting>
  <conditionalFormatting sqref="D822">
    <cfRule type="cellIs" priority="1634" operator="greaterThan" aboveAverage="0" equalAverage="0" bottom="0" percent="0" rank="0" text="" dxfId="10">
      <formula>GecOdemeEsik</formula>
    </cfRule>
  </conditionalFormatting>
  <conditionalFormatting sqref="E822">
    <cfRule type="cellIs" priority="1635" operator="greaterThan" aboveAverage="0" equalAverage="0" bottom="0" percent="0" rank="0" text="" dxfId="8">
      <formula>0</formula>
    </cfRule>
  </conditionalFormatting>
  <conditionalFormatting sqref="D823">
    <cfRule type="cellIs" priority="1636" operator="greaterThan" aboveAverage="0" equalAverage="0" bottom="0" percent="0" rank="0" text="" dxfId="10">
      <formula>GecOdemeEsik</formula>
    </cfRule>
  </conditionalFormatting>
  <conditionalFormatting sqref="E823">
    <cfRule type="cellIs" priority="1637" operator="greaterThan" aboveAverage="0" equalAverage="0" bottom="0" percent="0" rank="0" text="" dxfId="8">
      <formula>0</formula>
    </cfRule>
  </conditionalFormatting>
  <conditionalFormatting sqref="D824">
    <cfRule type="cellIs" priority="1638" operator="greaterThan" aboveAverage="0" equalAverage="0" bottom="0" percent="0" rank="0" text="" dxfId="10">
      <formula>GecOdemeEsik</formula>
    </cfRule>
  </conditionalFormatting>
  <conditionalFormatting sqref="E824">
    <cfRule type="cellIs" priority="1639" operator="greaterThan" aboveAverage="0" equalAverage="0" bottom="0" percent="0" rank="0" text="" dxfId="8">
      <formula>0</formula>
    </cfRule>
  </conditionalFormatting>
  <conditionalFormatting sqref="D825">
    <cfRule type="cellIs" priority="1640" operator="greaterThan" aboveAverage="0" equalAverage="0" bottom="0" percent="0" rank="0" text="" dxfId="10">
      <formula>GecOdemeEsik</formula>
    </cfRule>
  </conditionalFormatting>
  <conditionalFormatting sqref="E825">
    <cfRule type="cellIs" priority="1641" operator="greaterThan" aboveAverage="0" equalAverage="0" bottom="0" percent="0" rank="0" text="" dxfId="8">
      <formula>0</formula>
    </cfRule>
  </conditionalFormatting>
  <conditionalFormatting sqref="D826">
    <cfRule type="cellIs" priority="1642" operator="greaterThan" aboveAverage="0" equalAverage="0" bottom="0" percent="0" rank="0" text="" dxfId="10">
      <formula>GecOdemeEsik</formula>
    </cfRule>
  </conditionalFormatting>
  <conditionalFormatting sqref="E826">
    <cfRule type="cellIs" priority="1643" operator="greaterThan" aboveAverage="0" equalAverage="0" bottom="0" percent="0" rank="0" text="" dxfId="8">
      <formula>0</formula>
    </cfRule>
  </conditionalFormatting>
  <conditionalFormatting sqref="D827">
    <cfRule type="cellIs" priority="1644" operator="greaterThan" aboveAverage="0" equalAverage="0" bottom="0" percent="0" rank="0" text="" dxfId="10">
      <formula>GecOdemeEsik</formula>
    </cfRule>
  </conditionalFormatting>
  <conditionalFormatting sqref="E827">
    <cfRule type="cellIs" priority="1645" operator="greaterThan" aboveAverage="0" equalAverage="0" bottom="0" percent="0" rank="0" text="" dxfId="8">
      <formula>0</formula>
    </cfRule>
  </conditionalFormatting>
  <conditionalFormatting sqref="D828">
    <cfRule type="cellIs" priority="1646" operator="greaterThan" aboveAverage="0" equalAverage="0" bottom="0" percent="0" rank="0" text="" dxfId="10">
      <formula>GecOdemeEsik</formula>
    </cfRule>
  </conditionalFormatting>
  <conditionalFormatting sqref="E828">
    <cfRule type="cellIs" priority="1647" operator="greaterThan" aboveAverage="0" equalAverage="0" bottom="0" percent="0" rank="0" text="" dxfId="8">
      <formula>0</formula>
    </cfRule>
  </conditionalFormatting>
  <conditionalFormatting sqref="D829">
    <cfRule type="cellIs" priority="1648" operator="greaterThan" aboveAverage="0" equalAverage="0" bottom="0" percent="0" rank="0" text="" dxfId="10">
      <formula>GecOdemeEsik</formula>
    </cfRule>
  </conditionalFormatting>
  <conditionalFormatting sqref="E829">
    <cfRule type="cellIs" priority="1649" operator="greaterThan" aboveAverage="0" equalAverage="0" bottom="0" percent="0" rank="0" text="" dxfId="8">
      <formula>0</formula>
    </cfRule>
  </conditionalFormatting>
  <conditionalFormatting sqref="D830">
    <cfRule type="cellIs" priority="1650" operator="greaterThan" aboveAverage="0" equalAverage="0" bottom="0" percent="0" rank="0" text="" dxfId="10">
      <formula>GecOdemeEsik</formula>
    </cfRule>
  </conditionalFormatting>
  <conditionalFormatting sqref="E830">
    <cfRule type="cellIs" priority="1651" operator="greaterThan" aboveAverage="0" equalAverage="0" bottom="0" percent="0" rank="0" text="" dxfId="8">
      <formula>0</formula>
    </cfRule>
  </conditionalFormatting>
  <conditionalFormatting sqref="D831">
    <cfRule type="cellIs" priority="1652" operator="greaterThan" aboveAverage="0" equalAverage="0" bottom="0" percent="0" rank="0" text="" dxfId="10">
      <formula>GecOdemeEsik</formula>
    </cfRule>
  </conditionalFormatting>
  <conditionalFormatting sqref="E831">
    <cfRule type="cellIs" priority="1653" operator="greaterThan" aboveAverage="0" equalAverage="0" bottom="0" percent="0" rank="0" text="" dxfId="8">
      <formula>0</formula>
    </cfRule>
  </conditionalFormatting>
  <conditionalFormatting sqref="D832">
    <cfRule type="cellIs" priority="1654" operator="greaterThan" aboveAverage="0" equalAverage="0" bottom="0" percent="0" rank="0" text="" dxfId="10">
      <formula>GecOdemeEsik</formula>
    </cfRule>
  </conditionalFormatting>
  <conditionalFormatting sqref="E832">
    <cfRule type="cellIs" priority="1655" operator="greaterThan" aboveAverage="0" equalAverage="0" bottom="0" percent="0" rank="0" text="" dxfId="8">
      <formula>0</formula>
    </cfRule>
  </conditionalFormatting>
  <conditionalFormatting sqref="D833">
    <cfRule type="cellIs" priority="1656" operator="greaterThan" aboveAverage="0" equalAverage="0" bottom="0" percent="0" rank="0" text="" dxfId="10">
      <formula>GecOdemeEsik</formula>
    </cfRule>
  </conditionalFormatting>
  <conditionalFormatting sqref="E833">
    <cfRule type="cellIs" priority="1657" operator="greaterThan" aboveAverage="0" equalAverage="0" bottom="0" percent="0" rank="0" text="" dxfId="8">
      <formula>0</formula>
    </cfRule>
  </conditionalFormatting>
  <conditionalFormatting sqref="D834">
    <cfRule type="cellIs" priority="1658" operator="greaterThan" aboveAverage="0" equalAverage="0" bottom="0" percent="0" rank="0" text="" dxfId="10">
      <formula>GecOdemeEsik</formula>
    </cfRule>
  </conditionalFormatting>
  <conditionalFormatting sqref="E834">
    <cfRule type="cellIs" priority="1659" operator="greaterThan" aboveAverage="0" equalAverage="0" bottom="0" percent="0" rank="0" text="" dxfId="8">
      <formula>0</formula>
    </cfRule>
  </conditionalFormatting>
  <conditionalFormatting sqref="D835">
    <cfRule type="cellIs" priority="1660" operator="greaterThan" aboveAverage="0" equalAverage="0" bottom="0" percent="0" rank="0" text="" dxfId="10">
      <formula>GecOdemeEsik</formula>
    </cfRule>
  </conditionalFormatting>
  <conditionalFormatting sqref="E835">
    <cfRule type="cellIs" priority="1661" operator="greaterThan" aboveAverage="0" equalAverage="0" bottom="0" percent="0" rank="0" text="" dxfId="8">
      <formula>0</formula>
    </cfRule>
  </conditionalFormatting>
  <conditionalFormatting sqref="D836">
    <cfRule type="cellIs" priority="1662" operator="greaterThan" aboveAverage="0" equalAverage="0" bottom="0" percent="0" rank="0" text="" dxfId="10">
      <formula>GecOdemeEsik</formula>
    </cfRule>
  </conditionalFormatting>
  <conditionalFormatting sqref="E836">
    <cfRule type="cellIs" priority="1663" operator="greaterThan" aboveAverage="0" equalAverage="0" bottom="0" percent="0" rank="0" text="" dxfId="8">
      <formula>0</formula>
    </cfRule>
  </conditionalFormatting>
  <conditionalFormatting sqref="D837">
    <cfRule type="cellIs" priority="1664" operator="greaterThan" aboveAverage="0" equalAverage="0" bottom="0" percent="0" rank="0" text="" dxfId="10">
      <formula>GecOdemeEsik</formula>
    </cfRule>
  </conditionalFormatting>
  <conditionalFormatting sqref="E837">
    <cfRule type="cellIs" priority="1665" operator="greaterThan" aboveAverage="0" equalAverage="0" bottom="0" percent="0" rank="0" text="" dxfId="8">
      <formula>0</formula>
    </cfRule>
  </conditionalFormatting>
  <conditionalFormatting sqref="D838">
    <cfRule type="cellIs" priority="1666" operator="greaterThan" aboveAverage="0" equalAverage="0" bottom="0" percent="0" rank="0" text="" dxfId="10">
      <formula>GecOdemeEsik</formula>
    </cfRule>
  </conditionalFormatting>
  <conditionalFormatting sqref="E838">
    <cfRule type="cellIs" priority="1667" operator="greaterThan" aboveAverage="0" equalAverage="0" bottom="0" percent="0" rank="0" text="" dxfId="8">
      <formula>0</formula>
    </cfRule>
  </conditionalFormatting>
  <conditionalFormatting sqref="D839">
    <cfRule type="cellIs" priority="1668" operator="greaterThan" aboveAverage="0" equalAverage="0" bottom="0" percent="0" rank="0" text="" dxfId="10">
      <formula>GecOdemeEsik</formula>
    </cfRule>
  </conditionalFormatting>
  <conditionalFormatting sqref="E839">
    <cfRule type="cellIs" priority="1669" operator="greaterThan" aboveAverage="0" equalAverage="0" bottom="0" percent="0" rank="0" text="" dxfId="8">
      <formula>0</formula>
    </cfRule>
  </conditionalFormatting>
  <conditionalFormatting sqref="D840">
    <cfRule type="cellIs" priority="1670" operator="greaterThan" aboveAverage="0" equalAverage="0" bottom="0" percent="0" rank="0" text="" dxfId="10">
      <formula>GecOdemeEsik</formula>
    </cfRule>
  </conditionalFormatting>
  <conditionalFormatting sqref="E840">
    <cfRule type="cellIs" priority="1671" operator="greaterThan" aboveAverage="0" equalAverage="0" bottom="0" percent="0" rank="0" text="" dxfId="8">
      <formula>0</formula>
    </cfRule>
  </conditionalFormatting>
  <conditionalFormatting sqref="D841">
    <cfRule type="cellIs" priority="1672" operator="greaterThan" aboveAverage="0" equalAverage="0" bottom="0" percent="0" rank="0" text="" dxfId="10">
      <formula>GecOdemeEsik</formula>
    </cfRule>
  </conditionalFormatting>
  <conditionalFormatting sqref="E841">
    <cfRule type="cellIs" priority="1673" operator="greaterThan" aboveAverage="0" equalAverage="0" bottom="0" percent="0" rank="0" text="" dxfId="8">
      <formula>0</formula>
    </cfRule>
  </conditionalFormatting>
  <conditionalFormatting sqref="D842">
    <cfRule type="cellIs" priority="1674" operator="greaterThan" aboveAverage="0" equalAverage="0" bottom="0" percent="0" rank="0" text="" dxfId="10">
      <formula>GecOdemeEsik</formula>
    </cfRule>
  </conditionalFormatting>
  <conditionalFormatting sqref="E842">
    <cfRule type="cellIs" priority="1675" operator="greaterThan" aboveAverage="0" equalAverage="0" bottom="0" percent="0" rank="0" text="" dxfId="8">
      <formula>0</formula>
    </cfRule>
  </conditionalFormatting>
  <conditionalFormatting sqref="D843">
    <cfRule type="cellIs" priority="1676" operator="greaterThan" aboveAverage="0" equalAverage="0" bottom="0" percent="0" rank="0" text="" dxfId="10">
      <formula>GecOdemeEsik</formula>
    </cfRule>
  </conditionalFormatting>
  <conditionalFormatting sqref="E843">
    <cfRule type="cellIs" priority="1677" operator="greaterThan" aboveAverage="0" equalAverage="0" bottom="0" percent="0" rank="0" text="" dxfId="8">
      <formula>0</formula>
    </cfRule>
  </conditionalFormatting>
  <conditionalFormatting sqref="D844">
    <cfRule type="cellIs" priority="1678" operator="greaterThan" aboveAverage="0" equalAverage="0" bottom="0" percent="0" rank="0" text="" dxfId="10">
      <formula>GecOdemeEsik</formula>
    </cfRule>
  </conditionalFormatting>
  <conditionalFormatting sqref="E844">
    <cfRule type="cellIs" priority="1679" operator="greaterThan" aboveAverage="0" equalAverage="0" bottom="0" percent="0" rank="0" text="" dxfId="8">
      <formula>0</formula>
    </cfRule>
  </conditionalFormatting>
  <conditionalFormatting sqref="D845">
    <cfRule type="cellIs" priority="1680" operator="greaterThan" aboveAverage="0" equalAverage="0" bottom="0" percent="0" rank="0" text="" dxfId="10">
      <formula>GecOdemeEsik</formula>
    </cfRule>
  </conditionalFormatting>
  <conditionalFormatting sqref="E845">
    <cfRule type="cellIs" priority="1681" operator="greaterThan" aboveAverage="0" equalAverage="0" bottom="0" percent="0" rank="0" text="" dxfId="8">
      <formula>0</formula>
    </cfRule>
  </conditionalFormatting>
  <conditionalFormatting sqref="D846">
    <cfRule type="cellIs" priority="1682" operator="greaterThan" aboveAverage="0" equalAverage="0" bottom="0" percent="0" rank="0" text="" dxfId="10">
      <formula>GecOdemeEsik</formula>
    </cfRule>
  </conditionalFormatting>
  <conditionalFormatting sqref="E846">
    <cfRule type="cellIs" priority="1683" operator="greaterThan" aboveAverage="0" equalAverage="0" bottom="0" percent="0" rank="0" text="" dxfId="8">
      <formula>0</formula>
    </cfRule>
  </conditionalFormatting>
  <conditionalFormatting sqref="D847">
    <cfRule type="cellIs" priority="1684" operator="greaterThan" aboveAverage="0" equalAverage="0" bottom="0" percent="0" rank="0" text="" dxfId="10">
      <formula>GecOdemeEsik</formula>
    </cfRule>
  </conditionalFormatting>
  <conditionalFormatting sqref="E847">
    <cfRule type="cellIs" priority="1685" operator="greaterThan" aboveAverage="0" equalAverage="0" bottom="0" percent="0" rank="0" text="" dxfId="8">
      <formula>0</formula>
    </cfRule>
  </conditionalFormatting>
  <conditionalFormatting sqref="D848">
    <cfRule type="cellIs" priority="1686" operator="greaterThan" aboveAverage="0" equalAverage="0" bottom="0" percent="0" rank="0" text="" dxfId="10">
      <formula>GecOdemeEsik</formula>
    </cfRule>
  </conditionalFormatting>
  <conditionalFormatting sqref="E848">
    <cfRule type="cellIs" priority="1687" operator="greaterThan" aboveAverage="0" equalAverage="0" bottom="0" percent="0" rank="0" text="" dxfId="8">
      <formula>0</formula>
    </cfRule>
  </conditionalFormatting>
  <conditionalFormatting sqref="D849">
    <cfRule type="cellIs" priority="1688" operator="greaterThan" aboveAverage="0" equalAverage="0" bottom="0" percent="0" rank="0" text="" dxfId="10">
      <formula>GecOdemeEsik</formula>
    </cfRule>
  </conditionalFormatting>
  <conditionalFormatting sqref="E849">
    <cfRule type="cellIs" priority="1689" operator="greaterThan" aboveAverage="0" equalAverage="0" bottom="0" percent="0" rank="0" text="" dxfId="8">
      <formula>0</formula>
    </cfRule>
  </conditionalFormatting>
  <conditionalFormatting sqref="D850">
    <cfRule type="cellIs" priority="1690" operator="greaterThan" aboveAverage="0" equalAverage="0" bottom="0" percent="0" rank="0" text="" dxfId="10">
      <formula>GecOdemeEsik</formula>
    </cfRule>
  </conditionalFormatting>
  <conditionalFormatting sqref="E850">
    <cfRule type="cellIs" priority="1691" operator="greaterThan" aboveAverage="0" equalAverage="0" bottom="0" percent="0" rank="0" text="" dxfId="8">
      <formula>0</formula>
    </cfRule>
  </conditionalFormatting>
  <conditionalFormatting sqref="D851">
    <cfRule type="cellIs" priority="1692" operator="greaterThan" aboveAverage="0" equalAverage="0" bottom="0" percent="0" rank="0" text="" dxfId="10">
      <formula>GecOdemeEsik</formula>
    </cfRule>
  </conditionalFormatting>
  <conditionalFormatting sqref="E851">
    <cfRule type="cellIs" priority="1693" operator="greaterThan" aboveAverage="0" equalAverage="0" bottom="0" percent="0" rank="0" text="" dxfId="8">
      <formula>0</formula>
    </cfRule>
  </conditionalFormatting>
  <conditionalFormatting sqref="D852">
    <cfRule type="cellIs" priority="1694" operator="greaterThan" aboveAverage="0" equalAverage="0" bottom="0" percent="0" rank="0" text="" dxfId="10">
      <formula>GecOdemeEsik</formula>
    </cfRule>
  </conditionalFormatting>
  <conditionalFormatting sqref="E852">
    <cfRule type="cellIs" priority="1695" operator="greaterThan" aboveAverage="0" equalAverage="0" bottom="0" percent="0" rank="0" text="" dxfId="8">
      <formula>0</formula>
    </cfRule>
  </conditionalFormatting>
  <conditionalFormatting sqref="D853">
    <cfRule type="cellIs" priority="1696" operator="greaterThan" aboveAverage="0" equalAverage="0" bottom="0" percent="0" rank="0" text="" dxfId="10">
      <formula>GecOdemeEsik</formula>
    </cfRule>
  </conditionalFormatting>
  <conditionalFormatting sqref="E853">
    <cfRule type="cellIs" priority="1697" operator="greaterThan" aboveAverage="0" equalAverage="0" bottom="0" percent="0" rank="0" text="" dxfId="8">
      <formula>0</formula>
    </cfRule>
  </conditionalFormatting>
  <conditionalFormatting sqref="D854">
    <cfRule type="cellIs" priority="1698" operator="greaterThan" aboveAverage="0" equalAverage="0" bottom="0" percent="0" rank="0" text="" dxfId="10">
      <formula>GecOdemeEsik</formula>
    </cfRule>
  </conditionalFormatting>
  <conditionalFormatting sqref="E854">
    <cfRule type="cellIs" priority="1699" operator="greaterThan" aboveAverage="0" equalAverage="0" bottom="0" percent="0" rank="0" text="" dxfId="8">
      <formula>0</formula>
    </cfRule>
  </conditionalFormatting>
  <conditionalFormatting sqref="D855">
    <cfRule type="cellIs" priority="1700" operator="greaterThan" aboveAverage="0" equalAverage="0" bottom="0" percent="0" rank="0" text="" dxfId="10">
      <formula>GecOdemeEsik</formula>
    </cfRule>
  </conditionalFormatting>
  <conditionalFormatting sqref="E855">
    <cfRule type="cellIs" priority="1701" operator="greaterThan" aboveAverage="0" equalAverage="0" bottom="0" percent="0" rank="0" text="" dxfId="8">
      <formula>0</formula>
    </cfRule>
  </conditionalFormatting>
  <conditionalFormatting sqref="D856">
    <cfRule type="cellIs" priority="1702" operator="greaterThan" aboveAverage="0" equalAverage="0" bottom="0" percent="0" rank="0" text="" dxfId="10">
      <formula>GecOdemeEsik</formula>
    </cfRule>
  </conditionalFormatting>
  <conditionalFormatting sqref="E856">
    <cfRule type="cellIs" priority="1703" operator="greaterThan" aboveAverage="0" equalAverage="0" bottom="0" percent="0" rank="0" text="" dxfId="8">
      <formula>0</formula>
    </cfRule>
  </conditionalFormatting>
  <conditionalFormatting sqref="D857">
    <cfRule type="cellIs" priority="1704" operator="greaterThan" aboveAverage="0" equalAverage="0" bottom="0" percent="0" rank="0" text="" dxfId="10">
      <formula>GecOdemeEsik</formula>
    </cfRule>
  </conditionalFormatting>
  <conditionalFormatting sqref="E857">
    <cfRule type="cellIs" priority="1705" operator="greaterThan" aboveAverage="0" equalAverage="0" bottom="0" percent="0" rank="0" text="" dxfId="8">
      <formula>0</formula>
    </cfRule>
  </conditionalFormatting>
  <conditionalFormatting sqref="D858">
    <cfRule type="cellIs" priority="1706" operator="greaterThan" aboveAverage="0" equalAverage="0" bottom="0" percent="0" rank="0" text="" dxfId="10">
      <formula>GecOdemeEsik</formula>
    </cfRule>
  </conditionalFormatting>
  <conditionalFormatting sqref="E858">
    <cfRule type="cellIs" priority="1707" operator="greaterThan" aboveAverage="0" equalAverage="0" bottom="0" percent="0" rank="0" text="" dxfId="8">
      <formula>0</formula>
    </cfRule>
  </conditionalFormatting>
  <conditionalFormatting sqref="D859">
    <cfRule type="cellIs" priority="1708" operator="greaterThan" aboveAverage="0" equalAverage="0" bottom="0" percent="0" rank="0" text="" dxfId="10">
      <formula>GecOdemeEsik</formula>
    </cfRule>
  </conditionalFormatting>
  <conditionalFormatting sqref="E859">
    <cfRule type="cellIs" priority="1709" operator="greaterThan" aboveAverage="0" equalAverage="0" bottom="0" percent="0" rank="0" text="" dxfId="8">
      <formula>0</formula>
    </cfRule>
  </conditionalFormatting>
  <conditionalFormatting sqref="D860">
    <cfRule type="cellIs" priority="1710" operator="greaterThan" aboveAverage="0" equalAverage="0" bottom="0" percent="0" rank="0" text="" dxfId="10">
      <formula>GecOdemeEsik</formula>
    </cfRule>
  </conditionalFormatting>
  <conditionalFormatting sqref="E860">
    <cfRule type="cellIs" priority="1711" operator="greaterThan" aboveAverage="0" equalAverage="0" bottom="0" percent="0" rank="0" text="" dxfId="8">
      <formula>0</formula>
    </cfRule>
  </conditionalFormatting>
  <conditionalFormatting sqref="D861">
    <cfRule type="cellIs" priority="1712" operator="greaterThan" aboveAverage="0" equalAverage="0" bottom="0" percent="0" rank="0" text="" dxfId="10">
      <formula>GecOdemeEsik</formula>
    </cfRule>
  </conditionalFormatting>
  <conditionalFormatting sqref="E861">
    <cfRule type="cellIs" priority="1713" operator="greaterThan" aboveAverage="0" equalAverage="0" bottom="0" percent="0" rank="0" text="" dxfId="8">
      <formula>0</formula>
    </cfRule>
  </conditionalFormatting>
  <conditionalFormatting sqref="D862">
    <cfRule type="cellIs" priority="1714" operator="greaterThan" aboveAverage="0" equalAverage="0" bottom="0" percent="0" rank="0" text="" dxfId="10">
      <formula>GecOdemeEsik</formula>
    </cfRule>
  </conditionalFormatting>
  <conditionalFormatting sqref="E862">
    <cfRule type="cellIs" priority="1715" operator="greaterThan" aboveAverage="0" equalAverage="0" bottom="0" percent="0" rank="0" text="" dxfId="8">
      <formula>0</formula>
    </cfRule>
  </conditionalFormatting>
  <conditionalFormatting sqref="D863">
    <cfRule type="cellIs" priority="1716" operator="greaterThan" aboveAverage="0" equalAverage="0" bottom="0" percent="0" rank="0" text="" dxfId="10">
      <formula>GecOdemeEsik</formula>
    </cfRule>
  </conditionalFormatting>
  <conditionalFormatting sqref="E863">
    <cfRule type="cellIs" priority="1717" operator="greaterThan" aboveAverage="0" equalAverage="0" bottom="0" percent="0" rank="0" text="" dxfId="8">
      <formula>0</formula>
    </cfRule>
  </conditionalFormatting>
  <conditionalFormatting sqref="D864">
    <cfRule type="cellIs" priority="1718" operator="greaterThan" aboveAverage="0" equalAverage="0" bottom="0" percent="0" rank="0" text="" dxfId="10">
      <formula>GecOdemeEsik</formula>
    </cfRule>
  </conditionalFormatting>
  <conditionalFormatting sqref="E864">
    <cfRule type="cellIs" priority="1719" operator="greaterThan" aboveAverage="0" equalAverage="0" bottom="0" percent="0" rank="0" text="" dxfId="8">
      <formula>0</formula>
    </cfRule>
  </conditionalFormatting>
  <conditionalFormatting sqref="D865">
    <cfRule type="cellIs" priority="1720" operator="greaterThan" aboveAverage="0" equalAverage="0" bottom="0" percent="0" rank="0" text="" dxfId="10">
      <formula>GecOdemeEsik</formula>
    </cfRule>
  </conditionalFormatting>
  <conditionalFormatting sqref="E865">
    <cfRule type="cellIs" priority="1721" operator="greaterThan" aboveAverage="0" equalAverage="0" bottom="0" percent="0" rank="0" text="" dxfId="8">
      <formula>0</formula>
    </cfRule>
  </conditionalFormatting>
  <conditionalFormatting sqref="D866">
    <cfRule type="cellIs" priority="1722" operator="greaterThan" aboveAverage="0" equalAverage="0" bottom="0" percent="0" rank="0" text="" dxfId="10">
      <formula>GecOdemeEsik</formula>
    </cfRule>
  </conditionalFormatting>
  <conditionalFormatting sqref="E866">
    <cfRule type="cellIs" priority="1723" operator="greaterThan" aboveAverage="0" equalAverage="0" bottom="0" percent="0" rank="0" text="" dxfId="8">
      <formula>0</formula>
    </cfRule>
  </conditionalFormatting>
  <conditionalFormatting sqref="D867">
    <cfRule type="cellIs" priority="1724" operator="greaterThan" aboveAverage="0" equalAverage="0" bottom="0" percent="0" rank="0" text="" dxfId="10">
      <formula>GecOdemeEsik</formula>
    </cfRule>
  </conditionalFormatting>
  <conditionalFormatting sqref="E867">
    <cfRule type="cellIs" priority="1725" operator="greaterThan" aboveAverage="0" equalAverage="0" bottom="0" percent="0" rank="0" text="" dxfId="8">
      <formula>0</formula>
    </cfRule>
  </conditionalFormatting>
  <conditionalFormatting sqref="D868">
    <cfRule type="cellIs" priority="1726" operator="greaterThan" aboveAverage="0" equalAverage="0" bottom="0" percent="0" rank="0" text="" dxfId="10">
      <formula>GecOdemeEsik</formula>
    </cfRule>
  </conditionalFormatting>
  <conditionalFormatting sqref="E868">
    <cfRule type="cellIs" priority="1727" operator="greaterThan" aboveAverage="0" equalAverage="0" bottom="0" percent="0" rank="0" text="" dxfId="8">
      <formula>0</formula>
    </cfRule>
  </conditionalFormatting>
  <conditionalFormatting sqref="D869">
    <cfRule type="cellIs" priority="1728" operator="greaterThan" aboveAverage="0" equalAverage="0" bottom="0" percent="0" rank="0" text="" dxfId="10">
      <formula>GecOdemeEsik</formula>
    </cfRule>
  </conditionalFormatting>
  <conditionalFormatting sqref="E869">
    <cfRule type="cellIs" priority="1729" operator="greaterThan" aboveAverage="0" equalAverage="0" bottom="0" percent="0" rank="0" text="" dxfId="8">
      <formula>0</formula>
    </cfRule>
  </conditionalFormatting>
  <conditionalFormatting sqref="D870">
    <cfRule type="cellIs" priority="1730" operator="greaterThan" aboveAverage="0" equalAverage="0" bottom="0" percent="0" rank="0" text="" dxfId="10">
      <formula>GecOdemeEsik</formula>
    </cfRule>
  </conditionalFormatting>
  <conditionalFormatting sqref="E870">
    <cfRule type="cellIs" priority="1731" operator="greaterThan" aboveAverage="0" equalAverage="0" bottom="0" percent="0" rank="0" text="" dxfId="8">
      <formula>0</formula>
    </cfRule>
  </conditionalFormatting>
  <conditionalFormatting sqref="D871">
    <cfRule type="cellIs" priority="1732" operator="greaterThan" aboveAverage="0" equalAverage="0" bottom="0" percent="0" rank="0" text="" dxfId="10">
      <formula>GecOdemeEsik</formula>
    </cfRule>
  </conditionalFormatting>
  <conditionalFormatting sqref="E871">
    <cfRule type="cellIs" priority="1733" operator="greaterThan" aboveAverage="0" equalAverage="0" bottom="0" percent="0" rank="0" text="" dxfId="8">
      <formula>0</formula>
    </cfRule>
  </conditionalFormatting>
  <conditionalFormatting sqref="D872">
    <cfRule type="cellIs" priority="1734" operator="greaterThan" aboveAverage="0" equalAverage="0" bottom="0" percent="0" rank="0" text="" dxfId="10">
      <formula>GecOdemeEsik</formula>
    </cfRule>
  </conditionalFormatting>
  <conditionalFormatting sqref="E872">
    <cfRule type="cellIs" priority="1735" operator="greaterThan" aboveAverage="0" equalAverage="0" bottom="0" percent="0" rank="0" text="" dxfId="8">
      <formula>0</formula>
    </cfRule>
  </conditionalFormatting>
  <conditionalFormatting sqref="D873">
    <cfRule type="cellIs" priority="1736" operator="greaterThan" aboveAverage="0" equalAverage="0" bottom="0" percent="0" rank="0" text="" dxfId="10">
      <formula>GecOdemeEsik</formula>
    </cfRule>
  </conditionalFormatting>
  <conditionalFormatting sqref="E873">
    <cfRule type="cellIs" priority="1737" operator="greaterThan" aboveAverage="0" equalAverage="0" bottom="0" percent="0" rank="0" text="" dxfId="8">
      <formula>0</formula>
    </cfRule>
  </conditionalFormatting>
  <conditionalFormatting sqref="D874">
    <cfRule type="cellIs" priority="1738" operator="greaterThan" aboveAverage="0" equalAverage="0" bottom="0" percent="0" rank="0" text="" dxfId="10">
      <formula>GecOdemeEsik</formula>
    </cfRule>
  </conditionalFormatting>
  <conditionalFormatting sqref="E874">
    <cfRule type="cellIs" priority="1739" operator="greaterThan" aboveAverage="0" equalAverage="0" bottom="0" percent="0" rank="0" text="" dxfId="8">
      <formula>0</formula>
    </cfRule>
  </conditionalFormatting>
  <conditionalFormatting sqref="D875">
    <cfRule type="cellIs" priority="1740" operator="greaterThan" aboveAverage="0" equalAverage="0" bottom="0" percent="0" rank="0" text="" dxfId="10">
      <formula>GecOdemeEsik</formula>
    </cfRule>
  </conditionalFormatting>
  <conditionalFormatting sqref="E875">
    <cfRule type="cellIs" priority="1741" operator="greaterThan" aboveAverage="0" equalAverage="0" bottom="0" percent="0" rank="0" text="" dxfId="8">
      <formula>0</formula>
    </cfRule>
  </conditionalFormatting>
  <conditionalFormatting sqref="D876">
    <cfRule type="cellIs" priority="1742" operator="greaterThan" aboveAverage="0" equalAverage="0" bottom="0" percent="0" rank="0" text="" dxfId="10">
      <formula>GecOdemeEsik</formula>
    </cfRule>
  </conditionalFormatting>
  <conditionalFormatting sqref="E876">
    <cfRule type="cellIs" priority="1743" operator="greaterThan" aboveAverage="0" equalAverage="0" bottom="0" percent="0" rank="0" text="" dxfId="8">
      <formula>0</formula>
    </cfRule>
  </conditionalFormatting>
  <conditionalFormatting sqref="D877">
    <cfRule type="cellIs" priority="1744" operator="greaterThan" aboveAverage="0" equalAverage="0" bottom="0" percent="0" rank="0" text="" dxfId="10">
      <formula>GecOdemeEsik</formula>
    </cfRule>
  </conditionalFormatting>
  <conditionalFormatting sqref="E877">
    <cfRule type="cellIs" priority="1745" operator="greaterThan" aboveAverage="0" equalAverage="0" bottom="0" percent="0" rank="0" text="" dxfId="8">
      <formula>0</formula>
    </cfRule>
  </conditionalFormatting>
  <conditionalFormatting sqref="D878">
    <cfRule type="cellIs" priority="1746" operator="greaterThan" aboveAverage="0" equalAverage="0" bottom="0" percent="0" rank="0" text="" dxfId="10">
      <formula>GecOdemeEsik</formula>
    </cfRule>
  </conditionalFormatting>
  <conditionalFormatting sqref="E878">
    <cfRule type="cellIs" priority="1747" operator="greaterThan" aboveAverage="0" equalAverage="0" bottom="0" percent="0" rank="0" text="" dxfId="8">
      <formula>0</formula>
    </cfRule>
  </conditionalFormatting>
  <conditionalFormatting sqref="D879">
    <cfRule type="cellIs" priority="1748" operator="greaterThan" aboveAverage="0" equalAverage="0" bottom="0" percent="0" rank="0" text="" dxfId="10">
      <formula>GecOdemeEsik</formula>
    </cfRule>
  </conditionalFormatting>
  <conditionalFormatting sqref="E879">
    <cfRule type="cellIs" priority="1749" operator="greaterThan" aboveAverage="0" equalAverage="0" bottom="0" percent="0" rank="0" text="" dxfId="8">
      <formula>0</formula>
    </cfRule>
  </conditionalFormatting>
  <conditionalFormatting sqref="D880">
    <cfRule type="cellIs" priority="1750" operator="greaterThan" aboveAverage="0" equalAverage="0" bottom="0" percent="0" rank="0" text="" dxfId="10">
      <formula>GecOdemeEsik</formula>
    </cfRule>
  </conditionalFormatting>
  <conditionalFormatting sqref="E880">
    <cfRule type="cellIs" priority="1751" operator="greaterThan" aboveAverage="0" equalAverage="0" bottom="0" percent="0" rank="0" text="" dxfId="8">
      <formula>0</formula>
    </cfRule>
  </conditionalFormatting>
  <conditionalFormatting sqref="D881">
    <cfRule type="cellIs" priority="1752" operator="greaterThan" aboveAverage="0" equalAverage="0" bottom="0" percent="0" rank="0" text="" dxfId="10">
      <formula>GecOdemeEsik</formula>
    </cfRule>
  </conditionalFormatting>
  <conditionalFormatting sqref="E881">
    <cfRule type="cellIs" priority="1753" operator="greaterThan" aboveAverage="0" equalAverage="0" bottom="0" percent="0" rank="0" text="" dxfId="8">
      <formula>0</formula>
    </cfRule>
  </conditionalFormatting>
  <conditionalFormatting sqref="D882">
    <cfRule type="cellIs" priority="1754" operator="greaterThan" aboveAverage="0" equalAverage="0" bottom="0" percent="0" rank="0" text="" dxfId="10">
      <formula>GecOdemeEsik</formula>
    </cfRule>
  </conditionalFormatting>
  <conditionalFormatting sqref="E882">
    <cfRule type="cellIs" priority="1755" operator="greaterThan" aboveAverage="0" equalAverage="0" bottom="0" percent="0" rank="0" text="" dxfId="8">
      <formula>0</formula>
    </cfRule>
  </conditionalFormatting>
  <conditionalFormatting sqref="D883">
    <cfRule type="cellIs" priority="1756" operator="greaterThan" aboveAverage="0" equalAverage="0" bottom="0" percent="0" rank="0" text="" dxfId="10">
      <formula>GecOdemeEsik</formula>
    </cfRule>
  </conditionalFormatting>
  <conditionalFormatting sqref="E883">
    <cfRule type="cellIs" priority="1757" operator="greaterThan" aboveAverage="0" equalAverage="0" bottom="0" percent="0" rank="0" text="" dxfId="8">
      <formula>0</formula>
    </cfRule>
  </conditionalFormatting>
  <conditionalFormatting sqref="D884">
    <cfRule type="cellIs" priority="1758" operator="greaterThan" aboveAverage="0" equalAverage="0" bottom="0" percent="0" rank="0" text="" dxfId="10">
      <formula>GecOdemeEsik</formula>
    </cfRule>
  </conditionalFormatting>
  <conditionalFormatting sqref="E884">
    <cfRule type="cellIs" priority="1759" operator="greaterThan" aboveAverage="0" equalAverage="0" bottom="0" percent="0" rank="0" text="" dxfId="8">
      <formula>0</formula>
    </cfRule>
  </conditionalFormatting>
  <conditionalFormatting sqref="D885">
    <cfRule type="cellIs" priority="1760" operator="greaterThan" aboveAverage="0" equalAverage="0" bottom="0" percent="0" rank="0" text="" dxfId="10">
      <formula>GecOdemeEsik</formula>
    </cfRule>
  </conditionalFormatting>
  <conditionalFormatting sqref="E885">
    <cfRule type="cellIs" priority="1761" operator="greaterThan" aboveAverage="0" equalAverage="0" bottom="0" percent="0" rank="0" text="" dxfId="8">
      <formula>0</formula>
    </cfRule>
  </conditionalFormatting>
  <conditionalFormatting sqref="D886">
    <cfRule type="cellIs" priority="1762" operator="greaterThan" aboveAverage="0" equalAverage="0" bottom="0" percent="0" rank="0" text="" dxfId="10">
      <formula>GecOdemeEsik</formula>
    </cfRule>
  </conditionalFormatting>
  <conditionalFormatting sqref="E886">
    <cfRule type="cellIs" priority="1763" operator="greaterThan" aboveAverage="0" equalAverage="0" bottom="0" percent="0" rank="0" text="" dxfId="8">
      <formula>0</formula>
    </cfRule>
  </conditionalFormatting>
  <conditionalFormatting sqref="D887">
    <cfRule type="cellIs" priority="1764" operator="greaterThan" aboveAverage="0" equalAverage="0" bottom="0" percent="0" rank="0" text="" dxfId="10">
      <formula>GecOdemeEsik</formula>
    </cfRule>
  </conditionalFormatting>
  <conditionalFormatting sqref="E887">
    <cfRule type="cellIs" priority="1765" operator="greaterThan" aboveAverage="0" equalAverage="0" bottom="0" percent="0" rank="0" text="" dxfId="8">
      <formula>0</formula>
    </cfRule>
  </conditionalFormatting>
  <conditionalFormatting sqref="D888">
    <cfRule type="cellIs" priority="1766" operator="greaterThan" aboveAverage="0" equalAverage="0" bottom="0" percent="0" rank="0" text="" dxfId="10">
      <formula>GecOdemeEsik</formula>
    </cfRule>
  </conditionalFormatting>
  <conditionalFormatting sqref="E888">
    <cfRule type="cellIs" priority="1767" operator="greaterThan" aboveAverage="0" equalAverage="0" bottom="0" percent="0" rank="0" text="" dxfId="8">
      <formula>0</formula>
    </cfRule>
  </conditionalFormatting>
  <conditionalFormatting sqref="D889">
    <cfRule type="cellIs" priority="1768" operator="greaterThan" aboveAverage="0" equalAverage="0" bottom="0" percent="0" rank="0" text="" dxfId="10">
      <formula>GecOdemeEsik</formula>
    </cfRule>
  </conditionalFormatting>
  <conditionalFormatting sqref="E889">
    <cfRule type="cellIs" priority="1769" operator="greaterThan" aboveAverage="0" equalAverage="0" bottom="0" percent="0" rank="0" text="" dxfId="8">
      <formula>0</formula>
    </cfRule>
  </conditionalFormatting>
  <conditionalFormatting sqref="D890">
    <cfRule type="cellIs" priority="1770" operator="greaterThan" aboveAverage="0" equalAverage="0" bottom="0" percent="0" rank="0" text="" dxfId="10">
      <formula>GecOdemeEsik</formula>
    </cfRule>
  </conditionalFormatting>
  <conditionalFormatting sqref="E890">
    <cfRule type="cellIs" priority="1771" operator="greaterThan" aboveAverage="0" equalAverage="0" bottom="0" percent="0" rank="0" text="" dxfId="8">
      <formula>0</formula>
    </cfRule>
  </conditionalFormatting>
  <conditionalFormatting sqref="D891">
    <cfRule type="cellIs" priority="1772" operator="greaterThan" aboveAverage="0" equalAverage="0" bottom="0" percent="0" rank="0" text="" dxfId="10">
      <formula>GecOdemeEsik</formula>
    </cfRule>
  </conditionalFormatting>
  <conditionalFormatting sqref="E891">
    <cfRule type="cellIs" priority="1773" operator="greaterThan" aboveAverage="0" equalAverage="0" bottom="0" percent="0" rank="0" text="" dxfId="8">
      <formula>0</formula>
    </cfRule>
  </conditionalFormatting>
  <conditionalFormatting sqref="D892">
    <cfRule type="cellIs" priority="1774" operator="greaterThan" aboveAverage="0" equalAverage="0" bottom="0" percent="0" rank="0" text="" dxfId="10">
      <formula>GecOdemeEsik</formula>
    </cfRule>
  </conditionalFormatting>
  <conditionalFormatting sqref="E892">
    <cfRule type="cellIs" priority="1775" operator="greaterThan" aboveAverage="0" equalAverage="0" bottom="0" percent="0" rank="0" text="" dxfId="8">
      <formula>0</formula>
    </cfRule>
  </conditionalFormatting>
  <conditionalFormatting sqref="D893">
    <cfRule type="cellIs" priority="1776" operator="greaterThan" aboveAverage="0" equalAverage="0" bottom="0" percent="0" rank="0" text="" dxfId="10">
      <formula>GecOdemeEsik</formula>
    </cfRule>
  </conditionalFormatting>
  <conditionalFormatting sqref="E893">
    <cfRule type="cellIs" priority="1777" operator="greaterThan" aboveAverage="0" equalAverage="0" bottom="0" percent="0" rank="0" text="" dxfId="8">
      <formula>0</formula>
    </cfRule>
  </conditionalFormatting>
  <conditionalFormatting sqref="D894">
    <cfRule type="cellIs" priority="1778" operator="greaterThan" aboveAverage="0" equalAverage="0" bottom="0" percent="0" rank="0" text="" dxfId="10">
      <formula>GecOdemeEsik</formula>
    </cfRule>
  </conditionalFormatting>
  <conditionalFormatting sqref="E894">
    <cfRule type="cellIs" priority="1779" operator="greaterThan" aboveAverage="0" equalAverage="0" bottom="0" percent="0" rank="0" text="" dxfId="8">
      <formula>0</formula>
    </cfRule>
  </conditionalFormatting>
  <conditionalFormatting sqref="D895">
    <cfRule type="cellIs" priority="1780" operator="greaterThan" aboveAverage="0" equalAverage="0" bottom="0" percent="0" rank="0" text="" dxfId="10">
      <formula>GecOdemeEsik</formula>
    </cfRule>
  </conditionalFormatting>
  <conditionalFormatting sqref="E895">
    <cfRule type="cellIs" priority="1781" operator="greaterThan" aboveAverage="0" equalAverage="0" bottom="0" percent="0" rank="0" text="" dxfId="8">
      <formula>0</formula>
    </cfRule>
  </conditionalFormatting>
  <conditionalFormatting sqref="D896">
    <cfRule type="cellIs" priority="1782" operator="greaterThan" aboveAverage="0" equalAverage="0" bottom="0" percent="0" rank="0" text="" dxfId="10">
      <formula>GecOdemeEsik</formula>
    </cfRule>
  </conditionalFormatting>
  <conditionalFormatting sqref="E896">
    <cfRule type="cellIs" priority="1783" operator="greaterThan" aboveAverage="0" equalAverage="0" bottom="0" percent="0" rank="0" text="" dxfId="8">
      <formula>0</formula>
    </cfRule>
  </conditionalFormatting>
  <conditionalFormatting sqref="D897">
    <cfRule type="cellIs" priority="1784" operator="greaterThan" aboveAverage="0" equalAverage="0" bottom="0" percent="0" rank="0" text="" dxfId="10">
      <formula>GecOdemeEsik</formula>
    </cfRule>
  </conditionalFormatting>
  <conditionalFormatting sqref="E897">
    <cfRule type="cellIs" priority="1785" operator="greaterThan" aboveAverage="0" equalAverage="0" bottom="0" percent="0" rank="0" text="" dxfId="8">
      <formula>0</formula>
    </cfRule>
  </conditionalFormatting>
  <conditionalFormatting sqref="D898">
    <cfRule type="cellIs" priority="1786" operator="greaterThan" aboveAverage="0" equalAverage="0" bottom="0" percent="0" rank="0" text="" dxfId="10">
      <formula>GecOdemeEsik</formula>
    </cfRule>
  </conditionalFormatting>
  <conditionalFormatting sqref="E898">
    <cfRule type="cellIs" priority="1787" operator="greaterThan" aboveAverage="0" equalAverage="0" bottom="0" percent="0" rank="0" text="" dxfId="8">
      <formula>0</formula>
    </cfRule>
  </conditionalFormatting>
  <conditionalFormatting sqref="D899">
    <cfRule type="cellIs" priority="1788" operator="greaterThan" aboveAverage="0" equalAverage="0" bottom="0" percent="0" rank="0" text="" dxfId="10">
      <formula>GecOdemeEsik</formula>
    </cfRule>
  </conditionalFormatting>
  <conditionalFormatting sqref="E899">
    <cfRule type="cellIs" priority="1789" operator="greaterThan" aboveAverage="0" equalAverage="0" bottom="0" percent="0" rank="0" text="" dxfId="8">
      <formula>0</formula>
    </cfRule>
  </conditionalFormatting>
  <conditionalFormatting sqref="D900">
    <cfRule type="cellIs" priority="1790" operator="greaterThan" aboveAverage="0" equalAverage="0" bottom="0" percent="0" rank="0" text="" dxfId="10">
      <formula>GecOdemeEsik</formula>
    </cfRule>
  </conditionalFormatting>
  <conditionalFormatting sqref="E900">
    <cfRule type="cellIs" priority="1791" operator="greaterThan" aboveAverage="0" equalAverage="0" bottom="0" percent="0" rank="0" text="" dxfId="8">
      <formula>0</formula>
    </cfRule>
  </conditionalFormatting>
  <conditionalFormatting sqref="D901">
    <cfRule type="cellIs" priority="1792" operator="greaterThan" aboveAverage="0" equalAverage="0" bottom="0" percent="0" rank="0" text="" dxfId="10">
      <formula>GecOdemeEsik</formula>
    </cfRule>
  </conditionalFormatting>
  <conditionalFormatting sqref="E901">
    <cfRule type="cellIs" priority="1793" operator="greaterThan" aboveAverage="0" equalAverage="0" bottom="0" percent="0" rank="0" text="" dxfId="8">
      <formula>0</formula>
    </cfRule>
  </conditionalFormatting>
  <conditionalFormatting sqref="D902">
    <cfRule type="cellIs" priority="1794" operator="greaterThan" aboveAverage="0" equalAverage="0" bottom="0" percent="0" rank="0" text="" dxfId="10">
      <formula>GecOdemeEsik</formula>
    </cfRule>
  </conditionalFormatting>
  <conditionalFormatting sqref="E902">
    <cfRule type="cellIs" priority="1795" operator="greaterThan" aboveAverage="0" equalAverage="0" bottom="0" percent="0" rank="0" text="" dxfId="8">
      <formula>0</formula>
    </cfRule>
  </conditionalFormatting>
  <conditionalFormatting sqref="D903">
    <cfRule type="cellIs" priority="1796" operator="greaterThan" aboveAverage="0" equalAverage="0" bottom="0" percent="0" rank="0" text="" dxfId="10">
      <formula>GecOdemeEsik</formula>
    </cfRule>
  </conditionalFormatting>
  <conditionalFormatting sqref="E903">
    <cfRule type="cellIs" priority="1797" operator="greaterThan" aboveAverage="0" equalAverage="0" bottom="0" percent="0" rank="0" text="" dxfId="8">
      <formula>0</formula>
    </cfRule>
  </conditionalFormatting>
  <conditionalFormatting sqref="D904">
    <cfRule type="cellIs" priority="1798" operator="greaterThan" aboveAverage="0" equalAverage="0" bottom="0" percent="0" rank="0" text="" dxfId="10">
      <formula>GecOdemeEsik</formula>
    </cfRule>
  </conditionalFormatting>
  <conditionalFormatting sqref="E904">
    <cfRule type="cellIs" priority="1799" operator="greaterThan" aboveAverage="0" equalAverage="0" bottom="0" percent="0" rank="0" text="" dxfId="8">
      <formula>0</formula>
    </cfRule>
  </conditionalFormatting>
  <conditionalFormatting sqref="D905">
    <cfRule type="cellIs" priority="1800" operator="greaterThan" aboveAverage="0" equalAverage="0" bottom="0" percent="0" rank="0" text="" dxfId="10">
      <formula>GecOdemeEsik</formula>
    </cfRule>
  </conditionalFormatting>
  <conditionalFormatting sqref="E905">
    <cfRule type="cellIs" priority="1801" operator="greaterThan" aboveAverage="0" equalAverage="0" bottom="0" percent="0" rank="0" text="" dxfId="8">
      <formula>0</formula>
    </cfRule>
  </conditionalFormatting>
  <conditionalFormatting sqref="D906">
    <cfRule type="cellIs" priority="1802" operator="greaterThan" aboveAverage="0" equalAverage="0" bottom="0" percent="0" rank="0" text="" dxfId="10">
      <formula>GecOdemeEsik</formula>
    </cfRule>
  </conditionalFormatting>
  <conditionalFormatting sqref="E906">
    <cfRule type="cellIs" priority="1803" operator="greaterThan" aboveAverage="0" equalAverage="0" bottom="0" percent="0" rank="0" text="" dxfId="8">
      <formula>0</formula>
    </cfRule>
  </conditionalFormatting>
  <conditionalFormatting sqref="D907">
    <cfRule type="cellIs" priority="1804" operator="greaterThan" aboveAverage="0" equalAverage="0" bottom="0" percent="0" rank="0" text="" dxfId="10">
      <formula>GecOdemeEsik</formula>
    </cfRule>
  </conditionalFormatting>
  <conditionalFormatting sqref="E907">
    <cfRule type="cellIs" priority="1805" operator="greaterThan" aboveAverage="0" equalAverage="0" bottom="0" percent="0" rank="0" text="" dxfId="8">
      <formula>0</formula>
    </cfRule>
  </conditionalFormatting>
  <conditionalFormatting sqref="D908">
    <cfRule type="cellIs" priority="1806" operator="greaterThan" aboveAverage="0" equalAverage="0" bottom="0" percent="0" rank="0" text="" dxfId="10">
      <formula>GecOdemeEsik</formula>
    </cfRule>
  </conditionalFormatting>
  <conditionalFormatting sqref="E908">
    <cfRule type="cellIs" priority="1807" operator="greaterThan" aboveAverage="0" equalAverage="0" bottom="0" percent="0" rank="0" text="" dxfId="8">
      <formula>0</formula>
    </cfRule>
  </conditionalFormatting>
  <conditionalFormatting sqref="D909">
    <cfRule type="cellIs" priority="1808" operator="greaterThan" aboveAverage="0" equalAverage="0" bottom="0" percent="0" rank="0" text="" dxfId="10">
      <formula>GecOdemeEsik</formula>
    </cfRule>
  </conditionalFormatting>
  <conditionalFormatting sqref="E909">
    <cfRule type="cellIs" priority="1809" operator="greaterThan" aboveAverage="0" equalAverage="0" bottom="0" percent="0" rank="0" text="" dxfId="8">
      <formula>0</formula>
    </cfRule>
  </conditionalFormatting>
  <conditionalFormatting sqref="D910">
    <cfRule type="cellIs" priority="1810" operator="greaterThan" aboveAverage="0" equalAverage="0" bottom="0" percent="0" rank="0" text="" dxfId="10">
      <formula>GecOdemeEsik</formula>
    </cfRule>
  </conditionalFormatting>
  <conditionalFormatting sqref="E910">
    <cfRule type="cellIs" priority="1811" operator="greaterThan" aboveAverage="0" equalAverage="0" bottom="0" percent="0" rank="0" text="" dxfId="8">
      <formula>0</formula>
    </cfRule>
  </conditionalFormatting>
  <conditionalFormatting sqref="D911">
    <cfRule type="cellIs" priority="1812" operator="greaterThan" aboveAverage="0" equalAverage="0" bottom="0" percent="0" rank="0" text="" dxfId="10">
      <formula>GecOdemeEsik</formula>
    </cfRule>
  </conditionalFormatting>
  <conditionalFormatting sqref="E911">
    <cfRule type="cellIs" priority="1813" operator="greaterThan" aboveAverage="0" equalAverage="0" bottom="0" percent="0" rank="0" text="" dxfId="8">
      <formula>0</formula>
    </cfRule>
  </conditionalFormatting>
  <conditionalFormatting sqref="D912">
    <cfRule type="cellIs" priority="1814" operator="greaterThan" aboveAverage="0" equalAverage="0" bottom="0" percent="0" rank="0" text="" dxfId="10">
      <formula>GecOdemeEsik</formula>
    </cfRule>
  </conditionalFormatting>
  <conditionalFormatting sqref="E912">
    <cfRule type="cellIs" priority="1815" operator="greaterThan" aboveAverage="0" equalAverage="0" bottom="0" percent="0" rank="0" text="" dxfId="8">
      <formula>0</formula>
    </cfRule>
  </conditionalFormatting>
  <conditionalFormatting sqref="D913">
    <cfRule type="cellIs" priority="1816" operator="greaterThan" aboveAverage="0" equalAverage="0" bottom="0" percent="0" rank="0" text="" dxfId="10">
      <formula>GecOdemeEsik</formula>
    </cfRule>
  </conditionalFormatting>
  <conditionalFormatting sqref="E913">
    <cfRule type="cellIs" priority="1817" operator="greaterThan" aboveAverage="0" equalAverage="0" bottom="0" percent="0" rank="0" text="" dxfId="8">
      <formula>0</formula>
    </cfRule>
  </conditionalFormatting>
  <conditionalFormatting sqref="D914">
    <cfRule type="cellIs" priority="1818" operator="greaterThan" aboveAverage="0" equalAverage="0" bottom="0" percent="0" rank="0" text="" dxfId="10">
      <formula>GecOdemeEsik</formula>
    </cfRule>
  </conditionalFormatting>
  <conditionalFormatting sqref="E914">
    <cfRule type="cellIs" priority="1819" operator="greaterThan" aboveAverage="0" equalAverage="0" bottom="0" percent="0" rank="0" text="" dxfId="8">
      <formula>0</formula>
    </cfRule>
  </conditionalFormatting>
  <conditionalFormatting sqref="D915">
    <cfRule type="cellIs" priority="1820" operator="greaterThan" aboveAverage="0" equalAverage="0" bottom="0" percent="0" rank="0" text="" dxfId="10">
      <formula>GecOdemeEsik</formula>
    </cfRule>
  </conditionalFormatting>
  <conditionalFormatting sqref="E915">
    <cfRule type="cellIs" priority="1821" operator="greaterThan" aboveAverage="0" equalAverage="0" bottom="0" percent="0" rank="0" text="" dxfId="8">
      <formula>0</formula>
    </cfRule>
  </conditionalFormatting>
  <conditionalFormatting sqref="D916">
    <cfRule type="cellIs" priority="1822" operator="greaterThan" aboveAverage="0" equalAverage="0" bottom="0" percent="0" rank="0" text="" dxfId="10">
      <formula>GecOdemeEsik</formula>
    </cfRule>
  </conditionalFormatting>
  <conditionalFormatting sqref="E916">
    <cfRule type="cellIs" priority="1823" operator="greaterThan" aboveAverage="0" equalAverage="0" bottom="0" percent="0" rank="0" text="" dxfId="8">
      <formula>0</formula>
    </cfRule>
  </conditionalFormatting>
  <conditionalFormatting sqref="D917">
    <cfRule type="cellIs" priority="1824" operator="greaterThan" aboveAverage="0" equalAverage="0" bottom="0" percent="0" rank="0" text="" dxfId="10">
      <formula>GecOdemeEsik</formula>
    </cfRule>
  </conditionalFormatting>
  <conditionalFormatting sqref="E917">
    <cfRule type="cellIs" priority="1825" operator="greaterThan" aboveAverage="0" equalAverage="0" bottom="0" percent="0" rank="0" text="" dxfId="8">
      <formula>0</formula>
    </cfRule>
  </conditionalFormatting>
  <conditionalFormatting sqref="D918">
    <cfRule type="cellIs" priority="1826" operator="greaterThan" aboveAverage="0" equalAverage="0" bottom="0" percent="0" rank="0" text="" dxfId="10">
      <formula>GecOdemeEsik</formula>
    </cfRule>
  </conditionalFormatting>
  <conditionalFormatting sqref="E918">
    <cfRule type="cellIs" priority="1827" operator="greaterThan" aboveAverage="0" equalAverage="0" bottom="0" percent="0" rank="0" text="" dxfId="8">
      <formula>0</formula>
    </cfRule>
  </conditionalFormatting>
  <conditionalFormatting sqref="D919">
    <cfRule type="cellIs" priority="1828" operator="greaterThan" aboveAverage="0" equalAverage="0" bottom="0" percent="0" rank="0" text="" dxfId="10">
      <formula>GecOdemeEsik</formula>
    </cfRule>
  </conditionalFormatting>
  <conditionalFormatting sqref="E919">
    <cfRule type="cellIs" priority="1829" operator="greaterThan" aboveAverage="0" equalAverage="0" bottom="0" percent="0" rank="0" text="" dxfId="8">
      <formula>0</formula>
    </cfRule>
  </conditionalFormatting>
  <conditionalFormatting sqref="D920">
    <cfRule type="cellIs" priority="1830" operator="greaterThan" aboveAverage="0" equalAverage="0" bottom="0" percent="0" rank="0" text="" dxfId="10">
      <formula>GecOdemeEsik</formula>
    </cfRule>
  </conditionalFormatting>
  <conditionalFormatting sqref="E920">
    <cfRule type="cellIs" priority="1831" operator="greaterThan" aboveAverage="0" equalAverage="0" bottom="0" percent="0" rank="0" text="" dxfId="8">
      <formula>0</formula>
    </cfRule>
  </conditionalFormatting>
  <conditionalFormatting sqref="D921">
    <cfRule type="cellIs" priority="1832" operator="greaterThan" aboveAverage="0" equalAverage="0" bottom="0" percent="0" rank="0" text="" dxfId="10">
      <formula>GecOdemeEsik</formula>
    </cfRule>
  </conditionalFormatting>
  <conditionalFormatting sqref="E921">
    <cfRule type="cellIs" priority="1833" operator="greaterThan" aboveAverage="0" equalAverage="0" bottom="0" percent="0" rank="0" text="" dxfId="8">
      <formula>0</formula>
    </cfRule>
  </conditionalFormatting>
  <conditionalFormatting sqref="D922">
    <cfRule type="cellIs" priority="1834" operator="greaterThan" aboveAverage="0" equalAverage="0" bottom="0" percent="0" rank="0" text="" dxfId="10">
      <formula>GecOdemeEsik</formula>
    </cfRule>
  </conditionalFormatting>
  <conditionalFormatting sqref="E922">
    <cfRule type="cellIs" priority="1835" operator="greaterThan" aboveAverage="0" equalAverage="0" bottom="0" percent="0" rank="0" text="" dxfId="8">
      <formula>0</formula>
    </cfRule>
  </conditionalFormatting>
  <conditionalFormatting sqref="D923">
    <cfRule type="cellIs" priority="1836" operator="greaterThan" aboveAverage="0" equalAverage="0" bottom="0" percent="0" rank="0" text="" dxfId="10">
      <formula>GecOdemeEsik</formula>
    </cfRule>
  </conditionalFormatting>
  <conditionalFormatting sqref="E923">
    <cfRule type="cellIs" priority="1837" operator="greaterThan" aboveAverage="0" equalAverage="0" bottom="0" percent="0" rank="0" text="" dxfId="8">
      <formula>0</formula>
    </cfRule>
  </conditionalFormatting>
  <conditionalFormatting sqref="D924">
    <cfRule type="cellIs" priority="1838" operator="greaterThan" aboveAverage="0" equalAverage="0" bottom="0" percent="0" rank="0" text="" dxfId="10">
      <formula>GecOdemeEsik</formula>
    </cfRule>
  </conditionalFormatting>
  <conditionalFormatting sqref="E924">
    <cfRule type="cellIs" priority="1839" operator="greaterThan" aboveAverage="0" equalAverage="0" bottom="0" percent="0" rank="0" text="" dxfId="8">
      <formula>0</formula>
    </cfRule>
  </conditionalFormatting>
  <conditionalFormatting sqref="D925">
    <cfRule type="cellIs" priority="1840" operator="greaterThan" aboveAverage="0" equalAverage="0" bottom="0" percent="0" rank="0" text="" dxfId="10">
      <formula>GecOdemeEsik</formula>
    </cfRule>
  </conditionalFormatting>
  <conditionalFormatting sqref="E925">
    <cfRule type="cellIs" priority="1841" operator="greaterThan" aboveAverage="0" equalAverage="0" bottom="0" percent="0" rank="0" text="" dxfId="8">
      <formula>0</formula>
    </cfRule>
  </conditionalFormatting>
  <conditionalFormatting sqref="D926">
    <cfRule type="cellIs" priority="1842" operator="greaterThan" aboveAverage="0" equalAverage="0" bottom="0" percent="0" rank="0" text="" dxfId="10">
      <formula>GecOdemeEsik</formula>
    </cfRule>
  </conditionalFormatting>
  <conditionalFormatting sqref="E926">
    <cfRule type="cellIs" priority="1843" operator="greaterThan" aboveAverage="0" equalAverage="0" bottom="0" percent="0" rank="0" text="" dxfId="8">
      <formula>0</formula>
    </cfRule>
  </conditionalFormatting>
  <conditionalFormatting sqref="D927">
    <cfRule type="cellIs" priority="1844" operator="greaterThan" aboveAverage="0" equalAverage="0" bottom="0" percent="0" rank="0" text="" dxfId="10">
      <formula>GecOdemeEsik</formula>
    </cfRule>
  </conditionalFormatting>
  <conditionalFormatting sqref="E927">
    <cfRule type="cellIs" priority="1845" operator="greaterThan" aboveAverage="0" equalAverage="0" bottom="0" percent="0" rank="0" text="" dxfId="8">
      <formula>0</formula>
    </cfRule>
  </conditionalFormatting>
  <conditionalFormatting sqref="D928">
    <cfRule type="cellIs" priority="1846" operator="greaterThan" aboveAverage="0" equalAverage="0" bottom="0" percent="0" rank="0" text="" dxfId="10">
      <formula>GecOdemeEsik</formula>
    </cfRule>
  </conditionalFormatting>
  <conditionalFormatting sqref="E928">
    <cfRule type="cellIs" priority="1847" operator="greaterThan" aboveAverage="0" equalAverage="0" bottom="0" percent="0" rank="0" text="" dxfId="8">
      <formula>0</formula>
    </cfRule>
  </conditionalFormatting>
  <conditionalFormatting sqref="D929">
    <cfRule type="cellIs" priority="1848" operator="greaterThan" aboveAverage="0" equalAverage="0" bottom="0" percent="0" rank="0" text="" dxfId="10">
      <formula>GecOdemeEsik</formula>
    </cfRule>
  </conditionalFormatting>
  <conditionalFormatting sqref="E929">
    <cfRule type="cellIs" priority="1849" operator="greaterThan" aboveAverage="0" equalAverage="0" bottom="0" percent="0" rank="0" text="" dxfId="8">
      <formula>0</formula>
    </cfRule>
  </conditionalFormatting>
  <conditionalFormatting sqref="D930">
    <cfRule type="cellIs" priority="1850" operator="greaterThan" aboveAverage="0" equalAverage="0" bottom="0" percent="0" rank="0" text="" dxfId="10">
      <formula>GecOdemeEsik</formula>
    </cfRule>
  </conditionalFormatting>
  <conditionalFormatting sqref="E930">
    <cfRule type="cellIs" priority="1851" operator="greaterThan" aboveAverage="0" equalAverage="0" bottom="0" percent="0" rank="0" text="" dxfId="8">
      <formula>0</formula>
    </cfRule>
  </conditionalFormatting>
  <conditionalFormatting sqref="D931">
    <cfRule type="cellIs" priority="1852" operator="greaterThan" aboveAverage="0" equalAverage="0" bottom="0" percent="0" rank="0" text="" dxfId="10">
      <formula>GecOdemeEsik</formula>
    </cfRule>
  </conditionalFormatting>
  <conditionalFormatting sqref="E931">
    <cfRule type="cellIs" priority="1853" operator="greaterThan" aboveAverage="0" equalAverage="0" bottom="0" percent="0" rank="0" text="" dxfId="8">
      <formula>0</formula>
    </cfRule>
  </conditionalFormatting>
  <conditionalFormatting sqref="D932">
    <cfRule type="cellIs" priority="1854" operator="greaterThan" aboveAverage="0" equalAverage="0" bottom="0" percent="0" rank="0" text="" dxfId="10">
      <formula>GecOdemeEsik</formula>
    </cfRule>
  </conditionalFormatting>
  <conditionalFormatting sqref="E932">
    <cfRule type="cellIs" priority="1855" operator="greaterThan" aboveAverage="0" equalAverage="0" bottom="0" percent="0" rank="0" text="" dxfId="8">
      <formula>0</formula>
    </cfRule>
  </conditionalFormatting>
  <conditionalFormatting sqref="D933">
    <cfRule type="cellIs" priority="1856" operator="greaterThan" aboveAverage="0" equalAverage="0" bottom="0" percent="0" rank="0" text="" dxfId="10">
      <formula>GecOdemeEsik</formula>
    </cfRule>
  </conditionalFormatting>
  <conditionalFormatting sqref="E933">
    <cfRule type="cellIs" priority="1857" operator="greaterThan" aboveAverage="0" equalAverage="0" bottom="0" percent="0" rank="0" text="" dxfId="8">
      <formula>0</formula>
    </cfRule>
  </conditionalFormatting>
  <conditionalFormatting sqref="D934">
    <cfRule type="cellIs" priority="1858" operator="greaterThan" aboveAverage="0" equalAverage="0" bottom="0" percent="0" rank="0" text="" dxfId="10">
      <formula>GecOdemeEsik</formula>
    </cfRule>
  </conditionalFormatting>
  <conditionalFormatting sqref="E934">
    <cfRule type="cellIs" priority="1859" operator="greaterThan" aboveAverage="0" equalAverage="0" bottom="0" percent="0" rank="0" text="" dxfId="8">
      <formula>0</formula>
    </cfRule>
  </conditionalFormatting>
  <conditionalFormatting sqref="D935">
    <cfRule type="cellIs" priority="1860" operator="greaterThan" aboveAverage="0" equalAverage="0" bottom="0" percent="0" rank="0" text="" dxfId="10">
      <formula>GecOdemeEsik</formula>
    </cfRule>
  </conditionalFormatting>
  <conditionalFormatting sqref="E935">
    <cfRule type="cellIs" priority="1861" operator="greaterThan" aboveAverage="0" equalAverage="0" bottom="0" percent="0" rank="0" text="" dxfId="8">
      <formula>0</formula>
    </cfRule>
  </conditionalFormatting>
  <conditionalFormatting sqref="D936">
    <cfRule type="cellIs" priority="1862" operator="greaterThan" aboveAverage="0" equalAverage="0" bottom="0" percent="0" rank="0" text="" dxfId="10">
      <formula>GecOdemeEsik</formula>
    </cfRule>
  </conditionalFormatting>
  <conditionalFormatting sqref="E936">
    <cfRule type="cellIs" priority="1863" operator="greaterThan" aboveAverage="0" equalAverage="0" bottom="0" percent="0" rank="0" text="" dxfId="8">
      <formula>0</formula>
    </cfRule>
  </conditionalFormatting>
  <conditionalFormatting sqref="D937">
    <cfRule type="cellIs" priority="1864" operator="greaterThan" aboveAverage="0" equalAverage="0" bottom="0" percent="0" rank="0" text="" dxfId="10">
      <formula>GecOdemeEsik</formula>
    </cfRule>
  </conditionalFormatting>
  <conditionalFormatting sqref="E937">
    <cfRule type="cellIs" priority="1865" operator="greaterThan" aboveAverage="0" equalAverage="0" bottom="0" percent="0" rank="0" text="" dxfId="8">
      <formula>0</formula>
    </cfRule>
  </conditionalFormatting>
  <conditionalFormatting sqref="D938">
    <cfRule type="cellIs" priority="1866" operator="greaterThan" aboveAverage="0" equalAverage="0" bottom="0" percent="0" rank="0" text="" dxfId="10">
      <formula>GecOdemeEsik</formula>
    </cfRule>
  </conditionalFormatting>
  <conditionalFormatting sqref="E938">
    <cfRule type="cellIs" priority="1867" operator="greaterThan" aboveAverage="0" equalAverage="0" bottom="0" percent="0" rank="0" text="" dxfId="8">
      <formula>0</formula>
    </cfRule>
  </conditionalFormatting>
  <conditionalFormatting sqref="D939">
    <cfRule type="cellIs" priority="1868" operator="greaterThan" aboveAverage="0" equalAverage="0" bottom="0" percent="0" rank="0" text="" dxfId="10">
      <formula>GecOdemeEsik</formula>
    </cfRule>
  </conditionalFormatting>
  <conditionalFormatting sqref="E939">
    <cfRule type="cellIs" priority="1869" operator="greaterThan" aboveAverage="0" equalAverage="0" bottom="0" percent="0" rank="0" text="" dxfId="8">
      <formula>0</formula>
    </cfRule>
  </conditionalFormatting>
  <conditionalFormatting sqref="D940">
    <cfRule type="cellIs" priority="1870" operator="greaterThan" aboveAverage="0" equalAverage="0" bottom="0" percent="0" rank="0" text="" dxfId="10">
      <formula>GecOdemeEsik</formula>
    </cfRule>
  </conditionalFormatting>
  <conditionalFormatting sqref="E940">
    <cfRule type="cellIs" priority="1871" operator="greaterThan" aboveAverage="0" equalAverage="0" bottom="0" percent="0" rank="0" text="" dxfId="8">
      <formula>0</formula>
    </cfRule>
  </conditionalFormatting>
  <conditionalFormatting sqref="D941">
    <cfRule type="cellIs" priority="1872" operator="greaterThan" aboveAverage="0" equalAverage="0" bottom="0" percent="0" rank="0" text="" dxfId="10">
      <formula>GecOdemeEsik</formula>
    </cfRule>
  </conditionalFormatting>
  <conditionalFormatting sqref="E941">
    <cfRule type="cellIs" priority="1873" operator="greaterThan" aboveAverage="0" equalAverage="0" bottom="0" percent="0" rank="0" text="" dxfId="8">
      <formula>0</formula>
    </cfRule>
  </conditionalFormatting>
  <conditionalFormatting sqref="D942">
    <cfRule type="cellIs" priority="1874" operator="greaterThan" aboveAverage="0" equalAverage="0" bottom="0" percent="0" rank="0" text="" dxfId="10">
      <formula>GecOdemeEsik</formula>
    </cfRule>
  </conditionalFormatting>
  <conditionalFormatting sqref="E942">
    <cfRule type="cellIs" priority="1875" operator="greaterThan" aboveAverage="0" equalAverage="0" bottom="0" percent="0" rank="0" text="" dxfId="8">
      <formula>0</formula>
    </cfRule>
  </conditionalFormatting>
  <conditionalFormatting sqref="D943">
    <cfRule type="cellIs" priority="1876" operator="greaterThan" aboveAverage="0" equalAverage="0" bottom="0" percent="0" rank="0" text="" dxfId="10">
      <formula>GecOdemeEsik</formula>
    </cfRule>
  </conditionalFormatting>
  <conditionalFormatting sqref="E943">
    <cfRule type="cellIs" priority="1877" operator="greaterThan" aboveAverage="0" equalAverage="0" bottom="0" percent="0" rank="0" text="" dxfId="8">
      <formula>0</formula>
    </cfRule>
  </conditionalFormatting>
  <conditionalFormatting sqref="D944">
    <cfRule type="cellIs" priority="1878" operator="greaterThan" aboveAverage="0" equalAverage="0" bottom="0" percent="0" rank="0" text="" dxfId="10">
      <formula>GecOdemeEsik</formula>
    </cfRule>
  </conditionalFormatting>
  <conditionalFormatting sqref="E944">
    <cfRule type="cellIs" priority="1879" operator="greaterThan" aboveAverage="0" equalAverage="0" bottom="0" percent="0" rank="0" text="" dxfId="8">
      <formula>0</formula>
    </cfRule>
  </conditionalFormatting>
  <conditionalFormatting sqref="D945">
    <cfRule type="cellIs" priority="1880" operator="greaterThan" aboveAverage="0" equalAverage="0" bottom="0" percent="0" rank="0" text="" dxfId="10">
      <formula>GecOdemeEsik</formula>
    </cfRule>
  </conditionalFormatting>
  <conditionalFormatting sqref="E945">
    <cfRule type="cellIs" priority="1881" operator="greaterThan" aboveAverage="0" equalAverage="0" bottom="0" percent="0" rank="0" text="" dxfId="8">
      <formula>0</formula>
    </cfRule>
  </conditionalFormatting>
  <conditionalFormatting sqref="D946">
    <cfRule type="cellIs" priority="1882" operator="greaterThan" aboveAverage="0" equalAverage="0" bottom="0" percent="0" rank="0" text="" dxfId="10">
      <formula>GecOdemeEsik</formula>
    </cfRule>
  </conditionalFormatting>
  <conditionalFormatting sqref="E946">
    <cfRule type="cellIs" priority="1883" operator="greaterThan" aboveAverage="0" equalAverage="0" bottom="0" percent="0" rank="0" text="" dxfId="8">
      <formula>0</formula>
    </cfRule>
  </conditionalFormatting>
  <conditionalFormatting sqref="D947">
    <cfRule type="cellIs" priority="1884" operator="greaterThan" aboveAverage="0" equalAverage="0" bottom="0" percent="0" rank="0" text="" dxfId="10">
      <formula>GecOdemeEsik</formula>
    </cfRule>
  </conditionalFormatting>
  <conditionalFormatting sqref="E947">
    <cfRule type="cellIs" priority="1885" operator="greaterThan" aboveAverage="0" equalAverage="0" bottom="0" percent="0" rank="0" text="" dxfId="8">
      <formula>0</formula>
    </cfRule>
  </conditionalFormatting>
  <conditionalFormatting sqref="D948">
    <cfRule type="cellIs" priority="1886" operator="greaterThan" aboveAverage="0" equalAverage="0" bottom="0" percent="0" rank="0" text="" dxfId="10">
      <formula>GecOdemeEsik</formula>
    </cfRule>
  </conditionalFormatting>
  <conditionalFormatting sqref="E948">
    <cfRule type="cellIs" priority="1887" operator="greaterThan" aboveAverage="0" equalAverage="0" bottom="0" percent="0" rank="0" text="" dxfId="8">
      <formula>0</formula>
    </cfRule>
  </conditionalFormatting>
  <conditionalFormatting sqref="D949">
    <cfRule type="cellIs" priority="1888" operator="greaterThan" aboveAverage="0" equalAverage="0" bottom="0" percent="0" rank="0" text="" dxfId="10">
      <formula>GecOdemeEsik</formula>
    </cfRule>
  </conditionalFormatting>
  <conditionalFormatting sqref="E949">
    <cfRule type="cellIs" priority="1889" operator="greaterThan" aboveAverage="0" equalAverage="0" bottom="0" percent="0" rank="0" text="" dxfId="8">
      <formula>0</formula>
    </cfRule>
  </conditionalFormatting>
  <conditionalFormatting sqref="D950">
    <cfRule type="cellIs" priority="1890" operator="greaterThan" aboveAverage="0" equalAverage="0" bottom="0" percent="0" rank="0" text="" dxfId="10">
      <formula>GecOdemeEsik</formula>
    </cfRule>
  </conditionalFormatting>
  <conditionalFormatting sqref="E950">
    <cfRule type="cellIs" priority="1891" operator="greaterThan" aboveAverage="0" equalAverage="0" bottom="0" percent="0" rank="0" text="" dxfId="8">
      <formula>0</formula>
    </cfRule>
  </conditionalFormatting>
  <conditionalFormatting sqref="D951">
    <cfRule type="cellIs" priority="1892" operator="greaterThan" aboveAverage="0" equalAverage="0" bottom="0" percent="0" rank="0" text="" dxfId="10">
      <formula>GecOdemeEsik</formula>
    </cfRule>
  </conditionalFormatting>
  <conditionalFormatting sqref="E951">
    <cfRule type="cellIs" priority="1893" operator="greaterThan" aboveAverage="0" equalAverage="0" bottom="0" percent="0" rank="0" text="" dxfId="8">
      <formula>0</formula>
    </cfRule>
  </conditionalFormatting>
  <conditionalFormatting sqref="D952">
    <cfRule type="cellIs" priority="1894" operator="greaterThan" aboveAverage="0" equalAverage="0" bottom="0" percent="0" rank="0" text="" dxfId="10">
      <formula>GecOdemeEsik</formula>
    </cfRule>
  </conditionalFormatting>
  <conditionalFormatting sqref="E952">
    <cfRule type="cellIs" priority="1895" operator="greaterThan" aboveAverage="0" equalAverage="0" bottom="0" percent="0" rank="0" text="" dxfId="8">
      <formula>0</formula>
    </cfRule>
  </conditionalFormatting>
  <conditionalFormatting sqref="D953">
    <cfRule type="cellIs" priority="1896" operator="greaterThan" aboveAverage="0" equalAverage="0" bottom="0" percent="0" rank="0" text="" dxfId="10">
      <formula>GecOdemeEsik</formula>
    </cfRule>
  </conditionalFormatting>
  <conditionalFormatting sqref="E953">
    <cfRule type="cellIs" priority="1897" operator="greaterThan" aboveAverage="0" equalAverage="0" bottom="0" percent="0" rank="0" text="" dxfId="8">
      <formula>0</formula>
    </cfRule>
  </conditionalFormatting>
  <conditionalFormatting sqref="D954">
    <cfRule type="cellIs" priority="1898" operator="greaterThan" aboveAverage="0" equalAverage="0" bottom="0" percent="0" rank="0" text="" dxfId="10">
      <formula>GecOdemeEsik</formula>
    </cfRule>
  </conditionalFormatting>
  <conditionalFormatting sqref="E954">
    <cfRule type="cellIs" priority="1899" operator="greaterThan" aboveAverage="0" equalAverage="0" bottom="0" percent="0" rank="0" text="" dxfId="8">
      <formula>0</formula>
    </cfRule>
  </conditionalFormatting>
  <conditionalFormatting sqref="D955">
    <cfRule type="cellIs" priority="1900" operator="greaterThan" aboveAverage="0" equalAverage="0" bottom="0" percent="0" rank="0" text="" dxfId="10">
      <formula>GecOdemeEsik</formula>
    </cfRule>
  </conditionalFormatting>
  <conditionalFormatting sqref="E955">
    <cfRule type="cellIs" priority="1901" operator="greaterThan" aboveAverage="0" equalAverage="0" bottom="0" percent="0" rank="0" text="" dxfId="8">
      <formula>0</formula>
    </cfRule>
  </conditionalFormatting>
  <conditionalFormatting sqref="D956">
    <cfRule type="cellIs" priority="1902" operator="greaterThan" aboveAverage="0" equalAverage="0" bottom="0" percent="0" rank="0" text="" dxfId="10">
      <formula>GecOdemeEsik</formula>
    </cfRule>
  </conditionalFormatting>
  <conditionalFormatting sqref="E956">
    <cfRule type="cellIs" priority="1903" operator="greaterThan" aboveAverage="0" equalAverage="0" bottom="0" percent="0" rank="0" text="" dxfId="8">
      <formula>0</formula>
    </cfRule>
  </conditionalFormatting>
  <conditionalFormatting sqref="D957">
    <cfRule type="cellIs" priority="1904" operator="greaterThan" aboveAverage="0" equalAverage="0" bottom="0" percent="0" rank="0" text="" dxfId="10">
      <formula>GecOdemeEsik</formula>
    </cfRule>
  </conditionalFormatting>
  <conditionalFormatting sqref="E957">
    <cfRule type="cellIs" priority="1905" operator="greaterThan" aboveAverage="0" equalAverage="0" bottom="0" percent="0" rank="0" text="" dxfId="8">
      <formula>0</formula>
    </cfRule>
  </conditionalFormatting>
  <conditionalFormatting sqref="D958">
    <cfRule type="cellIs" priority="1906" operator="greaterThan" aboveAverage="0" equalAverage="0" bottom="0" percent="0" rank="0" text="" dxfId="10">
      <formula>GecOdemeEsik</formula>
    </cfRule>
  </conditionalFormatting>
  <conditionalFormatting sqref="E958">
    <cfRule type="cellIs" priority="1907" operator="greaterThan" aboveAverage="0" equalAverage="0" bottom="0" percent="0" rank="0" text="" dxfId="8">
      <formula>0</formula>
    </cfRule>
  </conditionalFormatting>
  <conditionalFormatting sqref="D959">
    <cfRule type="cellIs" priority="1908" operator="greaterThan" aboveAverage="0" equalAverage="0" bottom="0" percent="0" rank="0" text="" dxfId="10">
      <formula>GecOdemeEsik</formula>
    </cfRule>
  </conditionalFormatting>
  <conditionalFormatting sqref="E959">
    <cfRule type="cellIs" priority="1909" operator="greaterThan" aboveAverage="0" equalAverage="0" bottom="0" percent="0" rank="0" text="" dxfId="8">
      <formula>0</formula>
    </cfRule>
  </conditionalFormatting>
  <conditionalFormatting sqref="D960">
    <cfRule type="cellIs" priority="1910" operator="greaterThan" aboveAverage="0" equalAverage="0" bottom="0" percent="0" rank="0" text="" dxfId="10">
      <formula>GecOdemeEsik</formula>
    </cfRule>
  </conditionalFormatting>
  <conditionalFormatting sqref="E960">
    <cfRule type="cellIs" priority="1911" operator="greaterThan" aboveAverage="0" equalAverage="0" bottom="0" percent="0" rank="0" text="" dxfId="8">
      <formula>0</formula>
    </cfRule>
  </conditionalFormatting>
  <conditionalFormatting sqref="D961">
    <cfRule type="cellIs" priority="1912" operator="greaterThan" aboveAverage="0" equalAverage="0" bottom="0" percent="0" rank="0" text="" dxfId="10">
      <formula>GecOdemeEsik</formula>
    </cfRule>
  </conditionalFormatting>
  <conditionalFormatting sqref="E961">
    <cfRule type="cellIs" priority="1913" operator="greaterThan" aboveAverage="0" equalAverage="0" bottom="0" percent="0" rank="0" text="" dxfId="8">
      <formula>0</formula>
    </cfRule>
  </conditionalFormatting>
  <conditionalFormatting sqref="D962">
    <cfRule type="cellIs" priority="1914" operator="greaterThan" aboveAverage="0" equalAverage="0" bottom="0" percent="0" rank="0" text="" dxfId="10">
      <formula>GecOdemeEsik</formula>
    </cfRule>
  </conditionalFormatting>
  <conditionalFormatting sqref="E962">
    <cfRule type="cellIs" priority="1915" operator="greaterThan" aboveAverage="0" equalAverage="0" bottom="0" percent="0" rank="0" text="" dxfId="8">
      <formula>0</formula>
    </cfRule>
  </conditionalFormatting>
  <conditionalFormatting sqref="D963">
    <cfRule type="cellIs" priority="1916" operator="greaterThan" aboveAverage="0" equalAverage="0" bottom="0" percent="0" rank="0" text="" dxfId="10">
      <formula>GecOdemeEsik</formula>
    </cfRule>
  </conditionalFormatting>
  <conditionalFormatting sqref="E963">
    <cfRule type="cellIs" priority="1917" operator="greaterThan" aboveAverage="0" equalAverage="0" bottom="0" percent="0" rank="0" text="" dxfId="8">
      <formula>0</formula>
    </cfRule>
  </conditionalFormatting>
  <conditionalFormatting sqref="D964">
    <cfRule type="cellIs" priority="1918" operator="greaterThan" aboveAverage="0" equalAverage="0" bottom="0" percent="0" rank="0" text="" dxfId="10">
      <formula>GecOdemeEsik</formula>
    </cfRule>
  </conditionalFormatting>
  <conditionalFormatting sqref="E964">
    <cfRule type="cellIs" priority="1919" operator="greaterThan" aboveAverage="0" equalAverage="0" bottom="0" percent="0" rank="0" text="" dxfId="8">
      <formula>0</formula>
    </cfRule>
  </conditionalFormatting>
  <conditionalFormatting sqref="D965">
    <cfRule type="cellIs" priority="1920" operator="greaterThan" aboveAverage="0" equalAverage="0" bottom="0" percent="0" rank="0" text="" dxfId="10">
      <formula>GecOdemeEsik</formula>
    </cfRule>
  </conditionalFormatting>
  <conditionalFormatting sqref="E965">
    <cfRule type="cellIs" priority="1921" operator="greaterThan" aboveAverage="0" equalAverage="0" bottom="0" percent="0" rank="0" text="" dxfId="8">
      <formula>0</formula>
    </cfRule>
  </conditionalFormatting>
  <conditionalFormatting sqref="D966">
    <cfRule type="cellIs" priority="1922" operator="greaterThan" aboveAverage="0" equalAverage="0" bottom="0" percent="0" rank="0" text="" dxfId="10">
      <formula>GecOdemeEsik</formula>
    </cfRule>
  </conditionalFormatting>
  <conditionalFormatting sqref="E966">
    <cfRule type="cellIs" priority="1923" operator="greaterThan" aboveAverage="0" equalAverage="0" bottom="0" percent="0" rank="0" text="" dxfId="8">
      <formula>0</formula>
    </cfRule>
  </conditionalFormatting>
  <conditionalFormatting sqref="D967">
    <cfRule type="cellIs" priority="1924" operator="greaterThan" aboveAverage="0" equalAverage="0" bottom="0" percent="0" rank="0" text="" dxfId="10">
      <formula>GecOdemeEsik</formula>
    </cfRule>
  </conditionalFormatting>
  <conditionalFormatting sqref="E967">
    <cfRule type="cellIs" priority="1925" operator="greaterThan" aboveAverage="0" equalAverage="0" bottom="0" percent="0" rank="0" text="" dxfId="8">
      <formula>0</formula>
    </cfRule>
  </conditionalFormatting>
  <conditionalFormatting sqref="D968">
    <cfRule type="cellIs" priority="1926" operator="greaterThan" aboveAverage="0" equalAverage="0" bottom="0" percent="0" rank="0" text="" dxfId="10">
      <formula>GecOdemeEsik</formula>
    </cfRule>
  </conditionalFormatting>
  <conditionalFormatting sqref="E968">
    <cfRule type="cellIs" priority="1927" operator="greaterThan" aboveAverage="0" equalAverage="0" bottom="0" percent="0" rank="0" text="" dxfId="8">
      <formula>0</formula>
    </cfRule>
  </conditionalFormatting>
  <conditionalFormatting sqref="D969">
    <cfRule type="cellIs" priority="1928" operator="greaterThan" aboveAverage="0" equalAverage="0" bottom="0" percent="0" rank="0" text="" dxfId="10">
      <formula>GecOdemeEsik</formula>
    </cfRule>
  </conditionalFormatting>
  <conditionalFormatting sqref="E969">
    <cfRule type="cellIs" priority="1929" operator="greaterThan" aboveAverage="0" equalAverage="0" bottom="0" percent="0" rank="0" text="" dxfId="8">
      <formula>0</formula>
    </cfRule>
  </conditionalFormatting>
  <conditionalFormatting sqref="D970">
    <cfRule type="cellIs" priority="1930" operator="greaterThan" aboveAverage="0" equalAverage="0" bottom="0" percent="0" rank="0" text="" dxfId="10">
      <formula>GecOdemeEsik</formula>
    </cfRule>
  </conditionalFormatting>
  <conditionalFormatting sqref="E970">
    <cfRule type="cellIs" priority="1931" operator="greaterThan" aboveAverage="0" equalAverage="0" bottom="0" percent="0" rank="0" text="" dxfId="8">
      <formula>0</formula>
    </cfRule>
  </conditionalFormatting>
  <conditionalFormatting sqref="D971">
    <cfRule type="cellIs" priority="1932" operator="greaterThan" aboveAverage="0" equalAverage="0" bottom="0" percent="0" rank="0" text="" dxfId="10">
      <formula>GecOdemeEsik</formula>
    </cfRule>
  </conditionalFormatting>
  <conditionalFormatting sqref="E971">
    <cfRule type="cellIs" priority="1933" operator="greaterThan" aboveAverage="0" equalAverage="0" bottom="0" percent="0" rank="0" text="" dxfId="8">
      <formula>0</formula>
    </cfRule>
  </conditionalFormatting>
  <conditionalFormatting sqref="D972">
    <cfRule type="cellIs" priority="1934" operator="greaterThan" aboveAverage="0" equalAverage="0" bottom="0" percent="0" rank="0" text="" dxfId="10">
      <formula>GecOdemeEsik</formula>
    </cfRule>
  </conditionalFormatting>
  <conditionalFormatting sqref="E972">
    <cfRule type="cellIs" priority="1935" operator="greaterThan" aboveAverage="0" equalAverage="0" bottom="0" percent="0" rank="0" text="" dxfId="8">
      <formula>0</formula>
    </cfRule>
  </conditionalFormatting>
  <conditionalFormatting sqref="D973">
    <cfRule type="cellIs" priority="1936" operator="greaterThan" aboveAverage="0" equalAverage="0" bottom="0" percent="0" rank="0" text="" dxfId="10">
      <formula>GecOdemeEsik</formula>
    </cfRule>
  </conditionalFormatting>
  <conditionalFormatting sqref="E973">
    <cfRule type="cellIs" priority="1937" operator="greaterThan" aboveAverage="0" equalAverage="0" bottom="0" percent="0" rank="0" text="" dxfId="8">
      <formula>0</formula>
    </cfRule>
  </conditionalFormatting>
  <conditionalFormatting sqref="D974">
    <cfRule type="cellIs" priority="1938" operator="greaterThan" aboveAverage="0" equalAverage="0" bottom="0" percent="0" rank="0" text="" dxfId="10">
      <formula>GecOdemeEsik</formula>
    </cfRule>
  </conditionalFormatting>
  <conditionalFormatting sqref="E974">
    <cfRule type="cellIs" priority="1939" operator="greaterThan" aboveAverage="0" equalAverage="0" bottom="0" percent="0" rank="0" text="" dxfId="8">
      <formula>0</formula>
    </cfRule>
  </conditionalFormatting>
  <conditionalFormatting sqref="D975">
    <cfRule type="cellIs" priority="1940" operator="greaterThan" aboveAverage="0" equalAverage="0" bottom="0" percent="0" rank="0" text="" dxfId="10">
      <formula>GecOdemeEsik</formula>
    </cfRule>
  </conditionalFormatting>
  <conditionalFormatting sqref="E975">
    <cfRule type="cellIs" priority="1941" operator="greaterThan" aboveAverage="0" equalAverage="0" bottom="0" percent="0" rank="0" text="" dxfId="8">
      <formula>0</formula>
    </cfRule>
  </conditionalFormatting>
  <conditionalFormatting sqref="D976">
    <cfRule type="cellIs" priority="1942" operator="greaterThan" aboveAverage="0" equalAverage="0" bottom="0" percent="0" rank="0" text="" dxfId="10">
      <formula>GecOdemeEsik</formula>
    </cfRule>
  </conditionalFormatting>
  <conditionalFormatting sqref="E976">
    <cfRule type="cellIs" priority="1943" operator="greaterThan" aboveAverage="0" equalAverage="0" bottom="0" percent="0" rank="0" text="" dxfId="8">
      <formula>0</formula>
    </cfRule>
  </conditionalFormatting>
  <conditionalFormatting sqref="D977">
    <cfRule type="cellIs" priority="1944" operator="greaterThan" aboveAverage="0" equalAverage="0" bottom="0" percent="0" rank="0" text="" dxfId="10">
      <formula>GecOdemeEsik</formula>
    </cfRule>
  </conditionalFormatting>
  <conditionalFormatting sqref="E977">
    <cfRule type="cellIs" priority="1945" operator="greaterThan" aboveAverage="0" equalAverage="0" bottom="0" percent="0" rank="0" text="" dxfId="8">
      <formula>0</formula>
    </cfRule>
  </conditionalFormatting>
  <conditionalFormatting sqref="D978">
    <cfRule type="cellIs" priority="1946" operator="greaterThan" aboveAverage="0" equalAverage="0" bottom="0" percent="0" rank="0" text="" dxfId="10">
      <formula>GecOdemeEsik</formula>
    </cfRule>
  </conditionalFormatting>
  <conditionalFormatting sqref="E978">
    <cfRule type="cellIs" priority="1947" operator="greaterThan" aboveAverage="0" equalAverage="0" bottom="0" percent="0" rank="0" text="" dxfId="8">
      <formula>0</formula>
    </cfRule>
  </conditionalFormatting>
  <conditionalFormatting sqref="D979">
    <cfRule type="cellIs" priority="1948" operator="greaterThan" aboveAverage="0" equalAverage="0" bottom="0" percent="0" rank="0" text="" dxfId="10">
      <formula>GecOdemeEsik</formula>
    </cfRule>
  </conditionalFormatting>
  <conditionalFormatting sqref="E979">
    <cfRule type="cellIs" priority="1949" operator="greaterThan" aboveAverage="0" equalAverage="0" bottom="0" percent="0" rank="0" text="" dxfId="8">
      <formula>0</formula>
    </cfRule>
  </conditionalFormatting>
  <conditionalFormatting sqref="D980">
    <cfRule type="cellIs" priority="1950" operator="greaterThan" aboveAverage="0" equalAverage="0" bottom="0" percent="0" rank="0" text="" dxfId="10">
      <formula>GecOdemeEsik</formula>
    </cfRule>
  </conditionalFormatting>
  <conditionalFormatting sqref="E980">
    <cfRule type="cellIs" priority="1951" operator="greaterThan" aboveAverage="0" equalAverage="0" bottom="0" percent="0" rank="0" text="" dxfId="8">
      <formula>0</formula>
    </cfRule>
  </conditionalFormatting>
  <conditionalFormatting sqref="D981">
    <cfRule type="cellIs" priority="1952" operator="greaterThan" aboveAverage="0" equalAverage="0" bottom="0" percent="0" rank="0" text="" dxfId="10">
      <formula>GecOdemeEsik</formula>
    </cfRule>
  </conditionalFormatting>
  <conditionalFormatting sqref="E981">
    <cfRule type="cellIs" priority="1953" operator="greaterThan" aboveAverage="0" equalAverage="0" bottom="0" percent="0" rank="0" text="" dxfId="8">
      <formula>0</formula>
    </cfRule>
  </conditionalFormatting>
  <conditionalFormatting sqref="D982">
    <cfRule type="cellIs" priority="1954" operator="greaterThan" aboveAverage="0" equalAverage="0" bottom="0" percent="0" rank="0" text="" dxfId="10">
      <formula>GecOdemeEsik</formula>
    </cfRule>
  </conditionalFormatting>
  <conditionalFormatting sqref="E982">
    <cfRule type="cellIs" priority="1955" operator="greaterThan" aboveAverage="0" equalAverage="0" bottom="0" percent="0" rank="0" text="" dxfId="8">
      <formula>0</formula>
    </cfRule>
  </conditionalFormatting>
  <conditionalFormatting sqref="D983">
    <cfRule type="cellIs" priority="1956" operator="greaterThan" aboveAverage="0" equalAverage="0" bottom="0" percent="0" rank="0" text="" dxfId="10">
      <formula>GecOdemeEsik</formula>
    </cfRule>
  </conditionalFormatting>
  <conditionalFormatting sqref="E983">
    <cfRule type="cellIs" priority="1957" operator="greaterThan" aboveAverage="0" equalAverage="0" bottom="0" percent="0" rank="0" text="" dxfId="8">
      <formula>0</formula>
    </cfRule>
  </conditionalFormatting>
  <conditionalFormatting sqref="D984">
    <cfRule type="cellIs" priority="1958" operator="greaterThan" aboveAverage="0" equalAverage="0" bottom="0" percent="0" rank="0" text="" dxfId="10">
      <formula>GecOdemeEsik</formula>
    </cfRule>
  </conditionalFormatting>
  <conditionalFormatting sqref="E984">
    <cfRule type="cellIs" priority="1959" operator="greaterThan" aboveAverage="0" equalAverage="0" bottom="0" percent="0" rank="0" text="" dxfId="8">
      <formula>0</formula>
    </cfRule>
  </conditionalFormatting>
  <conditionalFormatting sqref="D985">
    <cfRule type="cellIs" priority="1960" operator="greaterThan" aboveAverage="0" equalAverage="0" bottom="0" percent="0" rank="0" text="" dxfId="10">
      <formula>GecOdemeEsik</formula>
    </cfRule>
  </conditionalFormatting>
  <conditionalFormatting sqref="E985">
    <cfRule type="cellIs" priority="1961" operator="greaterThan" aboveAverage="0" equalAverage="0" bottom="0" percent="0" rank="0" text="" dxfId="8">
      <formula>0</formula>
    </cfRule>
  </conditionalFormatting>
  <conditionalFormatting sqref="D986">
    <cfRule type="cellIs" priority="1962" operator="greaterThan" aboveAverage="0" equalAverage="0" bottom="0" percent="0" rank="0" text="" dxfId="10">
      <formula>GecOdemeEsik</formula>
    </cfRule>
  </conditionalFormatting>
  <conditionalFormatting sqref="E986">
    <cfRule type="cellIs" priority="1963" operator="greaterThan" aboveAverage="0" equalAverage="0" bottom="0" percent="0" rank="0" text="" dxfId="8">
      <formula>0</formula>
    </cfRule>
  </conditionalFormatting>
  <conditionalFormatting sqref="D987">
    <cfRule type="cellIs" priority="1964" operator="greaterThan" aboveAverage="0" equalAverage="0" bottom="0" percent="0" rank="0" text="" dxfId="10">
      <formula>GecOdemeEsik</formula>
    </cfRule>
  </conditionalFormatting>
  <conditionalFormatting sqref="E987">
    <cfRule type="cellIs" priority="1965" operator="greaterThan" aboveAverage="0" equalAverage="0" bottom="0" percent="0" rank="0" text="" dxfId="8">
      <formula>0</formula>
    </cfRule>
  </conditionalFormatting>
  <conditionalFormatting sqref="D988">
    <cfRule type="cellIs" priority="1966" operator="greaterThan" aboveAverage="0" equalAverage="0" bottom="0" percent="0" rank="0" text="" dxfId="10">
      <formula>GecOdemeEsik</formula>
    </cfRule>
  </conditionalFormatting>
  <conditionalFormatting sqref="E988">
    <cfRule type="cellIs" priority="1967" operator="greaterThan" aboveAverage="0" equalAverage="0" bottom="0" percent="0" rank="0" text="" dxfId="8">
      <formula>0</formula>
    </cfRule>
  </conditionalFormatting>
  <conditionalFormatting sqref="D989">
    <cfRule type="cellIs" priority="1968" operator="greaterThan" aboveAverage="0" equalAverage="0" bottom="0" percent="0" rank="0" text="" dxfId="10">
      <formula>GecOdemeEsik</formula>
    </cfRule>
  </conditionalFormatting>
  <conditionalFormatting sqref="E989">
    <cfRule type="cellIs" priority="1969" operator="greaterThan" aboveAverage="0" equalAverage="0" bottom="0" percent="0" rank="0" text="" dxfId="8">
      <formula>0</formula>
    </cfRule>
  </conditionalFormatting>
  <conditionalFormatting sqref="D990">
    <cfRule type="cellIs" priority="1970" operator="greaterThan" aboveAverage="0" equalAverage="0" bottom="0" percent="0" rank="0" text="" dxfId="10">
      <formula>GecOdemeEsik</formula>
    </cfRule>
  </conditionalFormatting>
  <conditionalFormatting sqref="E990">
    <cfRule type="cellIs" priority="1971" operator="greaterThan" aboveAverage="0" equalAverage="0" bottom="0" percent="0" rank="0" text="" dxfId="8">
      <formula>0</formula>
    </cfRule>
  </conditionalFormatting>
  <conditionalFormatting sqref="D991">
    <cfRule type="cellIs" priority="1972" operator="greaterThan" aboveAverage="0" equalAverage="0" bottom="0" percent="0" rank="0" text="" dxfId="10">
      <formula>GecOdemeEsik</formula>
    </cfRule>
  </conditionalFormatting>
  <conditionalFormatting sqref="E991">
    <cfRule type="cellIs" priority="1973" operator="greaterThan" aboveAverage="0" equalAverage="0" bottom="0" percent="0" rank="0" text="" dxfId="8">
      <formula>0</formula>
    </cfRule>
  </conditionalFormatting>
  <conditionalFormatting sqref="D992">
    <cfRule type="cellIs" priority="1974" operator="greaterThan" aboveAverage="0" equalAverage="0" bottom="0" percent="0" rank="0" text="" dxfId="10">
      <formula>GecOdemeEsik</formula>
    </cfRule>
  </conditionalFormatting>
  <conditionalFormatting sqref="E992">
    <cfRule type="cellIs" priority="1975" operator="greaterThan" aboveAverage="0" equalAverage="0" bottom="0" percent="0" rank="0" text="" dxfId="8">
      <formula>0</formula>
    </cfRule>
  </conditionalFormatting>
  <conditionalFormatting sqref="D993">
    <cfRule type="cellIs" priority="1976" operator="greaterThan" aboveAverage="0" equalAverage="0" bottom="0" percent="0" rank="0" text="" dxfId="10">
      <formula>GecOdemeEsik</formula>
    </cfRule>
  </conditionalFormatting>
  <conditionalFormatting sqref="E993">
    <cfRule type="cellIs" priority="1977" operator="greaterThan" aboveAverage="0" equalAverage="0" bottom="0" percent="0" rank="0" text="" dxfId="8">
      <formula>0</formula>
    </cfRule>
  </conditionalFormatting>
  <conditionalFormatting sqref="D994">
    <cfRule type="cellIs" priority="1978" operator="greaterThan" aboveAverage="0" equalAverage="0" bottom="0" percent="0" rank="0" text="" dxfId="10">
      <formula>GecOdemeEsik</formula>
    </cfRule>
  </conditionalFormatting>
  <conditionalFormatting sqref="E994">
    <cfRule type="cellIs" priority="1979" operator="greaterThan" aboveAverage="0" equalAverage="0" bottom="0" percent="0" rank="0" text="" dxfId="8">
      <formula>0</formula>
    </cfRule>
  </conditionalFormatting>
  <conditionalFormatting sqref="D995">
    <cfRule type="cellIs" priority="1980" operator="greaterThan" aboveAverage="0" equalAverage="0" bottom="0" percent="0" rank="0" text="" dxfId="10">
      <formula>GecOdemeEsik</formula>
    </cfRule>
  </conditionalFormatting>
  <conditionalFormatting sqref="E995">
    <cfRule type="cellIs" priority="1981" operator="greaterThan" aboveAverage="0" equalAverage="0" bottom="0" percent="0" rank="0" text="" dxfId="8">
      <formula>0</formula>
    </cfRule>
  </conditionalFormatting>
  <conditionalFormatting sqref="D996">
    <cfRule type="cellIs" priority="1982" operator="greaterThan" aboveAverage="0" equalAverage="0" bottom="0" percent="0" rank="0" text="" dxfId="10">
      <formula>GecOdemeEsik</formula>
    </cfRule>
  </conditionalFormatting>
  <conditionalFormatting sqref="E996">
    <cfRule type="cellIs" priority="1983" operator="greaterThan" aboveAverage="0" equalAverage="0" bottom="0" percent="0" rank="0" text="" dxfId="8">
      <formula>0</formula>
    </cfRule>
  </conditionalFormatting>
  <conditionalFormatting sqref="D997">
    <cfRule type="cellIs" priority="1984" operator="greaterThan" aboveAverage="0" equalAverage="0" bottom="0" percent="0" rank="0" text="" dxfId="10">
      <formula>GecOdemeEsik</formula>
    </cfRule>
  </conditionalFormatting>
  <conditionalFormatting sqref="E997">
    <cfRule type="cellIs" priority="1985" operator="greaterThan" aboveAverage="0" equalAverage="0" bottom="0" percent="0" rank="0" text="" dxfId="8">
      <formula>0</formula>
    </cfRule>
  </conditionalFormatting>
  <conditionalFormatting sqref="D998">
    <cfRule type="cellIs" priority="1986" operator="greaterThan" aboveAverage="0" equalAverage="0" bottom="0" percent="0" rank="0" text="" dxfId="10">
      <formula>GecOdemeEsik</formula>
    </cfRule>
  </conditionalFormatting>
  <conditionalFormatting sqref="E998">
    <cfRule type="cellIs" priority="1987" operator="greaterThan" aboveAverage="0" equalAverage="0" bottom="0" percent="0" rank="0" text="" dxfId="8">
      <formula>0</formula>
    </cfRule>
  </conditionalFormatting>
  <conditionalFormatting sqref="D999">
    <cfRule type="cellIs" priority="1988" operator="greaterThan" aboveAverage="0" equalAverage="0" bottom="0" percent="0" rank="0" text="" dxfId="10">
      <formula>GecOdemeEsik</formula>
    </cfRule>
  </conditionalFormatting>
  <conditionalFormatting sqref="E999">
    <cfRule type="cellIs" priority="1989" operator="greaterThan" aboveAverage="0" equalAverage="0" bottom="0" percent="0" rank="0" text="" dxfId="8">
      <formula>0</formula>
    </cfRule>
  </conditionalFormatting>
  <conditionalFormatting sqref="D1000">
    <cfRule type="cellIs" priority="1990" operator="greaterThan" aboveAverage="0" equalAverage="0" bottom="0" percent="0" rank="0" text="" dxfId="10">
      <formula>GecOdemeEsik</formula>
    </cfRule>
  </conditionalFormatting>
  <conditionalFormatting sqref="E1000">
    <cfRule type="cellIs" priority="1991" operator="greaterThan" aboveAverage="0" equalAverage="0" bottom="0" percent="0" rank="0" text="" dxfId="8">
      <formula>0</formula>
    </cfRule>
  </conditionalFormatting>
  <conditionalFormatting sqref="D1001">
    <cfRule type="cellIs" priority="1992" operator="greaterThan" aboveAverage="0" equalAverage="0" bottom="0" percent="0" rank="0" text="" dxfId="10">
      <formula>GecOdemeEsik</formula>
    </cfRule>
  </conditionalFormatting>
  <conditionalFormatting sqref="E1001">
    <cfRule type="cellIs" priority="1993" operator="greaterThan" aboveAverage="0" equalAverage="0" bottom="0" percent="0" rank="0" text="" dxfId="8">
      <formula>0</formula>
    </cfRule>
  </conditionalFormatting>
  <conditionalFormatting sqref="D1002">
    <cfRule type="cellIs" priority="1994" operator="greaterThan" aboveAverage="0" equalAverage="0" bottom="0" percent="0" rank="0" text="" dxfId="10">
      <formula>GecOdemeEsik</formula>
    </cfRule>
  </conditionalFormatting>
  <conditionalFormatting sqref="E1002">
    <cfRule type="cellIs" priority="1995" operator="greaterThan" aboveAverage="0" equalAverage="0" bottom="0" percent="0" rank="0" text="" dxfId="8">
      <formula>0</formula>
    </cfRule>
  </conditionalFormatting>
  <conditionalFormatting sqref="D1003">
    <cfRule type="cellIs" priority="1996" operator="greaterThan" aboveAverage="0" equalAverage="0" bottom="0" percent="0" rank="0" text="" dxfId="10">
      <formula>GecOdemeEsik</formula>
    </cfRule>
  </conditionalFormatting>
  <conditionalFormatting sqref="E1003">
    <cfRule type="cellIs" priority="1997" operator="greaterThan" aboveAverage="0" equalAverage="0" bottom="0" percent="0" rank="0" text="" dxfId="8">
      <formula>0</formula>
    </cfRule>
  </conditionalFormatting>
  <dataValidations count="2">
    <dataValidation allowBlank="true" error="01.01.2020'den sonraki bir tarih girin." errorStyle="stop" errorTitle="Geçersiz tarih" operator="greaterThan" prompt="Taşerona ödemenin yapıldığı tarih." promptTitle="Ödeme Tarihi" showDropDown="false" showErrorMessage="true" showInputMessage="true" sqref="B6:B1004" type="date">
      <formula1>2020-1-1</formula1>
      <formula2>0</formula2>
    </dataValidation>
    <dataValidation allowBlank="true" error="Tutar 0'dan küçük olamaz." errorStyle="stop" errorTitle="Geçersiz tutar" operator="greaterThanOrEqual" prompt="Net olarak ödenen tutar." promptTitle="Ödenen Tutar (₺)" showDropDown="false" showErrorMessage="true" showInputMessage="true" sqref="C6:C10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6"/>
    <col collapsed="false" customWidth="true" hidden="false" outlineLevel="0" max="2" min="2" style="0" width="34"/>
  </cols>
  <sheetData>
    <row r="1" customFormat="false" ht="25.5" hidden="false" customHeight="true" outlineLevel="0" collapsed="false">
      <c r="A1" s="12" t="s">
        <v>72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73</v>
      </c>
    </row>
    <row r="6" customFormat="false" ht="15" hidden="false" customHeight="false" outlineLevel="0" collapsed="false">
      <c r="A6" s="32" t="s">
        <v>74</v>
      </c>
      <c r="B6" s="33" t="n">
        <f aca="false">IFERROR(ROUND(SUM(tblHakedis[Brüt Hakediş (₺)]),0),0)</f>
        <v>10400000</v>
      </c>
    </row>
    <row r="7" customFormat="false" ht="15" hidden="false" customHeight="false" outlineLevel="0" collapsed="false">
      <c r="A7" s="32" t="s">
        <v>75</v>
      </c>
      <c r="B7" s="33" t="n">
        <f aca="false">IFERROR(ROUND(SUM(tblHakedis[KDV (₺)]),0),0)</f>
        <v>2080000</v>
      </c>
    </row>
    <row r="8" customFormat="false" ht="15" hidden="false" customHeight="false" outlineLevel="0" collapsed="false">
      <c r="A8" s="32" t="s">
        <v>76</v>
      </c>
      <c r="B8" s="33" t="n">
        <f aca="false">IFERROR(ROUND(SUM(tblHakedis[KDV Tevkifatı (₺)]),0),0)</f>
        <v>83200</v>
      </c>
    </row>
    <row r="9" customFormat="false" ht="15" hidden="false" customHeight="false" outlineLevel="0" collapsed="false">
      <c r="A9" s="32" t="s">
        <v>77</v>
      </c>
      <c r="B9" s="33" t="n">
        <f aca="false">IFERROR(ROUND(SUM(tblHakedis[Gelir Vergisi Stopajı (₺)]),0),0)</f>
        <v>520000</v>
      </c>
    </row>
    <row r="10" customFormat="false" ht="15" hidden="false" customHeight="false" outlineLevel="0" collapsed="false">
      <c r="A10" s="32" t="s">
        <v>78</v>
      </c>
      <c r="B10" s="33" t="n">
        <f aca="false">IFERROR(ROUND(SUM(tblHakedis[SGK Kesintisi (₺)]),0),0)</f>
        <v>2080000</v>
      </c>
    </row>
    <row r="11" customFormat="false" ht="15" hidden="false" customHeight="false" outlineLevel="0" collapsed="false">
      <c r="A11" s="32" t="s">
        <v>79</v>
      </c>
      <c r="B11" s="33" t="n">
        <f aca="false">IFERROR(ROUND(SUM(tblHakedis[Teminat Kesintisi (₺)]),0),0)</f>
        <v>520000</v>
      </c>
    </row>
    <row r="12" customFormat="false" ht="15" hidden="false" customHeight="false" outlineLevel="0" collapsed="false">
      <c r="A12" s="34" t="s">
        <v>80</v>
      </c>
      <c r="B12" s="33" t="n">
        <f aca="false">IFERROR(ROUND(SUM(tblHakedis[Net Hakediş (₺)]),0),0)</f>
        <v>9276800</v>
      </c>
    </row>
    <row r="13" customFormat="false" ht="15" hidden="false" customHeight="false" outlineLevel="0" collapsed="false">
      <c r="A13" s="32" t="s">
        <v>81</v>
      </c>
      <c r="B13" s="33" t="n">
        <f aca="false">IFERROR(ROUND(SUM(tblOdeme[Ödenen Tutar (₺)]),0),0)</f>
        <v>8350000</v>
      </c>
    </row>
    <row r="14" customFormat="false" ht="15" hidden="false" customHeight="false" outlineLevel="0" collapsed="false">
      <c r="A14" s="34" t="s">
        <v>82</v>
      </c>
      <c r="B14" s="33" t="n">
        <f aca="false">IFERROR(ToplamNetHakedis-ToplamOdenen,0)</f>
        <v>926800</v>
      </c>
    </row>
    <row r="15" customFormat="false" ht="15" hidden="false" customHeight="false" outlineLevel="0" collapsed="false">
      <c r="A15" s="32" t="s">
        <v>83</v>
      </c>
      <c r="B15" s="18" t="n">
        <f aca="false">IFERROR(IF(ToplamNetHakedis=0,0,MutabakatFarki/ToplamNetHakedis),0)</f>
        <v>0.099905139703346</v>
      </c>
    </row>
    <row r="16" customFormat="false" ht="15" hidden="false" customHeight="false" outlineLevel="0" collapsed="false">
      <c r="A16" s="32" t="s">
        <v>84</v>
      </c>
      <c r="B16" s="18" t="n">
        <f aca="false">IFERROR(IF(ToplamBrutHakedis=0,0,(ToplamKdvTevkifat+ToplamStopaj+ToplamSgk+ToplamTeminat)/ToplamBrutHakedis),0)</f>
        <v>0.308</v>
      </c>
    </row>
    <row r="17" customFormat="false" ht="15" hidden="false" customHeight="false" outlineLevel="0" collapsed="false">
      <c r="A17" s="32" t="s">
        <v>41</v>
      </c>
      <c r="B17" s="19" t="n">
        <f aca="false">IFERROR(AVERAGE(tblOdeme[Geç Ödeme Gün]),0)</f>
        <v>5.22222222222222</v>
      </c>
    </row>
    <row r="18" customFormat="false" ht="15" hidden="false" customHeight="false" outlineLevel="0" collapsed="false">
      <c r="A18" s="32" t="s">
        <v>85</v>
      </c>
      <c r="B18" s="33" t="n">
        <f aca="false">IFERROR(ROUND(SUM(tblOdeme[Gecikme Maliyeti (₺)]),0),0)</f>
        <v>14836</v>
      </c>
    </row>
    <row r="19" customFormat="false" ht="15" hidden="false" customHeight="false" outlineLevel="0" collapsed="false">
      <c r="A19" s="34" t="s">
        <v>86</v>
      </c>
      <c r="B19" s="33" t="n">
        <f aca="false">IFERROR(MutabakatFarki+GecikmeMaliyetiToplam,0)</f>
        <v>941636</v>
      </c>
    </row>
    <row r="20" customFormat="false" ht="15" hidden="false" customHeight="false" outlineLevel="0" collapsed="false">
      <c r="A20" s="32" t="s">
        <v>40</v>
      </c>
      <c r="B20" s="18" t="n">
        <f aca="false">IFERROR(IF(ToplamNetHakedis=0,0,ToplamOdenen/ToplamNetHakedis),0)</f>
        <v>0.900094860296654</v>
      </c>
    </row>
    <row r="21" customFormat="false" ht="15" hidden="false" customHeight="false" outlineLevel="0" collapsed="false">
      <c r="A21" s="32" t="s">
        <v>87</v>
      </c>
      <c r="B21" s="19" t="n">
        <f aca="false">SUMPRODUCT(--(tblHakedis[Brüt Hakediş (₺)]&lt;&gt;""),--(ABS(tblHakedis[Brüt Hakediş (₺)]-IFERROR(AVERAGE(tblHakedis[Brüt Hakediş (₺)]),0))&gt;AnomaliZEsik*IFERROR(stdev.p(tblHakedis[Brüt Hakediş (₺)]),0)))</f>
        <v>9</v>
      </c>
    </row>
    <row r="22" customFormat="false" ht="15" hidden="false" customHeight="false" outlineLevel="0" collapsed="false">
      <c r="A22" s="32" t="s">
        <v>88</v>
      </c>
      <c r="B22" s="19" t="n">
        <f aca="false">IFERROR(MAX(0,DATEDIF(IsBaslangic,IsBitis,"m")),0)</f>
        <v>8</v>
      </c>
    </row>
    <row r="25" customFormat="false" ht="15" hidden="false" customHeight="false" outlineLevel="0" collapsed="false">
      <c r="A25" s="13" t="s">
        <v>89</v>
      </c>
    </row>
    <row r="26" customFormat="false" ht="15" hidden="false" customHeight="false" outlineLevel="0" collapsed="false">
      <c r="A26" s="32" t="s">
        <v>90</v>
      </c>
      <c r="B26" s="19" t="n">
        <f aca="false">IFERROR(MAX(tblHakedis[Hakediş Tarihi])-MIN(tblHakedis[Hakediş Tarihi]),0)</f>
        <v>245</v>
      </c>
    </row>
    <row r="27" customFormat="false" ht="15" hidden="false" customHeight="false" outlineLevel="0" collapsed="false">
      <c r="A27" s="32" t="s">
        <v>91</v>
      </c>
      <c r="B27" s="33" t="n">
        <f aca="false">IFERROR(SLOPE(tblHakedis[Brüt Hakediş (₺)],ROW(tblHakedis[Brüt Hakediş (₺)])-ROW(tblHakedis[[#Headers],[Brüt Hakediş (₺)]])),0)</f>
        <v>-6666.66666666667</v>
      </c>
    </row>
    <row r="28" customFormat="false" ht="15" hidden="false" customHeight="false" outlineLevel="0" collapsed="false">
      <c r="A28" s="32" t="s">
        <v>92</v>
      </c>
      <c r="B28" s="18" t="n">
        <f aca="false">IFERROR(LARGE(tblHakedis[Brüt Hakediş (₺)],1)/MAX(1,SUM(tblHakedis[Brüt Hakediş (₺)])),0)</f>
        <v>0.144230769230769</v>
      </c>
    </row>
    <row r="29" customFormat="false" ht="15" hidden="false" customHeight="false" outlineLevel="0" collapsed="false">
      <c r="A29" s="32" t="s">
        <v>93</v>
      </c>
      <c r="B29" s="33" t="n">
        <f aca="false">IFERROR(ToplamNetHakedis-ToplamOdenen,0)</f>
        <v>926800</v>
      </c>
    </row>
    <row r="30" customFormat="false" ht="15" hidden="false" customHeight="false" outlineLevel="0" collapsed="false">
      <c r="A30" s="32" t="s">
        <v>94</v>
      </c>
      <c r="B30" s="18" t="n">
        <f aca="false">IFERROR(IF(KesintiEsik=0,0,KesintiOrani/KesintiEsik),0)</f>
        <v>1.232</v>
      </c>
    </row>
    <row r="31" customFormat="false" ht="15" hidden="false" customHeight="false" outlineLevel="0" collapsed="false">
      <c r="A31" s="32" t="s">
        <v>95</v>
      </c>
      <c r="B31" s="18" t="n">
        <f aca="false">IFERROR(IF(COUNT(tblHakedis[Brüt Hakediş (₺)])=0,0,AnomaliAdet/COUNT(tblHakedis[Brüt Hakediş (₺)])),0)</f>
        <v>1</v>
      </c>
    </row>
    <row r="32" customFormat="false" ht="15" hidden="false" customHeight="false" outlineLevel="0" collapsed="false">
      <c r="A32" s="32" t="s">
        <v>96</v>
      </c>
      <c r="B32" s="35" t="str">
        <f aca="false">IFERROR(INDEX(SENARYO_DUYARLILIK!$A$13:$A$14,MATCH(MAX(SENARYO_DUYARLILIK!$G$13:$G$14),SENARYO_DUYARLILIK!$G$13:$G$14,0)),"VERİ YOK")</f>
        <v>Hakediş Değişimi</v>
      </c>
    </row>
    <row r="33" customFormat="false" ht="15" hidden="false" customHeight="false" outlineLevel="0" collapsed="false">
      <c r="A33" s="32" t="s">
        <v>97</v>
      </c>
      <c r="B33" s="33" t="n">
        <f aca="false">SENARYO_DUYARLILIK!$D$8</f>
        <v>926800</v>
      </c>
    </row>
    <row r="34" customFormat="false" ht="15" hidden="false" customHeight="false" outlineLevel="0" collapsed="false">
      <c r="A34" s="32" t="s">
        <v>98</v>
      </c>
      <c r="B34" s="19" t="n">
        <f aca="false">IFERROR(AVERAGE(tblOdeme[Geç Ödeme Gün]),0)</f>
        <v>5.22222222222222</v>
      </c>
    </row>
    <row r="35" customFormat="false" ht="15" hidden="false" customHeight="false" outlineLevel="0" collapsed="false">
      <c r="A35" s="32" t="s">
        <v>99</v>
      </c>
      <c r="B35" s="36" t="n">
        <f aca="false">IFERROR(SUMPRODUCT((IF(ISNUMBER(tblHakedis[Brüt Hakediş (₺)]),tblHakedis[Brüt Hakediş (₺)],0)/MAX(1,SUM(tblHakedis[Brüt Hakediş (₺)])))^2),0)</f>
        <v>0.114460059171598</v>
      </c>
    </row>
    <row r="36" customFormat="false" ht="15" hidden="false" customHeight="false" outlineLevel="0" collapsed="false">
      <c r="A36" s="32" t="s">
        <v>100</v>
      </c>
      <c r="B36" s="19" t="n">
        <f aca="false">KONTROL!$B$21</f>
        <v>70</v>
      </c>
    </row>
    <row r="37" customFormat="false" ht="15" hidden="false" customHeight="false" outlineLevel="0" collapsed="false">
      <c r="A37" s="32" t="s">
        <v>101</v>
      </c>
      <c r="B37" s="33" t="n">
        <f aca="false">IFERROR(forecast.lınear(COUNTA(tblHakedis[Hakediş Tarihi])+1,tblHakedis[Brüt Hakediş (₺)],ROW(tblHakedis[Brüt Hakediş (₺)])-ROW(tblHakedis[[#Headers],[Brüt Hakediş (₺)]])),0)</f>
        <v>0</v>
      </c>
    </row>
    <row r="38" customFormat="false" ht="15" hidden="false" customHeight="false" outlineLevel="0" collapsed="false">
      <c r="A38" s="32" t="s">
        <v>102</v>
      </c>
      <c r="B38" s="33" t="n">
        <f aca="false">IFERROR(PERCENTILE(tblHakedis[Brüt Hakediş (₺)],P90Kuantil),0)</f>
        <v>1420000</v>
      </c>
    </row>
    <row r="39" customFormat="false" ht="15" hidden="false" customHeight="false" outlineLevel="0" collapsed="false">
      <c r="A39" s="32" t="s">
        <v>103</v>
      </c>
      <c r="B39" s="33" t="n">
        <f aca="false">IFERROR(NPV(IskontoOrani,tblOdeme[Ödenen Tutar (₺)]),0)</f>
        <v>5345222.94752636</v>
      </c>
    </row>
    <row r="40" customFormat="false" ht="15" hidden="false" customHeight="false" outlineLevel="0" collapsed="false">
      <c r="A40" s="32" t="s">
        <v>104</v>
      </c>
      <c r="B40" s="33" t="n">
        <f aca="false">IFERROR(ABS(MutabakatFarki)/MAX(0.01,(1-KesintiOrani)),0)</f>
        <v>1339306.3583815</v>
      </c>
    </row>
    <row r="41" customFormat="false" ht="15" hidden="false" customHeight="false" outlineLevel="0" collapsed="false">
      <c r="A41" s="32" t="s">
        <v>105</v>
      </c>
      <c r="B41" s="33" t="n">
        <f aca="false">IFERROR(MAX(0,HakKaybiToplam),0)</f>
        <v>941636</v>
      </c>
    </row>
    <row r="42" customFormat="false" ht="15" hidden="false" customHeight="false" outlineLevel="0" collapsed="false">
      <c r="A42" s="32" t="s">
        <v>106</v>
      </c>
      <c r="B42" s="18" t="n">
        <f aca="false">IFERROR(IF(SozlesmeBedeli=0,0,degerKazanim/SozlesmeBedeli),0)</f>
        <v>0.196174166666667</v>
      </c>
    </row>
    <row r="44" customFormat="false" ht="15" hidden="false" customHeight="false" outlineLevel="0" collapsed="false">
      <c r="A44" s="13" t="s">
        <v>107</v>
      </c>
    </row>
    <row r="45" customFormat="false" ht="15" hidden="false" customHeight="false" outlineLevel="0" collapsed="false">
      <c r="A45" s="32" t="s">
        <v>108</v>
      </c>
      <c r="B45" s="19" t="n">
        <f aca="false">modulT1HakedisYasOrt</f>
        <v>245</v>
      </c>
      <c r="C45" s="37" t="str">
        <f aca="false">_xlfn.TEXTJOIN(" | ",TRUE(),"T1: Hakedişler "&amp;modulT1HakedisYasOrt&amp;" günlük aralığa yayılıyor",IF(modulT1HakedisYasOrt&gt;365,"kapsam bir yılı aşıyor, dönem takibi gerekli","kapsam tek yıl içinde"))</f>
        <v>T1: Hakedişler 245 günlük aralığa yayılıyor | kapsam tek yıl içinde</v>
      </c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customFormat="false" ht="15" hidden="false" customHeight="false" outlineLevel="0" collapsed="false">
      <c r="A46" s="32" t="s">
        <v>109</v>
      </c>
      <c r="B46" s="33" t="n">
        <f aca="false">modulT2HakedisEgim</f>
        <v>-6666.66666666667</v>
      </c>
      <c r="C46" s="37" t="str">
        <f aca="false">_xlfn.TEXTJOIN(" | ",TRUE(),"T2: Hakediş eğilimi dönem başına "&amp;TEXT(modulT2HakedisEgim,"#,##0")&amp;" TL değişim",IF(modulT2HakedisEgim&gt;0,"hakedişler yükselme eğiliminde","hakedişler düşme eğiliminde, hakediş takvimini gözden geçirin"))</f>
        <v>T2: Hakediş eğilimi dönem başına -6.667 TL değişim | hakedişler düşme eğiliminde, hakediş takvimini gözden geçirin</v>
      </c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</row>
    <row r="47" customFormat="false" ht="15" hidden="false" customHeight="false" outlineLevel="0" collapsed="false">
      <c r="A47" s="32" t="s">
        <v>110</v>
      </c>
      <c r="B47" s="18" t="n">
        <f aca="false">modulT3HakedisParetoPay</f>
        <v>0.144230769230769</v>
      </c>
      <c r="C47" s="37" t="str">
        <f aca="false">_xlfn.TEXTJOIN(" | ",TRUE(),"T3: En büyük dönem toplam hakedişin "&amp;TEXT(modulT3HakedisParetoPay*100,"0")&amp;"% tutarında",IF(modulT3HakedisParetoPay&gt;ParetoEsikOran,"hakediş tek dönemde yoğun, ödeme takvimi riskli","hakediş dönemlere dağılmış"))</f>
        <v>T3: En büyük dönem toplam hakedişin 14% tutarında | hakediş dönemlere dağılmış</v>
      </c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</row>
    <row r="48" customFormat="false" ht="15" hidden="false" customHeight="false" outlineLevel="0" collapsed="false">
      <c r="A48" s="32" t="s">
        <v>111</v>
      </c>
      <c r="B48" s="33" t="n">
        <f aca="false">modulT5MutabakatFark</f>
        <v>926800</v>
      </c>
      <c r="C48" s="37" t="str">
        <f aca="false">_xlfn.TEXTJOIN(" | ",TRUE(),"T5: Hak edilen ile ödenen arası fark "&amp;TEXT(modulT5MutabakatFark,"#,##0")&amp;" TL",IF(ABS(modulT5MutabakatFark)&lt;=MutabakatTolerans,"mutabakat sağlandı","mutabakat farkı var, ödeme kayıtlarını kontrol edin"))</f>
        <v>T5: Hak edilen ile ödenen arası fark 926.800 TL | mutabakat farkı var, ödeme kayıtlarını kontrol edin</v>
      </c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</row>
    <row r="49" customFormat="false" ht="15" hidden="false" customHeight="false" outlineLevel="0" collapsed="false">
      <c r="A49" s="32" t="s">
        <v>112</v>
      </c>
      <c r="B49" s="18" t="n">
        <f aca="false">modulT6KesintiKirilim</f>
        <v>1.232</v>
      </c>
      <c r="C49" s="37" t="str">
        <f aca="false">_xlfn.TEXTJOIN(" | ",TRUE(),"T6: Kesinti oranı uyarı eşiğinin "&amp;TEXT(modulT6KesintiKirilim*100,"0")&amp;"% seviyesinde",IF(modulT6KesintiKirilim&gt;=1,"kesintiler yüksek, sözleşme oranlarını teyit edin","kesinti oranı eşik altında"))</f>
        <v>T6: Kesinti oranı uyarı eşiğinin 123% seviyesinde | kesintiler yüksek, sözleşme oranlarını teyit edin</v>
      </c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</row>
    <row r="50" customFormat="false" ht="15" hidden="false" customHeight="false" outlineLevel="0" collapsed="false">
      <c r="A50" s="32" t="s">
        <v>113</v>
      </c>
      <c r="B50" s="18" t="n">
        <f aca="false">modulO1AnomaliOran</f>
        <v>1</v>
      </c>
      <c r="C50" s="37" t="str">
        <f aca="false">_xlfn.TEXTJOIN(" | ",TRUE(),"O1: Hakedişlerin "&amp;TEXT(modulO1AnomaliOran*100,"0")&amp;"% dönemde anomali var",IF(modulO1AnomaliOran&gt;0,"uç dönemleri hakediş raporlarıyla mutabakat edin","hakediş dağılımı tutarlı"))</f>
        <v>O1: Hakedişlerin 100% dönemde anomali var | uç dönemleri hakediş raporlarıyla mutabakat edin</v>
      </c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</row>
    <row r="51" customFormat="false" ht="15" hidden="false" customHeight="false" outlineLevel="0" collapsed="false">
      <c r="A51" s="32" t="s">
        <v>114</v>
      </c>
      <c r="B51" s="35" t="str">
        <f aca="false">modulO2TornadoZirve</f>
        <v>Hakediş Değişimi</v>
      </c>
      <c r="C51" s="37" t="str">
        <f aca="false">_xlfn.TEXTJOIN(" | ",TRUE(),"O2: Mutabakat farkını en çok etkileyen değişken: "&amp;modulO2TornadoZirve,IF(modulO2TornadoZirve="Ödenen Tutar","ödeme planını ve vade koşullarını gözden geçirin","ana değişken netleşti"))</f>
        <v>O2: Mutabakat farkını en çok etkileyen değişken: Hakediş Değişimi | ana değişken netleşti</v>
      </c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</row>
    <row r="52" customFormat="false" ht="15" hidden="false" customHeight="false" outlineLevel="0" collapsed="false">
      <c r="A52" s="32" t="s">
        <v>115</v>
      </c>
      <c r="B52" s="33" t="n">
        <f aca="false">modulO3SenaryoBazFark</f>
        <v>926800</v>
      </c>
      <c r="C52" s="37" t="str">
        <f aca="false">_xlfn.TEXTJOIN(" | ",TRUE(),"O3: Senaryo motoru — baz mutabakat farkı "&amp;TEXT(modulO3SenaryoBazFark,"#,##0")&amp;" TL",IF(ABS(modulO3SenaryoBazFark)&gt;MutabakatTolerans,"baz senaryoda mutabakat farkı var","senaryo aralığı karar için yeterli"))</f>
        <v>O3: Senaryo motoru — baz mutabakat farkı 926.800 TL | baz senaryoda mutabakat farkı var</v>
      </c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</row>
    <row r="53" customFormat="false" ht="15" hidden="false" customHeight="false" outlineLevel="0" collapsed="false">
      <c r="A53" s="32" t="s">
        <v>116</v>
      </c>
      <c r="B53" s="19" t="n">
        <f aca="false">modulO4GecOdemeGun</f>
        <v>5.22222222222222</v>
      </c>
      <c r="C53" s="37" t="str">
        <f aca="false">_xlfn.TEXTJOIN(" | ",TRUE(),"O4: Ortalama geç ödeme "&amp;modulO4GecOdemeGun&amp;" gün",IF(modulO4GecOdemeGun&gt;GecOdemeEsik,"ödemeler eşik üstü gecikiyor, tahsilat planını güçlendirin","ödemeler eşik içinde"))</f>
        <v>O4: Ortalama geç ödeme 5,22222222222222 gün | ödemeler eşik içinde</v>
      </c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</row>
    <row r="54" customFormat="false" ht="15" hidden="false" customHeight="false" outlineLevel="0" collapsed="false">
      <c r="A54" s="32" t="s">
        <v>117</v>
      </c>
      <c r="B54" s="36" t="n">
        <f aca="false">modulO6HakedisHhi</f>
        <v>0.114460059171598</v>
      </c>
      <c r="C54" s="37" t="str">
        <f aca="false">_xlfn.TEXTJOIN(" | ",TRUE(),"O6: Hakediş yoğunlaşma endeksi "&amp;TEXT(modulO6HakedisHhi,"0,00")&amp;" (HHI)",IF(modulO6HakedisHhi&gt;0.5,"hakediş tek dönemde yoğun, tahsilat riski izlenmeli","yoğunlaşma dağılmış"))</f>
        <v>O6: Hakediş yoğunlaşma endeksi 0,11 (HHI) | yoğunlaşma dağılmış</v>
      </c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</row>
    <row r="55" customFormat="false" ht="15" hidden="false" customHeight="false" outlineLevel="0" collapsed="false">
      <c r="A55" s="32" t="s">
        <v>118</v>
      </c>
      <c r="B55" s="19" t="n">
        <f aca="false">modulO8KaliteSkoru</f>
        <v>70</v>
      </c>
      <c r="C55" s="37" t="str">
        <f aca="false">_xlfn.TEXTJOIN(" | ",TRUE(),"O8: Veri kalitesi "&amp;modulO8KaliteSkoru&amp;"/100",IF(modulO8KaliteSkoru&lt;VeriKaliteOrtaEsik,"girişler eksik, karar güvenilir değil","giriş kalitesi karar için yeterli"))</f>
        <v>O8: Veri kalitesi 70/100 | giriş kalitesi karar için yeterli</v>
      </c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</row>
    <row r="56" customFormat="false" ht="15" hidden="false" customHeight="false" outlineLevel="0" collapsed="false">
      <c r="A56" s="32" t="s">
        <v>119</v>
      </c>
      <c r="B56" s="33" t="n">
        <f aca="false">modulI1HakedisTahminOrta</f>
        <v>0</v>
      </c>
      <c r="C56" s="37" t="str">
        <f aca="false">_xlfn.TEXTJOIN(" | ",TRUE(),"I1: Tahmin — sonraki dönem hakedişi "&amp;TEXT(modulI1HakedisTahminOrta,"#,##0")&amp;" TL öngörülüyor",IF(modulI1HakedisTahminOrta&gt;MAX(tblHakedis[Brüt Hakediş (₺)]),"tahmin mevcut hakedişlerin üzerinde","tahmin mevcut seviyeye yakın"))</f>
        <v>I1: Tahmin — sonraki dönem hakedişi 0 TL öngörülüyor | tahmin mevcut seviyeye yakın</v>
      </c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</row>
    <row r="57" customFormat="false" ht="15" hidden="false" customHeight="false" outlineLevel="0" collapsed="false">
      <c r="A57" s="32" t="s">
        <v>120</v>
      </c>
      <c r="B57" s="33" t="n">
        <f aca="false">modulI2HakedisP90</f>
        <v>1420000</v>
      </c>
      <c r="C57" s="37" t="str">
        <f aca="false">_xlfn.TEXTJOIN(" | ",TRUE(),"I2: Dağılım — hakedişlerin %90'ı "&amp;TEXT(modulI2HakedisP90,"#,##0")&amp;" TL değerinin altında",IF(modulI2HakedisP90&gt;0,"yüksek dönem yoğunlaşması var","dağılım dengeli"))</f>
        <v>I2: Dağılım — hakedişlerin %90'ı 1.420.000 TL değerinin altında | yüksek dönem yoğunlaşması var</v>
      </c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</row>
    <row r="58" customFormat="false" ht="15" hidden="false" customHeight="false" outlineLevel="0" collapsed="false">
      <c r="A58" s="32" t="s">
        <v>121</v>
      </c>
      <c r="B58" s="33" t="n">
        <f aca="false">modulI3NakitNpv</f>
        <v>5345222.94752636</v>
      </c>
      <c r="C58" s="37" t="str">
        <f aca="false">_xlfn.TEXTJOIN(" | ",TRUE(),"I3: İskonto edilmiş ödeme akışı "&amp;TEXT(modulI3NakitNpv,"#,##0")&amp;" TL",IF(modulI3NakitNpv&lt;0,"ödeme akışı iskonto sonrası değer kaybediyor","ödeme akışı pozitif bugünkü değer üretiyor"))</f>
        <v>I3: İskonto edilmiş ödeme akışı 5.345.223 TL | ödeme akışı pozitif bugünkü değer üretiyor</v>
      </c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</row>
    <row r="59" customFormat="false" ht="15" hidden="false" customHeight="false" outlineLevel="0" collapsed="false">
      <c r="A59" s="32" t="s">
        <v>122</v>
      </c>
      <c r="B59" s="33" t="n">
        <f aca="false">modulI7NakitAcikKopru</f>
        <v>1339306.3583815</v>
      </c>
      <c r="C59" s="37" t="str">
        <f aca="false">_xlfn.TEXTJOIN(" | ",TRUE(),"I7: Farkı kapatmak için gereken ek hakediş "&amp;TEXT(modulI7NakitAcikKopru,"#,##0")&amp;" TL",IF(modulI7NakitAcikKopru&gt;0,"ödeme planı veya sözleşme revizyonunu değerlendirin","mutabakat köprüsüne gerek yok"))</f>
        <v>I7: Farkı kapatmak için gereken ek hakediş 1.339.306 TL | ödeme planı veya sözleşme revizyonunu değerlendirin</v>
      </c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</row>
    <row r="61" customFormat="false" ht="19.5" hidden="false" customHeight="true" outlineLevel="0" collapsed="false">
      <c r="A61" s="11" t="s">
        <v>123</v>
      </c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</row>
  </sheetData>
  <sheetProtection sheet="true" password="cc3d" objects="true" scenarios="true" deleteColumns="false" deleteRows="false"/>
  <mergeCells count="17">
    <mergeCell ref="A1:AD1"/>
    <mergeCell ref="C45:Z45"/>
    <mergeCell ref="C46:Z46"/>
    <mergeCell ref="C47:Z47"/>
    <mergeCell ref="C48:Z48"/>
    <mergeCell ref="C49:Z49"/>
    <mergeCell ref="C50:Z50"/>
    <mergeCell ref="C51:Z51"/>
    <mergeCell ref="C52:Z52"/>
    <mergeCell ref="C53:Z53"/>
    <mergeCell ref="C54:Z54"/>
    <mergeCell ref="C55:Z55"/>
    <mergeCell ref="C56:Z56"/>
    <mergeCell ref="C57:Z57"/>
    <mergeCell ref="C58:Z58"/>
    <mergeCell ref="C59:Z59"/>
    <mergeCell ref="A61:AN61"/>
  </mergeCells>
  <conditionalFormatting sqref="B14">
    <cfRule type="cellIs" priority="2" operator="greaterThan" aboveAverage="0" equalAverage="0" bottom="0" percent="0" rank="0" text="" dxfId="8">
      <formula>MutabakatTolerans</formula>
    </cfRule>
    <cfRule type="cellIs" priority="3" operator="lessThanOrEqual" aboveAverage="0" equalAverage="0" bottom="0" percent="0" rank="0" text="" dxfId="7">
      <formula>MutabakatTolerans</formula>
    </cfRule>
  </conditionalFormatting>
  <conditionalFormatting sqref="B16">
    <cfRule type="cellIs" priority="4" operator="greaterThan" aboveAverage="0" equalAverage="0" bottom="0" percent="0" rank="0" text="" dxfId="10">
      <formula>KesintiEsik</formula>
    </cfRule>
  </conditionalFormatting>
  <conditionalFormatting sqref="B17">
    <cfRule type="cellIs" priority="5" operator="greaterThan" aboveAverage="0" equalAverage="0" bottom="0" percent="0" rank="0" text="" dxfId="10">
      <formula>GecOdemeEsik</formula>
    </cfRule>
  </conditionalFormatting>
  <conditionalFormatting sqref="B20">
    <cfRule type="cellIs" priority="6" operator="lessThan" aboveAverage="0" equalAverage="0" bottom="0" percent="0" rank="0" text="" dxfId="10">
      <formula>0.95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</cols>
  <sheetData>
    <row r="1" customFormat="false" ht="25.5" hidden="false" customHeight="true" outlineLevel="0" collapsed="false">
      <c r="A1" s="12" t="s">
        <v>124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125</v>
      </c>
    </row>
    <row r="5" customFormat="false" ht="15" hidden="false" customHeight="false" outlineLevel="0" collapsed="false">
      <c r="A5" s="38" t="s">
        <v>126</v>
      </c>
    </row>
    <row r="7" customFormat="false" ht="15" hidden="false" customHeight="false" outlineLevel="0" collapsed="false">
      <c r="A7" s="39" t="s">
        <v>127</v>
      </c>
      <c r="B7" s="40" t="str">
        <f aca="false">IF(YukleniciFirma="","FAIL","PASS")</f>
        <v>PASS</v>
      </c>
    </row>
    <row r="8" customFormat="false" ht="15" hidden="false" customHeight="false" outlineLevel="0" collapsed="false">
      <c r="A8" s="39" t="s">
        <v>128</v>
      </c>
      <c r="B8" s="40" t="str">
        <f aca="false">IF(TasseronFirma="","FAIL","PASS")</f>
        <v>PASS</v>
      </c>
    </row>
    <row r="9" customFormat="false" ht="15" hidden="false" customHeight="false" outlineLevel="0" collapsed="false">
      <c r="A9" s="39" t="s">
        <v>129</v>
      </c>
      <c r="B9" s="40" t="str">
        <f aca="false">IF(OR(SozlesmeBedeli="",SozlesmeBedeli&lt;=0),"FAIL","PASS")</f>
        <v>PASS</v>
      </c>
    </row>
    <row r="10" customFormat="false" ht="15" hidden="false" customHeight="false" outlineLevel="0" collapsed="false">
      <c r="A10" s="39" t="s">
        <v>130</v>
      </c>
      <c r="B10" s="40" t="str">
        <f aca="false">IF(OR(IsBaslangic="",IsBitis=""),"FAIL",IF(IsBitis&lt;IsBaslangic,"FAIL","PASS"))</f>
        <v>PASS</v>
      </c>
    </row>
    <row r="11" customFormat="false" ht="15" hidden="false" customHeight="false" outlineLevel="0" collapsed="false">
      <c r="A11" s="39" t="s">
        <v>131</v>
      </c>
      <c r="B11" s="40" t="str">
        <f aca="false">IF(COUNT(tblHakedis[Brüt Hakediş (₺)])=0,"FAIL","PASS")</f>
        <v>PASS</v>
      </c>
    </row>
    <row r="12" customFormat="false" ht="15" hidden="false" customHeight="false" outlineLevel="0" collapsed="false">
      <c r="A12" s="39" t="s">
        <v>132</v>
      </c>
      <c r="B12" s="40" t="str">
        <f aca="false">IF(COUNT(tblOdeme[Ödenen Tutar (₺)])=0,"WARN","PASS")</f>
        <v>PASS</v>
      </c>
    </row>
    <row r="13" customFormat="false" ht="15" hidden="false" customHeight="false" outlineLevel="0" collapsed="false">
      <c r="A13" s="39" t="s">
        <v>133</v>
      </c>
      <c r="B13" s="40" t="str">
        <f aca="false">IF(MutabakatFarki&gt;MutabakatTolerans,"WARN","PASS")</f>
        <v>WARN</v>
      </c>
    </row>
    <row r="14" customFormat="false" ht="15" hidden="false" customHeight="false" outlineLevel="0" collapsed="false">
      <c r="A14" s="39" t="s">
        <v>134</v>
      </c>
      <c r="B14" s="40" t="str">
        <f aca="false">IF(GecOdemeGunOrt&gt;GecOdemeEsik,"WARN","PASS")</f>
        <v>PASS</v>
      </c>
    </row>
    <row r="15" customFormat="false" ht="15" hidden="false" customHeight="false" outlineLevel="0" collapsed="false">
      <c r="A15" s="39" t="s">
        <v>135</v>
      </c>
      <c r="B15" s="40" t="str">
        <f aca="false">IF(KesintiOrani&gt;KesintiEsik,"WARN","PASS")</f>
        <v>WARN</v>
      </c>
    </row>
    <row r="16" customFormat="false" ht="15" hidden="false" customHeight="false" outlineLevel="0" collapsed="false">
      <c r="A16" s="39" t="s">
        <v>136</v>
      </c>
      <c r="B16" s="40" t="str">
        <f aca="false">IF(TahsilatOran=0,"WARN",IF(TahsilatOran&lt;0.95,"WARN","PASS"))</f>
        <v>WARN</v>
      </c>
    </row>
    <row r="18" customFormat="false" ht="15" hidden="false" customHeight="false" outlineLevel="0" collapsed="false">
      <c r="A18" s="38" t="s">
        <v>137</v>
      </c>
    </row>
    <row r="19" customFormat="false" ht="15" hidden="false" customHeight="false" outlineLevel="0" collapsed="false">
      <c r="A19" s="39" t="s">
        <v>138</v>
      </c>
      <c r="B19" s="41" t="n">
        <f aca="false">COUNTIF(B7:B16,"PASS")</f>
        <v>7</v>
      </c>
    </row>
    <row r="20" customFormat="false" ht="15" hidden="false" customHeight="false" outlineLevel="0" collapsed="false">
      <c r="A20" s="39" t="s">
        <v>139</v>
      </c>
      <c r="B20" s="41" t="n">
        <f aca="false">COUNTIF(B7:B16,"FAIL")</f>
        <v>0</v>
      </c>
    </row>
    <row r="21" customFormat="false" ht="15" hidden="false" customHeight="false" outlineLevel="0" collapsed="false">
      <c r="A21" s="42" t="s">
        <v>140</v>
      </c>
      <c r="B21" s="43" t="n">
        <f aca="false">IF(COUNTIF(B7:B16,"FAIL")=0,ROUND(100-COUNTIF(B7:B16,"WARN")*VeriKaliteUyariCeza,0),0)</f>
        <v>70</v>
      </c>
    </row>
    <row r="22" customFormat="false" ht="15" hidden="false" customHeight="false" outlineLevel="0" collapsed="false">
      <c r="A22" s="39" t="s">
        <v>141</v>
      </c>
      <c r="B22" s="42" t="str">
        <f aca="false">IF(VeriKaliteSkoru=0,"VERİ YOK",IF(VeriKaliteSkoru&gt;=VeriKaliteIyiEsik,"YÜKSEK",IF(VeriKaliteSkoru&gt;=VeriKaliteOrtaEsik,"ORTA","DÜŞÜK")))</f>
        <v>ORTA</v>
      </c>
    </row>
    <row r="24" customFormat="false" ht="15" hidden="false" customHeight="false" outlineLevel="0" collapsed="false">
      <c r="A24" s="39" t="s">
        <v>142</v>
      </c>
      <c r="B24" s="42" t="str">
        <f aca="false">IF(FAIL_Sayisi=0,"SAĞLIKLI","İNCELE")</f>
        <v>SAĞLIKLI</v>
      </c>
    </row>
    <row r="26" customFormat="false" ht="19.5" hidden="false" customHeight="true" outlineLevel="0" collapsed="false">
      <c r="A26" s="11" t="s">
        <v>143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</sheetData>
  <sheetProtection sheet="true" password="cc3d" objects="true" scenarios="true" deleteColumns="false" deleteRows="false"/>
  <mergeCells count="2">
    <mergeCell ref="A1:AD1"/>
    <mergeCell ref="A26:AN26"/>
  </mergeCells>
  <conditionalFormatting sqref="B7">
    <cfRule type="cellIs" priority="2" operator="equal" aboveAverage="0" equalAverage="0" bottom="0" percent="0" rank="0" text="" dxfId="8">
      <formula>"FAIL"</formula>
    </cfRule>
    <cfRule type="cellIs" priority="3" operator="equal" aboveAverage="0" equalAverage="0" bottom="0" percent="0" rank="0" text="" dxfId="10">
      <formula>"WARN"</formula>
    </cfRule>
    <cfRule type="cellIs" priority="4" operator="equal" aboveAverage="0" equalAverage="0" bottom="0" percent="0" rank="0" text="" dxfId="7">
      <formula>"PASS"</formula>
    </cfRule>
  </conditionalFormatting>
  <conditionalFormatting sqref="B8">
    <cfRule type="cellIs" priority="5" operator="equal" aboveAverage="0" equalAverage="0" bottom="0" percent="0" rank="0" text="" dxfId="8">
      <formula>"FAIL"</formula>
    </cfRule>
    <cfRule type="cellIs" priority="6" operator="equal" aboveAverage="0" equalAverage="0" bottom="0" percent="0" rank="0" text="" dxfId="10">
      <formula>"WARN"</formula>
    </cfRule>
    <cfRule type="cellIs" priority="7" operator="equal" aboveAverage="0" equalAverage="0" bottom="0" percent="0" rank="0" text="" dxfId="7">
      <formula>"PASS"</formula>
    </cfRule>
  </conditionalFormatting>
  <conditionalFormatting sqref="B9">
    <cfRule type="cellIs" priority="8" operator="equal" aboveAverage="0" equalAverage="0" bottom="0" percent="0" rank="0" text="" dxfId="8">
      <formula>"FAIL"</formula>
    </cfRule>
    <cfRule type="cellIs" priority="9" operator="equal" aboveAverage="0" equalAverage="0" bottom="0" percent="0" rank="0" text="" dxfId="10">
      <formula>"WARN"</formula>
    </cfRule>
    <cfRule type="cellIs" priority="10" operator="equal" aboveAverage="0" equalAverage="0" bottom="0" percent="0" rank="0" text="" dxfId="7">
      <formula>"PASS"</formula>
    </cfRule>
  </conditionalFormatting>
  <conditionalFormatting sqref="B10">
    <cfRule type="cellIs" priority="11" operator="equal" aboveAverage="0" equalAverage="0" bottom="0" percent="0" rank="0" text="" dxfId="8">
      <formula>"FAIL"</formula>
    </cfRule>
    <cfRule type="cellIs" priority="12" operator="equal" aboveAverage="0" equalAverage="0" bottom="0" percent="0" rank="0" text="" dxfId="10">
      <formula>"WARN"</formula>
    </cfRule>
    <cfRule type="cellIs" priority="13" operator="equal" aboveAverage="0" equalAverage="0" bottom="0" percent="0" rank="0" text="" dxfId="7">
      <formula>"PASS"</formula>
    </cfRule>
  </conditionalFormatting>
  <conditionalFormatting sqref="B11">
    <cfRule type="cellIs" priority="14" operator="equal" aboveAverage="0" equalAverage="0" bottom="0" percent="0" rank="0" text="" dxfId="8">
      <formula>"FAIL"</formula>
    </cfRule>
    <cfRule type="cellIs" priority="15" operator="equal" aboveAverage="0" equalAverage="0" bottom="0" percent="0" rank="0" text="" dxfId="10">
      <formula>"WARN"</formula>
    </cfRule>
    <cfRule type="cellIs" priority="16" operator="equal" aboveAverage="0" equalAverage="0" bottom="0" percent="0" rank="0" text="" dxfId="7">
      <formula>"PASS"</formula>
    </cfRule>
  </conditionalFormatting>
  <conditionalFormatting sqref="B12">
    <cfRule type="cellIs" priority="17" operator="equal" aboveAverage="0" equalAverage="0" bottom="0" percent="0" rank="0" text="" dxfId="8">
      <formula>"FAIL"</formula>
    </cfRule>
    <cfRule type="cellIs" priority="18" operator="equal" aboveAverage="0" equalAverage="0" bottom="0" percent="0" rank="0" text="" dxfId="10">
      <formula>"WARN"</formula>
    </cfRule>
    <cfRule type="cellIs" priority="19" operator="equal" aboveAverage="0" equalAverage="0" bottom="0" percent="0" rank="0" text="" dxfId="7">
      <formula>"PASS"</formula>
    </cfRule>
  </conditionalFormatting>
  <conditionalFormatting sqref="B13">
    <cfRule type="cellIs" priority="20" operator="equal" aboveAverage="0" equalAverage="0" bottom="0" percent="0" rank="0" text="" dxfId="8">
      <formula>"FAIL"</formula>
    </cfRule>
    <cfRule type="cellIs" priority="21" operator="equal" aboveAverage="0" equalAverage="0" bottom="0" percent="0" rank="0" text="" dxfId="10">
      <formula>"WARN"</formula>
    </cfRule>
    <cfRule type="cellIs" priority="22" operator="equal" aboveAverage="0" equalAverage="0" bottom="0" percent="0" rank="0" text="" dxfId="7">
      <formula>"PASS"</formula>
    </cfRule>
  </conditionalFormatting>
  <conditionalFormatting sqref="B14">
    <cfRule type="cellIs" priority="23" operator="equal" aboveAverage="0" equalAverage="0" bottom="0" percent="0" rank="0" text="" dxfId="8">
      <formula>"FAIL"</formula>
    </cfRule>
    <cfRule type="cellIs" priority="24" operator="equal" aboveAverage="0" equalAverage="0" bottom="0" percent="0" rank="0" text="" dxfId="10">
      <formula>"WARN"</formula>
    </cfRule>
    <cfRule type="cellIs" priority="25" operator="equal" aboveAverage="0" equalAverage="0" bottom="0" percent="0" rank="0" text="" dxfId="7">
      <formula>"PASS"</formula>
    </cfRule>
  </conditionalFormatting>
  <conditionalFormatting sqref="B15">
    <cfRule type="cellIs" priority="26" operator="equal" aboveAverage="0" equalAverage="0" bottom="0" percent="0" rank="0" text="" dxfId="8">
      <formula>"FAIL"</formula>
    </cfRule>
    <cfRule type="cellIs" priority="27" operator="equal" aboveAverage="0" equalAverage="0" bottom="0" percent="0" rank="0" text="" dxfId="10">
      <formula>"WARN"</formula>
    </cfRule>
    <cfRule type="cellIs" priority="28" operator="equal" aboveAverage="0" equalAverage="0" bottom="0" percent="0" rank="0" text="" dxfId="7">
      <formula>"PASS"</formula>
    </cfRule>
  </conditionalFormatting>
  <conditionalFormatting sqref="B16">
    <cfRule type="cellIs" priority="29" operator="equal" aboveAverage="0" equalAverage="0" bottom="0" percent="0" rank="0" text="" dxfId="8">
      <formula>"FAIL"</formula>
    </cfRule>
    <cfRule type="cellIs" priority="30" operator="equal" aboveAverage="0" equalAverage="0" bottom="0" percent="0" rank="0" text="" dxfId="10">
      <formula>"WARN"</formula>
    </cfRule>
    <cfRule type="cellIs" priority="31" operator="equal" aboveAverage="0" equalAverage="0" bottom="0" percent="0" rank="0" text="" dxfId="7">
      <formula>"PASS"</formula>
    </cfRule>
  </conditionalFormatting>
  <conditionalFormatting sqref="B21">
    <cfRule type="cellIs" priority="32" operator="greaterThanOrEqual" aboveAverage="0" equalAverage="0" bottom="0" percent="0" rank="0" text="" dxfId="7">
      <formula>90</formula>
    </cfRule>
    <cfRule type="cellIs" priority="33" operator="lessThan" aboveAverage="0" equalAverage="0" bottom="0" percent="0" rank="0" text="" dxfId="8">
      <formula>70</formula>
    </cfRule>
  </conditionalFormatting>
  <conditionalFormatting sqref="B24">
    <cfRule type="cellIs" priority="34" operator="equal" aboveAverage="0" equalAverage="0" bottom="0" percent="0" rank="0" text="" dxfId="7">
      <formula>"SAĞLIKLI"</formula>
    </cfRule>
    <cfRule type="cellIs" priority="35" operator="equal" aboveAverage="0" equalAverage="0" bottom="0" percent="0" rank="0" text="" dxfId="10">
      <formula>"İNCELE"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8"/>
    <col collapsed="false" customWidth="true" hidden="false" outlineLevel="0" max="3" min="3" style="0" width="22"/>
  </cols>
  <sheetData>
    <row r="1" customFormat="false" ht="25.5" hidden="false" customHeight="true" outlineLevel="0" collapsed="false">
      <c r="A1" s="12" t="s">
        <v>144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145</v>
      </c>
    </row>
    <row r="5" customFormat="false" ht="15" hidden="false" customHeight="false" outlineLevel="0" collapsed="false">
      <c r="A5" s="38" t="s">
        <v>146</v>
      </c>
    </row>
    <row r="6" customFormat="false" ht="15" hidden="false" customHeight="false" outlineLevel="0" collapsed="false">
      <c r="A6" s="42" t="s">
        <v>82</v>
      </c>
      <c r="B6" s="33" t="n">
        <f aca="false">MutabakatFarki</f>
        <v>926800</v>
      </c>
    </row>
    <row r="7" customFormat="false" ht="15" hidden="false" customHeight="false" outlineLevel="0" collapsed="false">
      <c r="A7" s="42" t="s">
        <v>83</v>
      </c>
      <c r="B7" s="18" t="n">
        <f aca="false">MutabakatFarkiOran</f>
        <v>0.099905139703346</v>
      </c>
    </row>
    <row r="8" customFormat="false" ht="15" hidden="false" customHeight="false" outlineLevel="0" collapsed="false">
      <c r="A8" s="42" t="s">
        <v>147</v>
      </c>
      <c r="B8" s="18" t="n">
        <f aca="false">KesintiOrani</f>
        <v>0.308</v>
      </c>
    </row>
    <row r="9" customFormat="false" ht="15" hidden="false" customHeight="false" outlineLevel="0" collapsed="false">
      <c r="A9" s="42" t="s">
        <v>41</v>
      </c>
      <c r="B9" s="19" t="n">
        <f aca="false">GecOdemeGunOrt</f>
        <v>5.22222222222222</v>
      </c>
    </row>
    <row r="11" customFormat="false" ht="19.4" hidden="false" customHeight="false" outlineLevel="0" collapsed="false">
      <c r="A11" s="13" t="s">
        <v>148</v>
      </c>
      <c r="B11" s="44" t="str">
        <f aca="false">IF(VeriKaliteSkoru=0,"VERİ YOK",IF(OR(MutabakatFarki&lt;0,ToplamOdenen&lt;0),"DURDUR",IF(MutabakatFarki&gt;MutabakatTolerans,"DURDUR",IF(MutabakatFarkiOran&gt;MutabakatFarkiEsik,"İNCELE",IF(GecOdemeGunOrt&gt;GecOdemeEsik,"İNCELE",IF(KesintiOrani&gt;KesintiEsik,"İNCELE","UYGUN"))))))</f>
        <v>DURDUR</v>
      </c>
    </row>
    <row r="12" customFormat="false" ht="28.35" hidden="false" customHeight="false" outlineLevel="0" collapsed="false">
      <c r="A12" s="42" t="s">
        <v>149</v>
      </c>
      <c r="B12" s="45" t="str">
        <f aca="false">IF(VeriKaliteSkoru=0,"Girdi eksik; lütfen sarı hücreleri doldurun.",IF(MutabakatFarki&lt;0,"Mutabakat farkı negatif: ödenen tutar hak edilenin üzerinde. Kayıtları mutabakat edin.",IF(MutabakatFarki&gt;MutabakatTolerans,"Mutabakat farkı "&amp;TEXT(MutabakatFarki,"#,##0")&amp;" ₺; tahsilat takvimini güçlendirin.",IF(MutabakatFarkiOran&gt;MutabakatFarkiEsik,"Fark oranı "&amp;TEXT(MutabakatFarkiOran,"0.0%")&amp;" eşik üstünde.",IF(GecOdemeGunOrt&gt;GecOdemeEsik,"Ortalama gecikme "&amp;TEXT(GecOdemeGunOrt,"0")&amp;" gün; vade koşullarını gözden geçirin.",IF(KesintiOrani&gt;KesintiEsik,"Kesinti oranı "&amp;TEXT(KesintiOrani,"0.0%")&amp;" eşik üstünde; oranları sözleşmeden teyit edin.","Mutabakat, ödeme ve kesinti kabul edilebilir aralıkta."))))))</f>
        <v>Mutabakat farkı 926.800 ₺; tahsilat takvimini güçlendirin.</v>
      </c>
    </row>
    <row r="14" customFormat="false" ht="15" hidden="false" customHeight="false" outlineLevel="0" collapsed="false">
      <c r="A14" s="38" t="s">
        <v>150</v>
      </c>
    </row>
    <row r="15" customFormat="false" ht="15" hidden="false" customHeight="false" outlineLevel="0" collapsed="false">
      <c r="A15" s="46" t="str">
        <f aca="false">IF(OR(KararSonuc="VERİ YOK",KararSonuc="DURDUR"),"Hakediş ve ödeme kayıtlarını tek tek mutabakat edin; farkın kaynağını belgelendirin",IF(MutabakatFarkiOran&gt;MutabakatFarkiEsik,"Tahsilat planını ve vade koşullarını taşeronla yeniden müzakere edin","Ödeme takvimini ve kesinti oranlarını dönem planına işleyin"))</f>
        <v>Hakediş ve ödeme kayıtlarını tek tek mutabakat edin; farkın kaynağını belgelendirin</v>
      </c>
      <c r="B15" s="46"/>
      <c r="C15" s="46"/>
    </row>
    <row r="16" customFormat="false" ht="15" hidden="false" customHeight="false" outlineLevel="0" collapsed="false">
      <c r="A16" s="46" t="str">
        <f aca="false">IF(GecOdemeGunOrt&gt;GecOdemeEsik,"Gecikme maliyetini taraflar arası sözleşme hükümlerine göre hesaplayın ve izleyin","Gecikme maliyeti kabul edilebilir seviyede")</f>
        <v>Gecikme maliyeti kabul edilebilir seviyede</v>
      </c>
      <c r="B16" s="46"/>
      <c r="C16" s="46"/>
    </row>
    <row r="17" customFormat="false" ht="15" hidden="false" customHeight="false" outlineLevel="0" collapsed="false">
      <c r="A17" s="46" t="str">
        <f aca="false">IF(KesintiOrani&gt;KesintiEsik,"Kesinti oranlarını sözleşme ve mevzuat tebliğleriyle teyit edin","Kesinti oranları normal seviyede")</f>
        <v>Kesinti oranlarını sözleşme ve mevzuat tebliğleriyle teyit edin</v>
      </c>
      <c r="B17" s="46"/>
      <c r="C17" s="46"/>
    </row>
    <row r="18" customFormat="false" ht="15" hidden="false" customHeight="false" outlineLevel="0" collapsed="false">
      <c r="A18" s="46" t="str">
        <f aca="false">IF(AnomaliAdet&gt;0,"Anomali hakedişleri inceleyin; kesinti ve tahsilat farklarını mutabakat edin","Hakedişler tutarlı dağılıyor")</f>
        <v>Anomali hakedişleri inceleyin; kesinti ve tahsilat farklarını mutabakat edin</v>
      </c>
      <c r="B18" s="46"/>
      <c r="C18" s="46"/>
    </row>
    <row r="21" customFormat="false" ht="19.5" hidden="false" customHeight="true" outlineLevel="0" collapsed="false">
      <c r="A21" s="11" t="s">
        <v>151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6">
    <mergeCell ref="A1:AD1"/>
    <mergeCell ref="A15:C15"/>
    <mergeCell ref="A16:C16"/>
    <mergeCell ref="A17:C17"/>
    <mergeCell ref="A18:C18"/>
    <mergeCell ref="A21:AN21"/>
  </mergeCells>
  <conditionalFormatting sqref="B11">
    <cfRule type="cellIs" priority="2" operator="equal" aboveAverage="0" equalAverage="0" bottom="0" percent="0" rank="0" text="" dxfId="11">
      <formula>"UYGUN"</formula>
    </cfRule>
    <cfRule type="cellIs" priority="3" operator="equal" aboveAverage="0" equalAverage="0" bottom="0" percent="0" rank="0" text="" dxfId="12">
      <formula>"İNCELE"</formula>
    </cfRule>
    <cfRule type="cellIs" priority="4" operator="equal" aboveAverage="0" equalAverage="0" bottom="0" percent="0" rank="0" text="" dxfId="13">
      <formula>"DURDUR"</formula>
    </cfRule>
    <cfRule type="cellIs" priority="5" operator="equal" aboveAverage="0" equalAverage="0" bottom="0" percent="0" rank="0" text="" dxfId="14">
      <formula>"VERİ YOK"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4" min="4" style="0" width="6"/>
  </cols>
  <sheetData>
    <row r="1" customFormat="false" ht="25.5" hidden="false" customHeight="true" outlineLevel="0" collapsed="false">
      <c r="A1" s="12" t="s">
        <v>152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7.35" hidden="false" customHeight="false" outlineLevel="0" collapsed="false">
      <c r="A3" s="47" t="s">
        <v>153</v>
      </c>
    </row>
    <row r="5" customFormat="false" ht="15" hidden="false" customHeight="false" outlineLevel="0" collapsed="false">
      <c r="A5" s="48" t="s">
        <v>154</v>
      </c>
      <c r="B5" s="48"/>
      <c r="D5" s="49" t="s">
        <v>155</v>
      </c>
      <c r="E5" s="49"/>
      <c r="G5" s="50" t="s">
        <v>156</v>
      </c>
      <c r="H5" s="50"/>
      <c r="J5" s="51" t="s">
        <v>148</v>
      </c>
      <c r="K5" s="51"/>
    </row>
    <row r="6" customFormat="false" ht="19.4" hidden="false" customHeight="false" outlineLevel="0" collapsed="false">
      <c r="A6" s="52" t="n">
        <f aca="false">ToplamNetHakedis</f>
        <v>9276800</v>
      </c>
      <c r="B6" s="52"/>
      <c r="D6" s="52" t="n">
        <f aca="false">MutabakatFarki</f>
        <v>926800</v>
      </c>
      <c r="E6" s="52"/>
      <c r="G6" s="53" t="n">
        <f aca="false">KesintiOrani</f>
        <v>0.308</v>
      </c>
      <c r="H6" s="53"/>
      <c r="J6" s="54" t="str">
        <f aca="false">KararSonuc</f>
        <v>DURDUR</v>
      </c>
      <c r="K6" s="54"/>
    </row>
    <row r="8" customFormat="false" ht="15" hidden="false" customHeight="false" outlineLevel="0" collapsed="false">
      <c r="A8" s="34" t="s">
        <v>74</v>
      </c>
      <c r="B8" s="33" t="n">
        <f aca="false">ToplamBrutHakedis</f>
        <v>10400000</v>
      </c>
    </row>
    <row r="9" customFormat="false" ht="15" hidden="false" customHeight="false" outlineLevel="0" collapsed="false">
      <c r="A9" s="34" t="s">
        <v>76</v>
      </c>
      <c r="B9" s="33" t="n">
        <f aca="false">ToplamKdvTevkifat</f>
        <v>83200</v>
      </c>
    </row>
    <row r="10" customFormat="false" ht="15" hidden="false" customHeight="false" outlineLevel="0" collapsed="false">
      <c r="A10" s="34" t="s">
        <v>157</v>
      </c>
      <c r="B10" s="33" t="n">
        <f aca="false">ToplamStopaj</f>
        <v>520000</v>
      </c>
    </row>
    <row r="11" customFormat="false" ht="15" hidden="false" customHeight="false" outlineLevel="0" collapsed="false">
      <c r="A11" s="34" t="s">
        <v>81</v>
      </c>
      <c r="B11" s="33" t="n">
        <f aca="false">ToplamOdenen</f>
        <v>8350000</v>
      </c>
    </row>
    <row r="12" customFormat="false" ht="15" hidden="false" customHeight="false" outlineLevel="0" collapsed="false">
      <c r="A12" s="34" t="s">
        <v>85</v>
      </c>
      <c r="B12" s="33" t="n">
        <f aca="false">GecikmeMaliyetiToplam</f>
        <v>14836</v>
      </c>
    </row>
    <row r="13" customFormat="false" ht="15" hidden="false" customHeight="false" outlineLevel="0" collapsed="false">
      <c r="A13" s="34" t="s">
        <v>158</v>
      </c>
      <c r="B13" s="19" t="n">
        <f aca="false">VeriKaliteSkoru</f>
        <v>70</v>
      </c>
    </row>
    <row r="15" customFormat="false" ht="15" hidden="false" customHeight="false" outlineLevel="0" collapsed="false">
      <c r="A15" s="38" t="s">
        <v>159</v>
      </c>
    </row>
    <row r="16" customFormat="false" ht="15" hidden="false" customHeight="false" outlineLevel="0" collapsed="false">
      <c r="A16" s="46" t="str">
        <f aca="false">"Kesinti oranı %"&amp;TEXT(KesintiOrani,"0.0%")&amp;"; net hakediş "&amp;TEXT(ToplamNetHakedis,"#,##0")&amp;" ₺."</f>
        <v>Kesinti oranı %31%; net hakediş 9.276.800 ₺.</v>
      </c>
      <c r="B16" s="46"/>
      <c r="C16" s="46"/>
      <c r="D16" s="46"/>
      <c r="E16" s="46"/>
      <c r="F16" s="46"/>
    </row>
    <row r="17" customFormat="false" ht="15" hidden="false" customHeight="false" outlineLevel="0" collapsed="false">
      <c r="A17" s="46" t="str">
        <f aca="false">"Mutabakat farkı "&amp;TEXT(MutabakatFarki,"#,##0")&amp;" ₺, oran %"&amp;TEXT(MutabakatFarkiOran,"0.0%")&amp;"."</f>
        <v>Mutabakat farkı 926.800 ₺, oran %10%.</v>
      </c>
      <c r="B17" s="46"/>
      <c r="C17" s="46"/>
      <c r="D17" s="46"/>
      <c r="E17" s="46"/>
      <c r="F17" s="46"/>
    </row>
    <row r="18" customFormat="false" ht="15" hidden="false" customHeight="false" outlineLevel="0" collapsed="false">
      <c r="A18" s="46" t="str">
        <f aca="false">"Ortalama geç ödeme "&amp;TEXT(GecOdemeGunOrt,"0")&amp;" gün; gecikme maliyeti "&amp;TEXT(GecikmeMaliyetiToplam,"#,##0")&amp;" ₺."</f>
        <v>Ortalama geç ödeme 5 gün; gecikme maliyeti 14.836 ₺.</v>
      </c>
      <c r="B18" s="46"/>
      <c r="C18" s="46"/>
      <c r="D18" s="46"/>
      <c r="E18" s="46"/>
      <c r="F18" s="46"/>
    </row>
    <row r="20" customFormat="false" ht="15" hidden="false" customHeight="false" outlineLevel="0" collapsed="false">
      <c r="A20" s="34" t="s">
        <v>160</v>
      </c>
      <c r="B20" s="0" t="s">
        <v>161</v>
      </c>
      <c r="C20" s="29" t="n">
        <f aca="false">ToplamNetHakedis</f>
        <v>9276800</v>
      </c>
    </row>
    <row r="21" customFormat="false" ht="15" hidden="false" customHeight="false" outlineLevel="0" collapsed="false">
      <c r="B21" s="0" t="s">
        <v>162</v>
      </c>
      <c r="C21" s="29" t="n">
        <f aca="false">ToplamBrutHakedis-ToplamNetHakedis</f>
        <v>1123200</v>
      </c>
    </row>
    <row r="23" customFormat="false" ht="15" hidden="false" customHeight="false" outlineLevel="0" collapsed="false">
      <c r="A23" s="34" t="s">
        <v>163</v>
      </c>
      <c r="B23" s="0" t="s">
        <v>161</v>
      </c>
      <c r="C23" s="29" t="n">
        <f aca="false">ToplamNetHakedis</f>
        <v>9276800</v>
      </c>
    </row>
    <row r="24" customFormat="false" ht="15" hidden="false" customHeight="false" outlineLevel="0" collapsed="false">
      <c r="B24" s="0" t="s">
        <v>164</v>
      </c>
      <c r="C24" s="29" t="n">
        <f aca="false">ToplamOdenen</f>
        <v>8350000</v>
      </c>
    </row>
    <row r="26" customFormat="false" ht="15" hidden="false" customHeight="false" outlineLevel="0" collapsed="false">
      <c r="A26" s="34" t="s">
        <v>165</v>
      </c>
      <c r="B26" s="0" t="s">
        <v>166</v>
      </c>
      <c r="C26" s="29" t="n">
        <f aca="false">ToplamKdvTevkifat</f>
        <v>83200</v>
      </c>
    </row>
    <row r="27" customFormat="false" ht="15" hidden="false" customHeight="false" outlineLevel="0" collapsed="false">
      <c r="B27" s="0" t="s">
        <v>167</v>
      </c>
      <c r="C27" s="29" t="n">
        <f aca="false">ToplamStopaj</f>
        <v>520000</v>
      </c>
    </row>
    <row r="28" customFormat="false" ht="15" hidden="false" customHeight="false" outlineLevel="0" collapsed="false">
      <c r="B28" s="0" t="s">
        <v>168</v>
      </c>
      <c r="C28" s="29" t="n">
        <f aca="false">ToplamSgk</f>
        <v>2080000</v>
      </c>
    </row>
    <row r="29" customFormat="false" ht="15" hidden="false" customHeight="false" outlineLevel="0" collapsed="false">
      <c r="B29" s="0" t="s">
        <v>169</v>
      </c>
      <c r="C29" s="29" t="n">
        <f aca="false">ToplamTeminat</f>
        <v>520000</v>
      </c>
    </row>
    <row r="31" customFormat="false" ht="15" hidden="false" customHeight="false" outlineLevel="0" collapsed="false">
      <c r="A31" s="34" t="s">
        <v>87</v>
      </c>
      <c r="B31" s="19" t="n">
        <f aca="false">AnomaliAdet</f>
        <v>9</v>
      </c>
    </row>
    <row r="32" customFormat="false" ht="15" hidden="false" customHeight="false" outlineLevel="0" collapsed="false">
      <c r="A32" s="34" t="s">
        <v>40</v>
      </c>
      <c r="B32" s="18" t="n">
        <f aca="false">TahsilatOran</f>
        <v>0.900094860296654</v>
      </c>
    </row>
  </sheetData>
  <sheetProtection sheet="true" password="cc3d" objects="true" scenarios="true" deleteColumns="false" deleteRows="false"/>
  <mergeCells count="12">
    <mergeCell ref="A1:AD1"/>
    <mergeCell ref="A5:B5"/>
    <mergeCell ref="D5:E5"/>
    <mergeCell ref="G5:H5"/>
    <mergeCell ref="J5:K5"/>
    <mergeCell ref="A6:B6"/>
    <mergeCell ref="D6:E6"/>
    <mergeCell ref="G6:H6"/>
    <mergeCell ref="J6:K6"/>
    <mergeCell ref="A16:F16"/>
    <mergeCell ref="A17:F17"/>
    <mergeCell ref="A18:F18"/>
  </mergeCells>
  <conditionalFormatting sqref="A6">
    <cfRule type="cellIs" priority="2" operator="greaterThan" aboveAverage="0" equalAverage="0" bottom="0" percent="0" rank="0" text="" dxfId="10">
      <formula>0</formula>
    </cfRule>
  </conditionalFormatting>
  <conditionalFormatting sqref="D6">
    <cfRule type="cellIs" priority="3" operator="greaterThan" aboveAverage="0" equalAverage="0" bottom="0" percent="0" rank="0" text="" dxfId="10">
      <formula>0</formula>
    </cfRule>
  </conditionalFormatting>
  <conditionalFormatting sqref="G6">
    <cfRule type="cellIs" priority="4" operator="greaterThan" aboveAverage="0" equalAverage="0" bottom="0" percent="0" rank="0" text="" dxfId="10">
      <formula>0</formula>
    </cfRule>
  </conditionalFormatting>
  <conditionalFormatting sqref="A7">
    <cfRule type="cellIs" priority="5" operator="greaterThan" aboveAverage="0" equalAverage="0" bottom="0" percent="0" rank="0" text="" dxfId="10">
      <formula>0</formula>
    </cfRule>
  </conditionalFormatting>
  <conditionalFormatting sqref="D7">
    <cfRule type="cellIs" priority="6" operator="greaterThan" aboveAverage="0" equalAverage="0" bottom="0" percent="0" rank="0" text="" dxfId="10">
      <formula>0</formula>
    </cfRule>
  </conditionalFormatting>
  <conditionalFormatting sqref="G7">
    <cfRule type="cellIs" priority="7" operator="greaterThan" aboveAverage="0" equalAverage="0" bottom="0" percent="0" rank="0" text="" dxfId="10">
      <formula>0</formula>
    </cfRule>
  </conditionalFormatting>
  <conditionalFormatting sqref="A8">
    <cfRule type="cellIs" priority="8" operator="greaterThan" aboveAverage="0" equalAverage="0" bottom="0" percent="0" rank="0" text="" dxfId="10">
      <formula>0</formula>
    </cfRule>
  </conditionalFormatting>
  <conditionalFormatting sqref="D8">
    <cfRule type="cellIs" priority="9" operator="greaterThan" aboveAverage="0" equalAverage="0" bottom="0" percent="0" rank="0" text="" dxfId="10">
      <formula>0</formula>
    </cfRule>
  </conditionalFormatting>
  <conditionalFormatting sqref="G8">
    <cfRule type="cellIs" priority="10" operator="greaterThan" aboveAverage="0" equalAverage="0" bottom="0" percent="0" rank="0" text="" dxfId="10">
      <formula>0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&amp;LTAŞERON/ALT YÜKLENİCİ HAKEDİŞ KESİNTİ MUTABAKATI&amp;CExcelArşiv&amp;RSayfa &amp;P / &amp;N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3" min="2" style="0" width="16"/>
    <col collapsed="false" customWidth="true" hidden="false" outlineLevel="0" max="6" min="4" style="0" width="18"/>
    <col collapsed="false" customWidth="true" hidden="false" outlineLevel="0" max="7" min="7" style="0" width="14"/>
  </cols>
  <sheetData>
    <row r="1" customFormat="false" ht="25.5" hidden="false" customHeight="true" outlineLevel="0" collapsed="false">
      <c r="A1" s="12" t="s">
        <v>170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171</v>
      </c>
    </row>
    <row r="5" customFormat="false" ht="15" hidden="false" customHeight="false" outlineLevel="0" collapsed="false">
      <c r="A5" s="38" t="s">
        <v>172</v>
      </c>
    </row>
    <row r="6" customFormat="false" ht="30" hidden="false" customHeight="true" outlineLevel="0" collapsed="false">
      <c r="A6" s="21" t="s">
        <v>173</v>
      </c>
      <c r="B6" s="21" t="s">
        <v>174</v>
      </c>
      <c r="C6" s="21" t="s">
        <v>175</v>
      </c>
      <c r="D6" s="21" t="s">
        <v>176</v>
      </c>
      <c r="E6" s="21" t="s">
        <v>177</v>
      </c>
      <c r="F6" s="21" t="s">
        <v>70</v>
      </c>
      <c r="G6" s="21" t="s">
        <v>178</v>
      </c>
    </row>
    <row r="7" customFormat="false" ht="15" hidden="false" customHeight="false" outlineLevel="0" collapsed="false">
      <c r="A7" s="14" t="s">
        <v>179</v>
      </c>
      <c r="B7" s="18" t="n">
        <f aca="false">IFERROR(IF(COUNT(tblHakedis[Brüt Hakediş (₺)])=0,1-SenaryoKotumserKat,MAX(0.01,MIN(tblHakedis[Brüt Hakediş (₺)])/IFERROR(AVERAGE(tblHakedis[Brüt Hakediş (₺)]),1))),1-SenaryoKotumserKat)</f>
        <v>0.778846153846154</v>
      </c>
      <c r="C7" s="18" t="n">
        <f aca="false">IFERROR(IF(COUNT(tblOdeme[Ödenen Tutar (₺)])=0,1-SenaryoKotumserKat,MAX(0.01,MIN(tblOdeme[Ödenen Tutar (₺)])/IFERROR(AVERAGE(tblOdeme[Ödenen Tutar (₺)]),1))),1-SenaryoKotumserKat)</f>
        <v>0.754491017964072</v>
      </c>
      <c r="D7" s="33" t="n">
        <f aca="false">IFERROR(ToplamNetHakedis*B7-ToplamOdenen*C7,0)</f>
        <v>925199.999999999</v>
      </c>
      <c r="E7" s="18" t="n">
        <f aca="false">IFERROR(IF(ToplamNetHakedis*B7=0,0,(ToplamNetHakedis*B7-ToplamOdenen*C7)/(ToplamNetHakedis*B7)),0)</f>
        <v>0.128051818634778</v>
      </c>
      <c r="F7" s="33" t="n">
        <f aca="false">IFERROR(GecikmeMaliyetiToplam*(1+SenaryoKotumserKat),0)</f>
        <v>16319.6</v>
      </c>
      <c r="G7" s="40" t="str">
        <f aca="false">IF(VeriKaliteSkoru=0,"VERİ YOK",IF(D7&lt;0,"DURDUR",IF(ABS(E7)&gt;MutabakatFarkiEsik,"İNCELE","UYGUN")))</f>
        <v>İNCELE</v>
      </c>
    </row>
    <row r="8" customFormat="false" ht="15" hidden="false" customHeight="false" outlineLevel="0" collapsed="false">
      <c r="A8" s="14" t="s">
        <v>180</v>
      </c>
      <c r="B8" s="18" t="n">
        <f aca="false">1</f>
        <v>1</v>
      </c>
      <c r="C8" s="18" t="n">
        <f aca="false">1</f>
        <v>1</v>
      </c>
      <c r="D8" s="33" t="n">
        <f aca="false">IFERROR(ToplamNetHakedis*B8-ToplamOdenen*C8,0)</f>
        <v>926800</v>
      </c>
      <c r="E8" s="18" t="n">
        <f aca="false">IFERROR(IF(ToplamNetHakedis*B8=0,0,(ToplamNetHakedis*B8-ToplamOdenen*C8)/(ToplamNetHakedis*B8)),0)</f>
        <v>0.099905139703346</v>
      </c>
      <c r="F8" s="33" t="n">
        <f aca="false">GecikmeMaliyetiToplam</f>
        <v>14836</v>
      </c>
      <c r="G8" s="40" t="str">
        <f aca="false">IF(VeriKaliteSkoru=0,"VERİ YOK",IF(D8&lt;0,"DURDUR",IF(ABS(E8)&gt;MutabakatFarkiEsik,"İNCELE","UYGUN")))</f>
        <v>İNCELE</v>
      </c>
    </row>
    <row r="9" customFormat="false" ht="15" hidden="false" customHeight="false" outlineLevel="0" collapsed="false">
      <c r="A9" s="14" t="s">
        <v>181</v>
      </c>
      <c r="B9" s="18" t="n">
        <f aca="false">IFERROR(IF(COUNT(tblHakedis[Brüt Hakediş (₺)])=0,1+SenaryoIyimserKat,MAX(1+SenaryoIyimserKat,MAX(tblHakedis[Brüt Hakediş (₺)])/IFERROR(AVERAGE(tblHakedis[Brüt Hakediş (₺)]),1))),1+SenaryoIyimserKat)</f>
        <v>1.29807692307692</v>
      </c>
      <c r="C9" s="18" t="n">
        <f aca="false">IFERROR(IF(COUNT(tblOdeme[Ödenen Tutar (₺)])=0,1+SenaryoIyimserKat,MAX(1+SenaryoIyimserKat,MAX(tblOdeme[Ödenen Tutar (₺)])/IFERROR(AVERAGE(tblOdeme[Ödenen Tutar (₺)]),1))),1+SenaryoIyimserKat)</f>
        <v>1.34730538922156</v>
      </c>
      <c r="D9" s="33" t="n">
        <f aca="false">IFERROR(ToplamNetHakedis*B9-ToplamOdenen*C9,0)</f>
        <v>792000</v>
      </c>
      <c r="E9" s="18" t="n">
        <f aca="false">IFERROR(IF(ToplamNetHakedis*B9=0,0,(ToplamNetHakedis*B9-ToplamOdenen*C9)/(ToplamNetHakedis*B9)),0)</f>
        <v>0.0657698056801196</v>
      </c>
      <c r="F9" s="33" t="n">
        <f aca="false">IFERROR(GecikmeMaliyetiToplam*(1-SenaryoIyimserKat),0)</f>
        <v>13352.4</v>
      </c>
      <c r="G9" s="40" t="str">
        <f aca="false">IF(VeriKaliteSkoru=0,"VERİ YOK",IF(D9&lt;0,"DURDUR",IF(ABS(E9)&gt;MutabakatFarkiEsik,"İNCELE","UYGUN")))</f>
        <v>İNCELE</v>
      </c>
    </row>
    <row r="11" customFormat="false" ht="15" hidden="false" customHeight="false" outlineLevel="0" collapsed="false">
      <c r="A11" s="38" t="s">
        <v>182</v>
      </c>
    </row>
    <row r="12" customFormat="false" ht="30" hidden="false" customHeight="true" outlineLevel="0" collapsed="false">
      <c r="A12" s="21" t="s">
        <v>183</v>
      </c>
      <c r="B12" s="21" t="s">
        <v>184</v>
      </c>
      <c r="C12" s="21" t="s">
        <v>185</v>
      </c>
      <c r="D12" s="21" t="s">
        <v>186</v>
      </c>
      <c r="E12" s="21" t="s">
        <v>187</v>
      </c>
      <c r="F12" s="21" t="s">
        <v>188</v>
      </c>
      <c r="G12" s="21" t="s">
        <v>189</v>
      </c>
    </row>
    <row r="13" customFormat="false" ht="15" hidden="false" customHeight="false" outlineLevel="0" collapsed="false">
      <c r="A13" s="42" t="s">
        <v>190</v>
      </c>
      <c r="B13" s="33" t="n">
        <f aca="false">ToplamNetHakedis*(1-DuyarliDegisim)</f>
        <v>8812960</v>
      </c>
      <c r="C13" s="33" t="n">
        <f aca="false">ToplamNetHakedis</f>
        <v>9276800</v>
      </c>
      <c r="D13" s="33" t="n">
        <f aca="false">ToplamNetHakedis*(1+DuyarliDegisim)</f>
        <v>9740640</v>
      </c>
      <c r="E13" s="18" t="n">
        <f aca="false">IFERROR(IF(ToplamNetHakedis=0,0,(E13-ToplamOdenen)/E13),0)</f>
        <v>0</v>
      </c>
      <c r="F13" s="18" t="n">
        <f aca="false">IFERROR(IF(ToplamNetHakedis=0,0,(G13-ToplamOdenen)/G13),0)</f>
        <v>0</v>
      </c>
      <c r="G13" s="18" t="n">
        <f aca="false">ABS(F13-E13)</f>
        <v>0</v>
      </c>
    </row>
    <row r="14" customFormat="false" ht="15" hidden="false" customHeight="false" outlineLevel="0" collapsed="false">
      <c r="A14" s="42" t="s">
        <v>191</v>
      </c>
      <c r="B14" s="33" t="n">
        <f aca="false">ToplamOdenen*(1-DuyarliDegisim)</f>
        <v>7932500</v>
      </c>
      <c r="C14" s="33" t="n">
        <f aca="false">ToplamOdenen</f>
        <v>8350000</v>
      </c>
      <c r="D14" s="33" t="n">
        <f aca="false">ToplamOdenen*(1+DuyarliDegisim)</f>
        <v>8767500</v>
      </c>
      <c r="E14" s="18" t="n">
        <f aca="false">IFERROR(IF(ToplamNetHakedis=0,0,(ToplamNetHakedis-E14)/ToplamNetHakedis),0)</f>
        <v>0</v>
      </c>
      <c r="F14" s="18" t="n">
        <f aca="false">IFERROR(IF(ToplamNetHakedis=0,0,(ToplamNetHakedis-G14)/ToplamNetHakedis),0)</f>
        <v>0</v>
      </c>
      <c r="G14" s="18" t="n">
        <f aca="false">ABS(F14-E14)</f>
        <v>0</v>
      </c>
    </row>
    <row r="16" customFormat="false" ht="15" hidden="false" customHeight="false" outlineLevel="0" collapsed="false">
      <c r="A16" s="38" t="s">
        <v>192</v>
      </c>
    </row>
    <row r="17" customFormat="false" ht="15" hidden="false" customHeight="false" outlineLevel="0" collapsed="false">
      <c r="A17" s="42" t="s">
        <v>193</v>
      </c>
      <c r="B17" s="18" t="n">
        <f aca="false">IFERROR(IF(ToplamOdenen=0,0,MutabakatFarki/ToplamOdenen),0)</f>
        <v>0.110994011976048</v>
      </c>
    </row>
    <row r="18" customFormat="false" ht="15" hidden="false" customHeight="false" outlineLevel="0" collapsed="false">
      <c r="A18" s="42" t="s">
        <v>194</v>
      </c>
      <c r="B18" s="18" t="n">
        <f aca="false">IFERROR(MutabakatFarkiOran-MutabakatFarkiEsik,0)</f>
        <v>0.079905139703346</v>
      </c>
    </row>
    <row r="19" customFormat="false" ht="15" hidden="false" customHeight="false" outlineLevel="0" collapsed="false">
      <c r="A19" s="42" t="s">
        <v>195</v>
      </c>
      <c r="B19" s="33" t="n">
        <f aca="false">IFERROR(ToplamNetHakedis+GecikmeMaliyetiToplam,0)</f>
        <v>9291636</v>
      </c>
    </row>
    <row r="21" customFormat="false" ht="19.5" hidden="false" customHeight="true" outlineLevel="0" collapsed="false">
      <c r="A21" s="11" t="s">
        <v>196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</row>
  </sheetData>
  <sheetProtection sheet="true" password="cc3d" objects="true" scenarios="true" deleteColumns="false" deleteRows="false"/>
  <mergeCells count="2">
    <mergeCell ref="A1:AD1"/>
    <mergeCell ref="A21:AN21"/>
  </mergeCells>
  <conditionalFormatting sqref="G7">
    <cfRule type="cellIs" priority="2" operator="equal" aboveAverage="0" equalAverage="0" bottom="0" percent="0" rank="0" text="" dxfId="7">
      <formula>"UYGUN"</formula>
    </cfRule>
    <cfRule type="cellIs" priority="3" operator="equal" aboveAverage="0" equalAverage="0" bottom="0" percent="0" rank="0" text="" dxfId="10">
      <formula>"İNCELE"</formula>
    </cfRule>
    <cfRule type="cellIs" priority="4" operator="equal" aboveAverage="0" equalAverage="0" bottom="0" percent="0" rank="0" text="" dxfId="8">
      <formula>"DURDUR"</formula>
    </cfRule>
  </conditionalFormatting>
  <conditionalFormatting sqref="G8">
    <cfRule type="cellIs" priority="5" operator="equal" aboveAverage="0" equalAverage="0" bottom="0" percent="0" rank="0" text="" dxfId="7">
      <formula>"UYGUN"</formula>
    </cfRule>
    <cfRule type="cellIs" priority="6" operator="equal" aboveAverage="0" equalAverage="0" bottom="0" percent="0" rank="0" text="" dxfId="10">
      <formula>"İNCELE"</formula>
    </cfRule>
    <cfRule type="cellIs" priority="7" operator="equal" aboveAverage="0" equalAverage="0" bottom="0" percent="0" rank="0" text="" dxfId="8">
      <formula>"DURDUR"</formula>
    </cfRule>
  </conditionalFormatting>
  <conditionalFormatting sqref="G9">
    <cfRule type="cellIs" priority="8" operator="equal" aboveAverage="0" equalAverage="0" bottom="0" percent="0" rank="0" text="" dxfId="7">
      <formula>"UYGUN"</formula>
    </cfRule>
    <cfRule type="cellIs" priority="9" operator="equal" aboveAverage="0" equalAverage="0" bottom="0" percent="0" rank="0" text="" dxfId="10">
      <formula>"İNCELE"</formula>
    </cfRule>
    <cfRule type="cellIs" priority="10" operator="equal" aboveAverage="0" equalAverage="0" bottom="0" percent="0" rank="0" text="" dxfId="8">
      <formula>"DURDUR"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N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25.5" hidden="false" customHeight="true" outlineLevel="0" collapsed="false">
      <c r="A1" s="55" t="s">
        <v>197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  <c r="AJ1" s="55"/>
      <c r="AK1" s="55"/>
      <c r="AL1" s="55"/>
      <c r="AM1" s="55"/>
      <c r="AN1" s="55"/>
    </row>
    <row r="2" customFormat="false" ht="15" hidden="false" customHeight="false" outlineLevel="0" collapsed="false">
      <c r="A2" s="56" t="str">
        <f aca="false">SozlesmeAdi &amp; " — " &amp; TasseronFirma</f>
        <v>Betonarme Taşeronluğu — Alt Yapı Ltd. Şti.</v>
      </c>
    </row>
    <row r="3" customFormat="false" ht="15" hidden="false" customHeight="false" outlineLevel="0" collapsed="false">
      <c r="A3" s="57" t="str">
        <f aca="false">TEXT(SozlesmeTarihi,"gg.aa.yyyy") &amp; " | Rapor: " &amp; TEXT(raporTarihi,"gg.aa.yyyy")</f>
        <v>MS.aa.2026 | Rapor: MS.aa.2026</v>
      </c>
    </row>
    <row r="5" customFormat="false" ht="15" hidden="false" customHeight="false" outlineLevel="0" collapsed="false">
      <c r="A5" s="38" t="s">
        <v>198</v>
      </c>
    </row>
    <row r="6" customFormat="false" ht="15" hidden="false" customHeight="false" outlineLevel="0" collapsed="false">
      <c r="A6" s="39" t="s">
        <v>199</v>
      </c>
      <c r="B6" s="58" t="n">
        <f aca="false">SozlesmeBedeli</f>
        <v>4800000</v>
      </c>
    </row>
    <row r="7" customFormat="false" ht="15" hidden="false" customHeight="false" outlineLevel="0" collapsed="false">
      <c r="A7" s="39" t="s">
        <v>80</v>
      </c>
      <c r="B7" s="58" t="n">
        <f aca="false">ToplamNetHakedis</f>
        <v>9276800</v>
      </c>
    </row>
    <row r="8" customFormat="false" ht="15" hidden="false" customHeight="false" outlineLevel="0" collapsed="false">
      <c r="A8" s="39" t="s">
        <v>82</v>
      </c>
      <c r="B8" s="58" t="n">
        <f aca="false">MutabakatFarki</f>
        <v>926800</v>
      </c>
    </row>
    <row r="9" customFormat="false" ht="15" hidden="false" customHeight="false" outlineLevel="0" collapsed="false">
      <c r="A9" s="39" t="s">
        <v>147</v>
      </c>
      <c r="B9" s="59" t="n">
        <f aca="false">KesintiOrani</f>
        <v>0.308</v>
      </c>
    </row>
    <row r="10" customFormat="false" ht="15" hidden="false" customHeight="false" outlineLevel="0" collapsed="false">
      <c r="A10" s="39" t="s">
        <v>178</v>
      </c>
      <c r="B10" s="39" t="str">
        <f aca="false">KararSonuc</f>
        <v>DURDUR</v>
      </c>
    </row>
    <row r="12" customFormat="false" ht="15" hidden="false" customHeight="false" outlineLevel="0" collapsed="false">
      <c r="A12" s="38" t="s">
        <v>200</v>
      </c>
    </row>
    <row r="13" customFormat="false" ht="15" hidden="false" customHeight="false" outlineLevel="0" collapsed="false">
      <c r="A13" s="46" t="str">
        <f aca="false">KararGerekce</f>
        <v>Mutabakat farkı 926.800 ₺; tahsilat takvimini güçlendirin.</v>
      </c>
      <c r="B13" s="46"/>
      <c r="C13" s="46"/>
      <c r="D13" s="46"/>
      <c r="E13" s="46"/>
      <c r="F13" s="46"/>
    </row>
    <row r="15" customFormat="false" ht="15" hidden="false" customHeight="false" outlineLevel="0" collapsed="false">
      <c r="A15" s="38" t="s">
        <v>201</v>
      </c>
    </row>
    <row r="16" customFormat="false" ht="15" hidden="false" customHeight="false" outlineLevel="0" collapsed="false">
      <c r="A16" s="7" t="s">
        <v>202</v>
      </c>
      <c r="B16" s="7"/>
      <c r="C16" s="7"/>
      <c r="D16" s="7"/>
      <c r="E16" s="7"/>
      <c r="F16" s="7"/>
    </row>
    <row r="17" customFormat="false" ht="15" hidden="false" customHeight="false" outlineLevel="0" collapsed="false">
      <c r="A17" s="7" t="s">
        <v>203</v>
      </c>
      <c r="B17" s="7"/>
      <c r="C17" s="7"/>
      <c r="D17" s="7"/>
      <c r="E17" s="7"/>
      <c r="F17" s="7"/>
    </row>
    <row r="18" customFormat="false" ht="15" hidden="false" customHeight="false" outlineLevel="0" collapsed="false">
      <c r="A18" s="7" t="s">
        <v>204</v>
      </c>
      <c r="B18" s="7"/>
      <c r="C18" s="7"/>
      <c r="D18" s="7"/>
      <c r="E18" s="7"/>
      <c r="F18" s="7"/>
    </row>
    <row r="19" customFormat="false" ht="15" hidden="false" customHeight="false" outlineLevel="0" collapsed="false">
      <c r="A19" s="7" t="s">
        <v>205</v>
      </c>
      <c r="B19" s="7"/>
      <c r="C19" s="7"/>
      <c r="D19" s="7"/>
      <c r="E19" s="7"/>
      <c r="F19" s="7"/>
    </row>
    <row r="22" customFormat="false" ht="15" hidden="false" customHeight="false" outlineLevel="0" collapsed="false">
      <c r="A22" s="38" t="s">
        <v>206</v>
      </c>
    </row>
    <row r="23" customFormat="false" ht="15" hidden="false" customHeight="false" outlineLevel="0" collapsed="false">
      <c r="A23" s="60" t="str">
        <f aca="false">IF(MutabakatFarki&gt;MutabakatTolerans,"Mutabakat farkı var; ödeme kayıtlarını gözden geçirin.","Mutabakat sağlanmış görünüyor.")</f>
        <v>Mutabakat farkı var; ödeme kayıtlarını gözden geçirin.</v>
      </c>
      <c r="B23" s="60"/>
      <c r="C23" s="60"/>
      <c r="D23" s="60"/>
      <c r="E23" s="60"/>
      <c r="F23" s="60"/>
    </row>
    <row r="24" customFormat="false" ht="15" hidden="false" customHeight="false" outlineLevel="0" collapsed="false">
      <c r="A24" s="60" t="str">
        <f aca="false">IF(GecOdemeGunOrt&gt;GecOdemeEsik,"Ortalama gecikme eşik üstünde; vade koşullarını gözden geçirin.","Gecikme kabul edilebilir seviyede.")</f>
        <v>Gecikme kabul edilebilir seviyede.</v>
      </c>
      <c r="B24" s="60"/>
      <c r="C24" s="60"/>
      <c r="D24" s="60"/>
      <c r="E24" s="60"/>
      <c r="F24" s="60"/>
    </row>
    <row r="26" customFormat="false" ht="15" hidden="false" customHeight="false" outlineLevel="0" collapsed="false">
      <c r="A26" s="38" t="s">
        <v>207</v>
      </c>
    </row>
    <row r="27" customFormat="false" ht="15" hidden="false" customHeight="false" outlineLevel="0" collapsed="false">
      <c r="A27" s="61" t="str">
        <f aca="false">Aksiyon1</f>
        <v>Hakediş ve ödeme kayıtlarını tek tek mutabakat edin; farkın kaynağını belgelendirin</v>
      </c>
      <c r="B27" s="61"/>
      <c r="C27" s="61"/>
      <c r="D27" s="61"/>
      <c r="E27" s="61"/>
      <c r="F27" s="61"/>
    </row>
    <row r="28" customFormat="false" ht="15" hidden="false" customHeight="false" outlineLevel="0" collapsed="false">
      <c r="A28" s="61" t="str">
        <f aca="false">Aksiyon2</f>
        <v>Gecikme maliyeti kabul edilebilir seviyede</v>
      </c>
      <c r="B28" s="61"/>
      <c r="C28" s="61"/>
      <c r="D28" s="61"/>
      <c r="E28" s="61"/>
      <c r="F28" s="61"/>
    </row>
    <row r="29" customFormat="false" ht="15" hidden="false" customHeight="false" outlineLevel="0" collapsed="false">
      <c r="A29" s="61" t="str">
        <f aca="false">Aksiyon3</f>
        <v>Kesinti oranlarını sözleşme ve mevzuat tebliğleriyle teyit edin</v>
      </c>
      <c r="B29" s="61"/>
      <c r="C29" s="61"/>
      <c r="D29" s="61"/>
      <c r="E29" s="61"/>
      <c r="F29" s="61"/>
    </row>
    <row r="31" customFormat="false" ht="15" hidden="false" customHeight="false" outlineLevel="0" collapsed="false">
      <c r="A31" s="62" t="str">
        <f aca="false">SozlesmeAdi &amp; " | " &amp; TEXT(raporTarihi,"gg.aa.yyyy") &amp; " | Rev 1.0"</f>
        <v>Betonarme Taşeronluğu | MS.aa.2026 | Rev 1.0</v>
      </c>
      <c r="B31" s="62"/>
      <c r="C31" s="62"/>
      <c r="D31" s="62"/>
      <c r="E31" s="62"/>
      <c r="F31" s="62"/>
    </row>
    <row r="32" customFormat="false" ht="15" hidden="false" customHeight="false" outlineLevel="0" collapsed="false">
      <c r="A32" s="62" t="s">
        <v>208</v>
      </c>
      <c r="B32" s="62"/>
      <c r="C32" s="62"/>
      <c r="D32" s="62"/>
      <c r="E32" s="62"/>
      <c r="F32" s="62"/>
    </row>
  </sheetData>
  <sheetProtection sheet="true" password="cc3d" objects="true" scenarios="true" deleteColumns="false" deleteRows="false"/>
  <mergeCells count="13">
    <mergeCell ref="A1:AN1"/>
    <mergeCell ref="A13:F13"/>
    <mergeCell ref="A16:F16"/>
    <mergeCell ref="A17:F17"/>
    <mergeCell ref="A18:F18"/>
    <mergeCell ref="A19:F19"/>
    <mergeCell ref="A23:F23"/>
    <mergeCell ref="A24:F24"/>
    <mergeCell ref="A27:F27"/>
    <mergeCell ref="A28:F28"/>
    <mergeCell ref="A29:F29"/>
    <mergeCell ref="A31:F31"/>
    <mergeCell ref="A32:F32"/>
  </mergeCells>
  <conditionalFormatting sqref="B10">
    <cfRule type="cellIs" priority="2" operator="equal" aboveAverage="0" equalAverage="0" bottom="0" percent="0" rank="0" text="" dxfId="11">
      <formula>"UYGUN"</formula>
    </cfRule>
    <cfRule type="cellIs" priority="3" operator="equal" aboveAverage="0" equalAverage="0" bottom="0" percent="0" rank="0" text="" dxfId="12">
      <formula>"İNCELE"</formula>
    </cfRule>
    <cfRule type="cellIs" priority="4" operator="equal" aboveAverage="0" equalAverage="0" bottom="0" percent="0" rank="0" text="" dxfId="13">
      <formula>"DURDUR"</formula>
    </cfRule>
  </conditionalFormatting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&amp;LTAŞERON/ALT YÜKLENİCİ HAKEDİŞ KESİNTİ MUTABAKATI&amp;CExcelArşiv&amp;RSayfa &amp;P /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0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20"/>
    <col collapsed="false" customWidth="true" hidden="false" outlineLevel="0" max="6" min="6" style="0" width="14"/>
  </cols>
  <sheetData>
    <row r="1" customFormat="false" ht="25.5" hidden="false" customHeight="true" outlineLevel="0" collapsed="false">
      <c r="A1" s="12" t="s">
        <v>209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210</v>
      </c>
    </row>
    <row r="4" customFormat="false" ht="15" hidden="false" customHeight="false" outlineLevel="0" collapsed="false">
      <c r="A4" s="7" t="s">
        <v>211</v>
      </c>
      <c r="B4" s="7"/>
      <c r="C4" s="7"/>
      <c r="D4" s="7"/>
      <c r="E4" s="7"/>
      <c r="F4" s="7"/>
    </row>
    <row r="6" customFormat="false" ht="30" hidden="false" customHeight="true" outlineLevel="0" collapsed="false">
      <c r="A6" s="21" t="s">
        <v>46</v>
      </c>
      <c r="B6" s="21" t="s">
        <v>47</v>
      </c>
      <c r="C6" s="21" t="s">
        <v>48</v>
      </c>
      <c r="D6" s="21" t="s">
        <v>67</v>
      </c>
      <c r="E6" s="21" t="s">
        <v>68</v>
      </c>
    </row>
    <row r="7" customFormat="false" ht="15" hidden="false" customHeight="false" outlineLevel="0" collapsed="false">
      <c r="A7" s="22" t="s">
        <v>55</v>
      </c>
      <c r="B7" s="23" t="n">
        <v>46101</v>
      </c>
      <c r="C7" s="24" t="n">
        <v>900000</v>
      </c>
      <c r="D7" s="23" t="n">
        <v>46152</v>
      </c>
      <c r="E7" s="24" t="n">
        <v>700000</v>
      </c>
    </row>
    <row r="8" customFormat="false" ht="15" hidden="false" customHeight="false" outlineLevel="0" collapsed="false">
      <c r="A8" s="22" t="s">
        <v>56</v>
      </c>
      <c r="B8" s="23" t="n">
        <v>46132</v>
      </c>
      <c r="C8" s="24" t="n">
        <v>1100000</v>
      </c>
      <c r="D8" s="23" t="n">
        <v>46167</v>
      </c>
      <c r="E8" s="24" t="n">
        <v>900000</v>
      </c>
    </row>
    <row r="9" customFormat="false" ht="15" hidden="false" customHeight="false" outlineLevel="0" collapsed="false">
      <c r="A9" s="22" t="s">
        <v>57</v>
      </c>
      <c r="B9" s="23" t="n">
        <v>46223</v>
      </c>
      <c r="C9" s="24" t="n">
        <v>1100000</v>
      </c>
      <c r="D9" s="23" t="n">
        <v>46254</v>
      </c>
      <c r="E9" s="24" t="n">
        <v>1100000</v>
      </c>
    </row>
    <row r="12" customFormat="false" ht="19.5" hidden="false" customHeight="true" outlineLevel="0" collapsed="false">
      <c r="A12" s="11" t="s">
        <v>212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</sheetData>
  <sheetProtection sheet="true" password="cc3d" objects="true" scenarios="true" deleteColumns="false" deleteRows="false"/>
  <mergeCells count="3">
    <mergeCell ref="A1:AD1"/>
    <mergeCell ref="A4:F4"/>
    <mergeCell ref="A12:A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0"/>
  </cols>
  <sheetData>
    <row r="1" customFormat="false" ht="25.5" hidden="false" customHeight="true" outlineLevel="0" collapsed="false">
      <c r="A1" s="12" t="s">
        <v>213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214</v>
      </c>
    </row>
    <row r="5" customFormat="false" ht="30" hidden="false" customHeight="true" outlineLevel="0" collapsed="false">
      <c r="A5" s="21" t="s">
        <v>215</v>
      </c>
      <c r="B5" s="21" t="s">
        <v>216</v>
      </c>
      <c r="C5" s="21" t="s">
        <v>217</v>
      </c>
    </row>
    <row r="6" customFormat="false" ht="15" hidden="false" customHeight="true" outlineLevel="0" collapsed="false">
      <c r="A6" s="39" t="s">
        <v>218</v>
      </c>
      <c r="B6" s="39" t="s">
        <v>219</v>
      </c>
      <c r="C6" s="46" t="s">
        <v>220</v>
      </c>
      <c r="D6" s="46"/>
      <c r="E6" s="46"/>
      <c r="F6" s="46"/>
      <c r="G6" s="46"/>
      <c r="H6" s="46"/>
    </row>
    <row r="8" customFormat="false" ht="19.5" hidden="false" customHeight="true" outlineLevel="0" collapsed="false">
      <c r="A8" s="11" t="s">
        <v>221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</row>
  </sheetData>
  <sheetProtection sheet="true" password="cc3d" objects="true" scenarios="true" deleteColumns="false" deleteRows="false"/>
  <mergeCells count="3">
    <mergeCell ref="A1:AD1"/>
    <mergeCell ref="C6:H6"/>
    <mergeCell ref="A8:AN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"/>
    <col collapsed="false" customWidth="true" hidden="false" outlineLevel="0" max="3" min="3" style="0" width="30"/>
    <col collapsed="false" customWidth="true" hidden="false" outlineLevel="0" max="4" min="4" style="0" width="3"/>
    <col collapsed="false" customWidth="true" hidden="false" outlineLevel="0" max="5" min="5" style="0" width="30"/>
  </cols>
  <sheetData>
    <row r="1" customFormat="false" ht="25.5" hidden="false" customHeight="true" outlineLevel="0" collapsed="false">
      <c r="A1" s="12" t="s">
        <v>222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13" t="s">
        <v>223</v>
      </c>
    </row>
    <row r="4" customFormat="false" ht="15" hidden="false" customHeight="false" outlineLevel="0" collapsed="false">
      <c r="A4" s="14" t="s">
        <v>224</v>
      </c>
      <c r="C4" s="14" t="s">
        <v>36</v>
      </c>
    </row>
    <row r="6" customFormat="false" ht="15" hidden="false" customHeight="false" outlineLevel="0" collapsed="false">
      <c r="A6" s="22" t="s">
        <v>39</v>
      </c>
      <c r="C6" s="22" t="s">
        <v>37</v>
      </c>
    </row>
    <row r="7" customFormat="false" ht="15" hidden="false" customHeight="false" outlineLevel="0" collapsed="false">
      <c r="A7" s="22" t="s">
        <v>225</v>
      </c>
      <c r="C7" s="22" t="s">
        <v>226</v>
      </c>
    </row>
    <row r="8" customFormat="false" ht="15" hidden="false" customHeight="false" outlineLevel="0" collapsed="false">
      <c r="C8" s="22" t="s">
        <v>227</v>
      </c>
    </row>
    <row r="12" customFormat="false" ht="19.5" hidden="false" customHeight="true" outlineLevel="0" collapsed="false">
      <c r="A12" s="11" t="s">
        <v>228</v>
      </c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</row>
  </sheetData>
  <sheetProtection sheet="true" password="cc3d" objects="true" scenarios="true" deleteColumns="false" deleteRows="false"/>
  <mergeCells count="2">
    <mergeCell ref="A1:AD1"/>
    <mergeCell ref="A12:AN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10"/>
    <col collapsed="false" customWidth="true" hidden="false" outlineLevel="0" max="5" min="5" style="0" width="62"/>
    <col collapsed="false" customWidth="true" hidden="false" outlineLevel="0" max="6" min="6" style="0" width="28"/>
    <col collapsed="false" customWidth="true" hidden="false" outlineLevel="0" max="8" min="7" style="0" width="14"/>
  </cols>
  <sheetData>
    <row r="1" customFormat="false" ht="25.5" hidden="false" customHeight="true" outlineLevel="0" collapsed="false">
      <c r="A1" s="12" t="s">
        <v>229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3" customFormat="false" ht="15" hidden="false" customHeight="false" outlineLevel="0" collapsed="false">
      <c r="A3" s="20" t="s">
        <v>230</v>
      </c>
      <c r="B3" s="20"/>
      <c r="C3" s="20"/>
      <c r="D3" s="20"/>
      <c r="E3" s="20"/>
      <c r="F3" s="20"/>
      <c r="G3" s="20"/>
      <c r="H3" s="20"/>
    </row>
    <row r="4" customFormat="false" ht="15" hidden="false" customHeight="true" outlineLevel="0" collapsed="false">
      <c r="A4" s="63" t="s">
        <v>231</v>
      </c>
      <c r="B4" s="63"/>
      <c r="C4" s="63"/>
      <c r="D4" s="63"/>
      <c r="E4" s="63"/>
      <c r="F4" s="63"/>
      <c r="G4" s="63"/>
      <c r="H4" s="63"/>
    </row>
    <row r="5" customFormat="false" ht="30" hidden="false" customHeight="true" outlineLevel="0" collapsed="false">
      <c r="A5" s="21" t="s">
        <v>232</v>
      </c>
      <c r="B5" s="21" t="s">
        <v>233</v>
      </c>
      <c r="C5" s="21" t="s">
        <v>234</v>
      </c>
      <c r="D5" s="21" t="s">
        <v>235</v>
      </c>
      <c r="E5" s="21" t="s">
        <v>236</v>
      </c>
      <c r="F5" s="21" t="s">
        <v>237</v>
      </c>
      <c r="G5" s="21" t="s">
        <v>238</v>
      </c>
      <c r="H5" s="21" t="s">
        <v>239</v>
      </c>
    </row>
    <row r="6" customFormat="false" ht="15" hidden="false" customHeight="false" outlineLevel="0" collapsed="false">
      <c r="A6" s="64" t="s">
        <v>240</v>
      </c>
      <c r="B6" s="64" t="s">
        <v>241</v>
      </c>
      <c r="C6" s="22" t="s">
        <v>242</v>
      </c>
      <c r="D6" s="57" t="s">
        <v>243</v>
      </c>
      <c r="E6" s="65" t="s">
        <v>244</v>
      </c>
      <c r="F6" s="65" t="s">
        <v>245</v>
      </c>
      <c r="G6" s="57" t="s">
        <v>218</v>
      </c>
      <c r="H6" s="57" t="s">
        <v>218</v>
      </c>
    </row>
    <row r="7" customFormat="false" ht="15" hidden="false" customHeight="false" outlineLevel="0" collapsed="false">
      <c r="A7" s="64" t="s">
        <v>240</v>
      </c>
      <c r="B7" s="64" t="s">
        <v>246</v>
      </c>
      <c r="C7" s="66" t="n">
        <f aca="true">TODAY()</f>
        <v>46243</v>
      </c>
      <c r="D7" s="57" t="s">
        <v>247</v>
      </c>
      <c r="E7" s="65" t="s">
        <v>248</v>
      </c>
      <c r="F7" s="65" t="s">
        <v>245</v>
      </c>
      <c r="G7" s="57" t="s">
        <v>218</v>
      </c>
      <c r="H7" s="57" t="s">
        <v>218</v>
      </c>
    </row>
    <row r="8" customFormat="false" ht="15" hidden="false" customHeight="false" outlineLevel="0" collapsed="false">
      <c r="A8" s="64" t="s">
        <v>249</v>
      </c>
      <c r="B8" s="64" t="s">
        <v>250</v>
      </c>
      <c r="C8" s="67" t="n">
        <v>0.2</v>
      </c>
      <c r="D8" s="57" t="s">
        <v>251</v>
      </c>
      <c r="E8" s="65" t="s">
        <v>252</v>
      </c>
      <c r="F8" s="65" t="s">
        <v>253</v>
      </c>
      <c r="G8" s="57" t="s">
        <v>254</v>
      </c>
      <c r="H8" s="57" t="s">
        <v>218</v>
      </c>
    </row>
    <row r="9" customFormat="false" ht="15" hidden="false" customHeight="false" outlineLevel="0" collapsed="false">
      <c r="A9" s="64" t="s">
        <v>249</v>
      </c>
      <c r="B9" s="64" t="s">
        <v>255</v>
      </c>
      <c r="C9" s="67" t="n">
        <v>0.04</v>
      </c>
      <c r="D9" s="57" t="s">
        <v>251</v>
      </c>
      <c r="E9" s="65" t="s">
        <v>256</v>
      </c>
      <c r="F9" s="65" t="s">
        <v>257</v>
      </c>
      <c r="G9" s="57" t="s">
        <v>258</v>
      </c>
      <c r="H9" s="57" t="s">
        <v>218</v>
      </c>
    </row>
    <row r="10" customFormat="false" ht="15" hidden="false" customHeight="false" outlineLevel="0" collapsed="false">
      <c r="A10" s="64" t="s">
        <v>249</v>
      </c>
      <c r="B10" s="64" t="s">
        <v>259</v>
      </c>
      <c r="C10" s="67" t="n">
        <v>0.05</v>
      </c>
      <c r="D10" s="57" t="s">
        <v>251</v>
      </c>
      <c r="E10" s="65" t="s">
        <v>260</v>
      </c>
      <c r="F10" s="65" t="s">
        <v>261</v>
      </c>
      <c r="G10" s="57" t="s">
        <v>262</v>
      </c>
      <c r="H10" s="57" t="s">
        <v>218</v>
      </c>
    </row>
    <row r="11" customFormat="false" ht="15" hidden="false" customHeight="false" outlineLevel="0" collapsed="false">
      <c r="A11" s="64" t="s">
        <v>263</v>
      </c>
      <c r="B11" s="64" t="s">
        <v>264</v>
      </c>
      <c r="C11" s="67" t="n">
        <v>0.2</v>
      </c>
      <c r="D11" s="57" t="s">
        <v>251</v>
      </c>
      <c r="E11" s="65" t="s">
        <v>265</v>
      </c>
      <c r="F11" s="65" t="s">
        <v>266</v>
      </c>
      <c r="G11" s="57" t="s">
        <v>267</v>
      </c>
      <c r="H11" s="57" t="s">
        <v>218</v>
      </c>
    </row>
    <row r="12" customFormat="false" ht="15" hidden="false" customHeight="false" outlineLevel="0" collapsed="false">
      <c r="A12" s="64" t="s">
        <v>263</v>
      </c>
      <c r="B12" s="64" t="s">
        <v>268</v>
      </c>
      <c r="C12" s="67" t="n">
        <v>0.05</v>
      </c>
      <c r="D12" s="57" t="s">
        <v>251</v>
      </c>
      <c r="E12" s="65" t="s">
        <v>269</v>
      </c>
      <c r="F12" s="65" t="s">
        <v>270</v>
      </c>
      <c r="G12" s="57" t="s">
        <v>218</v>
      </c>
      <c r="H12" s="57" t="s">
        <v>218</v>
      </c>
    </row>
    <row r="13" customFormat="false" ht="15" hidden="false" customHeight="false" outlineLevel="0" collapsed="false">
      <c r="A13" s="64" t="s">
        <v>271</v>
      </c>
      <c r="B13" s="64" t="s">
        <v>272</v>
      </c>
      <c r="C13" s="68" t="n">
        <v>60</v>
      </c>
      <c r="D13" s="57" t="s">
        <v>273</v>
      </c>
      <c r="E13" s="65" t="s">
        <v>274</v>
      </c>
      <c r="F13" s="65" t="s">
        <v>270</v>
      </c>
      <c r="G13" s="57" t="s">
        <v>218</v>
      </c>
      <c r="H13" s="57" t="s">
        <v>218</v>
      </c>
    </row>
    <row r="14" customFormat="false" ht="15" hidden="false" customHeight="false" outlineLevel="0" collapsed="false">
      <c r="A14" s="64" t="s">
        <v>271</v>
      </c>
      <c r="B14" s="64" t="s">
        <v>275</v>
      </c>
      <c r="C14" s="67" t="n">
        <v>0.15</v>
      </c>
      <c r="D14" s="57" t="s">
        <v>251</v>
      </c>
      <c r="E14" s="65" t="s">
        <v>276</v>
      </c>
      <c r="F14" s="65" t="s">
        <v>277</v>
      </c>
      <c r="G14" s="57" t="s">
        <v>278</v>
      </c>
      <c r="H14" s="57" t="s">
        <v>218</v>
      </c>
    </row>
    <row r="15" customFormat="false" ht="15" hidden="false" customHeight="false" outlineLevel="0" collapsed="false">
      <c r="A15" s="64" t="s">
        <v>279</v>
      </c>
      <c r="B15" s="64" t="s">
        <v>280</v>
      </c>
      <c r="C15" s="24" t="n">
        <v>100</v>
      </c>
      <c r="D15" s="57" t="s">
        <v>281</v>
      </c>
      <c r="E15" s="65" t="s">
        <v>282</v>
      </c>
      <c r="F15" s="65" t="s">
        <v>283</v>
      </c>
      <c r="G15" s="57" t="s">
        <v>218</v>
      </c>
      <c r="H15" s="57" t="s">
        <v>218</v>
      </c>
    </row>
    <row r="16" customFormat="false" ht="15" hidden="false" customHeight="false" outlineLevel="0" collapsed="false">
      <c r="A16" s="64" t="s">
        <v>279</v>
      </c>
      <c r="B16" s="64" t="s">
        <v>284</v>
      </c>
      <c r="C16" s="67" t="n">
        <v>0.02</v>
      </c>
      <c r="D16" s="57" t="s">
        <v>251</v>
      </c>
      <c r="E16" s="65" t="s">
        <v>285</v>
      </c>
      <c r="F16" s="65" t="s">
        <v>283</v>
      </c>
      <c r="G16" s="57" t="s">
        <v>218</v>
      </c>
      <c r="H16" s="57" t="s">
        <v>218</v>
      </c>
    </row>
    <row r="17" customFormat="false" ht="15" hidden="false" customHeight="false" outlineLevel="0" collapsed="false">
      <c r="A17" s="64" t="s">
        <v>279</v>
      </c>
      <c r="B17" s="64" t="s">
        <v>286</v>
      </c>
      <c r="C17" s="68" t="n">
        <v>30</v>
      </c>
      <c r="D17" s="57" t="s">
        <v>273</v>
      </c>
      <c r="E17" s="65" t="s">
        <v>287</v>
      </c>
      <c r="F17" s="65" t="s">
        <v>283</v>
      </c>
      <c r="G17" s="57" t="s">
        <v>218</v>
      </c>
      <c r="H17" s="57" t="s">
        <v>218</v>
      </c>
    </row>
    <row r="18" customFormat="false" ht="15" hidden="false" customHeight="false" outlineLevel="0" collapsed="false">
      <c r="A18" s="64" t="s">
        <v>279</v>
      </c>
      <c r="B18" s="64" t="s">
        <v>288</v>
      </c>
      <c r="C18" s="67" t="n">
        <v>0.25</v>
      </c>
      <c r="D18" s="57" t="s">
        <v>251</v>
      </c>
      <c r="E18" s="65" t="s">
        <v>289</v>
      </c>
      <c r="F18" s="65" t="s">
        <v>283</v>
      </c>
      <c r="G18" s="57" t="s">
        <v>218</v>
      </c>
      <c r="H18" s="57" t="s">
        <v>218</v>
      </c>
    </row>
    <row r="19" customFormat="false" ht="15" hidden="false" customHeight="false" outlineLevel="0" collapsed="false">
      <c r="A19" s="64" t="s">
        <v>279</v>
      </c>
      <c r="B19" s="64" t="s">
        <v>290</v>
      </c>
      <c r="C19" s="67" t="n">
        <v>2</v>
      </c>
      <c r="D19" s="57" t="s">
        <v>251</v>
      </c>
      <c r="E19" s="65" t="s">
        <v>291</v>
      </c>
      <c r="F19" s="65" t="s">
        <v>283</v>
      </c>
      <c r="G19" s="57" t="s">
        <v>218</v>
      </c>
      <c r="H19" s="57" t="s">
        <v>218</v>
      </c>
    </row>
    <row r="20" customFormat="false" ht="15" hidden="false" customHeight="false" outlineLevel="0" collapsed="false">
      <c r="A20" s="64" t="s">
        <v>279</v>
      </c>
      <c r="B20" s="64" t="s">
        <v>292</v>
      </c>
      <c r="C20" s="68" t="n">
        <v>90</v>
      </c>
      <c r="D20" s="57" t="s">
        <v>293</v>
      </c>
      <c r="E20" s="65" t="s">
        <v>294</v>
      </c>
      <c r="F20" s="65" t="s">
        <v>283</v>
      </c>
      <c r="G20" s="57" t="s">
        <v>218</v>
      </c>
      <c r="H20" s="57" t="s">
        <v>218</v>
      </c>
    </row>
    <row r="21" customFormat="false" ht="15" hidden="false" customHeight="false" outlineLevel="0" collapsed="false">
      <c r="A21" s="64" t="s">
        <v>279</v>
      </c>
      <c r="B21" s="64" t="s">
        <v>295</v>
      </c>
      <c r="C21" s="68" t="n">
        <v>70</v>
      </c>
      <c r="D21" s="57" t="s">
        <v>293</v>
      </c>
      <c r="E21" s="65" t="s">
        <v>296</v>
      </c>
      <c r="F21" s="65" t="s">
        <v>283</v>
      </c>
      <c r="G21" s="57" t="s">
        <v>218</v>
      </c>
      <c r="H21" s="57" t="s">
        <v>218</v>
      </c>
    </row>
    <row r="22" customFormat="false" ht="15" hidden="false" customHeight="false" outlineLevel="0" collapsed="false">
      <c r="A22" s="64" t="s">
        <v>279</v>
      </c>
      <c r="B22" s="64" t="s">
        <v>297</v>
      </c>
      <c r="C22" s="68" t="n">
        <v>10</v>
      </c>
      <c r="D22" s="57" t="s">
        <v>293</v>
      </c>
      <c r="E22" s="65" t="s">
        <v>298</v>
      </c>
      <c r="F22" s="65" t="s">
        <v>283</v>
      </c>
      <c r="G22" s="57" t="s">
        <v>218</v>
      </c>
      <c r="H22" s="57" t="s">
        <v>218</v>
      </c>
    </row>
    <row r="23" customFormat="false" ht="15" hidden="false" customHeight="false" outlineLevel="0" collapsed="false">
      <c r="A23" s="64" t="s">
        <v>173</v>
      </c>
      <c r="B23" s="64" t="s">
        <v>299</v>
      </c>
      <c r="C23" s="67" t="n">
        <v>0.1</v>
      </c>
      <c r="D23" s="57" t="s">
        <v>251</v>
      </c>
      <c r="E23" s="65" t="s">
        <v>300</v>
      </c>
      <c r="F23" s="65" t="s">
        <v>283</v>
      </c>
      <c r="G23" s="57" t="s">
        <v>218</v>
      </c>
      <c r="H23" s="57" t="s">
        <v>218</v>
      </c>
    </row>
    <row r="24" customFormat="false" ht="15" hidden="false" customHeight="false" outlineLevel="0" collapsed="false">
      <c r="A24" s="64" t="s">
        <v>173</v>
      </c>
      <c r="B24" s="64" t="s">
        <v>301</v>
      </c>
      <c r="C24" s="67" t="n">
        <v>0.1</v>
      </c>
      <c r="D24" s="57" t="s">
        <v>251</v>
      </c>
      <c r="E24" s="65" t="s">
        <v>302</v>
      </c>
      <c r="F24" s="65" t="s">
        <v>283</v>
      </c>
      <c r="G24" s="57" t="s">
        <v>218</v>
      </c>
      <c r="H24" s="57" t="s">
        <v>218</v>
      </c>
    </row>
    <row r="25" customFormat="false" ht="15" hidden="false" customHeight="false" outlineLevel="0" collapsed="false">
      <c r="A25" s="64" t="s">
        <v>303</v>
      </c>
      <c r="B25" s="64" t="s">
        <v>304</v>
      </c>
      <c r="C25" s="67" t="n">
        <v>0.05</v>
      </c>
      <c r="D25" s="57" t="s">
        <v>251</v>
      </c>
      <c r="E25" s="65" t="s">
        <v>305</v>
      </c>
      <c r="F25" s="65" t="s">
        <v>283</v>
      </c>
      <c r="G25" s="57" t="s">
        <v>218</v>
      </c>
      <c r="H25" s="57" t="s">
        <v>218</v>
      </c>
    </row>
    <row r="26" customFormat="false" ht="15" hidden="false" customHeight="false" outlineLevel="0" collapsed="false">
      <c r="A26" s="64" t="s">
        <v>303</v>
      </c>
      <c r="B26" s="64" t="s">
        <v>306</v>
      </c>
      <c r="C26" s="67" t="n">
        <v>0.5</v>
      </c>
      <c r="D26" s="57" t="s">
        <v>251</v>
      </c>
      <c r="E26" s="65" t="s">
        <v>307</v>
      </c>
      <c r="F26" s="65" t="s">
        <v>283</v>
      </c>
      <c r="G26" s="57" t="s">
        <v>218</v>
      </c>
      <c r="H26" s="57" t="s">
        <v>218</v>
      </c>
    </row>
    <row r="27" customFormat="false" ht="15" hidden="false" customHeight="false" outlineLevel="0" collapsed="false">
      <c r="A27" s="64" t="s">
        <v>308</v>
      </c>
      <c r="B27" s="64" t="s">
        <v>309</v>
      </c>
      <c r="C27" s="67" t="n">
        <v>0.9</v>
      </c>
      <c r="D27" s="57" t="s">
        <v>251</v>
      </c>
      <c r="E27" s="65" t="s">
        <v>310</v>
      </c>
      <c r="F27" s="65" t="s">
        <v>283</v>
      </c>
      <c r="G27" s="57" t="s">
        <v>218</v>
      </c>
      <c r="H27" s="57" t="s">
        <v>218</v>
      </c>
    </row>
    <row r="28" customFormat="false" ht="15" hidden="false" customHeight="false" outlineLevel="0" collapsed="false">
      <c r="A28" s="64" t="s">
        <v>308</v>
      </c>
      <c r="B28" s="64" t="s">
        <v>311</v>
      </c>
      <c r="C28" s="67" t="n">
        <v>0.1</v>
      </c>
      <c r="D28" s="57" t="s">
        <v>251</v>
      </c>
      <c r="E28" s="65" t="s">
        <v>312</v>
      </c>
      <c r="F28" s="65" t="s">
        <v>283</v>
      </c>
      <c r="G28" s="57" t="s">
        <v>218</v>
      </c>
      <c r="H28" s="57" t="s">
        <v>218</v>
      </c>
    </row>
    <row r="29" customFormat="false" ht="15" hidden="false" customHeight="false" outlineLevel="0" collapsed="false">
      <c r="A29" s="64" t="s">
        <v>313</v>
      </c>
      <c r="B29" s="64" t="s">
        <v>314</v>
      </c>
      <c r="C29" s="67" t="n">
        <v>0.1</v>
      </c>
      <c r="D29" s="57" t="s">
        <v>251</v>
      </c>
      <c r="E29" s="65" t="s">
        <v>315</v>
      </c>
      <c r="F29" s="65" t="s">
        <v>283</v>
      </c>
      <c r="G29" s="57" t="s">
        <v>218</v>
      </c>
      <c r="H29" s="57" t="s">
        <v>218</v>
      </c>
    </row>
    <row r="31" customFormat="false" ht="15" hidden="false" customHeight="false" outlineLevel="0" collapsed="false">
      <c r="A31" s="7" t="s">
        <v>316</v>
      </c>
      <c r="B31" s="7"/>
      <c r="C31" s="7"/>
      <c r="D31" s="7"/>
      <c r="E31" s="7"/>
      <c r="F31" s="7"/>
      <c r="G31" s="7"/>
      <c r="H31" s="7"/>
    </row>
    <row r="33" customFormat="false" ht="19.5" hidden="false" customHeight="true" outlineLevel="0" collapsed="false">
      <c r="A33" s="11" t="s">
        <v>317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</row>
  </sheetData>
  <sheetProtection sheet="true" password="cc3d" objects="true" scenarios="true" deleteColumns="false" deleteRows="false"/>
  <mergeCells count="5">
    <mergeCell ref="A1:AD1"/>
    <mergeCell ref="A3:H3"/>
    <mergeCell ref="A4:H4"/>
    <mergeCell ref="A31:H31"/>
    <mergeCell ref="A33:AN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40"/>
  </cols>
  <sheetData>
    <row r="1" customFormat="false" ht="25.5" hidden="false" customHeight="true" outlineLevel="0" collapsed="false">
      <c r="A1" s="12" t="s">
        <v>318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3" customFormat="false" ht="16.15" hidden="false" customHeight="false" outlineLevel="0" collapsed="false">
      <c r="A3" s="8" t="s">
        <v>319</v>
      </c>
    </row>
    <row r="5" customFormat="false" ht="15" hidden="false" customHeight="false" outlineLevel="0" collapsed="false">
      <c r="A5" s="69" t="s">
        <v>320</v>
      </c>
    </row>
    <row r="6" customFormat="false" ht="15" hidden="false" customHeight="false" outlineLevel="0" collapsed="false">
      <c r="A6" s="70" t="s">
        <v>321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70"/>
      <c r="AG6" s="70"/>
      <c r="AH6" s="70"/>
      <c r="AI6" s="70"/>
      <c r="AJ6" s="70"/>
      <c r="AK6" s="70"/>
      <c r="AL6" s="70"/>
      <c r="AM6" s="70"/>
      <c r="AN6" s="70"/>
    </row>
    <row r="7" customFormat="false" ht="15" hidden="false" customHeight="false" outlineLevel="0" collapsed="false">
      <c r="A7" s="70" t="s">
        <v>322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</row>
    <row r="8" customFormat="false" ht="15" hidden="false" customHeight="false" outlineLevel="0" collapsed="false">
      <c r="A8" s="70" t="s">
        <v>323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</row>
    <row r="9" customFormat="false" ht="15" hidden="false" customHeight="false" outlineLevel="0" collapsed="false">
      <c r="A9" s="70" t="s">
        <v>324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</row>
    <row r="10" customFormat="false" ht="15" hidden="false" customHeight="false" outlineLevel="0" collapsed="false">
      <c r="A10" s="70" t="s">
        <v>325</v>
      </c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</row>
    <row r="11" customFormat="false" ht="15" hidden="false" customHeight="false" outlineLevel="0" collapsed="false">
      <c r="A11" s="70" t="s">
        <v>326</v>
      </c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</row>
    <row r="12" customFormat="false" ht="15" hidden="false" customHeight="false" outlineLevel="0" collapsed="false">
      <c r="A12" s="70" t="s">
        <v>327</v>
      </c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</row>
    <row r="13" customFormat="false" ht="15" hidden="false" customHeight="false" outlineLevel="0" collapsed="false">
      <c r="A13" s="70" t="s">
        <v>328</v>
      </c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</row>
    <row r="14" customFormat="false" ht="15" hidden="false" customHeight="false" outlineLevel="0" collapsed="false">
      <c r="A14" s="70" t="s">
        <v>329</v>
      </c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</row>
    <row r="15" customFormat="false" ht="15" hidden="false" customHeight="true" outlineLevel="0" collapsed="false">
      <c r="A15" s="9" t="s">
        <v>330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</row>
    <row r="26" customFormat="false" ht="19.5" hidden="false" customHeight="true" outlineLevel="0" collapsed="false">
      <c r="A26" s="11" t="s">
        <v>331</v>
      </c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</row>
  </sheetData>
  <sheetProtection sheet="true" password="cc3d" objects="true" scenarios="true" deleteColumns="false" deleteRows="false"/>
  <mergeCells count="12">
    <mergeCell ref="A1:AN1"/>
    <mergeCell ref="A6:AN6"/>
    <mergeCell ref="A7:AN7"/>
    <mergeCell ref="A8:AN8"/>
    <mergeCell ref="A9:AN9"/>
    <mergeCell ref="A10:AN10"/>
    <mergeCell ref="A11:AN11"/>
    <mergeCell ref="A12:AN12"/>
    <mergeCell ref="A13:AN13"/>
    <mergeCell ref="A14:AN14"/>
    <mergeCell ref="A15:AN15"/>
    <mergeCell ref="A26:AN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2026-08-09T14:49:51Z</dcterms:created>
  <dc:creator>openpyxl</dc:creator>
  <dc:description/>
  <dc:language>tr-TR</dc:language>
  <cp:lastModifiedBy/>
  <dcterms:modified xsi:type="dcterms:W3CDTF">2026-08-09T14:49:51Z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