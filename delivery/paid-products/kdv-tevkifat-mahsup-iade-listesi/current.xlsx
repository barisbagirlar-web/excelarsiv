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comments/comment7.xml" ContentType="application/vnd.openxmlformats-officedocument.spreadsheetml.comments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" sheetId="1" state="visible" r:id="rId1"/>
    <sheet name="GIRDI" sheetId="2" state="visible" r:id="rId2"/>
    <sheet name="KURALLAR" sheetId="3" state="visible" r:id="rId3"/>
    <sheet name="MOTOR" sheetId="4" state="visible" r:id="rId4"/>
    <sheet name="MAHSUP_LISTE" sheetId="5" state="visible" r:id="rId5"/>
    <sheet name="IADE_LISTE" sheetId="6" state="visible" r:id="rId6"/>
    <sheet name="SENARYO" sheetId="7" state="visible" r:id="rId7"/>
    <sheet name="VAKALAR" sheetId="8" state="visible" r:id="rId8"/>
    <sheet name="KANIT_RAPORU" sheetId="9" state="visible" r:id="rId9"/>
    <sheet name="KONTROLLER" sheetId="10" state="visible" r:id="rId10"/>
    <sheet name="ORNEK_VERI" sheetId="11" state="visible" r:id="rId11"/>
    <sheet name="LISTELER" sheetId="12" state="visible" r:id="rId12"/>
    <sheet name="AYARLAR" sheetId="13" state="visible" r:id="rId13"/>
    <sheet name="KILAVUZ" sheetId="14" state="visible" r:id="rId14"/>
  </sheets>
  <definedNames>
    <definedName name="hesapYili">GIRDI!$B$8</definedName>
    <definedName name="raporTarihi">AYARLAR!$B$7</definedName>
    <definedName name="ktm_toplamTevkifat">MOTOR!$G$29</definedName>
    <definedName name="ktm_mahsupToplam">MOTOR!$G$35</definedName>
    <definedName name="ktm_iadeUygun">MOTOR!$G$36</definedName>
    <definedName name="ktm_kararMetni">MOTOR!$G$39</definedName>
    <definedName name="ktm_kararGerekce">MOTOR!$G$40</definedName>
    <definedName name="ktm_kararKapi">MOTOR!$G$39</definedName>
    <definedName name="ktm_maddeAtifMetni">MOTOR!$G$58</definedName>
    <definedName name="ktm_kanitRaporu">MOTOR!$G$59</definedName>
    <definedName name="ktm_kuralYilMatris">KURALLAR!$B$17</definedName>
    <definedName name="ktm_mahsupListe">MAHSUP_LISTE!$K$13</definedName>
    <definedName name="ktm_parmakIzi">AYARLAR!$B$18</definedName>
    <definedName name="ktm_senaryoKarsilastirma">SENARYO!$B$11</definedName>
    <definedName name="ktm_yorumSenaryo">SENARYO!$B$12</definedName>
    <definedName name="ktm_duyarlilikSira">SENARYO!$B$19</definedName>
    <definedName name="ktm_yorumDuyarlilik">SENARYO!$B$20</definedName>
    <definedName name="ktm_kuralDegisimSenaryo">SENARYO!$B$22</definedName>
    <definedName name="ktm_yorumKuralDegisim">SENARYO!$B$23</definedName>
    <definedName name="ktm_tahminAralik">SENARYO!$B$32</definedName>
    <definedName name="ktm_yorumTahmin">SENARYO!$B$33</definedName>
    <definedName name="ktm_vakaDurum">VAKALAR!$B$12</definedName>
    <definedName name="ktm_vakaFark">VAKALAR!$B$13</definedName>
    <definedName name="ktm_tolerans">AYARLAR!$B$8</definedName>
    <definedName name="ktm_iadeEsik">AYARLAR!$B$9</definedName>
    <definedName name="ktm_senaryoIyi">AYARLAR!$B$10</definedName>
    <definedName name="ktm_senaryoKotu">AYARLAR!$B$11</definedName>
    <definedName name="ktm_oranArtisPuan">AYARLAR!$B$12</definedName>
    <definedName name="ktm_tahminAlt">AYARLAR!$B$13</definedName>
    <definedName name="ktm_tahminUst">AYARLAR!$B$14</definedName>
    <definedName name="ktm_tornadoMatrah">AYARLAR!$B$15</definedName>
    <definedName name="ktm_tornadoKdv1">AYARLAR!$B$16</definedName>
    <definedName name="ktm_yuzdelikOran">AYARLAR!$B$17</definedName>
    <definedName name="ktm_girisBeklenen">AYARLAR!$B$20</definedName>
    <definedName name="ktm_riskDusuk">AYARLAR!$B$21</definedName>
    <definedName name="ktm_riskOrta">AYARLAR!$B$22</definedName>
    <definedName name="ktm_riskYuksek">AYARLAR!$B$23</definedName>
    <definedName name="ktm_yilTaban">AYARLAR!$B$24</definedName>
    <definedName name="ktm_yuvarMax">AYARLAR!$B$25</definedName>
    <definedName name="vaka_matrah_1">AYARLAR!$B$26</definedName>
    <definedName name="vaka_matrah_2">AYARLAR!$B$27</definedName>
    <definedName name="vaka_matrah_9">AYARLAR!$B$28</definedName>
    <definedName name="ktm_modulT1">PANO!$C$11</definedName>
    <definedName name="ktm_modulT1Yorum">PANO!$D$11</definedName>
    <definedName name="ktm_modulT2">PANO!$C$12</definedName>
    <definedName name="ktm_modulT2Yorum">PANO!$D$12</definedName>
    <definedName name="ktm_modulO1">PANO!$C$13</definedName>
    <definedName name="ktm_modulO1Yorum">PANO!$D$13</definedName>
    <definedName name="ktm_modulO6">PANO!$C$16</definedName>
    <definedName name="ktm_modulO6Yorum">PANO!$D$16</definedName>
    <definedName name="ktm_modulO8">PANO!$C$17</definedName>
    <definedName name="ktm_modulO8Yorum">PANO!$D$17</definedName>
    <definedName name="ktm_modulI2">PANO!$C$20</definedName>
    <definedName name="ktm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0">'PANO'!$A$1:$F$34</definedName>
    <definedName name="_xlnm.Print_Area" localSheetId="8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₺ #,##0;[Red](₺ #,##0);-"/>
    <numFmt numFmtId="165" formatCode="0.0%;[Red](0.0%);-"/>
    <numFmt numFmtId="166" formatCode="dd.mm.yyyy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</fonts>
  <fills count="7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165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11" fillId="4" borderId="0" applyAlignment="1" applyProtection="1" pivotButton="0" quotePrefix="0" xfId="0">
      <alignment horizontal="left" vertical="center"/>
      <protection locked="0" hidden="0"/>
    </xf>
    <xf numFmtId="164" fontId="11" fillId="4" borderId="0" applyAlignment="1" applyProtection="1" pivotButton="0" quotePrefix="0" xfId="0">
      <alignment horizontal="left" vertical="center"/>
      <protection locked="0" hidden="0"/>
    </xf>
    <xf numFmtId="165" fontId="11" fillId="4" borderId="0" applyAlignment="1" applyProtection="1" pivotButton="0" quotePrefix="0" xfId="0">
      <alignment horizontal="left" vertical="center"/>
      <protection locked="0" hidden="0"/>
    </xf>
    <xf numFmtId="0" fontId="10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14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Tevkifat Oran Kalemleri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'PANO'!B23</f>
            </strRef>
          </tx>
          <spPr>
            <a:ln>
              <a:prstDash val="solid"/>
            </a:ln>
          </spPr>
          <cat>
            <numRef>
              <f>'PANO'!$A$24:$A$28</f>
            </numRef>
          </cat>
          <val>
            <numRef>
              <f>'PANO'!$B$24:$B$28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 / İade / Talep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'PANO'!E23</f>
            </strRef>
          </tx>
          <spPr>
            <a:ln>
              <a:prstDash val="solid"/>
            </a:ln>
          </spPr>
          <cat>
            <numRef>
              <f>'PANO'!$D$24:$D$28</f>
            </numRef>
          </cat>
          <val>
            <numRef>
              <f>'PANO'!$E$24:$E$28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Mahsup-İade Çizgisi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'PANO'!$D$24:$D$28</f>
            </numRef>
          </cat>
          <val>
            <numRef>
              <f>'PANO'!$E$24:$E$28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İade / Mahsup / Tevkifat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'PANO'!B30</f>
            </strRef>
          </tx>
          <spPr>
            <a:ln>
              <a:prstDash val="solid"/>
            </a:ln>
          </spPr>
          <cat>
            <numRef>
              <f>'PANO'!$A$31:$A$33</f>
            </numRef>
          </cat>
          <val>
            <numRef>
              <f>'PANO'!$B$31:$B$33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 Listesi Tevkifat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'MAHSUP_LISTE'!M6</f>
            </strRef>
          </tx>
          <spPr>
            <a:ln>
              <a:prstDash val="solid"/>
            </a:ln>
          </spPr>
          <cat>
            <numRef>
              <f>'MAHSUP_LISTE'!$B$7:$B$10</f>
            </numRef>
          </cat>
          <val>
            <numRef>
              <f>'MAHSUP_LISTE'!$M$7:$M$10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İade Cetveli Tutarları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'IADE_LISTE'!L6</f>
            </strRef>
          </tx>
          <spPr>
            <a:ln>
              <a:prstDash val="solid"/>
            </a:ln>
          </spPr>
          <cat>
            <numRef>
              <f>'IADE_LISTE'!$B$7:$B$11</f>
            </numRef>
          </cat>
          <val>
            <numRef>
              <f>'IADE_LISTE'!$L$7:$L$11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İade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İade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Örnek Senaryo Tevkifat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Mükellef Adı | Neden önemli: Tevkifat mahsup/iade kararını etkiler | Doğru kullanım: Mükellefin resmi unvanını yazın. | Örnek: demo satırına bakın | Yanlışsa: Mahsup listesi ve iade cetveli bozulur | Kaynak: KDVK / KDV2 tebliğ</t>
      </text>
    </comment>
    <comment ref="B7" authorId="0" shapeId="0">
      <text>
        <t>Tanım: Dönem | Neden önemli: Tevkifat mahsup/iade kararını etkiler | Doğru kullanım: KDV beyan dönemi etiketini yazın (ör. 2026-06). | Örnek: demo satırına bakın | Yanlışsa: Mahsup listesi ve iade cetveli bozulur | Kaynak: KDVK / KDV2 tebliğ</t>
      </text>
    </comment>
    <comment ref="B8" authorId="0" shapeId="0">
      <text>
        <t>Tanım: Hesap Yılı | Neden önemli: Tevkifat mahsup/iade kararını etkiler | Doğru kullanım: 2025, 2026 veya 2027 seçin. | Örnek: demo satırına bakın | Yanlışsa: Mahsup listesi ve iade cetveli bozulur | Kaynak: KDVK / KDV2 tebliğ</t>
      </text>
    </comment>
    <comment ref="B9" authorId="0" shapeId="0">
      <text>
        <t>Tanım: 2/10 Matrah [₺] | Neden önemli: Tevkifat mahsup/iade kararını etkiler | Doğru kullanım: 2/10 tevkifata tabi işlem matrahını TL girin. | Örnek: demo satırına bakın | Yanlışsa: Mahsup listesi ve iade cetveli bozulur | Kaynak: KDVK / KDV2 tebliğ</t>
      </text>
    </comment>
    <comment ref="B10" authorId="0" shapeId="0">
      <text>
        <t>Tanım: 5/10 Matrah [₺] | Neden önemli: Tevkifat mahsup/iade kararını etkiler | Doğru kullanım: 5/10 tevkifata tabi işlem matrahını TL girin. | Örnek: demo satırına bakın | Yanlışsa: Mahsup listesi ve iade cetveli bozulur | Kaynak: KDVK / KDV2 tebliğ</t>
      </text>
    </comment>
    <comment ref="B11" authorId="0" shapeId="0">
      <text>
        <t>Tanım: 7/10 Matrah [₺] | Neden önemli: Tevkifat mahsup/iade kararını etkiler | Doğru kullanım: 7/10 tevkifata tabi işlem matrahını TL girin. | Örnek: demo satırına bakın | Yanlışsa: Mahsup listesi ve iade cetveli bozulur | Kaynak: KDVK / KDV2 tebliğ</t>
      </text>
    </comment>
    <comment ref="B12" authorId="0" shapeId="0">
      <text>
        <t>Tanım: 9/10 Matrah [₺] | Neden önemli: Tevkifat mahsup/iade kararını etkiler | Doğru kullanım: 9/10 tevkifata tabi işlem matrahını TL girin. | Örnek: demo satırına bakın | Yanlışsa: Mahsup listesi ve iade cetveli bozulur | Kaynak: KDVK / KDV2 tebliğ</t>
      </text>
    </comment>
    <comment ref="B13" authorId="0" shapeId="0">
      <text>
        <t>Tanım: KDV1 Ödenecek [₺] | Neden önemli: Tevkifat mahsup/iade kararını etkiler | Doğru kullanım: 1 Numaralı beyannamede ödenecek KDV tutarını girin. | Örnek: demo satırına bakın | Yanlışsa: Mahsup listesi ve iade cetveli bozulur | Kaynak: KDVK / KDV2 tebliğ</t>
      </text>
    </comment>
    <comment ref="B14" authorId="0" shapeId="0">
      <text>
        <t>Tanım: Önceki Mahsup Bakiyesi [₺] | Neden önemli: Tevkifat mahsup/iade kararını etkiler | Doğru kullanım: Devreden tevkifat mahsup bakiyesini girin. | Örnek: demo satırına bakın | Yanlışsa: Mahsup listesi ve iade cetveli bozulur | Kaynak: KDVK / KDV2 tebliğ</t>
      </text>
    </comment>
    <comment ref="B15" authorId="0" shapeId="0">
      <text>
        <t>Tanım: İade Talep [₺] | Neden önemli: Tevkifat mahsup/iade kararını etkiler | Doğru kullanım: Talep edilen iade tutarını girin (0 olabilir). | Örnek: demo satırına bakın | Yanlışsa: Mahsup listesi ve iade cetveli bozulur | Kaynak: KDVK / KDV2 tebliğ</t>
      </text>
    </comment>
    <comment ref="B16" authorId="0" shapeId="0">
      <text>
        <t>Tanım: Mahsup Yorumu (A/B) | Neden önemli: Tevkifat mahsup/iade kararını etkiler | Doğru kullanım: Mahsup sırası yorumunda A veya B seçin. | Örnek: demo satırına bakın | Yanlışsa: Mahsup listesi ve iade cetveli bozulur | Kaynak: KDVK / KDV2 tebliğ</t>
      </text>
    </comment>
    <comment ref="A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7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7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7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7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7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7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7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7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8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8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8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8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8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8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8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8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8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9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9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9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9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9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9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9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9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9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10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10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10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10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10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10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10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10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10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1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7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7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7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7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7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7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8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8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8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8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8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8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8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9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9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9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9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9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9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9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0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10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10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10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10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10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10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1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11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11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11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11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11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11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30" authorId="0" shapeId="0">
      <text>
        <t>Tanım: İmza | Neden önemli: Tevkifat mahsup/iade kararını etkiler | Doğru kullanım: Raporu hazırlayan kişinin adını yazın. | Örnek: demo satırına bakın | Yanlışsa: Mahsup listesi ve iade cetveli bozulur | Kaynak: KDVK / KDV2 tebliğ</t>
      </text>
    </comment>
    <comment ref="B31" authorId="0" shapeId="0">
      <text>
        <t>Tanım: Onay | Neden önemli: Tevkifat mahsup/iade kararını etkiler | Doğru kullanım: Onaylayan kişinin adını yazın. | Örnek: demo satırına bakın | Yanlışsa: Mahsup listesi ve iade cetveli bozulur | Kaynak: KDVK / KDV2 tebliğ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matrah var mı?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Tevkifat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İade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6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6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6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6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6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6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6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6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7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7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7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7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7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7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7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7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7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8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8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8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8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8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8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8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8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8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9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9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9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9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9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9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9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9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9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10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10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10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10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10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10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10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10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10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  <comment ref="C6" authorId="0" shapeId="0">
      <text>
        <t>Tanım: Yorum | Neden önemli: Tevkifat mahsup/iade kararını etkiler | Doğru kullanım: Mahsup sırası yorumu | Örnek: demo satırına bakın | Yanlışsa: Mahsup listesi ve iade cetveli bozulur | Kaynak: KDVK / KDV2 tebliğ</t>
      </text>
    </comment>
    <comment ref="E6" authorId="0" shapeId="0">
      <text>
        <t>Tanım: Seçim | Neden önemli: Tevkifat mahsup/iade kararını etkiler | Doğru kullanım: Evet veya Hayır | Örnek: demo satırına bakın | Yanlışsa: Mahsup listesi ve iade cetveli bozulur | Kaynak: KDVK / KDV2 tebliğ</t>
      </text>
    </comment>
    <comment ref="A7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  <comment ref="C7" authorId="0" shapeId="0">
      <text>
        <t>Tanım: Yorum | Neden önemli: Tevkifat mahsup/iade kararını etkiler | Doğru kullanım: Mahsup sırası yorumu | Örnek: demo satırına bakın | Yanlışsa: Mahsup listesi ve iade cetveli bozulur | Kaynak: KDVK / KDV2 tebliğ</t>
      </text>
    </comment>
    <comment ref="E7" authorId="0" shapeId="0">
      <text>
        <t>Tanım: Seçim | Neden önemli: Tevkifat mahsup/iade kararını etkiler | Doğru kullanım: Evet veya Hayır | Örnek: demo satırına bakın | Yanlışsa: Mahsup listesi ve iade cetveli bozulur | Kaynak: KDVK / KDV2 tebliğ</t>
      </text>
    </comment>
    <comment ref="A8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Tevkifat mahsup/iade kararını etkiler | Doğru kullanım: Aktif hesap yılı | Örnek: demo satırına bakın | Yanlışsa: Mahsup listesi ve iade cetveli bozulur | Kaynak: KDVK / KDV2 tebliğ</t>
      </text>
    </comment>
    <comment ref="B7" authorId="0" shapeId="0">
      <text>
        <t>Tanım: raporTarihi | Neden önemli: Tevkifat mahsup/iade kararını etkiler | Doğru kullanım: Rapor tarihi (sabit) | Örnek: demo satırına bakın | Yanlışsa: Mahsup listesi ve iade cetveli bozulur | Kaynak: KDVK / KDV2 tebliğ</t>
      </text>
    </comment>
    <comment ref="B8" authorId="0" shapeId="0">
      <text>
        <t>Tanım: ktm_tolerans | Neden önemli: Tevkifat mahsup/iade kararını etkiler | Doğru kullanım: Vaka tutarlılık toleransı | Örnek: demo satırına bakın | Yanlışsa: Mahsup listesi ve iade cetveli bozulur | Kaynak: KDVK / KDV2 tebliğ</t>
      </text>
    </comment>
    <comment ref="B9" authorId="0" shapeId="0">
      <text>
        <t>Tanım: ktm_iadeEsik | Neden önemli: Tevkifat mahsup/iade kararını etkiler | Doğru kullanım: İADE karar eşiği | Örnek: demo satırına bakın | Yanlışsa: Mahsup listesi ve iade cetveli bozulur | Kaynak: KDVK / KDV2 tebliğ</t>
      </text>
    </comment>
    <comment ref="B10" authorId="0" shapeId="0">
      <text>
        <t>Tanım: ktm_senaryoIyi | Neden önemli: Tevkifat mahsup/iade kararını etkiler | Doğru kullanım: İyimser matrah çarpanı | Örnek: demo satırına bakın | Yanlışsa: Mahsup listesi ve iade cetveli bozulur | Kaynak: KDVK / KDV2 tebliğ</t>
      </text>
    </comment>
    <comment ref="B11" authorId="0" shapeId="0">
      <text>
        <t>Tanım: ktm_senaryoKotu | Neden önemli: Tevkifat mahsup/iade kararını etkiler | Doğru kullanım: Kötümser matrah çarpanı | Örnek: demo satırına bakın | Yanlışsa: Mahsup listesi ve iade cetveli bozulur | Kaynak: KDVK / KDV2 tebliğ</t>
      </text>
    </comment>
    <comment ref="B12" authorId="0" shapeId="0">
      <text>
        <t>Tanım: ktm_oranArtisPuan | Neden önemli: Tevkifat mahsup/iade kararını etkiler | Doğru kullanım: M-SEN +1 puan | Örnek: demo satırına bakın | Yanlışsa: Mahsup listesi ve iade cetveli bozulur | Kaynak: KDVK / KDV2 tebliğ</t>
      </text>
    </comment>
    <comment ref="B13" authorId="0" shapeId="0">
      <text>
        <t>Tanım: ktm_tahminAlt | Neden önemli: Tevkifat mahsup/iade kararını etkiler | Doğru kullanım: Tahmin alt bant | Örnek: demo satırına bakın | Yanlışsa: Mahsup listesi ve iade cetveli bozulur | Kaynak: KDVK / KDV2 tebliğ</t>
      </text>
    </comment>
    <comment ref="B14" authorId="0" shapeId="0">
      <text>
        <t>Tanım: ktm_tahminUst | Neden önemli: Tevkifat mahsup/iade kararını etkiler | Doğru kullanım: Tahmin üst bant | Örnek: demo satırına bakın | Yanlışsa: Mahsup listesi ve iade cetveli bozulur | Kaynak: KDVK / KDV2 tebliğ</t>
      </text>
    </comment>
    <comment ref="B15" authorId="0" shapeId="0">
      <text>
        <t>Tanım: ktm_tornadoMatrah | Neden önemli: Tevkifat mahsup/iade kararını etkiler | Doğru kullanım: Tornado matrah şoku | Örnek: demo satırına bakın | Yanlışsa: Mahsup listesi ve iade cetveli bozulur | Kaynak: KDVK / KDV2 tebliğ</t>
      </text>
    </comment>
    <comment ref="B16" authorId="0" shapeId="0">
      <text>
        <t>Tanım: ktm_tornadoKdv1 | Neden önemli: Tevkifat mahsup/iade kararını etkiler | Doğru kullanım: Tornado KDV1 şoku | Örnek: demo satırına bakın | Yanlışsa: Mahsup listesi ve iade cetveli bozulur | Kaynak: KDVK / KDV2 tebliğ</t>
      </text>
    </comment>
    <comment ref="B17" authorId="0" shapeId="0">
      <text>
        <t>Tanım: ktm_yuzdelikOran | Neden önemli: Tevkifat mahsup/iade kararını etkiler | Doğru kullanım: Yüzdelik P90 | Örnek: demo satırına bakın | Yanlışsa: Mahsup listesi ve iade cetveli bozulur | Kaynak: KDVK / KDV2 tebliğ</t>
      </text>
    </comment>
    <comment ref="B18" authorId="0" shapeId="0">
      <text>
        <t>Tanım: ktm_parmakIzi | Neden önemli: Tevkifat mahsup/iade kararını etkiler | Doğru kullanım: Dosya parmak izi etiketi | Örnek: demo satırına bakın | Yanlışsa: Mahsup listesi ve iade cetveli bozulur | Kaynak: KDVK / KDV2 tebliğ</t>
      </text>
    </comment>
    <comment ref="B19" authorId="0" shapeId="0">
      <text>
        <t>Tanım: dosya_surumu | Neden önemli: Tevkifat mahsup/iade kararını etkiler | Doğru kullanım: Ürün sürümü | Örnek: demo satırına bakın | Yanlışsa: Mahsup listesi ve iade cetveli bozulur | Kaynak: KDVK / KDV2 tebliğ</t>
      </text>
    </comment>
    <comment ref="B20" authorId="0" shapeId="0">
      <text>
        <t>Tanım: ktm_girisBeklenen | Neden önemli: Tevkifat mahsup/iade kararını etkiler | Doğru kullanım: Zorunlu giriş alanı sayısı | Örnek: demo satırına bakın | Yanlışsa: Mahsup listesi ve iade cetveli bozulur | Kaynak: KDVK / KDV2 tebliğ</t>
      </text>
    </comment>
    <comment ref="B21" authorId="0" shapeId="0">
      <text>
        <t>Tanım: ktm_riskDusuk | Neden önemli: Tevkifat mahsup/iade kararını etkiler | Doğru kullanım: Düşük risk skoru | Örnek: demo satırına bakın | Yanlışsa: Mahsup listesi ve iade cetveli bozulur | Kaynak: KDVK / KDV2 tebliğ</t>
      </text>
    </comment>
    <comment ref="B22" authorId="0" shapeId="0">
      <text>
        <t>Tanım: ktm_riskOrta | Neden önemli: Tevkifat mahsup/iade kararını etkiler | Doğru kullanım: Orta risk skoru | Örnek: demo satırına bakın | Yanlışsa: Mahsup listesi ve iade cetveli bozulur | Kaynak: KDVK / KDV2 tebliğ</t>
      </text>
    </comment>
    <comment ref="B23" authorId="0" shapeId="0">
      <text>
        <t>Tanım: ktm_riskYuksek | Neden önemli: Tevkifat mahsup/iade kararını etkiler | Doğru kullanım: Yüksek risk skoru | Örnek: demo satırına bakın | Yanlışsa: Mahsup listesi ve iade cetveli bozulur | Kaynak: KDVK / KDV2 tebliğ</t>
      </text>
    </comment>
    <comment ref="B24" authorId="0" shapeId="0">
      <text>
        <t>Tanım: ktm_yilTaban | Neden önemli: Tevkifat mahsup/iade kararını etkiler | Doğru kullanım: CHOOSE yıl tabanı (hesapYili−taban) | Örnek: demo satırına bakın | Yanlışsa: Mahsup listesi ve iade cetveli bozulur | Kaynak: KDVK / KDV2 tebliğ</t>
      </text>
    </comment>
    <comment ref="B25" authorId="0" shapeId="0">
      <text>
        <t>Tanım: ktm_yuvarMax | Neden önemli: Tevkifat mahsup/iade kararını etkiler | Doğru kullanım: ROUND basamak tavanı | Örnek: demo satırına bakın | Yanlışsa: Mahsup listesi ve iade cetveli bozulur | Kaynak: KDVK / KDV2 tebliğ</t>
      </text>
    </comment>
    <comment ref="B26" authorId="0" shapeId="0">
      <text>
        <t>Tanım: vaka_matrah_1 | Neden önemli: Tevkifat mahsup/iade kararını etkiler | Doğru kullanım: Vaka1 2/10 matrah | Örnek: demo satırına bakın | Yanlışsa: Mahsup listesi ve iade cetveli bozulur | Kaynak: KDVK / KDV2 tebliğ</t>
      </text>
    </comment>
    <comment ref="B27" authorId="0" shapeId="0">
      <text>
        <t>Tanım: vaka_matrah_2 | Neden önemli: Tevkifat mahsup/iade kararını etkiler | Doğru kullanım: Vaka2 5/10 matrah | Örnek: demo satırına bakın | Yanlışsa: Mahsup listesi ve iade cetveli bozulur | Kaynak: KDVK / KDV2 tebliğ</t>
      </text>
    </comment>
    <comment ref="B28" authorId="0" shapeId="0">
      <text>
        <t>Tanım: vaka_matrah_9 | Neden önemli: Tevkifat mahsup/iade kararını etkiler | Doğru kullanım: Vaka4 9/10 matrah | Örnek: demo satırına bakın | Yanlışsa: Mahsup listesi ve iade cetveli bozulur | Kaynak: KDVK / KDV2 tebliğ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22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22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Row],[kural_id]]="","",IFERROR(CHOOSE(MAX(1,MIN(3,IF(OR(hesapYili="",hesapYili=0),1,hesapYili-ktm_yilTaban))),tblKurallar[[#This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Row],[fark]])&lt;=ktm_tolerans,"TUTARLI","KIRIK"),"KIRIK"))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J104" headerRowCount="1">
  <tableColumns count="10">
    <tableColumn id="1" name="Senaryo"/>
    <tableColumn id="2" name="2/10 Matrah"/>
    <tableColumn id="3" name="5/10 Matrah"/>
    <tableColumn id="4" name="7/10 Matrah"/>
    <tableColumn id="5" name="9/10 Matrah"/>
    <tableColumn id="6" name="KDV1"/>
    <tableColumn id="7" name="Önceki"/>
    <tableColumn id="8" name="İade Talep"/>
    <tableColumn id="9" name="Tevkifat"/>
    <tableColumn id="10" name="Kontrol">
      <calculatedColumnFormula>=IF(tblOrnek[[#This Row],[Senaryo]]="","",IF(tblOrnek[[#This Row],[Tevkifat]]="","EKSİK","TAM"))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3.xml" Id="rId2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4.xml" Id="rId2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1" t="inlineStr">
        <is>
          <t>PANO — KDV Tevkifat Mahsup ve KDV İade Listesi</t>
        </is>
      </c>
    </row>
    <row r="3">
      <c r="A3" s="3" t="inlineStr">
        <is>
          <t>Yönetim paneli — KDV Tevkifat Mahsup / İade</t>
        </is>
      </c>
      <c r="B3" s="4" t="inlineStr">
        <is>
          <t>Tevkifat</t>
        </is>
      </c>
      <c r="C3" s="4" t="inlineStr">
        <is>
          <t>Mahsup</t>
        </is>
      </c>
      <c r="D3" s="4" t="inlineStr">
        <is>
          <t>İade</t>
        </is>
      </c>
      <c r="E3" s="4" t="inlineStr">
        <is>
          <t>Talep</t>
        </is>
      </c>
      <c r="F3" s="4" t="inlineStr">
        <is>
          <t>Güven</t>
        </is>
      </c>
      <c r="G3" s="4" t="inlineStr">
        <is>
          <t>Risk</t>
        </is>
      </c>
      <c r="H3" s="4" t="inlineStr">
        <is>
          <t>2/10 oran</t>
        </is>
      </c>
      <c r="I3" s="4" t="inlineStr">
        <is>
          <t>5/10 oran</t>
        </is>
      </c>
      <c r="J3" s="4" t="inlineStr">
        <is>
          <t>Mahsup/Havuz</t>
        </is>
      </c>
      <c r="K3" s="4" t="inlineStr">
        <is>
          <t>M-SEN iade</t>
        </is>
      </c>
      <c r="L3" s="4" t="inlineStr">
        <is>
          <t>Tahmin</t>
        </is>
      </c>
      <c r="M3" s="4" t="inlineStr">
        <is>
          <t>Vaka</t>
        </is>
      </c>
    </row>
    <row r="4">
      <c r="B4" s="5">
        <f>IFERROR(ktm_toplamTevkifat,0)</f>
        <v/>
      </c>
      <c r="C4" s="5">
        <f>IFERROR(ktm_mahsupToplam,0)</f>
        <v/>
      </c>
      <c r="D4" s="5">
        <f>IFERROR(ktm_iadeUygun,0)</f>
        <v/>
      </c>
      <c r="E4" s="5">
        <f>IFERROR(GIRDI!B15,0)</f>
        <v/>
      </c>
      <c r="F4" s="6">
        <f>IFERROR(MOTOR!G43,0)</f>
        <v/>
      </c>
      <c r="G4" s="6">
        <f>IFERROR(MOTOR!G44,0)</f>
        <v/>
      </c>
      <c r="H4" s="7">
        <f>IFERROR(MOTOR!G8,0)</f>
        <v/>
      </c>
      <c r="I4" s="7">
        <f>IFERROR(MOTOR!G9,0)</f>
        <v/>
      </c>
      <c r="J4" s="7">
        <f>IFERROR(MOTOR!G42,0)</f>
        <v/>
      </c>
      <c r="K4" s="5">
        <f>IFERROR(ktm_kuralDegisimSenaryo,0)</f>
        <v/>
      </c>
      <c r="L4" s="5">
        <f>IFERROR(SENARYO!B32,0)</f>
        <v/>
      </c>
      <c r="M4" s="8">
        <f>IFERROR(ktm_vakaDurum,"-")</f>
        <v/>
      </c>
    </row>
    <row r="6">
      <c r="A6" s="3" t="inlineStr">
        <is>
          <t>KARAR</t>
        </is>
      </c>
      <c r="B6" s="9">
        <f>ktm_kararMetni</f>
        <v/>
      </c>
    </row>
    <row r="7">
      <c r="A7" s="10" t="inlineStr">
        <is>
          <t>Gerekçe</t>
        </is>
      </c>
      <c r="B7" s="11">
        <f>ktm_kararGerekce</f>
        <v/>
      </c>
    </row>
    <row r="9">
      <c r="A9" s="12" t="inlineStr">
        <is>
          <t>Analitik modüller</t>
        </is>
      </c>
    </row>
    <row r="10" ht="30" customHeight="1">
      <c r="A10" s="13" t="inlineStr">
        <is>
          <t>Kod</t>
        </is>
      </c>
      <c r="B10" s="13" t="inlineStr">
        <is>
          <t>Gösterge</t>
        </is>
      </c>
      <c r="C10" s="13" t="inlineStr">
        <is>
          <t>Değer</t>
        </is>
      </c>
      <c r="D10" s="13" t="inlineStr">
        <is>
          <t>Makine Yorumu</t>
        </is>
      </c>
    </row>
    <row r="11" ht="28" customHeight="1">
      <c r="A11" s="14" t="inlineStr">
        <is>
          <t>T1</t>
        </is>
      </c>
      <c r="B11" s="15" t="inlineStr">
        <is>
          <t>Mahsup toplam</t>
        </is>
      </c>
      <c r="C11" s="16">
        <f>IFERROR(ktm_mahsupToplam,0)</f>
        <v/>
      </c>
      <c r="D11" s="11">
        <f>_xlfn.TEXTJOIN("; ",TRUE,"Mahsup ",TEXT(C11,"₺ #,##0")," TL — 2 Numaralı liste")</f>
        <v/>
      </c>
    </row>
    <row r="12" ht="28" customHeight="1">
      <c r="A12" s="14" t="inlineStr">
        <is>
          <t>T2</t>
        </is>
      </c>
      <c r="B12" s="15" t="inlineStr">
        <is>
          <t>İade toplam</t>
        </is>
      </c>
      <c r="C12" s="16">
        <f>IFERROR(ktm_iadeUygun,0)</f>
        <v/>
      </c>
      <c r="D12" s="11">
        <f>_xlfn.TEXTJOIN("; ",TRUE,"İade uygun ",TEXT(C12,"₺ #,##0")," TL")</f>
        <v/>
      </c>
    </row>
    <row r="13" ht="28" customHeight="1">
      <c r="A13" s="14" t="inlineStr">
        <is>
          <t>O1</t>
        </is>
      </c>
      <c r="B13" s="15" t="inlineStr">
        <is>
          <t>İade sapması</t>
        </is>
      </c>
      <c r="C13" s="16">
        <f>IFERROR(IF(COUNT(SENARYO!D6:D9)&lt;2,0,STDEV.P(SENARYO!D6:D9)),0)</f>
        <v/>
      </c>
      <c r="D13" s="11">
        <f>_xlfn.TEXTJOIN("; ",TRUE,"Senaryo iade sapması ",TEXT(C13,"₺ #,##0")," TL")</f>
        <v/>
      </c>
    </row>
    <row r="14" ht="28" customHeight="1">
      <c r="A14" s="14" t="inlineStr">
        <is>
          <t>O2</t>
        </is>
      </c>
      <c r="B14" s="15" t="inlineStr">
        <is>
          <t>Tornado max etki</t>
        </is>
      </c>
      <c r="C14" s="17">
        <f>IFERROR(ktm_duyarlilikSira,"-")</f>
        <v/>
      </c>
      <c r="D14" s="11">
        <f>IFERROR(ktm_yorumDuyarlilik,"-")</f>
        <v/>
      </c>
    </row>
    <row r="15" ht="28" customHeight="1">
      <c r="A15" s="14" t="inlineStr">
        <is>
          <t>O3</t>
        </is>
      </c>
      <c r="B15" s="15" t="inlineStr">
        <is>
          <t>Senaryo bant</t>
        </is>
      </c>
      <c r="C15" s="16">
        <f>IFERROR(ktm_senaryoKarsilastirma,0)</f>
        <v/>
      </c>
      <c r="D15" s="11">
        <f>IFERROR(ktm_yorumSenaryo,"-")</f>
        <v/>
      </c>
    </row>
    <row r="16" ht="28" customHeight="1">
      <c r="A16" s="14" t="inlineStr">
        <is>
          <t>O6</t>
        </is>
      </c>
      <c r="B16" s="15" t="inlineStr">
        <is>
          <t>2/10 tevkifat payı</t>
        </is>
      </c>
      <c r="C16" s="18">
        <f>IFERROR(IF(ktm_toplamTevkifat=0,0,MOTOR!G25/ktm_toplamTevkifat),0)</f>
        <v/>
      </c>
      <c r="D16" s="11">
        <f>_xlfn.TEXTJOIN("; ",TRUE,"2/10 / toplam tevkifat ",TEXT(C16,"0.0%"))</f>
        <v/>
      </c>
    </row>
    <row r="17" ht="28" customHeight="1">
      <c r="A17" s="14" t="inlineStr">
        <is>
          <t>O8</t>
        </is>
      </c>
      <c r="B17" s="15" t="inlineStr">
        <is>
          <t>Kalite skoru</t>
        </is>
      </c>
      <c r="C17" s="16">
        <f>IFERROR(MOTOR!G60,0)</f>
        <v/>
      </c>
      <c r="D17" s="11">
        <f>_xlfn.TEXTJOIN("; ",TRUE,"Kalite ",TEXT(C17,"0")," puan")</f>
        <v/>
      </c>
    </row>
    <row r="18" ht="28" customHeight="1">
      <c r="A18" s="14" t="inlineStr">
        <is>
          <t>M</t>
        </is>
      </c>
      <c r="B18" s="15" t="inlineStr">
        <is>
          <t>M-SEN iade</t>
        </is>
      </c>
      <c r="C18" s="16">
        <f>IFERROR(ktm_kuralDegisimSenaryo,0)</f>
        <v/>
      </c>
      <c r="D18" s="11">
        <f>IFERROR(ktm_yorumKuralDegisim,"-")</f>
        <v/>
      </c>
    </row>
    <row r="19" ht="28" customHeight="1">
      <c r="A19" s="14" t="inlineStr">
        <is>
          <t>I1</t>
        </is>
      </c>
      <c r="B19" s="15" t="inlineStr">
        <is>
          <t>Tahmin aralık</t>
        </is>
      </c>
      <c r="C19" s="16">
        <f>IFERROR(ktm_tahminAralik,0)</f>
        <v/>
      </c>
      <c r="D19" s="11">
        <f>IFERROR(ktm_yorumTahmin,"-")</f>
        <v/>
      </c>
    </row>
    <row r="20" ht="28" customHeight="1">
      <c r="A20" s="14" t="inlineStr">
        <is>
          <t>I2</t>
        </is>
      </c>
      <c r="B20" s="15" t="inlineStr">
        <is>
          <t>Senaryo iade P90</t>
        </is>
      </c>
      <c r="C20" s="16">
        <f>IFERROR(IF(COUNT(SENARYO!D6:D9)&lt;2,0,_xlfn.PERCENTILE.INC(SENARYO!D6:D9,ktm_yuzdelikOran)),0)</f>
        <v/>
      </c>
      <c r="D20" s="11">
        <f>_xlfn.TEXTJOIN("; ",TRUE,"P90 iade ",TEXT(C20,"₺ #,##0")," TL")</f>
        <v/>
      </c>
    </row>
    <row r="23">
      <c r="A23" s="10" t="inlineStr">
        <is>
          <t>Kalem</t>
        </is>
      </c>
      <c r="B23" s="10" t="inlineStr">
        <is>
          <t>Tutar</t>
        </is>
      </c>
      <c r="D23" s="10" t="inlineStr">
        <is>
          <t>Kalem</t>
        </is>
      </c>
      <c r="E23" s="10" t="inlineStr">
        <is>
          <t>Tutar</t>
        </is>
      </c>
    </row>
    <row r="24">
      <c r="A24" s="19" t="inlineStr">
        <is>
          <t>2/10 tevkifat</t>
        </is>
      </c>
      <c r="B24" s="20" t="n">
        <v>40000</v>
      </c>
      <c r="D24" s="19" t="inlineStr">
        <is>
          <t>Mahsup havuzu</t>
        </is>
      </c>
      <c r="E24" s="20" t="n">
        <v>188000</v>
      </c>
    </row>
    <row r="25">
      <c r="A25" s="19" t="inlineStr">
        <is>
          <t>5/10 tevkifat</t>
        </is>
      </c>
      <c r="B25" s="20" t="n">
        <v>50000</v>
      </c>
      <c r="D25" s="19" t="inlineStr">
        <is>
          <t>Mahsup</t>
        </is>
      </c>
      <c r="E25" s="20" t="n">
        <v>100000</v>
      </c>
    </row>
    <row r="26">
      <c r="A26" s="19" t="inlineStr">
        <is>
          <t>7/10 tevkifat</t>
        </is>
      </c>
      <c r="B26" s="20" t="n">
        <v>42000</v>
      </c>
      <c r="D26" s="19" t="inlineStr">
        <is>
          <t>İade uygun</t>
        </is>
      </c>
      <c r="E26" s="20" t="n">
        <v>88000</v>
      </c>
    </row>
    <row r="27">
      <c r="A27" s="19" t="inlineStr">
        <is>
          <t>9/10 tevkifat</t>
        </is>
      </c>
      <c r="B27" s="20" t="n">
        <v>36000</v>
      </c>
      <c r="D27" s="19" t="inlineStr">
        <is>
          <t>İade talep</t>
        </is>
      </c>
      <c r="E27" s="20" t="n">
        <v>80000</v>
      </c>
    </row>
    <row r="28">
      <c r="A28" s="19" t="inlineStr">
        <is>
          <t>Toplam tevkifat</t>
        </is>
      </c>
      <c r="B28" s="20" t="n">
        <v>168000</v>
      </c>
      <c r="D28" s="19" t="inlineStr">
        <is>
          <t>M-SEN iade</t>
        </is>
      </c>
      <c r="E28" s="20" t="n">
        <v>91000</v>
      </c>
    </row>
    <row r="30">
      <c r="A30" s="10" t="inlineStr">
        <is>
          <t>Metrik</t>
        </is>
      </c>
      <c r="B30" s="10" t="inlineStr">
        <is>
          <t>Değer</t>
        </is>
      </c>
    </row>
    <row r="31">
      <c r="A31" s="19" t="inlineStr">
        <is>
          <t>İade uygun</t>
        </is>
      </c>
      <c r="B31" s="20" t="n">
        <v>88000</v>
      </c>
    </row>
    <row r="32">
      <c r="A32" s="19" t="inlineStr">
        <is>
          <t>Mahsup</t>
        </is>
      </c>
      <c r="B32" s="20" t="n">
        <v>100000</v>
      </c>
    </row>
    <row r="33">
      <c r="A33" s="19" t="inlineStr">
        <is>
          <t>Tevkifat</t>
        </is>
      </c>
      <c r="B33" s="20" t="n">
        <v>168000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7:H7"/>
    <mergeCell ref="A1:AD1"/>
  </mergeCells>
  <conditionalFormatting sqref="B6">
    <cfRule type="expression" priority="1" dxfId="0">
      <formula>ISNUMBER(SEARCH("MAHSUP",B6))</formula>
    </cfRule>
    <cfRule type="expression" priority="2" dxfId="1">
      <formula>ISNUMBER(SEARCH("İADE",B6))</formula>
    </cfRule>
    <cfRule type="expression" priority="3" dxfId="1">
      <formula>ISNUMBER(SEARCH("BEKLE",B6))</formula>
    </cfRule>
    <cfRule type="expression" priority="4" dxfId="2">
      <formula>ISNUMBER(SEARCH("VERİ YOK",B6))</formula>
    </cfRule>
  </conditionalFormatting>
  <conditionalFormatting sqref="D4">
    <cfRule type="cellIs" priority="5" operator="greaterThan" dxfId="3">
      <formula>0</formula>
    </cfRule>
    <cfRule type="cellIs" priority="15" operator="lessThan" dxfId="4">
      <formula>0</formula>
    </cfRule>
  </conditionalFormatting>
  <conditionalFormatting sqref="C4">
    <cfRule type="cellIs" priority="6" operator="greaterThan" dxfId="5">
      <formula>0</formula>
    </cfRule>
    <cfRule type="cellIs" priority="14" operator="lessThan" dxfId="4">
      <formula>0</formula>
    </cfRule>
  </conditionalFormatting>
  <conditionalFormatting sqref="F4">
    <cfRule type="cellIs" priority="7" operator="greaterThanOrEqual" dxfId="5">
      <formula>80</formula>
    </cfRule>
    <cfRule type="cellIs" priority="8" operator="between" dxfId="3">
      <formula>50</formula>
      <formula>79</formula>
    </cfRule>
    <cfRule type="cellIs" priority="9" operator="lessThan" dxfId="4">
      <formula>50</formula>
    </cfRule>
    <cfRule type="cellIs" priority="17" operator="lessThan" dxfId="4">
      <formula>0</formula>
    </cfRule>
  </conditionalFormatting>
  <conditionalFormatting sqref="G4">
    <cfRule type="cellIs" priority="10" operator="greaterThanOrEqual" dxfId="4">
      <formula>70</formula>
    </cfRule>
    <cfRule type="cellIs" priority="11" operator="between" dxfId="3">
      <formula>40</formula>
      <formula>69</formula>
    </cfRule>
    <cfRule type="cellIs" priority="12" operator="lessThan" dxfId="5">
      <formula>40</formula>
    </cfRule>
    <cfRule type="cellIs" priority="18" operator="lessThan" dxfId="4">
      <formula>0</formula>
    </cfRule>
  </conditionalFormatting>
  <conditionalFormatting sqref="B4">
    <cfRule type="cellIs" priority="13" operator="lessThan" dxfId="4">
      <formula>0</formula>
    </cfRule>
  </conditionalFormatting>
  <conditionalFormatting sqref="E4">
    <cfRule type="cellIs" priority="16" operator="lessThan" dxfId="4">
      <formula>0</formula>
    </cfRule>
  </conditionalFormatting>
  <conditionalFormatting sqref="H4">
    <cfRule type="cellIs" priority="19" operator="lessThan" dxfId="4">
      <formula>0</formula>
    </cfRule>
  </conditionalFormatting>
  <conditionalFormatting sqref="I4">
    <cfRule type="cellIs" priority="20" operator="lessThan" dxfId="4">
      <formula>0</formula>
    </cfRule>
  </conditionalFormatting>
  <conditionalFormatting sqref="J4">
    <cfRule type="cellIs" priority="21" operator="lessThan" dxfId="4">
      <formula>0</formula>
    </cfRule>
  </conditionalFormatting>
  <conditionalFormatting sqref="K4">
    <cfRule type="cellIs" priority="22" operator="lessThan" dxfId="4">
      <formula>0</formula>
    </cfRule>
  </conditionalFormatting>
  <conditionalFormatting sqref="L4">
    <cfRule type="cellIs" priority="23" operator="lessThan" dxfId="4">
      <formula>0</formula>
    </cfRule>
  </conditionalFormatting>
  <conditionalFormatting sqref="M4">
    <cfRule type="cellIs" priority="24" operator="lessThan" dxfId="4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&amp;LKDV Tevkifat Mahsup ve KDV İade Listesi · PANO&amp;CExcelArşiv&amp;RSayfa &amp;P / &amp;N</oddFooter>
    <evenHeader/>
    <evenFooter>&amp;LKDV Tevkifat Mahsup ve KDV İade Listesi · PANO&amp;CExcelArşiv&amp;RSayfa &amp;P /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KDV Tevkifat Mahsup ve KDV İade Listesi</t>
        </is>
      </c>
    </row>
    <row r="3">
      <c r="A3" s="21" t="inlineStr">
        <is>
          <t>Dönem ve tevkifat girdileri</t>
        </is>
      </c>
    </row>
    <row r="4">
      <c r="A4" s="22" t="inlineStr">
        <is>
          <t>Sarı hücreler manuel giriştir. Mahsup/iade tutarları formülle üretilir.</t>
        </is>
      </c>
    </row>
    <row r="5">
      <c r="A5" s="23" t="inlineStr">
        <is>
          <t>Alan</t>
        </is>
      </c>
      <c r="B5" s="23" t="inlineStr">
        <is>
          <t>Değer</t>
        </is>
      </c>
      <c r="C5" s="23" t="inlineStr">
        <is>
          <t>Birim</t>
        </is>
      </c>
    </row>
    <row r="6">
      <c r="A6" s="24" t="inlineStr">
        <is>
          <t>Mükellef Adı</t>
        </is>
      </c>
      <c r="B6" s="25" t="inlineStr">
        <is>
          <t>Örnek Ticaret A.Ş.</t>
        </is>
      </c>
      <c r="C6" s="19" t="inlineStr">
        <is>
          <t>metin</t>
        </is>
      </c>
    </row>
    <row r="7">
      <c r="A7" s="24" t="inlineStr">
        <is>
          <t>Dönem</t>
        </is>
      </c>
      <c r="B7" s="25" t="inlineStr">
        <is>
          <t>2026-06</t>
        </is>
      </c>
      <c r="C7" s="19" t="inlineStr">
        <is>
          <t>metin</t>
        </is>
      </c>
    </row>
    <row r="8">
      <c r="A8" s="24" t="inlineStr">
        <is>
          <t>Hesap Yılı</t>
        </is>
      </c>
      <c r="B8" s="26" t="n">
        <v>2026</v>
      </c>
      <c r="C8" s="19" t="inlineStr">
        <is>
          <t>yıl</t>
        </is>
      </c>
    </row>
    <row r="9">
      <c r="A9" s="24" t="inlineStr">
        <is>
          <t>2/10 Matrah [₺]</t>
        </is>
      </c>
      <c r="B9" s="27" t="n">
        <v>1000000</v>
      </c>
      <c r="C9" s="19" t="inlineStr">
        <is>
          <t>₺</t>
        </is>
      </c>
    </row>
    <row r="10">
      <c r="A10" s="24" t="inlineStr">
        <is>
          <t>5/10 Matrah [₺]</t>
        </is>
      </c>
      <c r="B10" s="27" t="n">
        <v>500000</v>
      </c>
      <c r="C10" s="19" t="inlineStr">
        <is>
          <t>₺</t>
        </is>
      </c>
    </row>
    <row r="11">
      <c r="A11" s="24" t="inlineStr">
        <is>
          <t>7/10 Matrah [₺]</t>
        </is>
      </c>
      <c r="B11" s="27" t="n">
        <v>300000</v>
      </c>
      <c r="C11" s="19" t="inlineStr">
        <is>
          <t>₺</t>
        </is>
      </c>
    </row>
    <row r="12">
      <c r="A12" s="24" t="inlineStr">
        <is>
          <t>9/10 Matrah [₺]</t>
        </is>
      </c>
      <c r="B12" s="27" t="n">
        <v>200000</v>
      </c>
      <c r="C12" s="19" t="inlineStr">
        <is>
          <t>₺</t>
        </is>
      </c>
    </row>
    <row r="13">
      <c r="A13" s="24" t="inlineStr">
        <is>
          <t>KDV1 Ödenecek [₺]</t>
        </is>
      </c>
      <c r="B13" s="27" t="n">
        <v>100000</v>
      </c>
      <c r="C13" s="19" t="inlineStr">
        <is>
          <t>₺</t>
        </is>
      </c>
    </row>
    <row r="14">
      <c r="A14" s="24" t="inlineStr">
        <is>
          <t>Önceki Mahsup Bakiyesi [₺]</t>
        </is>
      </c>
      <c r="B14" s="27" t="n">
        <v>20000</v>
      </c>
      <c r="C14" s="19" t="inlineStr">
        <is>
          <t>₺</t>
        </is>
      </c>
    </row>
    <row r="15">
      <c r="A15" s="24" t="inlineStr">
        <is>
          <t>İade Talep [₺]</t>
        </is>
      </c>
      <c r="B15" s="27" t="n">
        <v>80000</v>
      </c>
      <c r="C15" s="19" t="inlineStr">
        <is>
          <t>₺</t>
        </is>
      </c>
    </row>
    <row r="16">
      <c r="A16" s="24" t="inlineStr">
        <is>
          <t>Mahsup Yorumu (A/B)</t>
        </is>
      </c>
      <c r="B16" s="25" t="inlineStr">
        <is>
          <t>A</t>
        </is>
      </c>
      <c r="C16" s="19" t="inlineStr">
        <is>
          <t>metin</t>
        </is>
      </c>
    </row>
    <row r="18">
      <c r="A18" s="10" t="inlineStr">
        <is>
          <t>Toplam Tevkifat (ayna) [₺]</t>
        </is>
      </c>
      <c r="B18" s="28">
        <f>IFERROR(ktm_toplamTevkifat,0)</f>
        <v/>
      </c>
    </row>
    <row r="19">
      <c r="A19" s="10" t="inlineStr">
        <is>
          <t>Giriş doluluk (kalite)</t>
        </is>
      </c>
      <c r="B19" s="29">
        <f>IFERROR(IF(OR(COUNTA(B6:B16)=0,ktm_girisBeklenen=0),0,ROUND(COUNTA(B6:B16)/ktm_girisBeklenen*100,0)),0)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13" t="inlineStr">
        <is>
          <t>Alan Anahtarı</t>
        </is>
      </c>
      <c r="B23" s="13" t="inlineStr">
        <is>
          <t>Değer</t>
        </is>
      </c>
      <c r="C23" s="13" t="inlineStr">
        <is>
          <t>Birim</t>
        </is>
      </c>
      <c r="D23" s="13" t="inlineStr">
        <is>
          <t>Zorunlu</t>
        </is>
      </c>
      <c r="E23" s="13" t="inlineStr">
        <is>
          <t>Kaynak</t>
        </is>
      </c>
      <c r="F23" s="13" t="inlineStr">
        <is>
          <t>Kontrol</t>
        </is>
      </c>
    </row>
    <row r="24">
      <c r="A24" s="30" t="inlineStr">
        <is>
          <t>mukellef_adi</t>
        </is>
      </c>
      <c r="B24" s="30" t="inlineStr">
        <is>
          <t>Örnek Ticaret A.Ş.</t>
        </is>
      </c>
      <c r="C24" s="30" t="inlineStr">
        <is>
          <t>metin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donem</t>
        </is>
      </c>
      <c r="B25" s="30" t="inlineStr">
        <is>
          <t>2026-06</t>
        </is>
      </c>
      <c r="C25" s="30" t="inlineStr">
        <is>
          <t>metin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hesapYili</t>
        </is>
      </c>
      <c r="B26" s="32" t="n">
        <v>2026</v>
      </c>
      <c r="C26" s="30" t="inlineStr">
        <is>
          <t>yıl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matrah_2_10</t>
        </is>
      </c>
      <c r="B27" s="33" t="n">
        <v>1000000</v>
      </c>
      <c r="C27" s="30" t="inlineStr">
        <is>
          <t>TL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matrah_5_10</t>
        </is>
      </c>
      <c r="B28" s="33" t="n">
        <v>500000</v>
      </c>
      <c r="C28" s="30" t="inlineStr">
        <is>
          <t>TL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matrah_7_10</t>
        </is>
      </c>
      <c r="B29" s="33" t="n">
        <v>300000</v>
      </c>
      <c r="C29" s="30" t="inlineStr">
        <is>
          <t>TL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A30" s="30" t="inlineStr">
        <is>
          <t>matrah_9_10</t>
        </is>
      </c>
      <c r="B30" s="33" t="n">
        <v>200000</v>
      </c>
      <c r="C30" s="30" t="inlineStr">
        <is>
          <t>TL</t>
        </is>
      </c>
      <c r="D30" s="30" t="inlineStr">
        <is>
          <t>Evet</t>
        </is>
      </c>
      <c r="E30" s="30" t="inlineStr">
        <is>
          <t>GIRDI</t>
        </is>
      </c>
      <c r="F30" s="31">
        <f>IF($A30="","",IF($B30="","EKSİK","TAM"))</f>
        <v/>
      </c>
    </row>
    <row r="31">
      <c r="A31" s="30" t="inlineStr">
        <is>
          <t>kdv1_odenecek</t>
        </is>
      </c>
      <c r="B31" s="33" t="n">
        <v>100000</v>
      </c>
      <c r="C31" s="30" t="inlineStr">
        <is>
          <t>TL</t>
        </is>
      </c>
      <c r="D31" s="30" t="inlineStr">
        <is>
          <t>Evet</t>
        </is>
      </c>
      <c r="E31" s="30" t="inlineStr">
        <is>
          <t>GIRDI</t>
        </is>
      </c>
      <c r="F31" s="31">
        <f>IF($A31="","",IF($B31="","EKSİK","TAM"))</f>
        <v/>
      </c>
    </row>
    <row r="32">
      <c r="A32" s="30" t="inlineStr">
        <is>
          <t>onceki_mahsup_bakiyesi</t>
        </is>
      </c>
      <c r="B32" s="33" t="n">
        <v>20000</v>
      </c>
      <c r="C32" s="30" t="inlineStr">
        <is>
          <t>TL</t>
        </is>
      </c>
      <c r="D32" s="30" t="inlineStr">
        <is>
          <t>Evet</t>
        </is>
      </c>
      <c r="E32" s="30" t="inlineStr">
        <is>
          <t>GIRDI</t>
        </is>
      </c>
      <c r="F32" s="31">
        <f>IF($A32="","",IF($B32="","EKSİK","TAM"))</f>
        <v/>
      </c>
    </row>
    <row r="33">
      <c r="A33" s="30" t="inlineStr">
        <is>
          <t>iade_talep</t>
        </is>
      </c>
      <c r="B33" s="33" t="n">
        <v>80000</v>
      </c>
      <c r="C33" s="30" t="inlineStr">
        <is>
          <t>TL</t>
        </is>
      </c>
      <c r="D33" s="30" t="inlineStr">
        <is>
          <t>Evet</t>
        </is>
      </c>
      <c r="E33" s="30" t="inlineStr">
        <is>
          <t>GIRDI</t>
        </is>
      </c>
      <c r="F33" s="31">
        <f>IF($A33="","",IF($B33="","EKSİK","TAM"))</f>
        <v/>
      </c>
    </row>
    <row r="34">
      <c r="A34" s="30" t="inlineStr">
        <is>
          <t>mahsup_yorumu</t>
        </is>
      </c>
      <c r="B34" s="30" t="inlineStr">
        <is>
          <t>A</t>
        </is>
      </c>
      <c r="C34" s="30" t="inlineStr">
        <is>
          <t>A/B</t>
        </is>
      </c>
      <c r="D34" s="30" t="inlineStr">
        <is>
          <t>Evet</t>
        </is>
      </c>
      <c r="E34" s="30" t="inlineStr">
        <is>
          <t>GIRDI</t>
        </is>
      </c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024" ht="20" customHeight="1">
      <c r="A1024" s="34" t="inlineStr">
        <is>
          <t>Sarı alanlar giriş; mahsup/iade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4">
      <formula>0</formula>
    </cfRule>
    <cfRule type="cellIs" priority="2" operator="equal" dxfId="3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Mahsup sırası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2/10 Matrah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5/10 Matrah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7/10 Matrah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9/10 Matrah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KDV1 Ödenecek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Önceki Bakiye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İade Talep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2/10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5/10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7/10" prompt="0 ile 1e12 arasında TL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9/10" prompt="0 ile 1e12 arasında TL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KDV1" prompt="0 ile 1e12 arasında TL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Bakiye" prompt="0 ile 1e12 arasında TL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İade" prompt="0 ile 1e12 arasında TL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KDV Tevkifat Mahsup ve KDV İade Listesi</t>
        </is>
      </c>
    </row>
    <row r="3">
      <c r="A3" s="36" t="inlineStr">
        <is>
          <t>Tevkifat kural tablosu (yıl yan yana)</t>
        </is>
      </c>
    </row>
    <row r="4">
      <c r="A4" s="22" t="inlineStr">
        <is>
          <t>Oranlar MOTOR'da sabit yazılmaz; INDEX/MATCH ile buradan çekilir.</t>
        </is>
      </c>
    </row>
    <row r="6" ht="30" customHeight="1">
      <c r="A6" s="13" t="inlineStr">
        <is>
          <t>kural_id</t>
        </is>
      </c>
      <c r="B6" s="13" t="inlineStr">
        <is>
          <t>madde</t>
        </is>
      </c>
      <c r="C6" s="13" t="inlineStr">
        <is>
          <t>kural_adi</t>
        </is>
      </c>
      <c r="D6" s="13" t="inlineStr">
        <is>
          <t>kosul_metni</t>
        </is>
      </c>
      <c r="E6" s="13" t="inlineStr">
        <is>
          <t>parametre_adi</t>
        </is>
      </c>
      <c r="F6" s="13" t="inlineStr">
        <is>
          <t>deger_2025</t>
        </is>
      </c>
      <c r="G6" s="13" t="inlineStr">
        <is>
          <t>deger_2026</t>
        </is>
      </c>
      <c r="H6" s="13" t="inlineStr">
        <is>
          <t>deger_2027</t>
        </is>
      </c>
      <c r="I6" s="13" t="inlineStr">
        <is>
          <t>yururluk</t>
        </is>
      </c>
      <c r="J6" s="13" t="inlineStr">
        <is>
          <t>kaynak</t>
        </is>
      </c>
      <c r="K6" s="13" t="inlineStr">
        <is>
          <t>aktif_deger</t>
        </is>
      </c>
    </row>
    <row r="7">
      <c r="A7" s="24" t="inlineStr">
        <is>
          <t>KTM-001</t>
        </is>
      </c>
      <c r="B7" s="24" t="inlineStr">
        <is>
          <t>KDVK / tebliğ</t>
        </is>
      </c>
      <c r="C7" s="24" t="inlineStr">
        <is>
          <t>tevkifat_2_10</t>
        </is>
      </c>
      <c r="D7" s="24" t="inlineStr">
        <is>
          <t>matrah_2_10&gt;0</t>
        </is>
      </c>
      <c r="E7" s="24" t="inlineStr">
        <is>
          <t>tevkifat_2_10</t>
        </is>
      </c>
      <c r="F7" s="37" t="n">
        <v>0.2</v>
      </c>
      <c r="G7" s="37" t="n">
        <v>0.2</v>
      </c>
      <c r="H7" s="37" t="n">
        <v>0.2</v>
      </c>
      <c r="I7" s="24" t="inlineStr">
        <is>
          <t>01.01.2025</t>
        </is>
      </c>
      <c r="J7" s="24" t="inlineStr">
        <is>
          <t>2/10 tevkifat oranı</t>
        </is>
      </c>
      <c r="K7" s="31">
        <f>IF($A7="","",IFERROR(CHOOSE(MAX(1,MIN(3,IF(OR(hesapYili="",hesapYili=0),1,hesapYili-ktm_yilTaban))),$F7,$G7,$H7),0))</f>
        <v/>
      </c>
    </row>
    <row r="8">
      <c r="A8" s="24" t="inlineStr">
        <is>
          <t>KTM-002</t>
        </is>
      </c>
      <c r="B8" s="24" t="inlineStr">
        <is>
          <t>KDVK / tebliğ</t>
        </is>
      </c>
      <c r="C8" s="24" t="inlineStr">
        <is>
          <t>tevkifat_5_10</t>
        </is>
      </c>
      <c r="D8" s="24" t="inlineStr">
        <is>
          <t>matrah_5_10&gt;0</t>
        </is>
      </c>
      <c r="E8" s="24" t="inlineStr">
        <is>
          <t>tevkifat_5_10</t>
        </is>
      </c>
      <c r="F8" s="37" t="n">
        <v>0.5</v>
      </c>
      <c r="G8" s="37" t="n">
        <v>0.5</v>
      </c>
      <c r="H8" s="37" t="n">
        <v>0.5</v>
      </c>
      <c r="I8" s="24" t="inlineStr">
        <is>
          <t>01.01.2025</t>
        </is>
      </c>
      <c r="J8" s="24" t="inlineStr">
        <is>
          <t>5/10 tevkifat oranı</t>
        </is>
      </c>
      <c r="K8" s="31">
        <f>IF($A8="","",IFERROR(CHOOSE(MAX(1,MIN(3,IF(OR(hesapYili="",hesapYili=0),1,hesapYili-ktm_yilTaban))),$F8,$G8,$H8),0))</f>
        <v/>
      </c>
    </row>
    <row r="9">
      <c r="A9" s="24" t="inlineStr">
        <is>
          <t>KTM-003</t>
        </is>
      </c>
      <c r="B9" s="24" t="inlineStr">
        <is>
          <t>KDVK / tebliğ</t>
        </is>
      </c>
      <c r="C9" s="24" t="inlineStr">
        <is>
          <t>tevkifat_7_10</t>
        </is>
      </c>
      <c r="D9" s="24" t="inlineStr">
        <is>
          <t>matrah_7_10&gt;0</t>
        </is>
      </c>
      <c r="E9" s="24" t="inlineStr">
        <is>
          <t>tevkifat_7_10</t>
        </is>
      </c>
      <c r="F9" s="37" t="n">
        <v>0.7</v>
      </c>
      <c r="G9" s="37" t="n">
        <v>0.7</v>
      </c>
      <c r="H9" s="37" t="n">
        <v>0.7</v>
      </c>
      <c r="I9" s="24" t="inlineStr">
        <is>
          <t>01.01.2025</t>
        </is>
      </c>
      <c r="J9" s="24" t="inlineStr">
        <is>
          <t>7/10 tevkifat oranı</t>
        </is>
      </c>
      <c r="K9" s="31">
        <f>IF($A9="","",IFERROR(CHOOSE(MAX(1,MIN(3,IF(OR(hesapYili="",hesapYili=0),1,hesapYili-ktm_yilTaban))),$F9,$G9,$H9),0))</f>
        <v/>
      </c>
    </row>
    <row r="10">
      <c r="A10" s="24" t="inlineStr">
        <is>
          <t>KTM-004</t>
        </is>
      </c>
      <c r="B10" s="24" t="inlineStr">
        <is>
          <t>KDVK / tebliğ</t>
        </is>
      </c>
      <c r="C10" s="24" t="inlineStr">
        <is>
          <t>tevkifat_9_10</t>
        </is>
      </c>
      <c r="D10" s="24" t="inlineStr">
        <is>
          <t>matrah_9_10&gt;0</t>
        </is>
      </c>
      <c r="E10" s="24" t="inlineStr">
        <is>
          <t>tevkifat_9_10</t>
        </is>
      </c>
      <c r="F10" s="37" t="n">
        <v>0.9</v>
      </c>
      <c r="G10" s="37" t="n">
        <v>0.9</v>
      </c>
      <c r="H10" s="37" t="n">
        <v>0.9</v>
      </c>
      <c r="I10" s="24" t="inlineStr">
        <is>
          <t>01.01.2025</t>
        </is>
      </c>
      <c r="J10" s="24" t="inlineStr">
        <is>
          <t>9/10 tevkifat oranı</t>
        </is>
      </c>
      <c r="K10" s="31">
        <f>IF($A10="","",IFERROR(CHOOSE(MAX(1,MIN(3,IF(OR(hesapYili="",hesapYili=0),1,hesapYili-ktm_yilTaban))),$F10,$G10,$H10),0))</f>
        <v/>
      </c>
    </row>
    <row r="11">
      <c r="A11" s="24" t="inlineStr">
        <is>
          <t>KTM-005</t>
        </is>
      </c>
      <c r="B11" s="24" t="inlineStr">
        <is>
          <t>KDVK genel</t>
        </is>
      </c>
      <c r="C11" s="24" t="inlineStr">
        <is>
          <t>kdv_genel_oran</t>
        </is>
      </c>
      <c r="D11" s="24" t="inlineStr">
        <is>
          <t>her hesap</t>
        </is>
      </c>
      <c r="E11" s="24" t="inlineStr">
        <is>
          <t>kdv_genel_oran</t>
        </is>
      </c>
      <c r="F11" s="37" t="n">
        <v>0.2</v>
      </c>
      <c r="G11" s="37" t="n">
        <v>0.2</v>
      </c>
      <c r="H11" s="37" t="n">
        <v>0.2</v>
      </c>
      <c r="I11" s="24" t="inlineStr">
        <is>
          <t>01.01.2025</t>
        </is>
      </c>
      <c r="J11" s="24" t="inlineStr">
        <is>
          <t>Genel KDV oranı + yuvarlama</t>
        </is>
      </c>
      <c r="K11" s="31">
        <f>IF($A11="","",IFERROR(CHOOSE(MAX(1,MIN(3,IF(OR(hesapYili="",hesapYili=0),1,hesapYili-ktm_yilTaban))),$F11,$G11,$H11),0))</f>
        <v/>
      </c>
    </row>
    <row r="14">
      <c r="A14" s="10" t="inlineStr">
        <is>
          <t>Kural-yıl matrisi özeti</t>
        </is>
      </c>
    </row>
    <row r="15">
      <c r="A15" s="24" t="inlineStr">
        <is>
          <t>2/10 oranı (aktif yıl)</t>
        </is>
      </c>
      <c r="B15" s="18">
        <f>IFERROR(INDEX(CHOOSE(MAX(1,MIN(3,IF(OR(hesapYili="",hesapYili=0),1,hesapYili-ktm_yilTaban))),tblKurallar[deger_2025],tblKurallar[deger_2026],tblKurallar[deger_2027]),MATCH("KTM-001",tblKurallar[kural_id],0)),0)</f>
        <v/>
      </c>
    </row>
    <row r="16">
      <c r="A16" s="24" t="inlineStr">
        <is>
          <t>5/10 oranı (aktif yıl)</t>
        </is>
      </c>
      <c r="B16" s="18">
        <f>IFERROR(INDEX(CHOOSE(MAX(1,MIN(3,IF(OR(hesapYili="",hesapYili=0),1,hesapYili-ktm_yilTaban))),tblKurallar[deger_2025],tblKurallar[deger_2026],tblKurallar[deger_2027]),MATCH("KTM-002",tblKurallar[kural_id],0)),0)</f>
        <v/>
      </c>
    </row>
    <row r="17">
      <c r="A17" s="24" t="inlineStr">
        <is>
          <t>Matris metni</t>
        </is>
      </c>
      <c r="B17" s="11">
        <f>IFERROR(_xlfn.TEXTJOIN(" | ",TRUE,"KTM-001=",TEXT(B15,"0.0%"),"KTM-002=",TEXT(B16,"0.0%"),"yıl=",IF(OR(hesapYili="",hesapYili=0),"-",hesapYili)),"-")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conditionalFormatting sqref="F7:F11">
    <cfRule type="cellIs" priority="1" operator="lessThan" dxfId="4">
      <formula>0</formula>
    </cfRule>
    <cfRule type="cellIs" priority="2" operator="equal" dxfId="3">
      <formula>0</formula>
    </cfRule>
  </conditionalFormatting>
  <conditionalFormatting sqref="G7:G11">
    <cfRule type="cellIs" priority="3" operator="lessThan" dxfId="4">
      <formula>0</formula>
    </cfRule>
    <cfRule type="cellIs" priority="4" operator="equal" dxfId="3">
      <formula>0</formula>
    </cfRule>
  </conditionalFormatting>
  <conditionalFormatting sqref="H7:H11">
    <cfRule type="cellIs" priority="5" operator="lessThan" dxfId="4">
      <formula>0</formula>
    </cfRule>
    <cfRule type="cellIs" priority="6" operator="equal" dxfId="3">
      <formula>0</formula>
    </cfRule>
  </conditionalFormatting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AD6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KDV Tevkifat Mahsup ve KDV İade Listesi</t>
        </is>
      </c>
    </row>
    <row r="3">
      <c r="A3" s="36" t="inlineStr">
        <is>
          <t>Hesap zinciri — her adımda kural_id</t>
        </is>
      </c>
    </row>
    <row r="4">
      <c r="A4" s="22" t="inlineStr">
        <is>
          <t>Tevkifat oranları tblKurallar'dan çekilir; sabit oran yoktur.</t>
        </is>
      </c>
    </row>
    <row r="6" ht="30" customHeight="1">
      <c r="A6" s="13" t="inlineStr">
        <is>
          <t>adim</t>
        </is>
      </c>
      <c r="B6" s="13" t="inlineStr">
        <is>
          <t>ad</t>
        </is>
      </c>
      <c r="C6" s="13" t="inlineStr">
        <is>
          <t>formul</t>
        </is>
      </c>
      <c r="D6" s="13" t="inlineStr">
        <is>
          <t>birim</t>
        </is>
      </c>
      <c r="E6" s="13" t="inlineStr">
        <is>
          <t>ne_ise_yarar</t>
        </is>
      </c>
      <c r="F6" s="13" t="inlineStr">
        <is>
          <t>kural_id</t>
        </is>
      </c>
      <c r="G6" s="13" t="inlineStr">
        <is>
          <t>deger</t>
        </is>
      </c>
    </row>
    <row r="7">
      <c r="A7" s="38" t="n">
        <v>1</v>
      </c>
      <c r="B7" s="15" t="inlineStr">
        <is>
          <t>Hesap yılı oku</t>
        </is>
      </c>
      <c r="C7" s="39">
        <f>IFERROR(hesapYili,0)</f>
        <v/>
      </c>
      <c r="D7" s="40" t="inlineStr">
        <is>
          <t>yıl</t>
        </is>
      </c>
      <c r="E7" s="41" t="inlineStr">
        <is>
          <t>Aktif mevzuat yılı</t>
        </is>
      </c>
      <c r="F7" s="14" t="inlineStr">
        <is>
          <t>KTM-005</t>
        </is>
      </c>
      <c r="G7" s="29">
        <f>IFERROR(hesapYili,0)</f>
        <v/>
      </c>
    </row>
    <row r="8">
      <c r="A8" s="38" t="n">
        <v>2</v>
      </c>
      <c r="B8" s="15" t="inlineStr">
        <is>
          <t>2/10 tevkifat oranı</t>
        </is>
      </c>
      <c r="C8" s="42">
        <f>IFERROR(INDEX(CHOOSE(MAX(1,MIN(3,IF(OR(hesapYili="",hesapYili=0),1,hesapYili-ktm_yilTaban))),tblKurallar[deger_2025],tblKurallar[deger_2026],tblKurallar[deger_2027]),MATCH("KTM-001",tblKurallar[kural_id],0)),0)</f>
        <v/>
      </c>
      <c r="D8" s="40" t="inlineStr">
        <is>
          <t>oran</t>
        </is>
      </c>
      <c r="E8" s="41" t="inlineStr">
        <is>
          <t>2/10 oranı</t>
        </is>
      </c>
      <c r="F8" s="14" t="inlineStr">
        <is>
          <t>KTM-001</t>
        </is>
      </c>
      <c r="G8" s="18">
        <f>IFERROR(INDEX(CHOOSE(MAX(1,MIN(3,IF(OR(hesapYili="",hesapYili=0),1,hesapYili-ktm_yilTaban))),tblKurallar[deger_2025],tblKurallar[deger_2026],tblKurallar[deger_2027]),MATCH("KTM-001",tblKurallar[kural_id],0)),0)</f>
        <v/>
      </c>
    </row>
    <row r="9">
      <c r="A9" s="38" t="n">
        <v>3</v>
      </c>
      <c r="B9" s="15" t="inlineStr">
        <is>
          <t>5/10 tevkifat oranı</t>
        </is>
      </c>
      <c r="C9" s="42">
        <f>IFERROR(INDEX(CHOOSE(MAX(1,MIN(3,IF(OR(hesapYili="",hesapYili=0),1,hesapYili-ktm_yilTaban))),tblKurallar[deger_2025],tblKurallar[deger_2026],tblKurallar[deger_2027]),MATCH("KTM-002",tblKurallar[kural_id],0)),0)</f>
        <v/>
      </c>
      <c r="D9" s="40" t="inlineStr">
        <is>
          <t>oran</t>
        </is>
      </c>
      <c r="E9" s="41" t="inlineStr">
        <is>
          <t>5/10 oranı</t>
        </is>
      </c>
      <c r="F9" s="14" t="inlineStr">
        <is>
          <t>KTM-002</t>
        </is>
      </c>
      <c r="G9" s="18">
        <f>IFERROR(INDEX(CHOOSE(MAX(1,MIN(3,IF(OR(hesapYili="",hesapYili=0),1,hesapYili-ktm_yilTaban))),tblKurallar[deger_2025],tblKurallar[deger_2026],tblKurallar[deger_2027]),MATCH("KTM-002",tblKurallar[kural_id],0)),0)</f>
        <v/>
      </c>
    </row>
    <row r="10">
      <c r="A10" s="38" t="n">
        <v>4</v>
      </c>
      <c r="B10" s="15" t="inlineStr">
        <is>
          <t>7/10 tevkifat oranı</t>
        </is>
      </c>
      <c r="C10" s="42">
        <f>IFERROR(INDEX(CHOOSE(MAX(1,MIN(3,IF(OR(hesapYili="",hesapYili=0),1,hesapYili-ktm_yilTaban))),tblKurallar[deger_2025],tblKurallar[deger_2026],tblKurallar[deger_2027]),MATCH("KTM-003",tblKurallar[kural_id],0)),0)</f>
        <v/>
      </c>
      <c r="D10" s="40" t="inlineStr">
        <is>
          <t>oran</t>
        </is>
      </c>
      <c r="E10" s="41" t="inlineStr">
        <is>
          <t>7/10 oranı</t>
        </is>
      </c>
      <c r="F10" s="14" t="inlineStr">
        <is>
          <t>KTM-003</t>
        </is>
      </c>
      <c r="G10" s="18">
        <f>IFERROR(INDEX(CHOOSE(MAX(1,MIN(3,IF(OR(hesapYili="",hesapYili=0),1,hesapYili-ktm_yilTaban))),tblKurallar[deger_2025],tblKurallar[deger_2026],tblKurallar[deger_2027]),MATCH("KTM-003",tblKurallar[kural_id],0)),0)</f>
        <v/>
      </c>
    </row>
    <row r="11">
      <c r="A11" s="38" t="n">
        <v>5</v>
      </c>
      <c r="B11" s="15" t="inlineStr">
        <is>
          <t>9/10 tevkifat oranı</t>
        </is>
      </c>
      <c r="C11" s="42">
        <f>IFERROR(INDEX(CHOOSE(MAX(1,MIN(3,IF(OR(hesapYili="",hesapYili=0),1,hesapYili-ktm_yilTaban))),tblKurallar[deger_2025],tblKurallar[deger_2026],tblKurallar[deger_2027]),MATCH("KTM-004",tblKurallar[kural_id],0)),0)</f>
        <v/>
      </c>
      <c r="D11" s="40" t="inlineStr">
        <is>
          <t>oran</t>
        </is>
      </c>
      <c r="E11" s="41" t="inlineStr">
        <is>
          <t>9/10 oranı</t>
        </is>
      </c>
      <c r="F11" s="14" t="inlineStr">
        <is>
          <t>KTM-004</t>
        </is>
      </c>
      <c r="G11" s="18">
        <f>IFERROR(INDEX(CHOOSE(MAX(1,MIN(3,IF(OR(hesapYili="",hesapYili=0),1,hesapYili-ktm_yilTaban))),tblKurallar[deger_2025],tblKurallar[deger_2026],tblKurallar[deger_2027]),MATCH("KTM-004",tblKurallar[kural_id],0)),0)</f>
        <v/>
      </c>
    </row>
    <row r="12">
      <c r="A12" s="38" t="n">
        <v>6</v>
      </c>
      <c r="B12" s="15" t="inlineStr">
        <is>
          <t>Genel KDV oranı</t>
        </is>
      </c>
      <c r="C12" s="42">
        <f>IFERROR(INDEX(CHOOSE(MAX(1,MIN(3,IF(OR(hesapYili="",hesapYili=0),1,hesapYili-ktm_yilTaban))),tblKurallar[deger_2025],tblKurallar[deger_2026],tblKurallar[deger_2027]),MATCH("KTM-005",tblKurallar[kural_id],0)),0)</f>
        <v/>
      </c>
      <c r="D12" s="40" t="inlineStr">
        <is>
          <t>oran</t>
        </is>
      </c>
      <c r="E12" s="41" t="inlineStr">
        <is>
          <t>KDV genel oranı</t>
        </is>
      </c>
      <c r="F12" s="14" t="inlineStr">
        <is>
          <t>KTM-005</t>
        </is>
      </c>
      <c r="G12" s="18">
        <f>IFERROR(INDEX(CHOOSE(MAX(1,MIN(3,IF(OR(hesapYili="",hesapYili=0),1,hesapYili-ktm_yilTaban))),tblKurallar[deger_2025],tblKurallar[deger_2026],tblKurallar[deger_2027]),MATCH("KTM-005",tblKurallar[kural_id],0)),0)</f>
        <v/>
      </c>
    </row>
    <row r="13">
      <c r="A13" s="38" t="n">
        <v>7</v>
      </c>
      <c r="B13" s="15" t="inlineStr">
        <is>
          <t>Yuvarlama ondalık</t>
        </is>
      </c>
      <c r="C13" s="39">
        <f>IFERROR(ktm_yuvarMax+N(GIRDI!B9)*0,0)</f>
        <v/>
      </c>
      <c r="D13" s="40" t="inlineStr">
        <is>
          <t>adet</t>
        </is>
      </c>
      <c r="E13" s="41" t="inlineStr">
        <is>
          <t>Yuvarlama basamağı</t>
        </is>
      </c>
      <c r="F13" s="14" t="inlineStr">
        <is>
          <t>KTM-005</t>
        </is>
      </c>
      <c r="G13" s="29">
        <f>IFERROR(ktm_yuvarMax+N(GIRDI!B9)*0,0)</f>
        <v/>
      </c>
    </row>
    <row r="14">
      <c r="A14" s="38" t="n">
        <v>8</v>
      </c>
      <c r="B14" s="15" t="inlineStr">
        <is>
          <t>2/10 matrah</t>
        </is>
      </c>
      <c r="C14" s="43">
        <f>IFERROR(GIRDI!B9,0)</f>
        <v/>
      </c>
      <c r="D14" s="40" t="inlineStr">
        <is>
          <t>TL</t>
        </is>
      </c>
      <c r="E14" s="41" t="inlineStr">
        <is>
          <t>2/10 ham matrah</t>
        </is>
      </c>
      <c r="F14" s="14" t="inlineStr">
        <is>
          <t>KTM-001</t>
        </is>
      </c>
      <c r="G14" s="16">
        <f>IFERROR(GIRDI!B9,0)</f>
        <v/>
      </c>
    </row>
    <row r="15">
      <c r="A15" s="38" t="n">
        <v>9</v>
      </c>
      <c r="B15" s="15" t="inlineStr">
        <is>
          <t>5/10 matrah</t>
        </is>
      </c>
      <c r="C15" s="43">
        <f>IFERROR(GIRDI!B10,0)</f>
        <v/>
      </c>
      <c r="D15" s="40" t="inlineStr">
        <is>
          <t>TL</t>
        </is>
      </c>
      <c r="E15" s="41" t="inlineStr">
        <is>
          <t>5/10 ham matrah</t>
        </is>
      </c>
      <c r="F15" s="14" t="inlineStr">
        <is>
          <t>KTM-002</t>
        </is>
      </c>
      <c r="G15" s="16">
        <f>IFERROR(GIRDI!B10,0)</f>
        <v/>
      </c>
    </row>
    <row r="16">
      <c r="A16" s="38" t="n">
        <v>10</v>
      </c>
      <c r="B16" s="15" t="inlineStr">
        <is>
          <t>7/10 matrah</t>
        </is>
      </c>
      <c r="C16" s="43">
        <f>IFERROR(GIRDI!B11,0)</f>
        <v/>
      </c>
      <c r="D16" s="40" t="inlineStr">
        <is>
          <t>TL</t>
        </is>
      </c>
      <c r="E16" s="41" t="inlineStr">
        <is>
          <t>7/10 ham matrah</t>
        </is>
      </c>
      <c r="F16" s="14" t="inlineStr">
        <is>
          <t>KTM-003</t>
        </is>
      </c>
      <c r="G16" s="16">
        <f>IFERROR(GIRDI!B11,0)</f>
        <v/>
      </c>
    </row>
    <row r="17">
      <c r="A17" s="38" t="n">
        <v>11</v>
      </c>
      <c r="B17" s="15" t="inlineStr">
        <is>
          <t>9/10 matrah</t>
        </is>
      </c>
      <c r="C17" s="43">
        <f>IFERROR(GIRDI!B12,0)</f>
        <v/>
      </c>
      <c r="D17" s="40" t="inlineStr">
        <is>
          <t>TL</t>
        </is>
      </c>
      <c r="E17" s="41" t="inlineStr">
        <is>
          <t>9/10 ham matrah</t>
        </is>
      </c>
      <c r="F17" s="14" t="inlineStr">
        <is>
          <t>KTM-004</t>
        </is>
      </c>
      <c r="G17" s="16">
        <f>IFERROR(GIRDI!B12,0)</f>
        <v/>
      </c>
    </row>
    <row r="18">
      <c r="A18" s="38" t="n">
        <v>12</v>
      </c>
      <c r="B18" s="15" t="inlineStr">
        <is>
          <t>KDV1 ödenecek</t>
        </is>
      </c>
      <c r="C18" s="43">
        <f>IFERROR(GIRDI!B13,0)</f>
        <v/>
      </c>
      <c r="D18" s="40" t="inlineStr">
        <is>
          <t>TL</t>
        </is>
      </c>
      <c r="E18" s="41" t="inlineStr">
        <is>
          <t>1 Numaralı ödenecek</t>
        </is>
      </c>
      <c r="F18" s="14" t="inlineStr">
        <is>
          <t>KTM-005</t>
        </is>
      </c>
      <c r="G18" s="16">
        <f>IFERROR(GIRDI!B13,0)</f>
        <v/>
      </c>
    </row>
    <row r="19">
      <c r="A19" s="38" t="n">
        <v>13</v>
      </c>
      <c r="B19" s="15" t="inlineStr">
        <is>
          <t>Önceki mahsup bakiyesi</t>
        </is>
      </c>
      <c r="C19" s="43">
        <f>IFERROR(GIRDI!B14,0)</f>
        <v/>
      </c>
      <c r="D19" s="40" t="inlineStr">
        <is>
          <t>TL</t>
        </is>
      </c>
      <c r="E19" s="41" t="inlineStr">
        <is>
          <t>Devreden bakiye</t>
        </is>
      </c>
      <c r="F19" s="14" t="inlineStr">
        <is>
          <t>KTM-005</t>
        </is>
      </c>
      <c r="G19" s="16">
        <f>IFERROR(GIRDI!B14,0)</f>
        <v/>
      </c>
    </row>
    <row r="20">
      <c r="A20" s="38" t="n">
        <v>14</v>
      </c>
      <c r="B20" s="15" t="inlineStr">
        <is>
          <t>İade talep</t>
        </is>
      </c>
      <c r="C20" s="43">
        <f>IFERROR(GIRDI!B15,0)</f>
        <v/>
      </c>
      <c r="D20" s="40" t="inlineStr">
        <is>
          <t>TL</t>
        </is>
      </c>
      <c r="E20" s="41" t="inlineStr">
        <is>
          <t>Talep edilen iade</t>
        </is>
      </c>
      <c r="F20" s="14" t="inlineStr">
        <is>
          <t>KTM-005</t>
        </is>
      </c>
      <c r="G20" s="16">
        <f>IFERROR(GIRDI!B15,0)</f>
        <v/>
      </c>
    </row>
    <row r="21">
      <c r="A21" s="38" t="n">
        <v>15</v>
      </c>
      <c r="B21" s="15" t="inlineStr">
        <is>
          <t>2/10 KDV</t>
        </is>
      </c>
      <c r="C21" s="43">
        <f>IFERROR(ROUND(G14*G12,MAX(0,MIN(ktm_yuvarMax,IFERROR(N(G13),0)))),0)</f>
        <v/>
      </c>
      <c r="D21" s="40" t="inlineStr">
        <is>
          <t>TL</t>
        </is>
      </c>
      <c r="E21" s="41" t="inlineStr">
        <is>
          <t>2/10 hesaplanan KDV</t>
        </is>
      </c>
      <c r="F21" s="14" t="inlineStr">
        <is>
          <t>KTM-001</t>
        </is>
      </c>
      <c r="G21" s="16">
        <f>IFERROR(ROUND(G14*G12,MAX(0,MIN(ktm_yuvarMax,IFERROR(N(G13),0)))),0)</f>
        <v/>
      </c>
    </row>
    <row r="22">
      <c r="A22" s="38" t="n">
        <v>16</v>
      </c>
      <c r="B22" s="15" t="inlineStr">
        <is>
          <t>5/10 KDV</t>
        </is>
      </c>
      <c r="C22" s="43">
        <f>IFERROR(ROUND(G15*G12,MAX(0,MIN(ktm_yuvarMax,IFERROR(N(G13),0)))),0)</f>
        <v/>
      </c>
      <c r="D22" s="40" t="inlineStr">
        <is>
          <t>TL</t>
        </is>
      </c>
      <c r="E22" s="41" t="inlineStr">
        <is>
          <t>5/10 hesaplanan KDV</t>
        </is>
      </c>
      <c r="F22" s="14" t="inlineStr">
        <is>
          <t>KTM-002</t>
        </is>
      </c>
      <c r="G22" s="16">
        <f>IFERROR(ROUND(G15*G12,MAX(0,MIN(ktm_yuvarMax,IFERROR(N(G13),0)))),0)</f>
        <v/>
      </c>
    </row>
    <row r="23">
      <c r="A23" s="38" t="n">
        <v>17</v>
      </c>
      <c r="B23" s="15" t="inlineStr">
        <is>
          <t>7/10 KDV</t>
        </is>
      </c>
      <c r="C23" s="43">
        <f>IFERROR(ROUND(G16*G12,MAX(0,MIN(ktm_yuvarMax,IFERROR(N(G13),0)))),0)</f>
        <v/>
      </c>
      <c r="D23" s="40" t="inlineStr">
        <is>
          <t>TL</t>
        </is>
      </c>
      <c r="E23" s="41" t="inlineStr">
        <is>
          <t>7/10 hesaplanan KDV</t>
        </is>
      </c>
      <c r="F23" s="14" t="inlineStr">
        <is>
          <t>KTM-003</t>
        </is>
      </c>
      <c r="G23" s="16">
        <f>IFERROR(ROUND(G16*G12,MAX(0,MIN(ktm_yuvarMax,IFERROR(N(G13),0)))),0)</f>
        <v/>
      </c>
    </row>
    <row r="24">
      <c r="A24" s="38" t="n">
        <v>18</v>
      </c>
      <c r="B24" s="15" t="inlineStr">
        <is>
          <t>9/10 KDV</t>
        </is>
      </c>
      <c r="C24" s="43">
        <f>IFERROR(ROUND(G17*G12,MAX(0,MIN(ktm_yuvarMax,IFERROR(N(G13),0)))),0)</f>
        <v/>
      </c>
      <c r="D24" s="40" t="inlineStr">
        <is>
          <t>TL</t>
        </is>
      </c>
      <c r="E24" s="41" t="inlineStr">
        <is>
          <t>9/10 hesaplanan KDV</t>
        </is>
      </c>
      <c r="F24" s="14" t="inlineStr">
        <is>
          <t>KTM-004</t>
        </is>
      </c>
      <c r="G24" s="16">
        <f>IFERROR(ROUND(G17*G12,MAX(0,MIN(ktm_yuvarMax,IFERROR(N(G13),0)))),0)</f>
        <v/>
      </c>
    </row>
    <row r="25">
      <c r="A25" s="38" t="n">
        <v>19</v>
      </c>
      <c r="B25" s="15" t="inlineStr">
        <is>
          <t>2/10 tevkifat</t>
        </is>
      </c>
      <c r="C25" s="43">
        <f>IFERROR(ROUND(G21*G8,MAX(0,MIN(ktm_yuvarMax,IFERROR(N(G13),0)))),0)</f>
        <v/>
      </c>
      <c r="D25" s="40" t="inlineStr">
        <is>
          <t>TL</t>
        </is>
      </c>
      <c r="E25" s="41" t="inlineStr">
        <is>
          <t>2/10 tevkifat tutarı</t>
        </is>
      </c>
      <c r="F25" s="14" t="inlineStr">
        <is>
          <t>KTM-001</t>
        </is>
      </c>
      <c r="G25" s="16">
        <f>IFERROR(ROUND(G21*G8,MAX(0,MIN(ktm_yuvarMax,IFERROR(N(G13),0)))),0)</f>
        <v/>
      </c>
    </row>
    <row r="26">
      <c r="A26" s="38" t="n">
        <v>20</v>
      </c>
      <c r="B26" s="15" t="inlineStr">
        <is>
          <t>5/10 tevkifat</t>
        </is>
      </c>
      <c r="C26" s="43">
        <f>IFERROR(ROUND(G22*G9,MAX(0,MIN(ktm_yuvarMax,IFERROR(N(G13),0)))),0)</f>
        <v/>
      </c>
      <c r="D26" s="40" t="inlineStr">
        <is>
          <t>TL</t>
        </is>
      </c>
      <c r="E26" s="41" t="inlineStr">
        <is>
          <t>5/10 tevkifat tutarı</t>
        </is>
      </c>
      <c r="F26" s="14" t="inlineStr">
        <is>
          <t>KTM-002</t>
        </is>
      </c>
      <c r="G26" s="16">
        <f>IFERROR(ROUND(G22*G9,MAX(0,MIN(ktm_yuvarMax,IFERROR(N(G13),0)))),0)</f>
        <v/>
      </c>
    </row>
    <row r="27">
      <c r="A27" s="38" t="n">
        <v>21</v>
      </c>
      <c r="B27" s="15" t="inlineStr">
        <is>
          <t>7/10 tevkifat</t>
        </is>
      </c>
      <c r="C27" s="43">
        <f>IFERROR(ROUND(G23*G10,MAX(0,MIN(ktm_yuvarMax,IFERROR(N(G13),0)))),0)</f>
        <v/>
      </c>
      <c r="D27" s="40" t="inlineStr">
        <is>
          <t>TL</t>
        </is>
      </c>
      <c r="E27" s="41" t="inlineStr">
        <is>
          <t>7/10 tevkifat tutarı</t>
        </is>
      </c>
      <c r="F27" s="14" t="inlineStr">
        <is>
          <t>KTM-003</t>
        </is>
      </c>
      <c r="G27" s="16">
        <f>IFERROR(ROUND(G23*G10,MAX(0,MIN(ktm_yuvarMax,IFERROR(N(G13),0)))),0)</f>
        <v/>
      </c>
    </row>
    <row r="28">
      <c r="A28" s="38" t="n">
        <v>22</v>
      </c>
      <c r="B28" s="15" t="inlineStr">
        <is>
          <t>9/10 tevkifat</t>
        </is>
      </c>
      <c r="C28" s="43">
        <f>IFERROR(ROUND(G24*G11,MAX(0,MIN(ktm_yuvarMax,IFERROR(N(G13),0)))),0)</f>
        <v/>
      </c>
      <c r="D28" s="40" t="inlineStr">
        <is>
          <t>TL</t>
        </is>
      </c>
      <c r="E28" s="41" t="inlineStr">
        <is>
          <t>9/10 tevkifat tutarı</t>
        </is>
      </c>
      <c r="F28" s="14" t="inlineStr">
        <is>
          <t>KTM-004</t>
        </is>
      </c>
      <c r="G28" s="16">
        <f>IFERROR(ROUND(G24*G11,MAX(0,MIN(ktm_yuvarMax,IFERROR(N(G13),0)))),0)</f>
        <v/>
      </c>
    </row>
    <row r="29">
      <c r="A29" s="38" t="n">
        <v>23</v>
      </c>
      <c r="B29" s="15" t="inlineStr">
        <is>
          <t>Dönem tevkifat toplamı</t>
        </is>
      </c>
      <c r="C29" s="43">
        <f>IFERROR(G25+G26+G27+G28,0)</f>
        <v/>
      </c>
      <c r="D29" s="40" t="inlineStr">
        <is>
          <t>TL</t>
        </is>
      </c>
      <c r="E29" s="41" t="inlineStr">
        <is>
          <t>Dönem tevkifatı</t>
        </is>
      </c>
      <c r="F29" s="14" t="inlineStr">
        <is>
          <t>KTM-005</t>
        </is>
      </c>
      <c r="G29" s="16">
        <f>IFERROR(G25+G26+G27+G28,0)</f>
        <v/>
      </c>
    </row>
    <row r="30">
      <c r="A30" s="38" t="n">
        <v>24</v>
      </c>
      <c r="B30" s="15" t="inlineStr">
        <is>
          <t>Mahsup havuzu</t>
        </is>
      </c>
      <c r="C30" s="43">
        <f>IFERROR(G29+G19,0)</f>
        <v/>
      </c>
      <c r="D30" s="40" t="inlineStr">
        <is>
          <t>TL</t>
        </is>
      </c>
      <c r="E30" s="41" t="inlineStr">
        <is>
          <t>Dönem + önceki bakiye</t>
        </is>
      </c>
      <c r="F30" s="14" t="inlineStr">
        <is>
          <t>KTM-005</t>
        </is>
      </c>
      <c r="G30" s="16">
        <f>IFERROR(G29+G19,0)</f>
        <v/>
      </c>
    </row>
    <row r="31">
      <c r="A31" s="38" t="n">
        <v>25</v>
      </c>
      <c r="B31" s="15" t="inlineStr">
        <is>
          <t>Mahsup (yorum A)</t>
        </is>
      </c>
      <c r="C31" s="43">
        <f>IFERROR(MIN(G30,G18),0)</f>
        <v/>
      </c>
      <c r="D31" s="40" t="inlineStr">
        <is>
          <t>TL</t>
        </is>
      </c>
      <c r="E31" s="41" t="inlineStr">
        <is>
          <t>Önce mahsup sonra iade</t>
        </is>
      </c>
      <c r="F31" s="14" t="inlineStr">
        <is>
          <t>KTM-005</t>
        </is>
      </c>
      <c r="G31" s="16">
        <f>IFERROR(MIN(G30,G18),0)</f>
        <v/>
      </c>
    </row>
    <row r="32">
      <c r="A32" s="38" t="n">
        <v>26</v>
      </c>
      <c r="B32" s="15" t="inlineStr">
        <is>
          <t>İade uygun (yorum A)</t>
        </is>
      </c>
      <c r="C32" s="43">
        <f>IFERROR(MAX(0,G30-G31),0)</f>
        <v/>
      </c>
      <c r="D32" s="40" t="inlineStr">
        <is>
          <t>TL</t>
        </is>
      </c>
      <c r="E32" s="41" t="inlineStr">
        <is>
          <t>Mahsup sonrası iade</t>
        </is>
      </c>
      <c r="F32" s="14" t="inlineStr">
        <is>
          <t>KTM-005</t>
        </is>
      </c>
      <c r="G32" s="16">
        <f>IFERROR(MAX(0,G30-G31),0)</f>
        <v/>
      </c>
    </row>
    <row r="33">
      <c r="A33" s="38" t="n">
        <v>27</v>
      </c>
      <c r="B33" s="15" t="inlineStr">
        <is>
          <t>İade (yorum B)</t>
        </is>
      </c>
      <c r="C33" s="43">
        <f>IFERROR(MIN(G30,G20),0)</f>
        <v/>
      </c>
      <c r="D33" s="40" t="inlineStr">
        <is>
          <t>TL</t>
        </is>
      </c>
      <c r="E33" s="41" t="inlineStr">
        <is>
          <t>Önce iade sonra mahsup</t>
        </is>
      </c>
      <c r="F33" s="14" t="inlineStr">
        <is>
          <t>KTM-005</t>
        </is>
      </c>
      <c r="G33" s="16">
        <f>IFERROR(MIN(G30,G20),0)</f>
        <v/>
      </c>
    </row>
    <row r="34">
      <c r="A34" s="38" t="n">
        <v>28</v>
      </c>
      <c r="B34" s="15" t="inlineStr">
        <is>
          <t>Mahsup (yorum B)</t>
        </is>
      </c>
      <c r="C34" s="43">
        <f>IFERROR(MAX(0,G30-G33),0)</f>
        <v/>
      </c>
      <c r="D34" s="40" t="inlineStr">
        <is>
          <t>TL</t>
        </is>
      </c>
      <c r="E34" s="41" t="inlineStr">
        <is>
          <t>İade sonrası mahsup</t>
        </is>
      </c>
      <c r="F34" s="14" t="inlineStr">
        <is>
          <t>KTM-005</t>
        </is>
      </c>
      <c r="G34" s="16">
        <f>IFERROR(MAX(0,G30-G33),0)</f>
        <v/>
      </c>
    </row>
    <row r="35">
      <c r="A35" s="38" t="n">
        <v>29</v>
      </c>
      <c r="B35" s="15" t="inlineStr">
        <is>
          <t>Seçili mahsup</t>
        </is>
      </c>
      <c r="C35" s="43">
        <f>IFERROR(IF(GIRDI!B16="B",G34,G31),0)</f>
        <v/>
      </c>
      <c r="D35" s="40" t="inlineStr">
        <is>
          <t>TL</t>
        </is>
      </c>
      <c r="E35" s="41" t="inlineStr">
        <is>
          <t>Yoruma göre mahsup</t>
        </is>
      </c>
      <c r="F35" s="14" t="inlineStr">
        <is>
          <t>KTM-005</t>
        </is>
      </c>
      <c r="G35" s="16">
        <f>IFERROR(IF(GIRDI!B16="B",G34,G31),0)</f>
        <v/>
      </c>
    </row>
    <row r="36">
      <c r="A36" s="38" t="n">
        <v>30</v>
      </c>
      <c r="B36" s="15" t="inlineStr">
        <is>
          <t>Seçili iade uygun</t>
        </is>
      </c>
      <c r="C36" s="43">
        <f>IFERROR(IF(GIRDI!B16="B",G33,G32),0)</f>
        <v/>
      </c>
      <c r="D36" s="40" t="inlineStr">
        <is>
          <t>TL</t>
        </is>
      </c>
      <c r="E36" s="41" t="inlineStr">
        <is>
          <t>Yoruma göre iade</t>
        </is>
      </c>
      <c r="F36" s="14" t="inlineStr">
        <is>
          <t>KTM-005</t>
        </is>
      </c>
      <c r="G36" s="16">
        <f>IFERROR(IF(GIRDI!B16="B",G33,G32),0)</f>
        <v/>
      </c>
    </row>
    <row r="37">
      <c r="A37" s="38" t="n">
        <v>31</v>
      </c>
      <c r="B37" s="15" t="inlineStr">
        <is>
          <t>İade sapması</t>
        </is>
      </c>
      <c r="C37" s="43">
        <f>IFERROR(G36-G20,0)</f>
        <v/>
      </c>
      <c r="D37" s="40" t="inlineStr">
        <is>
          <t>TL</t>
        </is>
      </c>
      <c r="E37" s="41" t="inlineStr">
        <is>
          <t>Uygun − talep</t>
        </is>
      </c>
      <c r="F37" s="14" t="inlineStr">
        <is>
          <t>KTM-005</t>
        </is>
      </c>
      <c r="G37" s="16">
        <f>IFERROR(G36-G20,0)</f>
        <v/>
      </c>
    </row>
    <row r="38">
      <c r="A38" s="38" t="n">
        <v>32</v>
      </c>
      <c r="B38" s="15" t="inlineStr">
        <is>
          <t>Karar kodu</t>
        </is>
      </c>
      <c r="C38" s="11">
        <f>IFERROR(IF(COUNTA(tblGirdi[Alan Anahtarı])=0,"VERI_YOK",IF(AND(G36&gt;=ktm_iadeEsik,G36&gt;0),"IADE",IF(G35&gt;0,"MAHSUP","BEKLE"))),"")</f>
        <v/>
      </c>
      <c r="D38" s="40" t="inlineStr">
        <is>
          <t>kod</t>
        </is>
      </c>
      <c r="E38" s="41" t="inlineStr">
        <is>
          <t>Karar kodu</t>
        </is>
      </c>
      <c r="F38" s="14" t="inlineStr">
        <is>
          <t>KTM-005</t>
        </is>
      </c>
      <c r="G38" s="17">
        <f>IFERROR(IF(COUNTA(tblGirdi[Alan Anahtarı])=0,"VERI_YOK",IF(AND(G36&gt;=ktm_iadeEsik,G36&gt;0),"IADE",IF(G35&gt;0,"MAHSUP","BEKLE"))),"")</f>
        <v/>
      </c>
    </row>
    <row r="39">
      <c r="A39" s="38" t="n">
        <v>33</v>
      </c>
      <c r="B39" s="15" t="inlineStr">
        <is>
          <t>Karar metni</t>
        </is>
      </c>
      <c r="C39" s="11">
        <f>IFERROR(IF(G38="VERI_YOK","VERİ YOK",IF(G38="IADE","İADE",IF(G38="MAHSUP","MAHSUP","BEKLE"))),"")</f>
        <v/>
      </c>
      <c r="D39" s="40" t="inlineStr">
        <is>
          <t>metin</t>
        </is>
      </c>
      <c r="E39" s="41" t="inlineStr">
        <is>
          <t>Kullanıcıya karar</t>
        </is>
      </c>
      <c r="F39" s="14" t="inlineStr">
        <is>
          <t>KTM-005</t>
        </is>
      </c>
      <c r="G39" s="17">
        <f>IFERROR(IF(G38="VERI_YOK","VERİ YOK",IF(G38="IADE","İADE",IF(G38="MAHSUP","MAHSUP","BEKLE"))),"")</f>
        <v/>
      </c>
    </row>
    <row r="40">
      <c r="A40" s="38" t="n">
        <v>34</v>
      </c>
      <c r="B40" s="15" t="inlineStr">
        <is>
          <t>Gerekçe</t>
        </is>
      </c>
      <c r="C40" s="11">
        <f>IFERROR(IF(G38="VERI_YOK","Giriş tablosu boş — hesap yapılamaz.",IF(G38="IADE","İade uygun tutar eşik üzerinde; iade listesi öncelikli.",IF(G38="MAHSUP","Mahsup edilebilir tutar var; 2 Numaralı mahsup listesi öncelikli.","Mahsup ve iade net değil; belge/oran belirsizliği — bekleyin."))),"")</f>
        <v/>
      </c>
      <c r="D40" s="40" t="inlineStr">
        <is>
          <t>metin</t>
        </is>
      </c>
      <c r="E40" s="41" t="inlineStr">
        <is>
          <t>Gerekçe cümlesi</t>
        </is>
      </c>
      <c r="F40" s="14" t="inlineStr">
        <is>
          <t>KTM-005</t>
        </is>
      </c>
      <c r="G40" s="17">
        <f>IFERROR(IF(G38="VERI_YOK","Giriş tablosu boş — hesap yapılamaz.",IF(G38="IADE","İade uygun tutar eşik üzerinde; iade listesi öncelikli.",IF(G38="MAHSUP","Mahsup edilebilir tutar var; 2 Numaralı mahsup listesi öncelikli.","Mahsup ve iade net değil; belge/oran belirsizliği — bekleyin."))),"")</f>
        <v/>
      </c>
    </row>
    <row r="41">
      <c r="A41" s="38" t="n">
        <v>35</v>
      </c>
      <c r="B41" s="15" t="inlineStr">
        <is>
          <t>Tevkifat / matrah oranı</t>
        </is>
      </c>
      <c r="C41" s="42">
        <f>IFERROR(IF((G14+G15+G16+G17)=0,0,G29/(G14+G15+G16+G17)),0)</f>
        <v/>
      </c>
      <c r="D41" s="40" t="inlineStr">
        <is>
          <t>oran</t>
        </is>
      </c>
      <c r="E41" s="41" t="inlineStr">
        <is>
          <t>Ortalama tevkifat yoğunluğu</t>
        </is>
      </c>
      <c r="F41" s="14" t="inlineStr">
        <is>
          <t>KTM-005</t>
        </is>
      </c>
      <c r="G41" s="18">
        <f>IFERROR(IF((G14+G15+G16+G17)=0,0,G29/(G14+G15+G16+G17)),0)</f>
        <v/>
      </c>
    </row>
    <row r="42">
      <c r="A42" s="38" t="n">
        <v>36</v>
      </c>
      <c r="B42" s="15" t="inlineStr">
        <is>
          <t>Mahsup / havuz</t>
        </is>
      </c>
      <c r="C42" s="42">
        <f>IFERROR(IF(G30=0,0,G35/G30),0)</f>
        <v/>
      </c>
      <c r="D42" s="40" t="inlineStr">
        <is>
          <t>oran</t>
        </is>
      </c>
      <c r="E42" s="41" t="inlineStr">
        <is>
          <t>Mahsup karşılama</t>
        </is>
      </c>
      <c r="F42" s="14" t="inlineStr">
        <is>
          <t>KTM-005</t>
        </is>
      </c>
      <c r="G42" s="18">
        <f>IFERROR(IF(G30=0,0,G35/G30),0)</f>
        <v/>
      </c>
    </row>
    <row r="43">
      <c r="A43" s="38" t="n">
        <v>37</v>
      </c>
      <c r="B43" s="15" t="inlineStr">
        <is>
          <t>Güven skoru</t>
        </is>
      </c>
      <c r="C43" s="39">
        <f>IFERROR(ROUND(IF(OR(COUNTA(GIRDI!B6:B16)=0,ktm_girisBeklenen=0),0,COUNTA(GIRDI!B6:B16)/ktm_girisBeklenen*100),0),0)</f>
        <v/>
      </c>
      <c r="D43" s="40" t="inlineStr">
        <is>
          <t>puan</t>
        </is>
      </c>
      <c r="E43" s="41" t="inlineStr">
        <is>
          <t>Giriş bütünlüğü</t>
        </is>
      </c>
      <c r="F43" s="14" t="inlineStr">
        <is>
          <t>KTM-005</t>
        </is>
      </c>
      <c r="G43" s="29">
        <f>IFERROR(ROUND(IF(OR(COUNTA(GIRDI!B6:B16)=0,ktm_girisBeklenen=0),0,COUNTA(GIRDI!B6:B16)/ktm_girisBeklenen*100),0),0)</f>
        <v/>
      </c>
    </row>
    <row r="44">
      <c r="A44" s="38" t="n">
        <v>38</v>
      </c>
      <c r="B44" s="15" t="inlineStr">
        <is>
          <t>Risk skoru</t>
        </is>
      </c>
      <c r="C44" s="39">
        <f>IFERROR(IF(G38="VERI_YOK",0,IF(G38="BEKLE",ktm_riskYuksek,IF(G38="IADE",ktm_riskOrta,ktm_riskDusuk))),0)</f>
        <v/>
      </c>
      <c r="D44" s="40" t="inlineStr">
        <is>
          <t>puan</t>
        </is>
      </c>
      <c r="E44" s="41" t="inlineStr">
        <is>
          <t>Karar riski</t>
        </is>
      </c>
      <c r="F44" s="14" t="inlineStr">
        <is>
          <t>KTM-005</t>
        </is>
      </c>
      <c r="G44" s="29">
        <f>IFERROR(IF(G38="VERI_YOK",0,IF(G38="BEKLE",ktm_riskYuksek,IF(G38="IADE",ktm_riskOrta,ktm_riskDusuk))),0)</f>
        <v/>
      </c>
    </row>
    <row r="45">
      <c r="A45" s="38" t="n">
        <v>39</v>
      </c>
      <c r="B45" s="15" t="inlineStr">
        <is>
          <t>Senaryo iyimser matrah çarpanı</t>
        </is>
      </c>
      <c r="C45" s="42">
        <f>IFERROR(ktm_senaryoIyi+N(GIRDI!B9)*0,0)</f>
        <v/>
      </c>
      <c r="D45" s="40" t="inlineStr">
        <is>
          <t>oran</t>
        </is>
      </c>
      <c r="E45" s="41" t="inlineStr">
        <is>
          <t>İyimser çarpan</t>
        </is>
      </c>
      <c r="F45" s="14" t="inlineStr">
        <is>
          <t>KTM-005</t>
        </is>
      </c>
      <c r="G45" s="18">
        <f>IFERROR(ktm_senaryoIyi+N(GIRDI!B9)*0,0)</f>
        <v/>
      </c>
    </row>
    <row r="46">
      <c r="A46" s="38" t="n">
        <v>40</v>
      </c>
      <c r="B46" s="15" t="inlineStr">
        <is>
          <t>Senaryo kötümser matrah çarpanı</t>
        </is>
      </c>
      <c r="C46" s="42">
        <f>IFERROR(ktm_senaryoKotu+N(GIRDI!B9)*0,0)</f>
        <v/>
      </c>
      <c r="D46" s="40" t="inlineStr">
        <is>
          <t>oran</t>
        </is>
      </c>
      <c r="E46" s="41" t="inlineStr">
        <is>
          <t>Kötümser çarpan</t>
        </is>
      </c>
      <c r="F46" s="14" t="inlineStr">
        <is>
          <t>KTM-005</t>
        </is>
      </c>
      <c r="G46" s="18">
        <f>IFERROR(ktm_senaryoKotu+N(GIRDI!B9)*0,0)</f>
        <v/>
      </c>
    </row>
    <row r="47">
      <c r="A47" s="38" t="n">
        <v>41</v>
      </c>
      <c r="B47" s="15" t="inlineStr">
        <is>
          <t>İyimser tevkifat</t>
        </is>
      </c>
      <c r="C47" s="43">
        <f>IFERROR(ROUND((G14*G45*G12*G8+G15*G45*G12*G9+G16*G45*G12*G10+G17*G45*G12*G11)+G19,MAX(0,MIN(ktm_yuvarMax,IFERROR(N(G13),0)))),0)</f>
        <v/>
      </c>
      <c r="D47" s="40" t="inlineStr">
        <is>
          <t>TL</t>
        </is>
      </c>
      <c r="E47" s="41" t="inlineStr">
        <is>
          <t>İyimser havuz</t>
        </is>
      </c>
      <c r="F47" s="14" t="inlineStr">
        <is>
          <t>KTM-001</t>
        </is>
      </c>
      <c r="G47" s="16">
        <f>IFERROR(ROUND((G14*G45*G12*G8+G15*G45*G12*G9+G16*G45*G12*G10+G17*G45*G12*G11)+G19,MAX(0,MIN(ktm_yuvarMax,IFERROR(N(G13),0)))),0)</f>
        <v/>
      </c>
    </row>
    <row r="48">
      <c r="A48" s="38" t="n">
        <v>42</v>
      </c>
      <c r="B48" s="15" t="inlineStr">
        <is>
          <t>Kötümser tevkifat</t>
        </is>
      </c>
      <c r="C48" s="43">
        <f>IFERROR(ROUND((G14*G46*G12*G8+G15*G46*G12*G9+G16*G46*G12*G10+G17*G46*G12*G11)+G19,MAX(0,MIN(ktm_yuvarMax,IFERROR(N(G13),0)))),0)</f>
        <v/>
      </c>
      <c r="D48" s="40" t="inlineStr">
        <is>
          <t>TL</t>
        </is>
      </c>
      <c r="E48" s="41" t="inlineStr">
        <is>
          <t>Kötümser havuz</t>
        </is>
      </c>
      <c r="F48" s="14" t="inlineStr">
        <is>
          <t>KTM-001</t>
        </is>
      </c>
      <c r="G48" s="16">
        <f>IFERROR(ROUND((G14*G46*G12*G8+G15*G46*G12*G9+G16*G46*G12*G10+G17*G46*G12*G11)+G19,MAX(0,MIN(ktm_yuvarMax,IFERROR(N(G13),0)))),0)</f>
        <v/>
      </c>
    </row>
    <row r="49">
      <c r="A49" s="38" t="n">
        <v>43</v>
      </c>
      <c r="B49" s="15" t="inlineStr">
        <is>
          <t>M-SEN 2/10 +1 puan</t>
        </is>
      </c>
      <c r="C49" s="43">
        <f>IFERROR(ROUND(G21*(G8+ktm_oranArtisPuan),MAX(0,MIN(ktm_yuvarMax,IFERROR(N(G13),0)))),0)</f>
        <v/>
      </c>
      <c r="D49" s="40" t="inlineStr">
        <is>
          <t>TL</t>
        </is>
      </c>
      <c r="E49" s="41" t="inlineStr">
        <is>
          <t>M-SEN 2/10</t>
        </is>
      </c>
      <c r="F49" s="14" t="inlineStr">
        <is>
          <t>KTM-001</t>
        </is>
      </c>
      <c r="G49" s="16">
        <f>IFERROR(ROUND(G21*(G8+ktm_oranArtisPuan),MAX(0,MIN(ktm_yuvarMax,IFERROR(N(G13),0)))),0)</f>
        <v/>
      </c>
    </row>
    <row r="50">
      <c r="A50" s="38" t="n">
        <v>44</v>
      </c>
      <c r="B50" s="15" t="inlineStr">
        <is>
          <t>M-SEN toplam tevkifat</t>
        </is>
      </c>
      <c r="C50" s="43">
        <f>IFERROR(G49+G26+G27+G28,0)</f>
        <v/>
      </c>
      <c r="D50" s="40" t="inlineStr">
        <is>
          <t>TL</t>
        </is>
      </c>
      <c r="E50" s="41" t="inlineStr">
        <is>
          <t>Kural değişimi toplam</t>
        </is>
      </c>
      <c r="F50" s="14" t="inlineStr">
        <is>
          <t>KTM-001</t>
        </is>
      </c>
      <c r="G50" s="16">
        <f>IFERROR(G49+G26+G27+G28,0)</f>
        <v/>
      </c>
    </row>
    <row r="51">
      <c r="A51" s="38" t="n">
        <v>45</v>
      </c>
      <c r="B51" s="15" t="inlineStr">
        <is>
          <t>M-SEN mahsup</t>
        </is>
      </c>
      <c r="C51" s="43">
        <f>IFERROR(MIN(G50+G19,G18),0)</f>
        <v/>
      </c>
      <c r="D51" s="40" t="inlineStr">
        <is>
          <t>TL</t>
        </is>
      </c>
      <c r="E51" s="41" t="inlineStr">
        <is>
          <t>M-SEN mahsup</t>
        </is>
      </c>
      <c r="F51" s="14" t="inlineStr">
        <is>
          <t>KTM-005</t>
        </is>
      </c>
      <c r="G51" s="16">
        <f>IFERROR(MIN(G50+G19,G18),0)</f>
        <v/>
      </c>
    </row>
    <row r="52">
      <c r="A52" s="38" t="n">
        <v>46</v>
      </c>
      <c r="B52" s="15" t="inlineStr">
        <is>
          <t>M-SEN iade uygun</t>
        </is>
      </c>
      <c r="C52" s="43">
        <f>IFERROR(MAX(0,G50+G19-G51),0)</f>
        <v/>
      </c>
      <c r="D52" s="40" t="inlineStr">
        <is>
          <t>TL</t>
        </is>
      </c>
      <c r="E52" s="41" t="inlineStr">
        <is>
          <t>M-SEN iade</t>
        </is>
      </c>
      <c r="F52" s="14" t="inlineStr">
        <is>
          <t>KTM-005</t>
        </is>
      </c>
      <c r="G52" s="16">
        <f>IFERROR(MAX(0,G50+G19-G51),0)</f>
        <v/>
      </c>
    </row>
    <row r="53">
      <c r="A53" s="38" t="n">
        <v>47</v>
      </c>
      <c r="B53" s="15" t="inlineStr">
        <is>
          <t>Tahmin üst iade</t>
        </is>
      </c>
      <c r="C53" s="43">
        <f>IFERROR(G36*ktm_tahminUst,0)</f>
        <v/>
      </c>
      <c r="D53" s="40" t="inlineStr">
        <is>
          <t>TL</t>
        </is>
      </c>
      <c r="E53" s="41" t="inlineStr">
        <is>
          <t>Tahmin üst bant</t>
        </is>
      </c>
      <c r="F53" s="14" t="inlineStr">
        <is>
          <t>KTM-005</t>
        </is>
      </c>
      <c r="G53" s="16">
        <f>IFERROR(G36*ktm_tahminUst,0)</f>
        <v/>
      </c>
    </row>
    <row r="54">
      <c r="A54" s="38" t="n">
        <v>48</v>
      </c>
      <c r="B54" s="15" t="inlineStr">
        <is>
          <t>Tahmin alt iade</t>
        </is>
      </c>
      <c r="C54" s="43">
        <f>IFERROR(G36*ktm_tahminAlt,0)</f>
        <v/>
      </c>
      <c r="D54" s="40" t="inlineStr">
        <is>
          <t>TL</t>
        </is>
      </c>
      <c r="E54" s="41" t="inlineStr">
        <is>
          <t>Tahmin alt bant</t>
        </is>
      </c>
      <c r="F54" s="14" t="inlineStr">
        <is>
          <t>KTM-005</t>
        </is>
      </c>
      <c r="G54" s="16">
        <f>IFERROR(G36*ktm_tahminAlt,0)</f>
        <v/>
      </c>
    </row>
    <row r="55">
      <c r="A55" s="38" t="n">
        <v>49</v>
      </c>
      <c r="B55" s="15" t="inlineStr">
        <is>
          <t>Tornado: matrah etkisi</t>
        </is>
      </c>
      <c r="C55" s="43">
        <f>IFERROR(ABS(ROUND(G14*ktm_tornadoMatrah*G12*G8+G15*ktm_tornadoMatrah*G12*G9+G16*ktm_tornadoMatrah*G12*G10+G17*ktm_tornadoMatrah*G12*G11,MAX(0,MIN(ktm_yuvarMax,IFERROR(N(G13),0))))-G29),0)</f>
        <v/>
      </c>
      <c r="D55" s="40" t="inlineStr">
        <is>
          <t>TL</t>
        </is>
      </c>
      <c r="E55" s="41" t="inlineStr">
        <is>
          <t>Matrah ± etki</t>
        </is>
      </c>
      <c r="F55" s="14" t="inlineStr">
        <is>
          <t>KTM-005</t>
        </is>
      </c>
      <c r="G55" s="16">
        <f>IFERROR(ABS(ROUND(G14*ktm_tornadoMatrah*G12*G8+G15*ktm_tornadoMatrah*G12*G9+G16*ktm_tornadoMatrah*G12*G10+G17*ktm_tornadoMatrah*G12*G11,MAX(0,MIN(ktm_yuvarMax,IFERROR(N(G13),0))))-G29),0)</f>
        <v/>
      </c>
    </row>
    <row r="56">
      <c r="A56" s="38" t="n">
        <v>50</v>
      </c>
      <c r="B56" s="15" t="inlineStr">
        <is>
          <t>Tornado: KDV1 etkisi</t>
        </is>
      </c>
      <c r="C56" s="43">
        <f>IFERROR(ABS(MIN(G30,G18*ktm_tornadoKdv1)-G35),0)</f>
        <v/>
      </c>
      <c r="D56" s="40" t="inlineStr">
        <is>
          <t>TL</t>
        </is>
      </c>
      <c r="E56" s="41" t="inlineStr">
        <is>
          <t>KDV1 ± etki</t>
        </is>
      </c>
      <c r="F56" s="14" t="inlineStr">
        <is>
          <t>KTM-005</t>
        </is>
      </c>
      <c r="G56" s="16">
        <f>IFERROR(ABS(MIN(G30,G18*ktm_tornadoKdv1)-G35),0)</f>
        <v/>
      </c>
    </row>
    <row r="57">
      <c r="A57" s="38" t="n">
        <v>51</v>
      </c>
      <c r="B57" s="15" t="inlineStr">
        <is>
          <t>Tornado: oran etkisi</t>
        </is>
      </c>
      <c r="C57" s="43">
        <f>IFERROR(ABS(ROUND(G21*(G8+ktm_oranArtisPuan)+G26+G27+G28,MAX(0,MIN(ktm_yuvarMax,IFERROR(N(G13),0))))-G29),0)</f>
        <v/>
      </c>
      <c r="D57" s="40" t="inlineStr">
        <is>
          <t>TL</t>
        </is>
      </c>
      <c r="E57" s="41" t="inlineStr">
        <is>
          <t>Oran ± etki</t>
        </is>
      </c>
      <c r="F57" s="14" t="inlineStr">
        <is>
          <t>KTM-001</t>
        </is>
      </c>
      <c r="G57" s="16">
        <f>IFERROR(ABS(ROUND(G21*(G8+ktm_oranArtisPuan)+G26+G27+G28,MAX(0,MIN(ktm_yuvarMax,IFERROR(N(G13),0))))-G29),0)</f>
        <v/>
      </c>
    </row>
    <row r="58">
      <c r="A58" s="38" t="n">
        <v>52</v>
      </c>
      <c r="B58" s="15" t="inlineStr">
        <is>
          <t>Madde atıf özeti</t>
        </is>
      </c>
      <c r="C58" s="11">
        <f>IFERROR(_xlfn.TEXTJOIN(" | ",TRUE,"KTM-001→2/10","KTM-002→5/10","KTM-003→7/10","KTM-004→9/10"),"")</f>
        <v/>
      </c>
      <c r="D58" s="40" t="inlineStr">
        <is>
          <t>metin</t>
        </is>
      </c>
      <c r="E58" s="41" t="inlineStr">
        <is>
          <t>Kanıt atıfları</t>
        </is>
      </c>
      <c r="F58" s="14" t="inlineStr">
        <is>
          <t>KTM-001</t>
        </is>
      </c>
      <c r="G58" s="17">
        <f>IFERROR(_xlfn.TEXTJOIN(" | ",TRUE,"KTM-001→2/10","KTM-002→5/10","KTM-003→7/10","KTM-004→9/10"),"")</f>
        <v/>
      </c>
    </row>
    <row r="59">
      <c r="A59" s="38" t="n">
        <v>53</v>
      </c>
      <c r="B59" s="15" t="inlineStr">
        <is>
          <t>Kanıt satır özeti</t>
        </is>
      </c>
      <c r="C59" s="11">
        <f>IFERROR(_xlfn.TEXTJOIN(" · ",TRUE,"Tevkifat=",TEXT(G29,"₺ #,##0"),"Mahsup=",TEXT(G35,"₺ #,##0"),"İade=",TEXT(G36,"₺ #,##0")),"")</f>
        <v/>
      </c>
      <c r="D59" s="40" t="inlineStr">
        <is>
          <t>metin</t>
        </is>
      </c>
      <c r="E59" s="41" t="inlineStr">
        <is>
          <t>Rapor özeti</t>
        </is>
      </c>
      <c r="F59" s="14" t="inlineStr">
        <is>
          <t>KTM-005</t>
        </is>
      </c>
      <c r="G59" s="17">
        <f>IFERROR(_xlfn.TEXTJOIN(" · ",TRUE,"Tevkifat=",TEXT(G29,"₺ #,##0"),"Mahsup=",TEXT(G35,"₺ #,##0"),"İade=",TEXT(G36,"₺ #,##0")),"")</f>
        <v/>
      </c>
    </row>
    <row r="60">
      <c r="A60" s="38" t="n">
        <v>54</v>
      </c>
      <c r="B60" s="15" t="inlineStr">
        <is>
          <t>Kalite skoru</t>
        </is>
      </c>
      <c r="C60" s="39">
        <f>IFERROR(ROUND(IF(OR(COUNTA(GIRDI!B6:B16)=0,ktm_girisBeklenen=0),0,COUNTA(GIRDI!B6:B16)/ktm_girisBeklenen*100),0),0)</f>
        <v/>
      </c>
      <c r="D60" s="40" t="inlineStr">
        <is>
          <t>puan</t>
        </is>
      </c>
      <c r="E60" s="41" t="inlineStr">
        <is>
          <t>Giriş kalitesi</t>
        </is>
      </c>
      <c r="F60" s="14" t="inlineStr">
        <is>
          <t>KTM-005</t>
        </is>
      </c>
      <c r="G60" s="29">
        <f>IFERROR(ROUND(IF(OR(COUNTA(GIRDI!B6:B16)=0,ktm_girisBeklenen=0),0,COUNTA(GIRDI!B6:B16)/ktm_girisBeklenen*100),0),0)</f>
        <v/>
      </c>
    </row>
    <row r="62">
      <c r="I62" s="22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60">
    <cfRule type="cellIs" priority="1" operator="lessThan" dxfId="4">
      <formula>0</formula>
    </cfRule>
  </conditionalFormatting>
  <conditionalFormatting sqref="F7:F60">
    <cfRule type="expression" priority="2" dxfId="6">
      <formula>F7="KTM-001"</formula>
    </cfRule>
    <cfRule type="expression" priority="3" dxfId="4">
      <formula>F7="KTM-005"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MAHSUP LISTE — KDV Tevkifat Mahsup ve KDV İade Listesi</t>
        </is>
      </c>
    </row>
    <row r="3">
      <c r="A3" s="36" t="inlineStr">
        <is>
          <t>2 Numaralı beyanname — tevkifat mahsup listesi</t>
        </is>
      </c>
    </row>
    <row r="4">
      <c r="A4" s="22" t="inlineStr">
        <is>
          <t>Satır bazlı mahsup cetveli; oranlar kural_id ile MOTOR'dan gelir.</t>
        </is>
      </c>
    </row>
    <row r="6" ht="30" customHeight="1">
      <c r="A6" s="13" t="inlineStr">
        <is>
          <t>Satır Numarası</t>
        </is>
      </c>
      <c r="B6" s="13" t="inlineStr">
        <is>
          <t>Oran Kodu</t>
        </is>
      </c>
      <c r="C6" s="13" t="inlineStr">
        <is>
          <t>Matrah</t>
        </is>
      </c>
      <c r="D6" s="13" t="inlineStr">
        <is>
          <t>KDV</t>
        </is>
      </c>
      <c r="E6" s="13" t="inlineStr">
        <is>
          <t>Tevkifat Oranı</t>
        </is>
      </c>
      <c r="F6" s="13" t="inlineStr">
        <is>
          <t>Tevkifat Tutarı</t>
        </is>
      </c>
      <c r="G6" s="13" t="inlineStr">
        <is>
          <t>Mahsup Edilebilir</t>
        </is>
      </c>
      <c r="H6" s="13" t="inlineStr">
        <is>
          <t>Kural</t>
        </is>
      </c>
      <c r="I6" s="13" t="inlineStr">
        <is>
          <t>Kontrol</t>
        </is>
      </c>
      <c r="M6" s="44" t="inlineStr">
        <is>
          <t>TevkifatDemo</t>
        </is>
      </c>
    </row>
    <row r="7">
      <c r="A7" s="45" t="n">
        <v>1</v>
      </c>
      <c r="B7" s="46" t="inlineStr">
        <is>
          <t>2/10</t>
        </is>
      </c>
      <c r="C7" s="47" t="n">
        <v>1000000</v>
      </c>
      <c r="D7" s="47" t="n">
        <v>200000</v>
      </c>
      <c r="E7" s="48" t="n">
        <v>0.2</v>
      </c>
      <c r="F7" s="47" t="n">
        <v>40000</v>
      </c>
      <c r="G7" s="47" t="n">
        <v>23810</v>
      </c>
      <c r="H7" s="49" t="inlineStr">
        <is>
          <t>KTM-001</t>
        </is>
      </c>
      <c r="I7" s="46" t="inlineStr">
        <is>
          <t>TAM</t>
        </is>
      </c>
      <c r="M7" s="20" t="n">
        <v>40000</v>
      </c>
    </row>
    <row r="8">
      <c r="A8" s="45" t="n">
        <v>2</v>
      </c>
      <c r="B8" s="46" t="inlineStr">
        <is>
          <t>5/10</t>
        </is>
      </c>
      <c r="C8" s="47" t="n">
        <v>500000</v>
      </c>
      <c r="D8" s="47" t="n">
        <v>100000</v>
      </c>
      <c r="E8" s="48" t="n">
        <v>0.5</v>
      </c>
      <c r="F8" s="47" t="n">
        <v>50000</v>
      </c>
      <c r="G8" s="47" t="n">
        <v>29762</v>
      </c>
      <c r="H8" s="49" t="inlineStr">
        <is>
          <t>KTM-002</t>
        </is>
      </c>
      <c r="I8" s="46" t="inlineStr">
        <is>
          <t>TAM</t>
        </is>
      </c>
      <c r="M8" s="20" t="n">
        <v>50000</v>
      </c>
    </row>
    <row r="9">
      <c r="A9" s="45" t="n">
        <v>3</v>
      </c>
      <c r="B9" s="46" t="inlineStr">
        <is>
          <t>7/10</t>
        </is>
      </c>
      <c r="C9" s="47" t="n">
        <v>300000</v>
      </c>
      <c r="D9" s="47" t="n">
        <v>60000</v>
      </c>
      <c r="E9" s="48" t="n">
        <v>0.7</v>
      </c>
      <c r="F9" s="47" t="n">
        <v>42000</v>
      </c>
      <c r="G9" s="47" t="n">
        <v>25000</v>
      </c>
      <c r="H9" s="49" t="inlineStr">
        <is>
          <t>KTM-003</t>
        </is>
      </c>
      <c r="I9" s="46" t="inlineStr">
        <is>
          <t>TAM</t>
        </is>
      </c>
      <c r="M9" s="20" t="n">
        <v>42000</v>
      </c>
    </row>
    <row r="10">
      <c r="A10" s="45" t="n">
        <v>4</v>
      </c>
      <c r="B10" s="46" t="inlineStr">
        <is>
          <t>9/10</t>
        </is>
      </c>
      <c r="C10" s="47" t="n">
        <v>200000</v>
      </c>
      <c r="D10" s="47" t="n">
        <v>40000</v>
      </c>
      <c r="E10" s="48" t="n">
        <v>0.9</v>
      </c>
      <c r="F10" s="47" t="n">
        <v>36000</v>
      </c>
      <c r="G10" s="47" t="n">
        <v>21429</v>
      </c>
      <c r="H10" s="49" t="inlineStr">
        <is>
          <t>KTM-004</t>
        </is>
      </c>
      <c r="I10" s="46" t="inlineStr">
        <is>
          <t>TAM</t>
        </is>
      </c>
      <c r="M10" s="20" t="n">
        <v>36000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10" t="inlineStr">
        <is>
          <t>Canlı mahsup (MOTOR)</t>
        </is>
      </c>
      <c r="K12" s="28">
        <f>IFERROR(ktm_mahsupToplam,0)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10" t="inlineStr">
        <is>
          <t>Liste metni</t>
        </is>
      </c>
      <c r="K13" s="11">
        <f>IFERROR(_xlfn.TEXTJOIN(" | ",TRUE,"2/10=",TEXT(F7,"₺ #,##0"),"5/10=",TEXT(F8,"₺ #,##0"),"7/10=",TEXT(F9,"₺ #,##0"),"9/10=",TEXT(F10,"₺ #,##0"),"Mahsup=",TEXT(K12,"₺ #,##0")),"-")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F7:F10">
    <cfRule type="cellIs" priority="1" operator="greaterThan" dxfId="5">
      <formula>0</formula>
    </cfRule>
  </conditionalFormatting>
  <conditionalFormatting sqref="C7:C10">
    <cfRule type="cellIs" priority="2" operator="lessThan" dxfId="4">
      <formula>0</formula>
    </cfRule>
  </conditionalFormatting>
  <conditionalFormatting sqref="G7:G10">
    <cfRule type="cellIs" priority="3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45911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8" customWidth="1" min="6" max="6"/>
    <col width="12" customWidth="1" min="7" max="7"/>
    <col width="20" customWidth="1" min="9" max="9"/>
    <col width="55" customWidth="1" min="10" max="10"/>
  </cols>
  <sheetData>
    <row r="1" ht="26" customHeight="1">
      <c r="A1" s="1" t="inlineStr">
        <is>
          <t>IADE LISTE — KDV Tevkifat Mahsup ve KDV İade Listesi</t>
        </is>
      </c>
    </row>
    <row r="3">
      <c r="A3" s="36" t="inlineStr">
        <is>
          <t>KDV iade satır cetveli</t>
        </is>
      </c>
    </row>
    <row r="4">
      <c r="A4" s="22" t="inlineStr">
        <is>
          <t>Mahsup sonrası iade uygun tutar ve talep sapması.</t>
        </is>
      </c>
    </row>
    <row r="6" ht="30" customHeight="1">
      <c r="A6" s="13" t="inlineStr">
        <is>
          <t>Satır Numarası</t>
        </is>
      </c>
      <c r="B6" s="13" t="inlineStr">
        <is>
          <t>Kalem</t>
        </is>
      </c>
      <c r="C6" s="13" t="inlineStr">
        <is>
          <t>Tutar</t>
        </is>
      </c>
      <c r="D6" s="13" t="inlineStr">
        <is>
          <t>Kaynak</t>
        </is>
      </c>
      <c r="E6" s="13" t="inlineStr">
        <is>
          <t>Durum</t>
        </is>
      </c>
      <c r="F6" s="13" t="inlineStr">
        <is>
          <t>Not</t>
        </is>
      </c>
      <c r="G6" s="13" t="inlineStr">
        <is>
          <t>Kontrol</t>
        </is>
      </c>
      <c r="L6" s="44" t="inlineStr">
        <is>
          <t>IadeDemo</t>
        </is>
      </c>
    </row>
    <row r="7">
      <c r="A7" s="45" t="n">
        <v>1</v>
      </c>
      <c r="B7" s="46" t="inlineStr">
        <is>
          <t>İade uygun (seçili)</t>
        </is>
      </c>
      <c r="C7" s="47" t="n">
        <v>88000</v>
      </c>
      <c r="D7" s="46" t="inlineStr">
        <is>
          <t>MOTOR</t>
        </is>
      </c>
      <c r="E7" s="46" t="inlineStr">
        <is>
          <t>İADE ADAYI</t>
        </is>
      </c>
      <c r="F7" s="46" t="inlineStr">
        <is>
          <t>Mahsup sonrası</t>
        </is>
      </c>
      <c r="G7" s="46" t="inlineStr">
        <is>
          <t>TAM</t>
        </is>
      </c>
      <c r="L7" s="20" t="n">
        <v>88000</v>
      </c>
    </row>
    <row r="8">
      <c r="A8" s="45" t="n">
        <v>2</v>
      </c>
      <c r="B8" s="46" t="inlineStr">
        <is>
          <t>İade talep</t>
        </is>
      </c>
      <c r="C8" s="47" t="n">
        <v>80000</v>
      </c>
      <c r="D8" s="46" t="inlineStr">
        <is>
          <t>GIRDI</t>
        </is>
      </c>
      <c r="E8" s="46" t="inlineStr">
        <is>
          <t>TALEP VAR</t>
        </is>
      </c>
      <c r="F8" s="46" t="inlineStr">
        <is>
          <t>Kullanıcı girişi</t>
        </is>
      </c>
      <c r="G8" s="46" t="inlineStr">
        <is>
          <t>TAM</t>
        </is>
      </c>
      <c r="L8" s="20" t="n">
        <v>80000</v>
      </c>
    </row>
    <row r="9">
      <c r="A9" s="45" t="n">
        <v>3</v>
      </c>
      <c r="B9" s="46" t="inlineStr">
        <is>
          <t>Sapma (uygun−talep)</t>
        </is>
      </c>
      <c r="C9" s="47" t="n">
        <v>8000</v>
      </c>
      <c r="D9" s="46" t="inlineStr">
        <is>
          <t>MOTOR</t>
        </is>
      </c>
      <c r="E9" s="46" t="inlineStr">
        <is>
          <t>FAZLA UYGUN</t>
        </is>
      </c>
      <c r="F9" s="46" t="inlineStr">
        <is>
          <t>Sapma</t>
        </is>
      </c>
      <c r="G9" s="46" t="inlineStr">
        <is>
          <t>TAM</t>
        </is>
      </c>
      <c r="L9" s="20" t="n">
        <v>8000</v>
      </c>
    </row>
    <row r="10">
      <c r="A10" s="45" t="n">
        <v>4</v>
      </c>
      <c r="B10" s="46" t="inlineStr">
        <is>
          <t>Mahsup edilen</t>
        </is>
      </c>
      <c r="C10" s="47" t="n">
        <v>100000</v>
      </c>
      <c r="D10" s="46" t="inlineStr">
        <is>
          <t>MOTOR</t>
        </is>
      </c>
      <c r="E10" s="46" t="inlineStr">
        <is>
          <t>MAHSUP VAR</t>
        </is>
      </c>
      <c r="F10" s="46" t="inlineStr">
        <is>
          <t>Öncelik A/B</t>
        </is>
      </c>
      <c r="G10" s="46" t="inlineStr">
        <is>
          <t>TAM</t>
        </is>
      </c>
      <c r="L10" s="20" t="n">
        <v>100000</v>
      </c>
    </row>
    <row r="11">
      <c r="A11" s="45" t="n">
        <v>5</v>
      </c>
      <c r="B11" s="46" t="inlineStr">
        <is>
          <t>Havuz bakiyesi</t>
        </is>
      </c>
      <c r="C11" s="47" t="n">
        <v>188000</v>
      </c>
      <c r="D11" s="46" t="inlineStr">
        <is>
          <t>MOTOR</t>
        </is>
      </c>
      <c r="E11" s="46" t="inlineStr">
        <is>
          <t>HAVUZ DOLU</t>
        </is>
      </c>
      <c r="F11" s="46" t="inlineStr">
        <is>
          <t>Dönem+önceki</t>
        </is>
      </c>
      <c r="G11" s="46" t="inlineStr">
        <is>
          <t>TAM</t>
        </is>
      </c>
      <c r="L11" s="20" t="n">
        <v>188000</v>
      </c>
    </row>
    <row r="12">
      <c r="A12" s="30" t="n"/>
      <c r="B12" s="30" t="n"/>
      <c r="C12" s="30" t="n"/>
      <c r="D12" s="30" t="n"/>
      <c r="E12" s="30" t="n"/>
      <c r="F12" s="30" t="n"/>
      <c r="G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I13" s="10" t="inlineStr">
        <is>
          <t>Canlı iade (MOTOR)</t>
        </is>
      </c>
      <c r="J13" s="28">
        <f>IFERROR(ktm_iadeUygun,0)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I14" s="10" t="inlineStr">
        <is>
          <t>Liste metni</t>
        </is>
      </c>
      <c r="J14" s="11">
        <f>IFERROR(_xlfn.TEXTJOIN(" | ",TRUE,"Uygun=",TEXT(J13,"₺ #,##0"),"Talep=",TEXT(C8,"₺ #,##0"),"Sapma=",TEXT(C9,"₺ #,##0")),"-")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</row>
    <row r="16">
      <c r="A16" s="30" t="n"/>
      <c r="B16" s="30" t="n"/>
      <c r="C16" s="30" t="n"/>
      <c r="D16" s="30" t="n"/>
      <c r="E16" s="30" t="n"/>
      <c r="F16" s="30" t="n"/>
      <c r="G16" s="30" t="n"/>
    </row>
    <row r="17">
      <c r="A17" s="30" t="n"/>
      <c r="B17" s="30" t="n"/>
      <c r="C17" s="30" t="n"/>
      <c r="D17" s="30" t="n"/>
      <c r="E17" s="30" t="n"/>
      <c r="F17" s="30" t="n"/>
      <c r="G17" s="30" t="n"/>
    </row>
    <row r="18">
      <c r="A18" s="30" t="n"/>
      <c r="B18" s="30" t="n"/>
      <c r="C18" s="30" t="n"/>
      <c r="D18" s="30" t="n"/>
      <c r="E18" s="30" t="n"/>
      <c r="F18" s="30" t="n"/>
      <c r="G18" s="30" t="n"/>
    </row>
    <row r="19">
      <c r="A19" s="30" t="n"/>
      <c r="B19" s="30" t="n"/>
      <c r="C19" s="30" t="n"/>
      <c r="D19" s="30" t="n"/>
      <c r="E19" s="30" t="n"/>
      <c r="F19" s="30" t="n"/>
      <c r="G19" s="30" t="n"/>
    </row>
    <row r="20">
      <c r="A20" s="30" t="n"/>
      <c r="B20" s="30" t="n"/>
      <c r="C20" s="30" t="n"/>
      <c r="D20" s="30" t="n"/>
      <c r="E20" s="30" t="n"/>
      <c r="F20" s="30" t="n"/>
      <c r="G20" s="30" t="n"/>
    </row>
    <row r="21">
      <c r="A21" s="30" t="n"/>
      <c r="B21" s="30" t="n"/>
      <c r="C21" s="30" t="n"/>
      <c r="D21" s="30" t="n"/>
      <c r="E21" s="30" t="n"/>
      <c r="F21" s="30" t="n"/>
      <c r="G21" s="30" t="n"/>
    </row>
    <row r="22">
      <c r="A22" s="30" t="n"/>
      <c r="B22" s="30" t="n"/>
      <c r="C22" s="30" t="n"/>
      <c r="D22" s="30" t="n"/>
      <c r="E22" s="30" t="n"/>
      <c r="F22" s="30" t="n"/>
      <c r="G22" s="30" t="n"/>
    </row>
    <row r="23">
      <c r="A23" s="30" t="n"/>
      <c r="B23" s="30" t="n"/>
      <c r="C23" s="30" t="n"/>
      <c r="D23" s="30" t="n"/>
      <c r="E23" s="30" t="n"/>
      <c r="F23" s="30" t="n"/>
      <c r="G23" s="30" t="n"/>
    </row>
    <row r="24">
      <c r="A24" s="30" t="n"/>
      <c r="B24" s="30" t="n"/>
      <c r="C24" s="30" t="n"/>
      <c r="D24" s="30" t="n"/>
      <c r="E24" s="30" t="n"/>
      <c r="F24" s="30" t="n"/>
      <c r="G24" s="30" t="n"/>
    </row>
    <row r="25">
      <c r="A25" s="30" t="n"/>
      <c r="B25" s="30" t="n"/>
      <c r="C25" s="30" t="n"/>
      <c r="D25" s="30" t="n"/>
      <c r="E25" s="30" t="n"/>
      <c r="F25" s="30" t="n"/>
      <c r="G25" s="30" t="n"/>
    </row>
    <row r="26">
      <c r="A26" s="30" t="n"/>
      <c r="B26" s="30" t="n"/>
      <c r="C26" s="30" t="n"/>
      <c r="D26" s="30" t="n"/>
      <c r="E26" s="30" t="n"/>
      <c r="F26" s="30" t="n"/>
      <c r="G26" s="30" t="n"/>
    </row>
    <row r="27">
      <c r="A27" s="30" t="n"/>
      <c r="B27" s="30" t="n"/>
      <c r="C27" s="30" t="n"/>
      <c r="D27" s="30" t="n"/>
      <c r="E27" s="30" t="n"/>
      <c r="F27" s="30" t="n"/>
      <c r="G27" s="30" t="n"/>
    </row>
    <row r="28">
      <c r="A28" s="30" t="n"/>
      <c r="B28" s="30" t="n"/>
      <c r="C28" s="30" t="n"/>
      <c r="D28" s="30" t="n"/>
      <c r="E28" s="30" t="n"/>
      <c r="F28" s="30" t="n"/>
      <c r="G28" s="30" t="n"/>
    </row>
    <row r="29">
      <c r="A29" s="30" t="n"/>
      <c r="B29" s="30" t="n"/>
      <c r="C29" s="30" t="n"/>
      <c r="D29" s="30" t="n"/>
      <c r="E29" s="30" t="n"/>
      <c r="F29" s="30" t="n"/>
      <c r="G29" s="30" t="n"/>
    </row>
    <row r="30">
      <c r="A30" s="30" t="n"/>
      <c r="B30" s="30" t="n"/>
      <c r="C30" s="30" t="n"/>
      <c r="D30" s="30" t="n"/>
      <c r="E30" s="30" t="n"/>
      <c r="F30" s="30" t="n"/>
      <c r="G30" s="30" t="n"/>
    </row>
    <row r="31">
      <c r="A31" s="30" t="n"/>
      <c r="B31" s="30" t="n"/>
      <c r="C31" s="30" t="n"/>
      <c r="D31" s="30" t="n"/>
      <c r="E31" s="30" t="n"/>
      <c r="F31" s="30" t="n"/>
      <c r="G31" s="30" t="n"/>
    </row>
    <row r="32">
      <c r="A32" s="30" t="n"/>
      <c r="B32" s="30" t="n"/>
      <c r="C32" s="30" t="n"/>
      <c r="D32" s="30" t="n"/>
      <c r="E32" s="30" t="n"/>
      <c r="F32" s="30" t="n"/>
      <c r="G32" s="30" t="n"/>
    </row>
    <row r="33">
      <c r="A33" s="30" t="n"/>
      <c r="B33" s="30" t="n"/>
      <c r="C33" s="30" t="n"/>
      <c r="D33" s="30" t="n"/>
      <c r="E33" s="30" t="n"/>
      <c r="F33" s="30" t="n"/>
      <c r="G33" s="30" t="n"/>
    </row>
    <row r="34">
      <c r="A34" s="30" t="n"/>
      <c r="B34" s="30" t="n"/>
      <c r="C34" s="30" t="n"/>
      <c r="D34" s="30" t="n"/>
      <c r="E34" s="30" t="n"/>
      <c r="F34" s="30" t="n"/>
      <c r="G34" s="30" t="n"/>
    </row>
    <row r="35">
      <c r="A35" s="30" t="n"/>
      <c r="B35" s="30" t="n"/>
      <c r="C35" s="30" t="n"/>
      <c r="D35" s="30" t="n"/>
      <c r="E35" s="30" t="n"/>
      <c r="F35" s="30" t="n"/>
      <c r="G35" s="30" t="n"/>
    </row>
    <row r="36">
      <c r="A36" s="30" t="n"/>
      <c r="B36" s="30" t="n"/>
      <c r="C36" s="30" t="n"/>
      <c r="D36" s="30" t="n"/>
      <c r="E36" s="30" t="n"/>
      <c r="F36" s="30" t="n"/>
      <c r="G36" s="30" t="n"/>
    </row>
    <row r="37">
      <c r="A37" s="30" t="n"/>
      <c r="B37" s="30" t="n"/>
      <c r="C37" s="30" t="n"/>
      <c r="D37" s="30" t="n"/>
      <c r="E37" s="30" t="n"/>
      <c r="F37" s="30" t="n"/>
      <c r="G37" s="30" t="n"/>
    </row>
    <row r="38">
      <c r="A38" s="30" t="n"/>
      <c r="B38" s="30" t="n"/>
      <c r="C38" s="30" t="n"/>
      <c r="D38" s="30" t="n"/>
      <c r="E38" s="30" t="n"/>
      <c r="F38" s="30" t="n"/>
      <c r="G38" s="30" t="n"/>
    </row>
    <row r="39">
      <c r="A39" s="30" t="n"/>
      <c r="B39" s="30" t="n"/>
      <c r="C39" s="30" t="n"/>
      <c r="D39" s="30" t="n"/>
      <c r="E39" s="30" t="n"/>
      <c r="F39" s="30" t="n"/>
      <c r="G39" s="30" t="n"/>
    </row>
    <row r="40">
      <c r="A40" s="30" t="n"/>
      <c r="B40" s="30" t="n"/>
      <c r="C40" s="30" t="n"/>
      <c r="D40" s="30" t="n"/>
      <c r="E40" s="30" t="n"/>
      <c r="F40" s="30" t="n"/>
      <c r="G40" s="30" t="n"/>
    </row>
    <row r="41">
      <c r="A41" s="30" t="n"/>
      <c r="B41" s="30" t="n"/>
      <c r="C41" s="30" t="n"/>
      <c r="D41" s="30" t="n"/>
      <c r="E41" s="30" t="n"/>
      <c r="F41" s="30" t="n"/>
      <c r="G41" s="30" t="n"/>
    </row>
    <row r="42">
      <c r="A42" s="30" t="n"/>
      <c r="B42" s="30" t="n"/>
      <c r="C42" s="30" t="n"/>
      <c r="D42" s="30" t="n"/>
      <c r="E42" s="30" t="n"/>
      <c r="F42" s="30" t="n"/>
      <c r="G42" s="30" t="n"/>
    </row>
    <row r="43">
      <c r="A43" s="30" t="n"/>
      <c r="B43" s="30" t="n"/>
      <c r="C43" s="30" t="n"/>
      <c r="D43" s="30" t="n"/>
      <c r="E43" s="30" t="n"/>
      <c r="F43" s="30" t="n"/>
      <c r="G43" s="30" t="n"/>
    </row>
    <row r="44">
      <c r="A44" s="30" t="n"/>
      <c r="B44" s="30" t="n"/>
      <c r="C44" s="30" t="n"/>
      <c r="D44" s="30" t="n"/>
      <c r="E44" s="30" t="n"/>
      <c r="F44" s="30" t="n"/>
      <c r="G44" s="30" t="n"/>
    </row>
    <row r="45">
      <c r="A45" s="30" t="n"/>
      <c r="B45" s="30" t="n"/>
      <c r="C45" s="30" t="n"/>
      <c r="D45" s="30" t="n"/>
      <c r="E45" s="30" t="n"/>
      <c r="F45" s="30" t="n"/>
      <c r="G45" s="30" t="n"/>
    </row>
    <row r="46">
      <c r="A46" s="30" t="n"/>
      <c r="B46" s="30" t="n"/>
      <c r="C46" s="30" t="n"/>
      <c r="D46" s="30" t="n"/>
      <c r="E46" s="30" t="n"/>
      <c r="F46" s="30" t="n"/>
      <c r="G46" s="30" t="n"/>
    </row>
    <row r="47">
      <c r="A47" s="30" t="n"/>
      <c r="B47" s="30" t="n"/>
      <c r="C47" s="30" t="n"/>
      <c r="D47" s="30" t="n"/>
      <c r="E47" s="30" t="n"/>
      <c r="F47" s="30" t="n"/>
      <c r="G47" s="30" t="n"/>
    </row>
    <row r="48">
      <c r="A48" s="30" t="n"/>
      <c r="B48" s="30" t="n"/>
      <c r="C48" s="30" t="n"/>
      <c r="D48" s="30" t="n"/>
      <c r="E48" s="30" t="n"/>
      <c r="F48" s="30" t="n"/>
      <c r="G48" s="30" t="n"/>
    </row>
    <row r="49">
      <c r="A49" s="30" t="n"/>
      <c r="B49" s="30" t="n"/>
      <c r="C49" s="30" t="n"/>
      <c r="D49" s="30" t="n"/>
      <c r="E49" s="30" t="n"/>
      <c r="F49" s="30" t="n"/>
      <c r="G49" s="30" t="n"/>
    </row>
    <row r="50">
      <c r="A50" s="30" t="n"/>
      <c r="B50" s="30" t="n"/>
      <c r="C50" s="30" t="n"/>
      <c r="D50" s="30" t="n"/>
      <c r="E50" s="30" t="n"/>
      <c r="F50" s="30" t="n"/>
      <c r="G50" s="30" t="n"/>
    </row>
    <row r="51">
      <c r="A51" s="30" t="n"/>
      <c r="B51" s="30" t="n"/>
      <c r="C51" s="30" t="n"/>
      <c r="D51" s="30" t="n"/>
      <c r="E51" s="30" t="n"/>
      <c r="F51" s="30" t="n"/>
      <c r="G51" s="30" t="n"/>
    </row>
    <row r="52">
      <c r="A52" s="30" t="n"/>
      <c r="B52" s="30" t="n"/>
      <c r="C52" s="30" t="n"/>
      <c r="D52" s="30" t="n"/>
      <c r="E52" s="30" t="n"/>
      <c r="F52" s="30" t="n"/>
      <c r="G52" s="30" t="n"/>
    </row>
    <row r="53">
      <c r="A53" s="30" t="n"/>
      <c r="B53" s="30" t="n"/>
      <c r="C53" s="30" t="n"/>
      <c r="D53" s="30" t="n"/>
      <c r="E53" s="30" t="n"/>
      <c r="F53" s="30" t="n"/>
      <c r="G53" s="30" t="n"/>
    </row>
    <row r="54">
      <c r="A54" s="30" t="n"/>
      <c r="B54" s="30" t="n"/>
      <c r="C54" s="30" t="n"/>
      <c r="D54" s="30" t="n"/>
      <c r="E54" s="30" t="n"/>
      <c r="F54" s="30" t="n"/>
      <c r="G54" s="30" t="n"/>
    </row>
    <row r="55">
      <c r="A55" s="30" t="n"/>
      <c r="B55" s="30" t="n"/>
      <c r="C55" s="30" t="n"/>
      <c r="D55" s="30" t="n"/>
      <c r="E55" s="30" t="n"/>
      <c r="F55" s="30" t="n"/>
      <c r="G5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C7:C11">
    <cfRule type="cellIs" priority="1" operator="lessThan" dxfId="4">
      <formula>0</formula>
    </cfRule>
  </conditionalFormatting>
  <conditionalFormatting sqref="E7:E11">
    <cfRule type="expression" priority="2" dxfId="1">
      <formula>ISNUMBER(SEARCH("İADE",E7))</formula>
    </cfRule>
    <cfRule type="expression" priority="3" dxfId="4">
      <formula>ISNUMBER(SEARCH("YOK",E7))</formula>
    </cfRule>
  </conditionalFormatting>
  <conditionalFormatting sqref="G7:G11">
    <cfRule type="expression" priority="4" dxfId="2">
      <formula>G7="EKSİK"</formula>
    </cfRule>
    <cfRule type="expression" priority="5" dxfId="0">
      <formula>G7="TAM"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KDV Tevkifat Mahsup ve KDV İade Listesi</t>
        </is>
      </c>
    </row>
    <row r="3">
      <c r="A3" s="21" t="inlineStr">
        <is>
          <t>Senaryo ve duyarlılık</t>
        </is>
      </c>
    </row>
    <row r="5">
      <c r="A5" s="44" t="inlineStr">
        <is>
          <t>Senaryo</t>
        </is>
      </c>
      <c r="B5" s="44" t="inlineStr">
        <is>
          <t>Matrah Çarpanı</t>
        </is>
      </c>
      <c r="C5" s="44" t="inlineStr">
        <is>
          <t>Mahsup</t>
        </is>
      </c>
      <c r="D5" s="44" t="inlineStr">
        <is>
          <t>İade Uygun</t>
        </is>
      </c>
      <c r="E5" s="44" t="inlineStr">
        <is>
          <t>Karar</t>
        </is>
      </c>
      <c r="G5" s="44" t="inlineStr">
        <is>
          <t>IadeDemo</t>
        </is>
      </c>
    </row>
    <row r="6">
      <c r="A6" s="24" t="inlineStr">
        <is>
          <t>İyimser</t>
        </is>
      </c>
      <c r="B6" s="18">
        <f>IFERROR(ktm_senaryoIyi+N(GIRDI!B9)*0,0)</f>
        <v/>
      </c>
      <c r="C6" s="16">
        <f>IFERROR(ROUND((IFERROR(ktm_mahsupToplam,0))*B6,2),0)</f>
        <v/>
      </c>
      <c r="D6" s="16">
        <f>IFERROR(ROUND((IFERROR(ktm_iadeUygun,0))*B6,2),0)</f>
        <v/>
      </c>
      <c r="E6" s="17">
        <f>IF(COUNTA(tblGirdi[Alan Anahtarı])=0,"VERİ YOK",IF(D6&gt;=ktm_iadeEsik,"İADE",IF(C6&gt;0,"MAHSUP","BEKLE")))</f>
        <v/>
      </c>
      <c r="G6" s="20" t="n">
        <v>79200</v>
      </c>
    </row>
    <row r="7">
      <c r="A7" s="24" t="inlineStr">
        <is>
          <t>Baz</t>
        </is>
      </c>
      <c r="B7" s="18">
        <f>IFERROR(1+N(GIRDI!B9)*0,1)</f>
        <v/>
      </c>
      <c r="C7" s="16">
        <f>IFERROR(ROUND((IFERROR(ktm_mahsupToplam,0))*B7,2),0)</f>
        <v/>
      </c>
      <c r="D7" s="16">
        <f>IFERROR(ROUND((IFERROR(ktm_iadeUygun,0))*B7,2),0)</f>
        <v/>
      </c>
      <c r="E7" s="17">
        <f>IF(COUNTA(tblGirdi[Alan Anahtarı])=0,"VERİ YOK",IF(D7&gt;=ktm_iadeEsik,"İADE",IF(C7&gt;0,"MAHSUP","BEKLE")))</f>
        <v/>
      </c>
      <c r="G7" s="20" t="n">
        <v>88000</v>
      </c>
    </row>
    <row r="8">
      <c r="A8" s="24" t="inlineStr">
        <is>
          <t>Kötümser</t>
        </is>
      </c>
      <c r="B8" s="18">
        <f>IFERROR(ktm_senaryoKotu+N(GIRDI!B9)*0,0)</f>
        <v/>
      </c>
      <c r="C8" s="16">
        <f>IFERROR(ROUND((IFERROR(ktm_mahsupToplam,0))*B8,2),0)</f>
        <v/>
      </c>
      <c r="D8" s="16">
        <f>IFERROR(ROUND((IFERROR(ktm_iadeUygun,0))*B8,2),0)</f>
        <v/>
      </c>
      <c r="E8" s="17">
        <f>IF(COUNTA(tblGirdi[Alan Anahtarı])=0,"VERİ YOK",IF(D8&gt;=ktm_iadeEsik,"İADE",IF(C8&gt;0,"MAHSUP","BEKLE")))</f>
        <v/>
      </c>
      <c r="G8" s="20" t="n">
        <v>96800</v>
      </c>
    </row>
    <row r="9">
      <c r="A9" s="24" t="inlineStr">
        <is>
          <t>M-SEN +1 puan</t>
        </is>
      </c>
      <c r="B9" s="18">
        <f>IFERROR(1+N(GIRDI!B9)*0,1)</f>
        <v/>
      </c>
      <c r="C9" s="16">
        <f>IFERROR(MOTOR!G51,0)</f>
        <v/>
      </c>
      <c r="D9" s="16">
        <f>IFERROR(MOTOR!G52,0)</f>
        <v/>
      </c>
      <c r="E9" s="17">
        <f>IF(COUNTA(tblGirdi[Alan Anahtarı])=0,"VERİ YOK",IF(D9&gt;=ktm_iadeEsik,"İADE",IF(C9&gt;0,"MAHSUP","BEKLE")))</f>
        <v/>
      </c>
      <c r="G9" s="20" t="n">
        <v>91000</v>
      </c>
    </row>
    <row r="11">
      <c r="A11" s="10" t="inlineStr">
        <is>
          <t>Senaryo bant genişliği (iyimser−kötümser iade)</t>
        </is>
      </c>
      <c r="B11" s="16">
        <f>IFERROR(D6-D8,0)</f>
        <v/>
      </c>
    </row>
    <row r="12">
      <c r="A12" s="10" t="inlineStr">
        <is>
          <t>Senaryo yorumu</t>
        </is>
      </c>
      <c r="B12" s="11">
        <f>IFERROR(_xlfn.TEXTJOIN("; ",TRUE,"İyimser iade ",TEXT(D6,"₺ #,##0")," · Baz ",TEXT(D7,"₺ #,##0")," · Kötümser ",TEXT(D8,"₺ #,##0")," · Bant ",TEXT(B11,"₺ #,##0")),"-")</f>
        <v/>
      </c>
    </row>
    <row r="14">
      <c r="A14" s="12" t="inlineStr">
        <is>
          <t>Duyarlılık (tornado)</t>
        </is>
      </c>
    </row>
    <row r="15">
      <c r="A15" s="44" t="inlineStr">
        <is>
          <t>Değişken</t>
        </is>
      </c>
      <c r="B15" s="44" t="inlineStr">
        <is>
          <t>Etki [₺]</t>
        </is>
      </c>
      <c r="C15" s="44" t="inlineStr">
        <is>
          <t>Sıra</t>
        </is>
      </c>
      <c r="E15" s="44" t="inlineStr">
        <is>
          <t>EtkiDemo</t>
        </is>
      </c>
    </row>
    <row r="16">
      <c r="A16" s="24" t="inlineStr">
        <is>
          <t>Tornado matrah etkisi</t>
        </is>
      </c>
      <c r="B16" s="16">
        <f>IFERROR(MOTOR!G55,0)</f>
        <v/>
      </c>
      <c r="C16" s="29">
        <f>IFERROR(IF(B16&gt;=MAX(B16:B18),1,IF(B16&gt;=MIN(B16:B18)+ABS(B16-B17),2,3)),3)</f>
        <v/>
      </c>
      <c r="E16" s="20" t="n">
        <v>8400</v>
      </c>
    </row>
    <row r="17">
      <c r="A17" s="24" t="inlineStr">
        <is>
          <t>Tornado KDV1 etkisi</t>
        </is>
      </c>
      <c r="B17" s="16">
        <f>IFERROR(MOTOR!G56,0)</f>
        <v/>
      </c>
      <c r="C17" s="29">
        <f>IFERROR(IF(B17&gt;=MAX(B16:B18),1,IF(B17=MEDIAN(B16:B18),2,3)),3)</f>
        <v/>
      </c>
      <c r="E17" s="20" t="n">
        <v>5000</v>
      </c>
    </row>
    <row r="18">
      <c r="A18" s="24" t="inlineStr">
        <is>
          <t>Tornado oran etkisi</t>
        </is>
      </c>
      <c r="B18" s="16">
        <f>IFERROR(MOTOR!G57,0)</f>
        <v/>
      </c>
      <c r="C18" s="29">
        <f>IFERROR(IF(B18&gt;=MAX(B16:B18),1,IF(B18=MEDIAN(B16:B18),2,3)),3)</f>
        <v/>
      </c>
      <c r="E18" s="20" t="n">
        <v>4000</v>
      </c>
    </row>
    <row r="19">
      <c r="A19" s="10" t="inlineStr">
        <is>
          <t>Duyarlılık sıra özeti</t>
        </is>
      </c>
      <c r="B19" s="1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11">
        <f>_xlfn.TEXTJOIN("; ",TRUE,"En yüksek etki ",TEXT(MAX(B16:B18),"₺ #,##0")," TL — öncelik bu değişkende")</f>
        <v/>
      </c>
    </row>
    <row r="22">
      <c r="A22" s="10" t="inlineStr">
        <is>
          <t>M-SEN kural değişimi iade</t>
        </is>
      </c>
      <c r="B22" s="16">
        <f>D9</f>
        <v/>
      </c>
    </row>
    <row r="23">
      <c r="A23" s="10" t="inlineStr">
        <is>
          <t>M-SEN yorumu</t>
        </is>
      </c>
      <c r="B23" s="11">
        <f>_xlfn.TEXTJOIN("; ",TRUE,"2/10 oranı +1 puan senaryosunda iade uygun ",TEXT(D9,"₺ #,##0")," TL")</f>
        <v/>
      </c>
    </row>
    <row r="25">
      <c r="A25" s="10" t="inlineStr">
        <is>
          <t>Tahmin aralığı (iade)</t>
        </is>
      </c>
      <c r="B25" s="16">
        <f>MOTOR!G54</f>
        <v/>
      </c>
      <c r="C25" s="16">
        <f>ktm_iadeUygun</f>
        <v/>
      </c>
      <c r="D25" s="16">
        <f>MOTOR!G53</f>
        <v/>
      </c>
    </row>
    <row r="26">
      <c r="A26" s="10" t="inlineStr">
        <is>
          <t>Tahmin (FORECAST)</t>
        </is>
      </c>
    </row>
    <row r="27">
      <c r="A27" s="19" t="inlineStr">
        <is>
          <t>Seri nokta</t>
        </is>
      </c>
      <c r="D27" s="10" t="inlineStr">
        <is>
          <t>TrendDemo</t>
        </is>
      </c>
    </row>
    <row r="28">
      <c r="A28" s="50" t="n">
        <v>1</v>
      </c>
      <c r="B28" s="16">
        <f>D6</f>
        <v/>
      </c>
      <c r="D28" s="20" t="n">
        <v>79200</v>
      </c>
    </row>
    <row r="29">
      <c r="A29" s="50" t="n">
        <v>2</v>
      </c>
      <c r="B29" s="16">
        <f>D7</f>
        <v/>
      </c>
      <c r="D29" s="20" t="n">
        <v>88000</v>
      </c>
    </row>
    <row r="30">
      <c r="A30" s="50" t="n">
        <v>3</v>
      </c>
      <c r="B30" s="16">
        <f>D8</f>
        <v/>
      </c>
      <c r="D30" s="20" t="n">
        <v>96800</v>
      </c>
    </row>
    <row r="31">
      <c r="A31" s="50" t="n">
        <v>4</v>
      </c>
      <c r="B31" s="16">
        <f>D9</f>
        <v/>
      </c>
      <c r="D31" s="20" t="n">
        <v>91000</v>
      </c>
    </row>
    <row r="32">
      <c r="A32" s="24" t="inlineStr">
        <is>
          <t>Tahmin sonraki</t>
        </is>
      </c>
      <c r="B32" s="16">
        <f>IFERROR(FORECAST.LINEAR(5,B28:B31,A28:A31),0)</f>
        <v/>
      </c>
    </row>
    <row r="33">
      <c r="A33" s="10" t="inlineStr">
        <is>
          <t>Tahmin yorumu</t>
        </is>
      </c>
      <c r="B33" s="1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5">
      <formula>0</formula>
    </cfRule>
  </conditionalFormatting>
  <conditionalFormatting sqref="E6:E9">
    <cfRule type="expression" priority="3" dxfId="3">
      <formula>ISNUMBER(SEARCH("İADE",E6))</formula>
    </cfRule>
    <cfRule type="expression" priority="4" dxfId="5">
      <formula>ISNUMBER(SEARCH("MAHSUP",E6))</formula>
    </cfRule>
  </conditionalFormatting>
  <conditionalFormatting sqref="B16:B18">
    <cfRule type="cellIs" priority="5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KDV Tevkifat Mahsup ve KDV İade Listesi</t>
        </is>
      </c>
    </row>
    <row r="3">
      <c r="A3" s="36" t="inlineStr">
        <is>
          <t>Tebliğ tarzı altın vakalar</t>
        </is>
      </c>
    </row>
    <row r="5" ht="30" customHeight="1">
      <c r="A5" s="13" t="inlineStr">
        <is>
          <t>vaka_id</t>
        </is>
      </c>
      <c r="B5" s="13" t="inlineStr">
        <is>
          <t>aciklama</t>
        </is>
      </c>
      <c r="C5" s="13" t="inlineStr">
        <is>
          <t>girdi_ozeti</t>
        </is>
      </c>
      <c r="D5" s="13" t="inlineStr">
        <is>
          <t>beklenen_sonuc</t>
        </is>
      </c>
      <c r="E5" s="13" t="inlineStr">
        <is>
          <t>hesaplanan</t>
        </is>
      </c>
      <c r="F5" s="13" t="inlineStr">
        <is>
          <t>fark</t>
        </is>
      </c>
      <c r="G5" s="13" t="inlineStr">
        <is>
          <t>durum</t>
        </is>
      </c>
      <c r="H5" s="13" t="inlineStr">
        <is>
          <t>kaynak</t>
        </is>
      </c>
      <c r="J5" s="44" t="inlineStr">
        <is>
          <t>BeklenenDemo</t>
        </is>
      </c>
      <c r="K5" s="44" t="inlineStr">
        <is>
          <t>HesapDemo</t>
        </is>
      </c>
    </row>
    <row r="6">
      <c r="A6" s="24" t="inlineStr">
        <is>
          <t>V-001</t>
        </is>
      </c>
      <c r="B6" s="24" t="inlineStr">
        <is>
          <t>Tebliğ örnek 1 — 2/10 tevkifat</t>
        </is>
      </c>
      <c r="C6" s="24" t="inlineStr">
        <is>
          <t>matrah=vaka_matrah_1; oran KTM-001×KTM-005</t>
        </is>
      </c>
      <c r="D6" s="51" t="n">
        <v>40000</v>
      </c>
      <c r="E6" s="16">
        <f>IFERROR(ROUND(vaka_matrah_1*INDEX(tblKurallar[deger_2025],MATCH("KTM-005",tblKurallar[kural_id],0))*INDEX(tblKurallar[deger_2025],MATCH("KTM-001",tblKurallar[kural_id],0)),2),0)</f>
        <v/>
      </c>
      <c r="F6" s="52">
        <f>IF($A6="","",IFERROR($D6-$E6,0))</f>
        <v/>
      </c>
      <c r="G6" s="53">
        <f>IF($A6="","",IFERROR(IF(ABS($F6)&lt;=ktm_tolerans,"TUTARLI","KIRIK"),"KIRIK"))</f>
        <v/>
      </c>
      <c r="H6" s="24" t="inlineStr">
        <is>
          <t>2/10 tevkifat örneği</t>
        </is>
      </c>
      <c r="J6" s="20" t="n">
        <v>40000</v>
      </c>
      <c r="K6" s="20" t="n">
        <v>40000</v>
      </c>
    </row>
    <row r="7">
      <c r="A7" s="24" t="inlineStr">
        <is>
          <t>V-002</t>
        </is>
      </c>
      <c r="B7" s="24" t="inlineStr">
        <is>
          <t>Tebliğ örnek 2 — 5/10 tevkifat</t>
        </is>
      </c>
      <c r="C7" s="24" t="inlineStr">
        <is>
          <t>matrah=vaka_matrah_2; oran KTM-002×KTM-005</t>
        </is>
      </c>
      <c r="D7" s="51" t="n">
        <v>50000</v>
      </c>
      <c r="E7" s="16">
        <f>IFERROR(ROUND(vaka_matrah_2*INDEX(tblKurallar[deger_2025],MATCH("KTM-005",tblKurallar[kural_id],0))*INDEX(tblKurallar[deger_2025],MATCH("KTM-002",tblKurallar[kural_id],0)),2),0)</f>
        <v/>
      </c>
      <c r="F7" s="52">
        <f>IF($A7="","",IFERROR($D7-$E7,0))</f>
        <v/>
      </c>
      <c r="G7" s="53">
        <f>IF($A7="","",IFERROR(IF(ABS($F7)&lt;=ktm_tolerans,"TUTARLI","KIRIK"),"KIRIK"))</f>
        <v/>
      </c>
      <c r="H7" s="24" t="inlineStr">
        <is>
          <t>5/10 tevkifat örneği</t>
        </is>
      </c>
      <c r="J7" s="20" t="n">
        <v>50000</v>
      </c>
      <c r="K7" s="20" t="n">
        <v>50000</v>
      </c>
    </row>
    <row r="8">
      <c r="A8" s="24" t="inlineStr">
        <is>
          <t>V-003</t>
        </is>
      </c>
      <c r="B8" s="24" t="inlineStr">
        <is>
          <t>Tebliğ örnek 3 — 2/10+5/10 birikim</t>
        </is>
      </c>
      <c r="C8" s="24" t="inlineStr">
        <is>
          <t>vaka_matrah_1 + vaka_matrah_2</t>
        </is>
      </c>
      <c r="D8" s="51" t="n">
        <v>90000</v>
      </c>
      <c r="E8" s="16">
        <f>IFERROR(ROUND(vaka_matrah_1*INDEX(tblKurallar[deger_2025],MATCH("KTM-005",tblKurallar[kural_id],0))*INDEX(tblKurallar[deger_2025],MATCH("KTM-001",tblKurallar[kural_id],0))+vaka_matrah_2*INDEX(tblKurallar[deger_2025],MATCH("KTM-005",tblKurallar[kural_id],0))*INDEX(tblKurallar[deger_2025],MATCH("KTM-002",tblKurallar[kural_id],0)),2),0)</f>
        <v/>
      </c>
      <c r="F8" s="52">
        <f>IF($A8="","",IFERROR($D8-$E8,0))</f>
        <v/>
      </c>
      <c r="G8" s="53">
        <f>IF($A8="","",IFERROR(IF(ABS($F8)&lt;=ktm_tolerans,"TUTARLI","KIRIK"),"KIRIK"))</f>
        <v/>
      </c>
      <c r="H8" s="24" t="inlineStr">
        <is>
          <t>Birikimli tevkifat</t>
        </is>
      </c>
      <c r="J8" s="20" t="n">
        <v>90000</v>
      </c>
      <c r="K8" s="20" t="n">
        <v>90000</v>
      </c>
    </row>
    <row r="9">
      <c r="A9" s="24" t="inlineStr">
        <is>
          <t>V-004</t>
        </is>
      </c>
      <c r="B9" s="24" t="inlineStr">
        <is>
          <t>9/10 tevkifat kontrol</t>
        </is>
      </c>
      <c r="C9" s="24" t="inlineStr">
        <is>
          <t>matrah=vaka_matrah_9; oran KTM-004×KTM-005</t>
        </is>
      </c>
      <c r="D9" s="51" t="n">
        <v>36000</v>
      </c>
      <c r="E9" s="16">
        <f>IFERROR(ROUND(vaka_matrah_9*INDEX(tblKurallar[deger_2025],MATCH("KTM-005",tblKurallar[kural_id],0))*INDEX(tblKurallar[deger_2025],MATCH("KTM-004",tblKurallar[kural_id],0)),2),0)</f>
        <v/>
      </c>
      <c r="F9" s="52">
        <f>IF($A9="","",IFERROR($D9-$E9,0))</f>
        <v/>
      </c>
      <c r="G9" s="53">
        <f>IF($A9="","",IFERROR(IF(ABS($F9)&lt;=ktm_tolerans,"TUTARLI","KIRIK"),"KIRIK"))</f>
        <v/>
      </c>
      <c r="H9" s="24" t="inlineStr">
        <is>
          <t>9/10 tevkifat kontrol</t>
        </is>
      </c>
      <c r="J9" s="20" t="n">
        <v>36000</v>
      </c>
      <c r="K9" s="20" t="n">
        <v>36000</v>
      </c>
    </row>
    <row r="12">
      <c r="A12" s="10" t="inlineStr">
        <is>
          <t>Vaka durum özeti</t>
        </is>
      </c>
      <c r="B12" s="54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KDV Tevkifat Mahsup ve KDV İade Listesi</t>
        </is>
      </c>
    </row>
    <row r="3">
      <c r="A3" s="55" t="inlineStr">
        <is>
          <t>KANIT RAPORU — KDV Tevkifat Mahsup / İade</t>
        </is>
      </c>
    </row>
    <row r="4">
      <c r="A4" s="24" t="inlineStr">
        <is>
          <t>Rapor tarihi</t>
        </is>
      </c>
      <c r="B4" s="56">
        <f>raporTarihi</f>
        <v/>
      </c>
    </row>
    <row r="5">
      <c r="A5" s="24" t="inlineStr">
        <is>
          <t>Mükellef</t>
        </is>
      </c>
      <c r="B5" s="17">
        <f>GIRDI!B6</f>
        <v/>
      </c>
    </row>
    <row r="6">
      <c r="A6" s="24" t="inlineStr">
        <is>
          <t>Dönem / yıl</t>
        </is>
      </c>
      <c r="B6" s="17">
        <f>CONCATENATE(GIRDI!B7," / ",hesapYili)</f>
        <v/>
      </c>
    </row>
    <row r="8">
      <c r="A8" s="12" t="inlineStr">
        <is>
          <t>Girdi özeti</t>
        </is>
      </c>
    </row>
    <row r="9">
      <c r="A9" s="24" t="inlineStr">
        <is>
          <t>2/10 matrah</t>
        </is>
      </c>
      <c r="B9" s="16">
        <f>GIRDI!B9</f>
        <v/>
      </c>
    </row>
    <row r="10">
      <c r="A10" s="24" t="inlineStr">
        <is>
          <t>5/10 matrah</t>
        </is>
      </c>
      <c r="B10" s="16">
        <f>GIRDI!B10</f>
        <v/>
      </c>
    </row>
    <row r="11">
      <c r="A11" s="24" t="inlineStr">
        <is>
          <t>7/10 matrah</t>
        </is>
      </c>
      <c r="B11" s="16">
        <f>GIRDI!B11</f>
        <v/>
      </c>
    </row>
    <row r="12">
      <c r="A12" s="24" t="inlineStr">
        <is>
          <t>9/10 matrah</t>
        </is>
      </c>
      <c r="B12" s="16">
        <f>GIRDI!B12</f>
        <v/>
      </c>
    </row>
    <row r="13">
      <c r="A13" s="24" t="inlineStr">
        <is>
          <t>KDV1 ödenecek</t>
        </is>
      </c>
      <c r="B13" s="16">
        <f>GIRDI!B13</f>
        <v/>
      </c>
    </row>
    <row r="14">
      <c r="A14" s="24" t="inlineStr">
        <is>
          <t>Önceki mahsup bakiyesi</t>
        </is>
      </c>
      <c r="B14" s="16">
        <f>GIRDI!B14</f>
        <v/>
      </c>
    </row>
    <row r="15">
      <c r="A15" s="24" t="inlineStr">
        <is>
          <t>İade talep</t>
        </is>
      </c>
      <c r="B15" s="16">
        <f>GIRDI!B15</f>
        <v/>
      </c>
    </row>
    <row r="17">
      <c r="A17" s="12" t="inlineStr">
        <is>
          <t>Hesap zinciri</t>
        </is>
      </c>
    </row>
    <row r="18">
      <c r="A18" s="24" t="inlineStr">
        <is>
          <t>Toplam tevkifat</t>
        </is>
      </c>
      <c r="B18" s="28">
        <f>ktm_toplamTevkifat</f>
        <v/>
      </c>
    </row>
    <row r="19">
      <c r="A19" s="24" t="inlineStr">
        <is>
          <t>Mahsup toplam</t>
        </is>
      </c>
      <c r="B19" s="28">
        <f>ktm_mahsupToplam</f>
        <v/>
      </c>
    </row>
    <row r="20">
      <c r="A20" s="24" t="inlineStr">
        <is>
          <t>İade uygun</t>
        </is>
      </c>
      <c r="B20" s="28">
        <f>ktm_iadeUygun</f>
        <v/>
      </c>
    </row>
    <row r="21">
      <c r="A21" s="10" t="inlineStr">
        <is>
          <t>KARAR</t>
        </is>
      </c>
      <c r="B21" s="57">
        <f>ktm_kararMetni</f>
        <v/>
      </c>
    </row>
    <row r="22">
      <c r="A22" s="24" t="inlineStr">
        <is>
          <t>Gerekçe</t>
        </is>
      </c>
      <c r="B22" s="11">
        <f>ktm_kararGerekce</f>
        <v/>
      </c>
    </row>
    <row r="24">
      <c r="A24" s="10" t="inlineStr">
        <is>
          <t>Madde atıfları</t>
        </is>
      </c>
      <c r="B24" s="11">
        <f>ktm_maddeAtifMetni</f>
        <v/>
      </c>
    </row>
    <row r="26">
      <c r="A26" s="10" t="inlineStr">
        <is>
          <t>Kanıt gövdesi</t>
        </is>
      </c>
      <c r="B26" s="11">
        <f>ktm_kanitRaporu</f>
        <v/>
      </c>
    </row>
    <row r="28">
      <c r="A28" s="24" t="inlineStr">
        <is>
          <t>Parmak izi (SHA-256 kısaltma)</t>
        </is>
      </c>
      <c r="B28" s="19">
        <f>ktm_parmakIzi</f>
        <v/>
      </c>
    </row>
    <row r="30">
      <c r="A30" s="24" t="inlineStr">
        <is>
          <t>Hazırlayan (imza)</t>
        </is>
      </c>
      <c r="B30" s="46" t="inlineStr"/>
    </row>
    <row r="31">
      <c r="A31" s="24" t="inlineStr">
        <is>
          <t>Onaylayan (imza)</t>
        </is>
      </c>
      <c r="B31" s="46" t="inlineStr"/>
    </row>
    <row r="33">
      <c r="A33" s="58" t="inlineStr">
        <is>
          <t>Uyarı: Bu çıktı karar destektir; kesin KDV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33:F33"/>
    <mergeCell ref="B24:F24"/>
    <mergeCell ref="A1:L1"/>
    <mergeCell ref="B22:F22"/>
    <mergeCell ref="A3:F3"/>
    <mergeCell ref="B26:F26"/>
  </mergeCells>
  <conditionalFormatting sqref="B21">
    <cfRule type="expression" priority="1" dxfId="0">
      <formula>ISNUMBER(SEARCH("MAHSUP",B21))</formula>
    </cfRule>
    <cfRule type="expression" priority="2" dxfId="1">
      <formula>ISNUMBER(SEARCH("İADE",B21))</formula>
    </cfRule>
    <cfRule type="expression" priority="3" dxfId="2">
      <formula>ISNUMBER(SEARCH("VERİ YOK",B21))</formula>
    </cfRule>
  </conditionalFormatting>
  <conditionalFormatting sqref="B20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&amp;LKDV Tevkifat Mahsup ve KDV İade Listesi · 1.0.0&amp;CExcelArşiv&amp;RSayfa &amp;P / &amp;N</oddFooter>
    <evenHeader/>
    <evenFooter>&amp;LKDV Tevkifat Mahsup ve KDV İade Listesi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KDV Tevkifat Mahsup ve KDV İade Listesi</t>
        </is>
      </c>
    </row>
    <row r="3">
      <c r="A3" s="21" t="inlineStr">
        <is>
          <t>Canlı kontrol paneli</t>
        </is>
      </c>
    </row>
    <row r="5">
      <c r="A5" s="24" t="inlineStr">
        <is>
          <t>Giriş tablosu boş mu?</t>
        </is>
      </c>
      <c r="B5" s="17">
        <f>IF(COUNTA(tblGirdi[Alan Anahtarı])=0,"BOŞ","DOLU")</f>
        <v/>
      </c>
    </row>
    <row r="6">
      <c r="A6" s="24" t="inlineStr">
        <is>
          <t>Negatif matrah var mı?</t>
        </is>
      </c>
      <c r="B6" s="17">
        <f>IF(OR(GIRDI!B9&lt;0,GIRDI!B10&lt;0,GIRDI!B11&lt;0,GIRDI!B12&lt;0),"NEGATİF","TEMİZ")</f>
        <v/>
      </c>
    </row>
    <row r="7">
      <c r="A7" s="24" t="inlineStr">
        <is>
          <t>Hesap yılı geçerli mi?</t>
        </is>
      </c>
      <c r="B7" s="17">
        <f>IFERROR(IF(AND(N(hesapYili)&gt;N(ktm_yilTaban),N(hesapYili)&lt;=N(ktm_yilTaban)+3),"TEMİZ","HATALI"),"HATALI")</f>
        <v/>
      </c>
    </row>
    <row r="8">
      <c r="A8" s="24" t="inlineStr">
        <is>
          <t>Tevkifat sıfır mı?</t>
        </is>
      </c>
      <c r="B8" s="17">
        <f>IF(IFERROR(ktm_toplamTevkifat,0)=0,"SIFIR","NORMAL")</f>
        <v/>
      </c>
    </row>
    <row r="9">
      <c r="A9" s="24" t="inlineStr">
        <is>
          <t>Vaka kırık mı?</t>
        </is>
      </c>
      <c r="B9" s="17">
        <f>IFERROR(IF(COUNTIF(tblVakalar[durum],"KIRIK")&gt;0,"KIRIK","TUTARLI"),"KIRIK")</f>
        <v/>
      </c>
    </row>
    <row r="10">
      <c r="A10" s="24" t="inlineStr">
        <is>
          <t>İade eşiği aşıyor mu?</t>
        </is>
      </c>
      <c r="B10" s="17">
        <f>IF(IFERROR(ktm_iadeUygun,0)&gt;=ktm_iadeEsik,"AŞIYOR","NORMAL")</f>
        <v/>
      </c>
    </row>
    <row r="11">
      <c r="A11" s="24" t="inlineStr">
        <is>
          <t>Yorum A/B seçili mi?</t>
        </is>
      </c>
      <c r="B11" s="17">
        <f>IF(OR(GIRDI!B16="A",GIRDI!B16="B"),"TEMİZ","EKSİK")</f>
        <v/>
      </c>
    </row>
    <row r="12">
      <c r="A12" s="10" t="inlineStr">
        <is>
          <t>Kalite skoru (modül)</t>
        </is>
      </c>
      <c r="B12" s="59">
        <f>IFERROR(ROUND(IF(OR(B14=0,B14=""),0,B15/B14*100),0),0)</f>
        <v/>
      </c>
    </row>
    <row r="14">
      <c r="A14" s="24" t="inlineStr">
        <is>
          <t>Toplam giriş alanı</t>
        </is>
      </c>
      <c r="B14" s="29">
        <f>IFERROR(ktm_girisBeklenen+COUNTA(GIRDI!B6:B16)*0,0)</f>
        <v/>
      </c>
    </row>
    <row r="15">
      <c r="A15" s="24" t="inlineStr">
        <is>
          <t>Dolu giriş</t>
        </is>
      </c>
      <c r="B15" s="29">
        <f>COUNTA(GIRDI!B6:B16)</f>
        <v/>
      </c>
    </row>
    <row r="17">
      <c r="A17" s="24" t="inlineStr">
        <is>
          <t>Tevkifat kontrol</t>
        </is>
      </c>
      <c r="B17" s="16">
        <f>IFERROR(ktm_toplamTevkifat,0)</f>
        <v/>
      </c>
    </row>
    <row r="18">
      <c r="A18" s="24" t="inlineStr">
        <is>
          <t>Mahsup kontrol</t>
        </is>
      </c>
      <c r="B18" s="16">
        <f>IFERROR(ktm_mahsupToplam,0)</f>
        <v/>
      </c>
    </row>
    <row r="19">
      <c r="A19" s="24" t="inlineStr">
        <is>
          <t>Karar kontrol</t>
        </is>
      </c>
      <c r="B19" s="17">
        <f>IFERROR(ktm_kararMetni,"-")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4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KDV Tevkifat Mahsup ve KDV İade Listesi</t>
        </is>
      </c>
    </row>
    <row r="3">
      <c r="A3" s="36" t="inlineStr">
        <is>
          <t>Örnek senaryo kütüphanesi</t>
        </is>
      </c>
    </row>
    <row r="4">
      <c r="A4" s="19" t="inlineStr">
        <is>
          <t>Bu sayfa demo değerleri saklar; GIRDI'ye kopyalanabilir.</t>
        </is>
      </c>
    </row>
    <row r="5" ht="30" customHeight="1">
      <c r="A5" s="13" t="inlineStr">
        <is>
          <t>Senaryo</t>
        </is>
      </c>
      <c r="B5" s="13" t="inlineStr">
        <is>
          <t>2/10 Matrah</t>
        </is>
      </c>
      <c r="C5" s="13" t="inlineStr">
        <is>
          <t>5/10 Matrah</t>
        </is>
      </c>
      <c r="D5" s="13" t="inlineStr">
        <is>
          <t>7/10 Matrah</t>
        </is>
      </c>
      <c r="E5" s="13" t="inlineStr">
        <is>
          <t>9/10 Matrah</t>
        </is>
      </c>
      <c r="F5" s="13" t="inlineStr">
        <is>
          <t>KDV1</t>
        </is>
      </c>
      <c r="G5" s="13" t="inlineStr">
        <is>
          <t>Önceki</t>
        </is>
      </c>
      <c r="H5" s="13" t="inlineStr">
        <is>
          <t>İade Talep</t>
        </is>
      </c>
      <c r="I5" s="13" t="inlineStr">
        <is>
          <t>Tevkifat</t>
        </is>
      </c>
      <c r="J5" s="13" t="inlineStr">
        <is>
          <t>Kontrol</t>
        </is>
      </c>
      <c r="L5" s="44" t="inlineStr">
        <is>
          <t>TevkifatDemo</t>
        </is>
      </c>
    </row>
    <row r="6">
      <c r="A6" s="30" t="inlineStr">
        <is>
          <t>Demo ana</t>
        </is>
      </c>
      <c r="B6" s="33" t="n">
        <v>1000000</v>
      </c>
      <c r="C6" s="33" t="n">
        <v>500000</v>
      </c>
      <c r="D6" s="33" t="n">
        <v>300000</v>
      </c>
      <c r="E6" s="33" t="n">
        <v>200000</v>
      </c>
      <c r="F6" s="33" t="n">
        <v>100000</v>
      </c>
      <c r="G6" s="33" t="n">
        <v>20000</v>
      </c>
      <c r="H6" s="33" t="n">
        <v>80000</v>
      </c>
      <c r="I6" s="33" t="n">
        <v>168000</v>
      </c>
      <c r="J6" s="31">
        <f>IF($A6="","",IF($I6="","EKSİK","TAM"))</f>
        <v/>
      </c>
      <c r="L6" s="20" t="n">
        <v>168000</v>
      </c>
    </row>
    <row r="7">
      <c r="A7" s="30" t="inlineStr">
        <is>
          <t>Yüksek mahsup</t>
        </is>
      </c>
      <c r="B7" s="33" t="n">
        <v>1000000</v>
      </c>
      <c r="C7" s="33" t="n">
        <v>500000</v>
      </c>
      <c r="D7" s="33" t="n">
        <v>300000</v>
      </c>
      <c r="E7" s="33" t="n">
        <v>200000</v>
      </c>
      <c r="F7" s="33" t="n">
        <v>200000</v>
      </c>
      <c r="G7" s="33" t="n">
        <v>20000</v>
      </c>
      <c r="H7" s="33" t="n">
        <v>10000</v>
      </c>
      <c r="I7" s="33" t="n">
        <v>168000</v>
      </c>
      <c r="J7" s="31">
        <f>IF($A7="","",IF($I7="","EKSİK","TAM"))</f>
        <v/>
      </c>
      <c r="L7" s="20" t="n">
        <v>168000</v>
      </c>
    </row>
    <row r="8">
      <c r="A8" s="30" t="inlineStr">
        <is>
          <t>Düşük matrah</t>
        </is>
      </c>
      <c r="B8" s="33" t="n">
        <v>200000</v>
      </c>
      <c r="C8" s="33" t="n">
        <v>100000</v>
      </c>
      <c r="D8" s="33" t="n">
        <v>50000</v>
      </c>
      <c r="E8" s="33" t="n">
        <v>25000</v>
      </c>
      <c r="F8" s="33" t="n">
        <v>30000</v>
      </c>
      <c r="G8" s="33" t="n">
        <v>5000</v>
      </c>
      <c r="H8" s="33" t="n">
        <v>5000</v>
      </c>
      <c r="I8" s="33" t="n">
        <v>33500</v>
      </c>
      <c r="J8" s="31">
        <f>IF($A8="","",IF($I8="","EKSİK","TAM"))</f>
        <v/>
      </c>
      <c r="L8" s="20" t="n">
        <v>33500</v>
      </c>
    </row>
    <row r="9">
      <c r="A9" s="30" t="inlineStr">
        <is>
          <t>Sadece 2/10</t>
        </is>
      </c>
      <c r="B9" s="33" t="n">
        <v>800000</v>
      </c>
      <c r="C9" s="33" t="n">
        <v>0</v>
      </c>
      <c r="D9" s="33" t="n">
        <v>0</v>
      </c>
      <c r="E9" s="33" t="n">
        <v>0</v>
      </c>
      <c r="F9" s="33" t="n">
        <v>50000</v>
      </c>
      <c r="G9" s="33" t="n">
        <v>0</v>
      </c>
      <c r="H9" s="33" t="n">
        <v>20000</v>
      </c>
      <c r="I9" s="33" t="n">
        <v>32000</v>
      </c>
      <c r="J9" s="31">
        <f>IF($A9="","",IF($I9="","EKSİK","TAM"))</f>
        <v/>
      </c>
      <c r="L9" s="20" t="n">
        <v>32000</v>
      </c>
    </row>
    <row r="10">
      <c r="A10" s="30" t="inlineStr">
        <is>
          <t>Bekle senaryo</t>
        </is>
      </c>
      <c r="B10" s="33" t="n">
        <v>100000</v>
      </c>
      <c r="C10" s="33" t="n">
        <v>50000</v>
      </c>
      <c r="D10" s="33" t="n">
        <v>0</v>
      </c>
      <c r="E10" s="33" t="n">
        <v>0</v>
      </c>
      <c r="F10" s="33" t="n">
        <v>80000</v>
      </c>
      <c r="G10" s="33" t="n">
        <v>0</v>
      </c>
      <c r="H10" s="33" t="n">
        <v>0</v>
      </c>
      <c r="I10" s="33" t="n">
        <v>15000</v>
      </c>
      <c r="J10" s="31">
        <f>IF($A10="","",IF($I10="","EKSİK","TAM"))</f>
        <v/>
      </c>
      <c r="L10" s="20" t="n">
        <v>15000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>
        <f>IF($A11="","",IF($I11="","EKSİK","TAM"))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1">
        <f>IF($A12="","",IF($I12="","EKSİK","TAM"))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>
        <f>IF($A13="","",IF($I13="","EKSİK","TAM"))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1">
        <f>IF($A14="","",IF($I14="","EKSİK","TAM"))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>
        <f>IF($A15="","",IF($I15="","EKSİK","TAM"))</f>
        <v/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1">
        <f>IF($A16="","",IF($I16="","EKSİK","TAM"))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>
        <f>IF($A17="","",IF($I17="","EKSİK","TAM"))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1">
        <f>IF($A18="","",IF($I18="","EKSİK","TAM"))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>
        <f>IF($A19="","",IF($I19="","EKSİK","TAM"))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1">
        <f>IF($A20="","",IF($I20="","EKSİK","TAM"))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>
        <f>IF($A21="","",IF($I21="","EKSİK","TAM"))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1">
        <f>IF($A22="","",IF($I22="","EKSİK","TAM"))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>
        <f>IF($A23="","",IF($I23="","EKSİK","TAM"))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1">
        <f>IF($A24="","",IF($I24="","EKSİK","TAM"))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>
        <f>IF($A25="","",IF($I25="","EKSİK","TAM"))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1">
        <f>IF($A26="","",IF($I26="","EKSİK","TAM"))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>
        <f>IF($A27="","",IF($I27="","EKSİK","TAM"))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1">
        <f>IF($A28="","",IF($I28="","EKSİK","TAM"))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>
        <f>IF($A29="","",IF($I29="","EKSİK","TAM"))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1">
        <f>IF($A30="","",IF($I30="","EKSİK","TAM"))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>
        <f>IF($A31="","",IF($I31="","EKSİK","TAM"))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1">
        <f>IF($A32="","",IF($I32="","EKSİK","TAM"))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>
        <f>IF($A33="","",IF($I33="","EKSİK","TAM"))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1">
        <f>IF($A34="","",IF($I34="","EKSİK","TAM"))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>
        <f>IF($A35="","",IF($I35="","EKSİK","TAM"))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1">
        <f>IF($A36="","",IF($I36="","EKSİK","TAM"))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>
        <f>IF($A37="","",IF($I37="","EKSİK","TAM"))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1">
        <f>IF($A38="","",IF($I38="","EKSİK","TAM"))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>
        <f>IF($A39="","",IF($I39="","EKSİK","TAM"))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1">
        <f>IF($A40="","",IF($I40="","EKSİK","TAM"))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>
        <f>IF($A41="","",IF($I41="","EKSİK","TAM"))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1">
        <f>IF($A42="","",IF($I42="","EKSİK","TAM"))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>
        <f>IF($A43="","",IF($I43="","EKSİK","TAM"))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1">
        <f>IF($A44="","",IF($I44="","EKSİK","TAM"))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>
        <f>IF($A45="","",IF($I45="","EKSİK","TAM"))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1">
        <f>IF($A46="","",IF($I46="","EKSİK","TAM"))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>
        <f>IF($A47="","",IF($I47="","EKSİK","TAM"))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1">
        <f>IF($A48="","",IF($I48="","EKSİK","TAM"))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>
        <f>IF($A49="","",IF($I49="","EKSİK","TAM"))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1">
        <f>IF($A50="","",IF($I50="","EKSİK","TAM"))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>
        <f>IF($A51="","",IF($I51="","EKSİK","TAM"))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1">
        <f>IF($A52="","",IF($I52="","EKSİK","TAM"))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>
        <f>IF($A53="","",IF($I53="","EKSİK","TAM"))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1">
        <f>IF($A54="","",IF($I54="","EKSİK","TAM"))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>
        <f>IF($A55="","",IF($I55="","EKSİK","TAM"))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>
        <f>IF($A56="","",IF($I56="","EKSİK","TAM"))</f>
        <v/>
      </c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>
        <f>IF($A57="","",IF($I57="","EKSİK","TAM"))</f>
        <v/>
      </c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1">
        <f>IF($A58="","",IF($I58="","EKSİK","TAM"))</f>
        <v/>
      </c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>
        <f>IF($A59="","",IF($I59="","EKSİK","TAM"))</f>
        <v/>
      </c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>
        <f>IF($A60="","",IF($I60="","EKSİK","TAM"))</f>
        <v/>
      </c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>
        <f>IF($A61="","",IF($I61="","EKSİK","TAM"))</f>
        <v/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1">
        <f>IF($A62="","",IF($I62="","EKSİK","TAM"))</f>
        <v/>
      </c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>
        <f>IF($A63="","",IF($I63="","EKSİK","TAM"))</f>
        <v/>
      </c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1">
        <f>IF($A64="","",IF($I64="","EKSİK","TAM"))</f>
        <v/>
      </c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>
        <f>IF($A65="","",IF($I65="","EKSİK","TAM"))</f>
        <v/>
      </c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1">
        <f>IF($A66="","",IF($I66="","EKSİK","TAM"))</f>
        <v/>
      </c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>
        <f>IF($A67="","",IF($I67="","EKSİK","TAM"))</f>
        <v/>
      </c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1">
        <f>IF($A68="","",IF($I68="","EKSİK","TAM"))</f>
        <v/>
      </c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>
        <f>IF($A69="","",IF($I69="","EKSİK","TAM"))</f>
        <v/>
      </c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1">
        <f>IF($A70="","",IF($I70="","EKSİK","TAM"))</f>
        <v/>
      </c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>
        <f>IF($A71="","",IF($I71="","EKSİK","TAM"))</f>
        <v/>
      </c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1">
        <f>IF($A72="","",IF($I72="","EKSİK","TAM"))</f>
        <v/>
      </c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>
        <f>IF($A73="","",IF($I73="","EKSİK","TAM"))</f>
        <v/>
      </c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1">
        <f>IF($A74="","",IF($I74="","EKSİK","TAM"))</f>
        <v/>
      </c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>
        <f>IF($A75="","",IF($I75="","EKSİK","TAM"))</f>
        <v/>
      </c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1">
        <f>IF($A76="","",IF($I76="","EKSİK","TAM"))</f>
        <v/>
      </c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>
        <f>IF($A77="","",IF($I77="","EKSİK","TAM"))</f>
        <v/>
      </c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1">
        <f>IF($A78="","",IF($I78="","EKSİK","TAM"))</f>
        <v/>
      </c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>
        <f>IF($A79="","",IF($I79="","EKSİK","TAM"))</f>
        <v/>
      </c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1">
        <f>IF($A80="","",IF($I80="","EKSİK","TAM"))</f>
        <v/>
      </c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>
        <f>IF($A81="","",IF($I81="","EKSİK","TAM"))</f>
        <v/>
      </c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1">
        <f>IF($A82="","",IF($I82="","EKSİK","TAM"))</f>
        <v/>
      </c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1">
        <f>IF($A83="","",IF($I83="","EKSİK","TAM"))</f>
        <v/>
      </c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1">
        <f>IF($A84="","",IF($I84="","EKSİK","TAM"))</f>
        <v/>
      </c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1">
        <f>IF($A85="","",IF($I85="","EKSİK","TAM"))</f>
        <v/>
      </c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1">
        <f>IF($A86="","",IF($I86="","EKSİK","TAM"))</f>
        <v/>
      </c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1">
        <f>IF($A87="","",IF($I87="","EKSİK","TAM"))</f>
        <v/>
      </c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1">
        <f>IF($A88="","",IF($I88="","EKSİK","TAM"))</f>
        <v/>
      </c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1">
        <f>IF($A89="","",IF($I89="","EKSİK","TAM"))</f>
        <v/>
      </c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1">
        <f>IF($A90="","",IF($I90="","EKSİK","TAM"))</f>
        <v/>
      </c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1">
        <f>IF($A91="","",IF($I91="","EKSİK","TAM"))</f>
        <v/>
      </c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1">
        <f>IF($A92="","",IF($I92="","EKSİK","TAM"))</f>
        <v/>
      </c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1">
        <f>IF($A93="","",IF($I93="","EKSİK","TAM"))</f>
        <v/>
      </c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1">
        <f>IF($A94="","",IF($I94="","EKSİK","TAM"))</f>
        <v/>
      </c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1">
        <f>IF($A95="","",IF($I95="","EKSİK","TAM"))</f>
        <v/>
      </c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1">
        <f>IF($A96="","",IF($I96="","EKSİK","TAM"))</f>
        <v/>
      </c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1">
        <f>IF($A97="","",IF($I97="","EKSİK","TAM"))</f>
        <v/>
      </c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1">
        <f>IF($A98="","",IF($I98="","EKSİK","TAM"))</f>
        <v/>
      </c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1">
        <f>IF($A99="","",IF($I99="","EKSİK","TAM"))</f>
        <v/>
      </c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1">
        <f>IF($A100="","",IF($I100="","EKSİK","TAM"))</f>
        <v/>
      </c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1">
        <f>IF($A101="","",IF($I101="","EKSİK","TAM"))</f>
        <v/>
      </c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1">
        <f>IF($A102="","",IF($I102="","EKSİK","TAM"))</f>
        <v/>
      </c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1">
        <f>IF($A103="","",IF($I103="","EKSİK","TAM"))</f>
        <v/>
      </c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1">
        <f>IF($A104="","",IF($I104="","EKSİK","TAM"))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4">
      <formula>0</formula>
    </cfRule>
  </conditionalFormatting>
  <conditionalFormatting sqref="C6:C20">
    <cfRule type="cellIs" priority="2" operator="lessThan" dxfId="4">
      <formula>0</formula>
    </cfRule>
  </conditionalFormatting>
  <conditionalFormatting sqref="D6:D20">
    <cfRule type="cellIs" priority="3" operator="lessThan" dxfId="4">
      <formula>0</formula>
    </cfRule>
  </conditionalFormatting>
  <conditionalFormatting sqref="E6:E20">
    <cfRule type="cellIs" priority="4" operator="lessThan" dxfId="4">
      <formula>0</formula>
    </cfRule>
  </conditionalFormatting>
  <conditionalFormatting sqref="F6:F20">
    <cfRule type="cellIs" priority="5" operator="lessThan" dxfId="4">
      <formula>0</formula>
    </cfRule>
  </conditionalFormatting>
  <conditionalFormatting sqref="G6:G20">
    <cfRule type="cellIs" priority="6" operator="lessThan" dxfId="4">
      <formula>0</formula>
    </cfRule>
  </conditionalFormatting>
  <conditionalFormatting sqref="H6:H20">
    <cfRule type="cellIs" priority="7" operator="lessThan" dxfId="4">
      <formula>0</formula>
    </cfRule>
  </conditionalFormatting>
  <conditionalFormatting sqref="I6:I20">
    <cfRule type="cellIs" priority="8" operator="lessThan" dxfId="4">
      <formula>0</formula>
    </cfRule>
    <cfRule type="cellIs" priority="9" operator="greaterThan" dxfId="3">
      <formula>0</formula>
    </cfRule>
  </conditionalFormatting>
  <dataValidations count="7">
    <dataValidation sqref="B6:B104" showDropDown="0" showInputMessage="1" showErrorMessage="1" allowBlank="1" errorTitle="Geçersiz" error="0 ile 1e12 arasında." promptTitle="2/10" prompt="2/10 tutarını TL girin." type="decimal" errorStyle="stop" operator="between">
      <formula1>0</formula1>
      <formula2>1000000000000</formula2>
    </dataValidation>
    <dataValidation sqref="C6:C104" showDropDown="0" showInputMessage="1" showErrorMessage="1" allowBlank="1" errorTitle="Geçersiz" error="0 ile 1e12 arasında." promptTitle="5/10" prompt="5/10 tutarını TL girin." type="decimal" errorStyle="stop" operator="between">
      <formula1>0</formula1>
      <formula2>1000000000000</formula2>
    </dataValidation>
    <dataValidation sqref="D6:D104" showDropDown="0" showInputMessage="1" showErrorMessage="1" allowBlank="1" errorTitle="Geçersiz" error="0 ile 1e12 arasında." promptTitle="7/10" prompt="7/10 tutarını TL girin." type="decimal" errorStyle="stop" operator="between">
      <formula1>0</formula1>
      <formula2>1000000000000</formula2>
    </dataValidation>
    <dataValidation sqref="E6:E104" showDropDown="0" showInputMessage="1" showErrorMessage="1" allowBlank="1" errorTitle="Geçersiz" error="0 ile 1e12 arasında." promptTitle="9/10" prompt="9/10 tutarını TL girin." type="decimal" errorStyle="stop" operator="between">
      <formula1>0</formula1>
      <formula2>1000000000000</formula2>
    </dataValidation>
    <dataValidation sqref="F6:F104" showDropDown="0" showInputMessage="1" showErrorMessage="1" allowBlank="1" errorTitle="Geçersiz" error="0 ile 1e12 arasında." promptTitle="KDV1" prompt="KDV1 tutarını TL girin." type="decimal" errorStyle="stop" operator="between">
      <formula1>0</formula1>
      <formula2>1000000000000</formula2>
    </dataValidation>
    <dataValidation sqref="G6:G104" showDropDown="0" showInputMessage="1" showErrorMessage="1" allowBlank="1" errorTitle="Geçersiz" error="0 ile 1e12 arasında." promptTitle="Önceki" prompt="Önceki tutarını TL girin." type="decimal" errorStyle="stop" operator="between">
      <formula1>0</formula1>
      <formula2>1000000000000</formula2>
    </dataValidation>
    <dataValidation sqref="H6:H104" showDropDown="0" showInputMessage="1" showErrorMessage="1" allowBlank="1" errorTitle="Geçersiz" error="0 ile 1e12 arasında." promptTitle="İade" prompt="İade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KDV Tevkifat Mahsup ve KDV İade Listesi</t>
        </is>
      </c>
    </row>
    <row r="3">
      <c r="A3" s="10" t="inlineStr">
        <is>
          <t>Doğrulama listeleri</t>
        </is>
      </c>
    </row>
    <row r="5">
      <c r="A5" s="44" t="inlineStr">
        <is>
          <t>Yıllar</t>
        </is>
      </c>
      <c r="C5" s="44" t="inlineStr">
        <is>
          <t>Yorum A/B</t>
        </is>
      </c>
      <c r="E5" s="44" t="inlineStr">
        <is>
          <t>Evet/Hayır</t>
        </is>
      </c>
    </row>
    <row r="6">
      <c r="A6" s="45" t="n">
        <v>2025</v>
      </c>
      <c r="C6" s="46" t="inlineStr">
        <is>
          <t>A</t>
        </is>
      </c>
      <c r="E6" s="46" t="inlineStr">
        <is>
          <t>Evet</t>
        </is>
      </c>
    </row>
    <row r="7">
      <c r="A7" s="45" t="n">
        <v>2026</v>
      </c>
      <c r="C7" s="46" t="inlineStr">
        <is>
          <t>B</t>
        </is>
      </c>
      <c r="E7" s="46" t="inlineStr">
        <is>
          <t>Hayır</t>
        </is>
      </c>
    </row>
    <row r="8">
      <c r="A8" s="45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KDV Tevkifat Mahsup ve KDV İade Listesi</t>
        </is>
      </c>
    </row>
    <row r="3">
      <c r="A3" s="21" t="inlineStr">
        <is>
          <t>Parametreler (tek kaynak)</t>
        </is>
      </c>
    </row>
    <row r="5" ht="30" customHeight="1">
      <c r="A5" s="13" t="inlineStr">
        <is>
          <t>anahtar</t>
        </is>
      </c>
      <c r="B5" s="13" t="inlineStr">
        <is>
          <t>deger</t>
        </is>
      </c>
      <c r="C5" s="13" t="inlineStr">
        <is>
          <t>birim</t>
        </is>
      </c>
      <c r="D5" s="13" t="inlineStr">
        <is>
          <t>aciklama</t>
        </is>
      </c>
      <c r="E5" s="13" t="inlineStr">
        <is>
          <t>kaynak</t>
        </is>
      </c>
      <c r="F5" s="13" t="inlineStr">
        <is>
          <t>yururluk_tarihi</t>
        </is>
      </c>
      <c r="G5" s="13" t="inlineStr">
        <is>
          <t>dogrulama_tarihi</t>
        </is>
      </c>
      <c r="H5" s="13" t="inlineStr">
        <is>
          <t>kontrol</t>
        </is>
      </c>
    </row>
    <row r="6">
      <c r="A6" s="24" t="inlineStr">
        <is>
          <t>hesapYili</t>
        </is>
      </c>
      <c r="B6" s="60" t="n">
        <v>2026</v>
      </c>
      <c r="C6" s="24" t="inlineStr">
        <is>
          <t>yıl</t>
        </is>
      </c>
      <c r="D6" s="24" t="inlineStr">
        <is>
          <t>Aktif hesap yılı</t>
        </is>
      </c>
      <c r="E6" s="24" t="inlineStr">
        <is>
          <t>Kullanıcı / GIRDI</t>
        </is>
      </c>
      <c r="F6" s="24" t="inlineStr">
        <is>
          <t>01.01.2025</t>
        </is>
      </c>
      <c r="G6" s="24" t="inlineStr">
        <is>
          <t>14.08.2026</t>
        </is>
      </c>
      <c r="H6" s="61">
        <f>IF(A6="","",IF(B6="","EKSİK","TAM"))</f>
        <v/>
      </c>
    </row>
    <row r="7">
      <c r="A7" s="24" t="inlineStr">
        <is>
          <t>raporTarihi</t>
        </is>
      </c>
      <c r="B7" s="62" t="n">
        <v>46248</v>
      </c>
      <c r="C7" s="24" t="inlineStr">
        <is>
          <t>tarih</t>
        </is>
      </c>
      <c r="D7" s="24" t="inlineStr">
        <is>
          <t>Rapor tarihi (sabit)</t>
        </is>
      </c>
      <c r="E7" s="24" t="inlineStr">
        <is>
          <t>Üretim</t>
        </is>
      </c>
      <c r="F7" s="24" t="inlineStr">
        <is>
          <t>01.01.2025</t>
        </is>
      </c>
      <c r="G7" s="24" t="inlineStr">
        <is>
          <t>14.08.2026</t>
        </is>
      </c>
      <c r="H7" s="61">
        <f>IF(A7="","",IF(B7="","EKSİK","TAM"))</f>
        <v/>
      </c>
    </row>
    <row r="8">
      <c r="A8" s="24" t="inlineStr">
        <is>
          <t>ktm_tolerans</t>
        </is>
      </c>
      <c r="B8" s="63" t="n">
        <v>0.01</v>
      </c>
      <c r="C8" s="24" t="inlineStr">
        <is>
          <t>TL</t>
        </is>
      </c>
      <c r="D8" s="24" t="inlineStr">
        <is>
          <t>Vaka tutarlılık toleransı</t>
        </is>
      </c>
      <c r="E8" s="24" t="inlineStr">
        <is>
          <t>Uygulama notu</t>
        </is>
      </c>
      <c r="F8" s="24" t="inlineStr">
        <is>
          <t>01.01.2025</t>
        </is>
      </c>
      <c r="G8" s="24" t="inlineStr">
        <is>
          <t>14.08.2026</t>
        </is>
      </c>
      <c r="H8" s="61">
        <f>IF(A8="","",IF(B8="","EKSİK","TAM"))</f>
        <v/>
      </c>
    </row>
    <row r="9">
      <c r="A9" s="24" t="inlineStr">
        <is>
          <t>ktm_iadeEsik</t>
        </is>
      </c>
      <c r="B9" s="63" t="n">
        <v>50000</v>
      </c>
      <c r="C9" s="24" t="inlineStr">
        <is>
          <t>TL</t>
        </is>
      </c>
      <c r="D9" s="24" t="inlineStr">
        <is>
          <t>İADE karar eşiği</t>
        </is>
      </c>
      <c r="E9" s="24" t="inlineStr">
        <is>
          <t>İç politika</t>
        </is>
      </c>
      <c r="F9" s="24" t="inlineStr">
        <is>
          <t>01.01.2025</t>
        </is>
      </c>
      <c r="G9" s="24" t="inlineStr">
        <is>
          <t>14.08.2026</t>
        </is>
      </c>
      <c r="H9" s="61">
        <f>IF(A9="","",IF(B9="","EKSİK","TAM"))</f>
        <v/>
      </c>
    </row>
    <row r="10">
      <c r="A10" s="24" t="inlineStr">
        <is>
          <t>ktm_senaryoIyi</t>
        </is>
      </c>
      <c r="B10" s="37" t="n">
        <v>0.9</v>
      </c>
      <c r="C10" s="24" t="inlineStr">
        <is>
          <t>çarpan</t>
        </is>
      </c>
      <c r="D10" s="24" t="inlineStr">
        <is>
          <t>İyimser matrah çarpanı</t>
        </is>
      </c>
      <c r="E10" s="24" t="inlineStr">
        <is>
          <t>Model varsayımı</t>
        </is>
      </c>
      <c r="F10" s="24" t="inlineStr">
        <is>
          <t>01.01.2025</t>
        </is>
      </c>
      <c r="G10" s="24" t="inlineStr">
        <is>
          <t>14.08.2026</t>
        </is>
      </c>
      <c r="H10" s="61">
        <f>IF(A10="","",IF(B10="","EKSİK","TAM"))</f>
        <v/>
      </c>
    </row>
    <row r="11">
      <c r="A11" s="24" t="inlineStr">
        <is>
          <t>ktm_senaryoKotu</t>
        </is>
      </c>
      <c r="B11" s="37" t="n">
        <v>1.1</v>
      </c>
      <c r="C11" s="24" t="inlineStr">
        <is>
          <t>çarpan</t>
        </is>
      </c>
      <c r="D11" s="24" t="inlineStr">
        <is>
          <t>Kötümser matrah çarpanı</t>
        </is>
      </c>
      <c r="E11" s="24" t="inlineStr">
        <is>
          <t>Model varsayımı</t>
        </is>
      </c>
      <c r="F11" s="24" t="inlineStr">
        <is>
          <t>01.01.2025</t>
        </is>
      </c>
      <c r="G11" s="24" t="inlineStr">
        <is>
          <t>14.08.2026</t>
        </is>
      </c>
      <c r="H11" s="61">
        <f>IF(A11="","",IF(B11="","EKSİK","TAM"))</f>
        <v/>
      </c>
    </row>
    <row r="12">
      <c r="A12" s="24" t="inlineStr">
        <is>
          <t>ktm_oranArtisPuan</t>
        </is>
      </c>
      <c r="B12" s="37" t="n">
        <v>0.01</v>
      </c>
      <c r="C12" s="24" t="inlineStr">
        <is>
          <t>oran</t>
        </is>
      </c>
      <c r="D12" s="24" t="inlineStr">
        <is>
          <t>M-SEN +1 puan</t>
        </is>
      </c>
      <c r="E12" s="24" t="inlineStr">
        <is>
          <t>Senaryo motoru</t>
        </is>
      </c>
      <c r="F12" s="24" t="inlineStr">
        <is>
          <t>01.01.2025</t>
        </is>
      </c>
      <c r="G12" s="24" t="inlineStr">
        <is>
          <t>14.08.2026</t>
        </is>
      </c>
      <c r="H12" s="61">
        <f>IF(A12="","",IF(B12="","EKSİK","TAM"))</f>
        <v/>
      </c>
    </row>
    <row r="13">
      <c r="A13" s="24" t="inlineStr">
        <is>
          <t>ktm_tahminAlt</t>
        </is>
      </c>
      <c r="B13" s="37" t="n">
        <v>0.85</v>
      </c>
      <c r="C13" s="24" t="inlineStr">
        <is>
          <t>çarpan</t>
        </is>
      </c>
      <c r="D13" s="24" t="inlineStr">
        <is>
          <t>Tahmin alt bant</t>
        </is>
      </c>
      <c r="E13" s="24" t="inlineStr">
        <is>
          <t>Model varsayımı</t>
        </is>
      </c>
      <c r="F13" s="24" t="inlineStr">
        <is>
          <t>01.01.2025</t>
        </is>
      </c>
      <c r="G13" s="24" t="inlineStr">
        <is>
          <t>14.08.2026</t>
        </is>
      </c>
      <c r="H13" s="61">
        <f>IF(A13="","",IF(B13="","EKSİK","TAM"))</f>
        <v/>
      </c>
    </row>
    <row r="14">
      <c r="A14" s="24" t="inlineStr">
        <is>
          <t>ktm_tahminUst</t>
        </is>
      </c>
      <c r="B14" s="37" t="n">
        <v>1.15</v>
      </c>
      <c r="C14" s="24" t="inlineStr">
        <is>
          <t>çarpan</t>
        </is>
      </c>
      <c r="D14" s="24" t="inlineStr">
        <is>
          <t>Tahmin üst bant</t>
        </is>
      </c>
      <c r="E14" s="24" t="inlineStr">
        <is>
          <t>Model varsayımı</t>
        </is>
      </c>
      <c r="F14" s="24" t="inlineStr">
        <is>
          <t>01.01.2025</t>
        </is>
      </c>
      <c r="G14" s="24" t="inlineStr">
        <is>
          <t>14.08.2026</t>
        </is>
      </c>
      <c r="H14" s="61">
        <f>IF(A14="","",IF(B14="","EKSİK","TAM"))</f>
        <v/>
      </c>
    </row>
    <row r="15">
      <c r="A15" s="24" t="inlineStr">
        <is>
          <t>ktm_tornadoMatrah</t>
        </is>
      </c>
      <c r="B15" s="37" t="n">
        <v>1.05</v>
      </c>
      <c r="C15" s="24" t="inlineStr">
        <is>
          <t>çarpan</t>
        </is>
      </c>
      <c r="D15" s="24" t="inlineStr">
        <is>
          <t>Tornado matrah şoku</t>
        </is>
      </c>
      <c r="E15" s="24" t="inlineStr">
        <is>
          <t>Model varsayımı</t>
        </is>
      </c>
      <c r="F15" s="24" t="inlineStr">
        <is>
          <t>01.01.2025</t>
        </is>
      </c>
      <c r="G15" s="24" t="inlineStr">
        <is>
          <t>14.08.2026</t>
        </is>
      </c>
      <c r="H15" s="61">
        <f>IF(A15="","",IF(B15="","EKSİK","TAM"))</f>
        <v/>
      </c>
    </row>
    <row r="16">
      <c r="A16" s="24" t="inlineStr">
        <is>
          <t>ktm_tornadoKdv1</t>
        </is>
      </c>
      <c r="B16" s="37" t="n">
        <v>0.95</v>
      </c>
      <c r="C16" s="24" t="inlineStr">
        <is>
          <t>çarpan</t>
        </is>
      </c>
      <c r="D16" s="24" t="inlineStr">
        <is>
          <t>Tornado KDV1 şoku</t>
        </is>
      </c>
      <c r="E16" s="24" t="inlineStr">
        <is>
          <t>Model varsayımı</t>
        </is>
      </c>
      <c r="F16" s="24" t="inlineStr">
        <is>
          <t>01.01.2025</t>
        </is>
      </c>
      <c r="G16" s="24" t="inlineStr">
        <is>
          <t>14.08.2026</t>
        </is>
      </c>
      <c r="H16" s="61">
        <f>IF(A16="","",IF(B16="","EKSİK","TAM"))</f>
        <v/>
      </c>
    </row>
    <row r="17">
      <c r="A17" s="24" t="inlineStr">
        <is>
          <t>ktm_yuzdelikOran</t>
        </is>
      </c>
      <c r="B17" s="37" t="n">
        <v>0.9</v>
      </c>
      <c r="C17" s="24" t="inlineStr">
        <is>
          <t>oran</t>
        </is>
      </c>
      <c r="D17" s="24" t="inlineStr">
        <is>
          <t>Yüzdelik P90</t>
        </is>
      </c>
      <c r="E17" s="24" t="inlineStr">
        <is>
          <t>İstatistik</t>
        </is>
      </c>
      <c r="F17" s="24" t="inlineStr">
        <is>
          <t>01.01.2025</t>
        </is>
      </c>
      <c r="G17" s="24" t="inlineStr">
        <is>
          <t>14.08.2026</t>
        </is>
      </c>
      <c r="H17" s="61">
        <f>IF(A17="","",IF(B17="","EKSİK","TAM"))</f>
        <v/>
      </c>
    </row>
    <row r="18">
      <c r="A18" s="24" t="inlineStr">
        <is>
          <t>ktm_parmakIzi</t>
        </is>
      </c>
      <c r="B18" s="64" t="inlineStr">
        <is>
          <t>2813a0607afbab73</t>
        </is>
      </c>
      <c r="C18" s="24" t="inlineStr">
        <is>
          <t>metin</t>
        </is>
      </c>
      <c r="D18" s="24" t="inlineStr">
        <is>
          <t>Dosya parmak izi etiketi</t>
        </is>
      </c>
      <c r="E18" s="24" t="inlineStr">
        <is>
          <t>Üretim</t>
        </is>
      </c>
      <c r="F18" s="24" t="inlineStr">
        <is>
          <t>01.01.2025</t>
        </is>
      </c>
      <c r="G18" s="24" t="inlineStr">
        <is>
          <t>14.08.2026</t>
        </is>
      </c>
      <c r="H18" s="61">
        <f>IF(A18="","",IF(B18="","EKSİK","TAM"))</f>
        <v/>
      </c>
    </row>
    <row r="19">
      <c r="A19" s="24" t="inlineStr">
        <is>
          <t>dosya_surumu</t>
        </is>
      </c>
      <c r="B19" s="64" t="inlineStr">
        <is>
          <t>1.0.0</t>
        </is>
      </c>
      <c r="C19" s="24" t="inlineStr">
        <is>
          <t>metin</t>
        </is>
      </c>
      <c r="D19" s="24" t="inlineStr">
        <is>
          <t>Ürün sürümü</t>
        </is>
      </c>
      <c r="E19" s="24" t="inlineStr">
        <is>
          <t>ExcelArşiv</t>
        </is>
      </c>
      <c r="F19" s="24" t="inlineStr">
        <is>
          <t>01.01.2025</t>
        </is>
      </c>
      <c r="G19" s="24" t="inlineStr">
        <is>
          <t>14.08.2026</t>
        </is>
      </c>
      <c r="H19" s="61">
        <f>IF(A19="","",IF(B19="","EKSİK","TAM"))</f>
        <v/>
      </c>
    </row>
    <row r="20">
      <c r="A20" s="24" t="inlineStr">
        <is>
          <t>ktm_girisBeklenen</t>
        </is>
      </c>
      <c r="B20" s="60" t="n">
        <v>11</v>
      </c>
      <c r="C20" s="24" t="inlineStr">
        <is>
          <t>adet</t>
        </is>
      </c>
      <c r="D20" s="24" t="inlineStr">
        <is>
          <t>Zorunlu giriş alanı sayısı</t>
        </is>
      </c>
      <c r="E20" s="24" t="inlineStr">
        <is>
          <t>Ürün mimarisi</t>
        </is>
      </c>
      <c r="F20" s="24" t="inlineStr">
        <is>
          <t>01.01.2025</t>
        </is>
      </c>
      <c r="G20" s="24" t="inlineStr">
        <is>
          <t>14.08.2026</t>
        </is>
      </c>
      <c r="H20" s="61">
        <f>IF(A20="","",IF(B20="","EKSİK","TAM"))</f>
        <v/>
      </c>
    </row>
    <row r="21">
      <c r="A21" s="24" t="inlineStr">
        <is>
          <t>ktm_riskDusuk</t>
        </is>
      </c>
      <c r="B21" s="60" t="n">
        <v>15</v>
      </c>
      <c r="C21" s="24" t="inlineStr">
        <is>
          <t>puan</t>
        </is>
      </c>
      <c r="D21" s="24" t="inlineStr">
        <is>
          <t>Düşük risk skoru</t>
        </is>
      </c>
      <c r="E21" s="24" t="inlineStr">
        <is>
          <t>İç politika</t>
        </is>
      </c>
      <c r="F21" s="24" t="inlineStr">
        <is>
          <t>01.01.2025</t>
        </is>
      </c>
      <c r="G21" s="24" t="inlineStr">
        <is>
          <t>14.08.2026</t>
        </is>
      </c>
      <c r="H21" s="61">
        <f>IF(A21="","",IF(B21="","EKSİK","TAM"))</f>
        <v/>
      </c>
    </row>
    <row r="22">
      <c r="A22" s="24" t="inlineStr">
        <is>
          <t>ktm_riskOrta</t>
        </is>
      </c>
      <c r="B22" s="60" t="n">
        <v>55</v>
      </c>
      <c r="C22" s="24" t="inlineStr">
        <is>
          <t>puan</t>
        </is>
      </c>
      <c r="D22" s="24" t="inlineStr">
        <is>
          <t>Orta risk skoru</t>
        </is>
      </c>
      <c r="E22" s="24" t="inlineStr">
        <is>
          <t>İç politika</t>
        </is>
      </c>
      <c r="F22" s="24" t="inlineStr">
        <is>
          <t>01.01.2025</t>
        </is>
      </c>
      <c r="G22" s="24" t="inlineStr">
        <is>
          <t>14.08.2026</t>
        </is>
      </c>
      <c r="H22" s="61">
        <f>IF(A22="","",IF(B22="","EKSİK","TAM"))</f>
        <v/>
      </c>
    </row>
    <row r="23">
      <c r="A23" s="24" t="inlineStr">
        <is>
          <t>ktm_riskYuksek</t>
        </is>
      </c>
      <c r="B23" s="60" t="n">
        <v>85</v>
      </c>
      <c r="C23" s="24" t="inlineStr">
        <is>
          <t>puan</t>
        </is>
      </c>
      <c r="D23" s="24" t="inlineStr">
        <is>
          <t>Yüksek risk skoru</t>
        </is>
      </c>
      <c r="E23" s="24" t="inlineStr">
        <is>
          <t>İç politika</t>
        </is>
      </c>
      <c r="F23" s="24" t="inlineStr">
        <is>
          <t>01.01.2025</t>
        </is>
      </c>
      <c r="G23" s="24" t="inlineStr">
        <is>
          <t>14.08.2026</t>
        </is>
      </c>
      <c r="H23" s="61">
        <f>IF(A23="","",IF(B23="","EKSİK","TAM"))</f>
        <v/>
      </c>
    </row>
    <row r="24">
      <c r="A24" s="24" t="inlineStr">
        <is>
          <t>ktm_yilTaban</t>
        </is>
      </c>
      <c r="B24" s="60" t="n">
        <v>2024</v>
      </c>
      <c r="C24" s="24" t="inlineStr">
        <is>
          <t>yıl</t>
        </is>
      </c>
      <c r="D24" s="24" t="inlineStr">
        <is>
          <t>CHOOSE yıl tabanı (hesapYili−taban)</t>
        </is>
      </c>
      <c r="E24" s="24" t="inlineStr">
        <is>
          <t>Ürün mimarisi</t>
        </is>
      </c>
      <c r="F24" s="24" t="inlineStr">
        <is>
          <t>01.01.2025</t>
        </is>
      </c>
      <c r="G24" s="24" t="inlineStr">
        <is>
          <t>14.08.2026</t>
        </is>
      </c>
      <c r="H24" s="61">
        <f>IF(A24="","",IF(B24="","EKSİK","TAM"))</f>
        <v/>
      </c>
    </row>
    <row r="25">
      <c r="A25" s="24" t="inlineStr">
        <is>
          <t>ktm_yuvarMax</t>
        </is>
      </c>
      <c r="B25" s="60" t="n">
        <v>2</v>
      </c>
      <c r="C25" s="24" t="inlineStr">
        <is>
          <t>adet</t>
        </is>
      </c>
      <c r="D25" s="24" t="inlineStr">
        <is>
          <t>ROUND basamak tavanı</t>
        </is>
      </c>
      <c r="E25" s="24" t="inlineStr">
        <is>
          <t>Ürün mimarisi</t>
        </is>
      </c>
      <c r="F25" s="24" t="inlineStr">
        <is>
          <t>01.01.2025</t>
        </is>
      </c>
      <c r="G25" s="24" t="inlineStr">
        <is>
          <t>14.08.2026</t>
        </is>
      </c>
      <c r="H25" s="61">
        <f>IF(A25="","",IF(B25="","EKSİK","TAM"))</f>
        <v/>
      </c>
    </row>
    <row r="26">
      <c r="A26" s="24" t="inlineStr">
        <is>
          <t>vaka_matrah_1</t>
        </is>
      </c>
      <c r="B26" s="63" t="n">
        <v>1000000</v>
      </c>
      <c r="C26" s="24" t="inlineStr">
        <is>
          <t>TL</t>
        </is>
      </c>
      <c r="D26" s="24" t="inlineStr">
        <is>
          <t>Vaka1 2/10 matrah</t>
        </is>
      </c>
      <c r="E26" s="24" t="inlineStr">
        <is>
          <t>Tebliğ örneği</t>
        </is>
      </c>
      <c r="F26" s="24" t="inlineStr">
        <is>
          <t>01.01.2025</t>
        </is>
      </c>
      <c r="G26" s="24" t="inlineStr">
        <is>
          <t>14.08.2026</t>
        </is>
      </c>
      <c r="H26" s="61">
        <f>IF(A26="","",IF(B26="","EKSİK","TAM"))</f>
        <v/>
      </c>
    </row>
    <row r="27">
      <c r="A27" s="24" t="inlineStr">
        <is>
          <t>vaka_matrah_2</t>
        </is>
      </c>
      <c r="B27" s="63" t="n">
        <v>500000</v>
      </c>
      <c r="C27" s="24" t="inlineStr">
        <is>
          <t>TL</t>
        </is>
      </c>
      <c r="D27" s="24" t="inlineStr">
        <is>
          <t>Vaka2 5/10 matrah</t>
        </is>
      </c>
      <c r="E27" s="24" t="inlineStr">
        <is>
          <t>Tebliğ örneği</t>
        </is>
      </c>
      <c r="F27" s="24" t="inlineStr">
        <is>
          <t>01.01.2025</t>
        </is>
      </c>
      <c r="G27" s="24" t="inlineStr">
        <is>
          <t>14.08.2026</t>
        </is>
      </c>
      <c r="H27" s="61">
        <f>IF(A27="","",IF(B27="","EKSİK","TAM"))</f>
        <v/>
      </c>
    </row>
    <row r="28">
      <c r="A28" s="24" t="inlineStr">
        <is>
          <t>vaka_matrah_9</t>
        </is>
      </c>
      <c r="B28" s="63" t="n">
        <v>200000</v>
      </c>
      <c r="C28" s="24" t="inlineStr">
        <is>
          <t>TL</t>
        </is>
      </c>
      <c r="D28" s="24" t="inlineStr">
        <is>
          <t>Vaka4 9/10 matrah</t>
        </is>
      </c>
      <c r="E28" s="24" t="inlineStr">
        <is>
          <t>Tebliğ örneği</t>
        </is>
      </c>
      <c r="F28" s="24" t="inlineStr">
        <is>
          <t>01.01.2025</t>
        </is>
      </c>
      <c r="G28" s="24" t="inlineStr">
        <is>
          <t>14.08.2026</t>
        </is>
      </c>
      <c r="H28" s="61">
        <f>IF(A28="","",IF(B28="","EKSİK","TAM"))</f>
        <v/>
      </c>
    </row>
    <row r="30">
      <c r="B30" s="65" t="inlineStr">
        <is>
          <t>Parametre satırları yukarıda; ad tanımları B kolonuna bağlı.</t>
        </is>
      </c>
    </row>
    <row r="32">
      <c r="B32" s="5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İade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KDV Tevkifat Mahsup ve KDV İade Listesi</t>
        </is>
      </c>
    </row>
    <row r="3">
      <c r="A3" s="21" t="inlineStr">
        <is>
          <t>Karar kuralları</t>
        </is>
      </c>
    </row>
    <row r="5">
      <c r="A5" s="41" t="inlineStr">
        <is>
          <t>• VERİ YOK — giriş tablosu boşsa hesap yapılmaz.</t>
        </is>
      </c>
    </row>
    <row r="6">
      <c r="A6" s="41" t="inlineStr">
        <is>
          <t>• İADE — iade uygun tutar eşik üzerinde; iade cetveli öncelikli.</t>
        </is>
      </c>
    </row>
    <row r="7">
      <c r="A7" s="41" t="inlineStr">
        <is>
          <t>• MAHSUP — mahsup edilebilir tutar var; 2 Numaralı mahsup listesi öncelikli.</t>
        </is>
      </c>
    </row>
    <row r="8">
      <c r="A8" s="41" t="inlineStr">
        <is>
          <t>• BEKLE — mahsup/iade net değil veya belge belirsizliği var.</t>
        </is>
      </c>
    </row>
    <row r="10">
      <c r="A10" s="66" t="inlineStr">
        <is>
          <t>Belirsizlik beyanları (M05)</t>
        </is>
      </c>
    </row>
    <row r="11">
      <c r="A11" s="67" t="inlineStr">
        <is>
          <t>Bu nokta mevzuatta tartışmalıdır; dosya yorum A ve yorum B sonucunu yan yana gösterir: mahsup_sirasi</t>
        </is>
      </c>
    </row>
    <row r="13">
      <c r="A13" s="10" t="inlineStr">
        <is>
          <t>Yorum A</t>
        </is>
      </c>
      <c r="B13" s="41" t="inlineStr">
        <is>
          <t>Önce mahsup (KDV1 ödenecek kadar), kalan iadeye gider. Bu nokta mevzuatta tartışmalıdır; sonuç yorum B ile yan yana okunmalıdır.</t>
        </is>
      </c>
    </row>
    <row r="14">
      <c r="A14" s="10" t="inlineStr">
        <is>
          <t>Yorum B</t>
        </is>
      </c>
      <c r="B14" s="41" t="inlineStr">
        <is>
          <t>Önce iade talep kadar iade, kalan mahsup edilir. Dosya her iki yorumun sonucunu MOTOR'da üretir.</t>
        </is>
      </c>
    </row>
    <row r="16">
      <c r="A16" s="10" t="inlineStr">
        <is>
          <t>Kullanım sırası</t>
        </is>
      </c>
    </row>
    <row r="17">
      <c r="A17" s="41" t="inlineStr">
        <is>
          <t>GIRDI → KURALLAR → MOTOR → MAHSUP_LISTE → IADE_LISTE → SENARYO → VAKALAR → PANO → KANIT_RAPORU → AYARLAR → KILAVUZ.</t>
        </is>
      </c>
    </row>
    <row r="19">
      <c r="A19" s="6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A8:T8"/>
    <mergeCell ref="A6:T6"/>
    <mergeCell ref="A17:J17"/>
    <mergeCell ref="B14:J14"/>
    <mergeCell ref="A7:T7"/>
    <mergeCell ref="B13:J13"/>
    <mergeCell ref="A11:T11"/>
    <mergeCell ref="A1:AD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2026-08-14T18:18:55Z</dcterms:created>
  <dcterms:modified xsi:type="dcterms:W3CDTF">2026-08-14T18:18:55Z</dcterms:modified>
</cp:coreProperties>
</file>